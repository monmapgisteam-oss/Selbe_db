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selbe20-my.sharepoint.com/personal/selbepdc_selbecity_mn/Documents/СЭЛБЭ ДЭД ТӨВ ОРОН СУУЦЖУУЛАХ ТӨСӨЛ/002. PROJECT MANAGEMENT/06. Schedules/02 Dashboard/Нэгтгэл гүйцэтгэл/"/>
    </mc:Choice>
  </mc:AlternateContent>
  <xr:revisionPtr revIDLastSave="8" documentId="6_{A94B61CD-07BA-4361-B3EA-2984E25A5755}" xr6:coauthVersionLast="47" xr6:coauthVersionMax="47" xr10:uidLastSave="{4822BB72-481D-4C4A-8642-511FC3CA3DE6}"/>
  <bookViews>
    <workbookView xWindow="-28920" yWindow="-120" windowWidth="29040" windowHeight="15720" firstSheet="2" activeTab="2" xr2:uid="{93042002-9EC2-4477-BE2D-3E79E2571C91}"/>
  </bookViews>
  <sheets>
    <sheet name="Төсөл төлөвлөгөө биелэлт Нийгэм" sheetId="20" r:id="rId1"/>
    <sheet name="Төсөл төлөвлөгөө биелэлт сараар" sheetId="23" r:id="rId2"/>
    <sheet name="Төсөл төлөвлөгөө биелэлт" sheetId="18" r:id="rId3"/>
    <sheet name="Барилга угсралт дүгнэлт" sheetId="25" r:id="rId4"/>
    <sheet name="Sheet1" sheetId="19" r:id="rId5"/>
    <sheet name="БАГЦ-1 2025-12-31" sheetId="7" state="hidden" r:id="rId6"/>
    <sheet name="БАГЦ-1 2026" sheetId="8" state="hidden" r:id="rId7"/>
    <sheet name="БАГЦ-1 2027" sheetId="9" state="hidden" r:id="rId8"/>
    <sheet name="БАГЦ-1" sheetId="1" state="hidden" r:id="rId9"/>
    <sheet name="БАГЦ-2" sheetId="2" state="hidden" r:id="rId10"/>
    <sheet name="S-Curve" sheetId="22" r:id="rId11"/>
  </sheets>
  <externalReferences>
    <externalReference r:id="rId12"/>
    <externalReference r:id="rId13"/>
    <externalReference r:id="rId14"/>
  </externalReferences>
  <definedNames>
    <definedName name="_xlnm._FilterDatabase" localSheetId="8" hidden="1">'БАГЦ-1'!$A$10:$AI$91</definedName>
    <definedName name="_xlnm._FilterDatabase" localSheetId="9" hidden="1">'БАГЦ-2'!$A$14:$AI$93</definedName>
    <definedName name="_xlnm.Print_Area" localSheetId="2">'Төсөл төлөвлөгөө биелэлт'!$A$1:$W$911</definedName>
    <definedName name="_xlnm.Print_Area" localSheetId="0">'Төсөл төлөвлөгөө биелэлт Нийгэм'!$A$1:$T$911</definedName>
    <definedName name="_xlnm.Print_Area" localSheetId="1">'Төсөл төлөвлөгөө биелэлт сараар'!$A$1:$AP$911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9" i="18" l="1"/>
  <c r="S718" i="18"/>
  <c r="S528" i="18"/>
  <c r="S6" i="18"/>
  <c r="S719" i="18"/>
  <c r="H51" i="25"/>
  <c r="G51" i="25"/>
  <c r="F51" i="25"/>
  <c r="E51" i="25"/>
  <c r="D51" i="25"/>
  <c r="C51" i="25"/>
  <c r="B51" i="25"/>
  <c r="I51" i="25" s="1"/>
  <c r="H50" i="25"/>
  <c r="G50" i="25"/>
  <c r="F50" i="25"/>
  <c r="E50" i="25"/>
  <c r="D50" i="25"/>
  <c r="C50" i="25"/>
  <c r="B50" i="25"/>
  <c r="I50" i="25" s="1"/>
  <c r="H49" i="25"/>
  <c r="G49" i="25"/>
  <c r="F49" i="25"/>
  <c r="E49" i="25"/>
  <c r="D49" i="25"/>
  <c r="C49" i="25"/>
  <c r="B49" i="25"/>
  <c r="I49" i="25" s="1"/>
  <c r="H48" i="25"/>
  <c r="G48" i="25"/>
  <c r="F48" i="25"/>
  <c r="E48" i="25"/>
  <c r="D48" i="25"/>
  <c r="C48" i="25"/>
  <c r="B48" i="25"/>
  <c r="I48" i="25" s="1"/>
  <c r="H47" i="25"/>
  <c r="G47" i="25"/>
  <c r="F47" i="25"/>
  <c r="E47" i="25"/>
  <c r="D47" i="25"/>
  <c r="C47" i="25"/>
  <c r="B47" i="25"/>
  <c r="H46" i="25"/>
  <c r="G46" i="25"/>
  <c r="F46" i="25"/>
  <c r="E46" i="25"/>
  <c r="D46" i="25"/>
  <c r="C46" i="25"/>
  <c r="B46" i="25"/>
  <c r="I46" i="25" s="1"/>
  <c r="H45" i="25"/>
  <c r="G45" i="25"/>
  <c r="F45" i="25"/>
  <c r="E45" i="25"/>
  <c r="D45" i="25"/>
  <c r="C45" i="25"/>
  <c r="B45" i="25"/>
  <c r="I45" i="25" s="1"/>
  <c r="H44" i="25"/>
  <c r="G44" i="25"/>
  <c r="F44" i="25"/>
  <c r="E44" i="25"/>
  <c r="D44" i="25"/>
  <c r="C44" i="25"/>
  <c r="B44" i="25"/>
  <c r="I44" i="25" s="1"/>
  <c r="H43" i="25"/>
  <c r="G43" i="25"/>
  <c r="F43" i="25"/>
  <c r="E43" i="25"/>
  <c r="D43" i="25"/>
  <c r="C43" i="25"/>
  <c r="B43" i="25"/>
  <c r="I43" i="25" s="1"/>
  <c r="H42" i="25"/>
  <c r="G42" i="25"/>
  <c r="F42" i="25"/>
  <c r="E42" i="25"/>
  <c r="D42" i="25"/>
  <c r="C42" i="25"/>
  <c r="B42" i="25"/>
  <c r="I42" i="25" s="1"/>
  <c r="H41" i="25"/>
  <c r="G41" i="25"/>
  <c r="F41" i="25"/>
  <c r="E41" i="25"/>
  <c r="D41" i="25"/>
  <c r="C41" i="25"/>
  <c r="B41" i="25"/>
  <c r="I41" i="25" s="1"/>
  <c r="H40" i="25"/>
  <c r="G40" i="25"/>
  <c r="F40" i="25"/>
  <c r="E40" i="25"/>
  <c r="D40" i="25"/>
  <c r="C40" i="25"/>
  <c r="B40" i="25"/>
  <c r="I40" i="25" s="1"/>
  <c r="H39" i="25"/>
  <c r="G39" i="25"/>
  <c r="F39" i="25"/>
  <c r="E39" i="25"/>
  <c r="D39" i="25"/>
  <c r="C39" i="25"/>
  <c r="B39" i="25"/>
  <c r="I39" i="25" s="1"/>
  <c r="D34" i="25"/>
  <c r="C34" i="25"/>
  <c r="B34" i="25"/>
  <c r="E34" i="25" s="1"/>
  <c r="D33" i="25"/>
  <c r="C33" i="25"/>
  <c r="B33" i="25"/>
  <c r="D32" i="25"/>
  <c r="C32" i="25"/>
  <c r="B32" i="25"/>
  <c r="E32" i="25" s="1"/>
  <c r="D31" i="25"/>
  <c r="C31" i="25"/>
  <c r="B31" i="25"/>
  <c r="E31" i="25" s="1"/>
  <c r="D30" i="25"/>
  <c r="C30" i="25"/>
  <c r="B30" i="25"/>
  <c r="E30" i="25" s="1"/>
  <c r="D29" i="25"/>
  <c r="C29" i="25"/>
  <c r="B29" i="25"/>
  <c r="E29" i="25" s="1"/>
  <c r="D28" i="25"/>
  <c r="C28" i="25"/>
  <c r="B28" i="25"/>
  <c r="E28" i="25" s="1"/>
  <c r="D27" i="25"/>
  <c r="C27" i="25"/>
  <c r="B27" i="25"/>
  <c r="E27" i="25" s="1"/>
  <c r="D26" i="25"/>
  <c r="C26" i="25"/>
  <c r="B26" i="25"/>
  <c r="E26" i="25" s="1"/>
  <c r="D25" i="25"/>
  <c r="C25" i="25"/>
  <c r="B25" i="25"/>
  <c r="E25" i="25" s="1"/>
  <c r="D24" i="25"/>
  <c r="C24" i="25"/>
  <c r="B24" i="25"/>
  <c r="E24" i="25" s="1"/>
  <c r="D23" i="25"/>
  <c r="C23" i="25"/>
  <c r="B23" i="25"/>
  <c r="E23" i="25" s="1"/>
  <c r="D22" i="25"/>
  <c r="C22" i="25"/>
  <c r="B22" i="25"/>
  <c r="D21" i="25"/>
  <c r="C21" i="25"/>
  <c r="B21" i="25"/>
  <c r="E21" i="25" s="1"/>
  <c r="D20" i="25"/>
  <c r="C20" i="25"/>
  <c r="B20" i="25"/>
  <c r="E20" i="25" s="1"/>
  <c r="D19" i="25"/>
  <c r="C19" i="25"/>
  <c r="B19" i="25"/>
  <c r="E19" i="25" s="1"/>
  <c r="D12" i="25"/>
  <c r="D11" i="25"/>
  <c r="D10" i="25"/>
  <c r="D9" i="25"/>
  <c r="D8" i="25"/>
  <c r="D7" i="25"/>
  <c r="D6" i="25"/>
  <c r="E12" i="25"/>
  <c r="F12" i="25" s="1" a="1"/>
  <c r="F12" i="25" s="1"/>
  <c r="E11" i="25"/>
  <c r="F11" i="25" s="1" a="1"/>
  <c r="F11" i="25" s="1"/>
  <c r="E10" i="25"/>
  <c r="F10" i="25" s="1" a="1"/>
  <c r="F10" i="25" s="1"/>
  <c r="E9" i="25"/>
  <c r="F9" i="25" s="1" a="1"/>
  <c r="F9" i="25" s="1"/>
  <c r="E8" i="25"/>
  <c r="F8" i="25" s="1" a="1"/>
  <c r="F8" i="25" s="1"/>
  <c r="E7" i="25"/>
  <c r="F7" i="25" s="1" a="1"/>
  <c r="F7" i="25" s="1"/>
  <c r="E6" i="25"/>
  <c r="F6" i="25" s="1" a="1"/>
  <c r="F6" i="25" s="1"/>
  <c r="I254" i="25"/>
  <c r="I253" i="25"/>
  <c r="I252" i="25"/>
  <c r="I251" i="25"/>
  <c r="I250" i="25"/>
  <c r="I249" i="25"/>
  <c r="I248" i="25"/>
  <c r="I247" i="25"/>
  <c r="I246" i="25"/>
  <c r="I245" i="25"/>
  <c r="I244" i="25"/>
  <c r="I243" i="25"/>
  <c r="I242" i="25"/>
  <c r="I241" i="25"/>
  <c r="D236" i="25"/>
  <c r="C236" i="25"/>
  <c r="B236" i="25"/>
  <c r="D235" i="25"/>
  <c r="D237" i="25" s="1"/>
  <c r="C235" i="25"/>
  <c r="B235" i="25"/>
  <c r="B232" i="25"/>
  <c r="I228" i="25"/>
  <c r="I227" i="25"/>
  <c r="I226" i="25"/>
  <c r="I225" i="25"/>
  <c r="I224" i="25"/>
  <c r="I223" i="25"/>
  <c r="I222" i="25"/>
  <c r="I221" i="25"/>
  <c r="I220" i="25"/>
  <c r="I219" i="25"/>
  <c r="I218" i="25"/>
  <c r="I217" i="25"/>
  <c r="I216" i="25"/>
  <c r="I215" i="25"/>
  <c r="I214" i="25"/>
  <c r="I213" i="25"/>
  <c r="D208" i="25"/>
  <c r="D209" i="25" s="1"/>
  <c r="C208" i="25"/>
  <c r="C209" i="25" s="1"/>
  <c r="B208" i="25"/>
  <c r="B209" i="25" s="1"/>
  <c r="B205" i="25"/>
  <c r="I201" i="25"/>
  <c r="I200" i="25"/>
  <c r="I199" i="25"/>
  <c r="I198" i="25"/>
  <c r="I197" i="25"/>
  <c r="I196" i="25"/>
  <c r="I195" i="25"/>
  <c r="I194" i="25"/>
  <c r="I193" i="25"/>
  <c r="I192" i="25"/>
  <c r="I191" i="25"/>
  <c r="I190" i="25"/>
  <c r="I189" i="25"/>
  <c r="I188" i="25"/>
  <c r="D183" i="25"/>
  <c r="C183" i="25"/>
  <c r="B183" i="25"/>
  <c r="D182" i="25"/>
  <c r="C182" i="25"/>
  <c r="B182" i="25"/>
  <c r="D181" i="25"/>
  <c r="C181" i="25"/>
  <c r="B181" i="25"/>
  <c r="B178" i="25"/>
  <c r="I174" i="25"/>
  <c r="I173" i="25"/>
  <c r="I172" i="25"/>
  <c r="I171" i="25"/>
  <c r="I170" i="25"/>
  <c r="I169" i="25"/>
  <c r="I168" i="25"/>
  <c r="I167" i="25"/>
  <c r="I166" i="25"/>
  <c r="I165" i="25"/>
  <c r="I164" i="25"/>
  <c r="I163" i="25"/>
  <c r="D158" i="25"/>
  <c r="C158" i="25"/>
  <c r="B158" i="25"/>
  <c r="D157" i="25"/>
  <c r="C157" i="25"/>
  <c r="B157" i="25"/>
  <c r="D156" i="25"/>
  <c r="C156" i="25"/>
  <c r="B156" i="25"/>
  <c r="D155" i="25"/>
  <c r="C155" i="25"/>
  <c r="B155" i="25"/>
  <c r="B152" i="25"/>
  <c r="I148" i="25"/>
  <c r="I147" i="25"/>
  <c r="I146" i="25"/>
  <c r="I145" i="25"/>
  <c r="I144" i="25"/>
  <c r="I143" i="25"/>
  <c r="I142" i="25"/>
  <c r="I141" i="25"/>
  <c r="I140" i="25"/>
  <c r="I139" i="25"/>
  <c r="I138" i="25"/>
  <c r="D133" i="25"/>
  <c r="D134" i="25" s="1"/>
  <c r="C133" i="25"/>
  <c r="C134" i="25" s="1"/>
  <c r="B133" i="25"/>
  <c r="B134" i="25" s="1"/>
  <c r="B130" i="25"/>
  <c r="I126" i="25"/>
  <c r="I125" i="25"/>
  <c r="I124" i="25"/>
  <c r="I123" i="25"/>
  <c r="I122" i="25"/>
  <c r="I121" i="25"/>
  <c r="I120" i="25"/>
  <c r="I119" i="25"/>
  <c r="I118" i="25"/>
  <c r="I117" i="25"/>
  <c r="I116" i="25"/>
  <c r="I115" i="25"/>
  <c r="I114" i="25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I101" i="25"/>
  <c r="D96" i="25"/>
  <c r="C96" i="25"/>
  <c r="B96" i="25"/>
  <c r="D95" i="25"/>
  <c r="C95" i="25"/>
  <c r="B95" i="25"/>
  <c r="B92" i="25"/>
  <c r="I88" i="25"/>
  <c r="I87" i="25"/>
  <c r="I86" i="25"/>
  <c r="I85" i="25"/>
  <c r="I84" i="25"/>
  <c r="I83" i="25"/>
  <c r="I82" i="25"/>
  <c r="I81" i="25"/>
  <c r="I80" i="25"/>
  <c r="I79" i="25"/>
  <c r="I78" i="25"/>
  <c r="I77" i="25"/>
  <c r="I76" i="25"/>
  <c r="I75" i="25"/>
  <c r="I74" i="25"/>
  <c r="I73" i="25"/>
  <c r="I72" i="25"/>
  <c r="I71" i="25"/>
  <c r="I70" i="25"/>
  <c r="I69" i="25"/>
  <c r="D64" i="25"/>
  <c r="C64" i="25"/>
  <c r="B64" i="25"/>
  <c r="D63" i="25"/>
  <c r="C63" i="25"/>
  <c r="B63" i="25"/>
  <c r="D62" i="25"/>
  <c r="C62" i="25"/>
  <c r="B62" i="25"/>
  <c r="D61" i="25"/>
  <c r="C61" i="25"/>
  <c r="B61" i="25"/>
  <c r="D60" i="25"/>
  <c r="C60" i="25"/>
  <c r="B60" i="25"/>
  <c r="D59" i="25"/>
  <c r="C59" i="25"/>
  <c r="B59" i="25"/>
  <c r="D58" i="25"/>
  <c r="C58" i="25"/>
  <c r="B58" i="25"/>
  <c r="B55" i="25"/>
  <c r="H12" i="25"/>
  <c r="G12" i="25"/>
  <c r="C12" i="25"/>
  <c r="B12" i="25"/>
  <c r="H11" i="25"/>
  <c r="C11" i="25"/>
  <c r="B11" i="25"/>
  <c r="H10" i="25"/>
  <c r="C10" i="25"/>
  <c r="B10" i="25"/>
  <c r="H9" i="25"/>
  <c r="C9" i="25"/>
  <c r="B9" i="25"/>
  <c r="H8" i="25"/>
  <c r="G8" i="25"/>
  <c r="C8" i="25"/>
  <c r="B8" i="25"/>
  <c r="H7" i="25"/>
  <c r="C7" i="25"/>
  <c r="B7" i="25"/>
  <c r="H6" i="25"/>
  <c r="C6" i="25"/>
  <c r="B6" i="25"/>
  <c r="C52" i="25" l="1"/>
  <c r="D52" i="25"/>
  <c r="E52" i="25"/>
  <c r="G52" i="25"/>
  <c r="H52" i="25"/>
  <c r="C35" i="25"/>
  <c r="I47" i="25"/>
  <c r="F52" i="25"/>
  <c r="D35" i="25"/>
  <c r="C97" i="25"/>
  <c r="E22" i="25"/>
  <c r="D97" i="25"/>
  <c r="E33" i="25"/>
  <c r="I52" i="25"/>
  <c r="E35" i="25"/>
  <c r="B35" i="25"/>
  <c r="B52" i="25"/>
  <c r="E58" i="25"/>
  <c r="B184" i="25"/>
  <c r="E13" i="25"/>
  <c r="C184" i="25"/>
  <c r="E158" i="25"/>
  <c r="B65" i="25"/>
  <c r="E62" i="25"/>
  <c r="E61" i="25"/>
  <c r="E236" i="25"/>
  <c r="E60" i="25"/>
  <c r="C13" i="25"/>
  <c r="E96" i="25"/>
  <c r="D13" i="25"/>
  <c r="D184" i="25"/>
  <c r="E182" i="25"/>
  <c r="E183" i="25"/>
  <c r="B159" i="25"/>
  <c r="C159" i="25"/>
  <c r="D159" i="25"/>
  <c r="E156" i="25"/>
  <c r="B237" i="25"/>
  <c r="E157" i="25"/>
  <c r="C237" i="25"/>
  <c r="C65" i="25"/>
  <c r="D65" i="25"/>
  <c r="E95" i="25"/>
  <c r="E63" i="25"/>
  <c r="B13" i="25"/>
  <c r="E64" i="25"/>
  <c r="E235" i="25"/>
  <c r="E208" i="25"/>
  <c r="E209" i="25" s="1"/>
  <c r="E59" i="25"/>
  <c r="E155" i="25"/>
  <c r="B97" i="25"/>
  <c r="E133" i="25"/>
  <c r="E134" i="25" s="1"/>
  <c r="E181" i="25"/>
  <c r="E97" i="25" l="1"/>
  <c r="E65" i="25"/>
  <c r="E237" i="25"/>
  <c r="E159" i="25"/>
  <c r="E184" i="25"/>
  <c r="AE889" i="23"/>
  <c r="AF889" i="23"/>
  <c r="AG889" i="23"/>
  <c r="AH889" i="23"/>
  <c r="AI889" i="23"/>
  <c r="AJ889" i="23"/>
  <c r="AK889" i="23"/>
  <c r="AL889" i="23"/>
  <c r="AM889" i="23"/>
  <c r="AN889" i="23"/>
  <c r="AO889" i="23"/>
  <c r="AP889" i="23"/>
  <c r="AG56" i="23"/>
  <c r="AH56" i="23"/>
  <c r="AI56" i="23"/>
  <c r="AJ56" i="23"/>
  <c r="AK56" i="23"/>
  <c r="AL56" i="23"/>
  <c r="AM56" i="23"/>
  <c r="AN56" i="23"/>
  <c r="AO56" i="23"/>
  <c r="AP56" i="23"/>
  <c r="AG48" i="23"/>
  <c r="AH48" i="23"/>
  <c r="AI48" i="23"/>
  <c r="AJ48" i="23"/>
  <c r="AK48" i="23"/>
  <c r="AL48" i="23"/>
  <c r="AM48" i="23"/>
  <c r="AN48" i="23"/>
  <c r="AO48" i="23"/>
  <c r="AP48" i="23"/>
  <c r="AG36" i="23"/>
  <c r="AH36" i="23"/>
  <c r="AI36" i="23"/>
  <c r="AJ36" i="23"/>
  <c r="AK36" i="23"/>
  <c r="AL36" i="23"/>
  <c r="AM36" i="23"/>
  <c r="AN36" i="23"/>
  <c r="AO36" i="23"/>
  <c r="AP36" i="23"/>
  <c r="AG11" i="23"/>
  <c r="AH11" i="23"/>
  <c r="AI11" i="23"/>
  <c r="AJ11" i="23"/>
  <c r="AK11" i="23"/>
  <c r="AL11" i="23"/>
  <c r="AM11" i="23"/>
  <c r="AN11" i="23"/>
  <c r="AO11" i="23"/>
  <c r="AP11" i="23"/>
  <c r="AG7" i="23"/>
  <c r="AH7" i="23"/>
  <c r="AI7" i="23"/>
  <c r="AJ7" i="23"/>
  <c r="AK7" i="23"/>
  <c r="AL7" i="23"/>
  <c r="AM7" i="23"/>
  <c r="AN7" i="23"/>
  <c r="AO7" i="23"/>
  <c r="AP7" i="23"/>
  <c r="AF56" i="23"/>
  <c r="AF48" i="23"/>
  <c r="AF36" i="23"/>
  <c r="AF11" i="23"/>
  <c r="AF7" i="23"/>
  <c r="AE56" i="23"/>
  <c r="AE48" i="23"/>
  <c r="AE36" i="23"/>
  <c r="AE11" i="23"/>
  <c r="AE7" i="23"/>
  <c r="AP885" i="23"/>
  <c r="AO885" i="23"/>
  <c r="AN885" i="23"/>
  <c r="AM885" i="23"/>
  <c r="AL885" i="23"/>
  <c r="AK885" i="23"/>
  <c r="AJ885" i="23"/>
  <c r="AI885" i="23"/>
  <c r="AH885" i="23"/>
  <c r="AG885" i="23"/>
  <c r="AF885" i="23"/>
  <c r="AE885" i="23"/>
  <c r="AP871" i="23"/>
  <c r="AO871" i="23"/>
  <c r="AN871" i="23"/>
  <c r="AM871" i="23"/>
  <c r="AL871" i="23"/>
  <c r="AK871" i="23"/>
  <c r="AJ871" i="23"/>
  <c r="AI871" i="23"/>
  <c r="AH871" i="23"/>
  <c r="AG871" i="23"/>
  <c r="AF871" i="23"/>
  <c r="AE871" i="23"/>
  <c r="AP859" i="23"/>
  <c r="AO859" i="23"/>
  <c r="AN859" i="23"/>
  <c r="AM859" i="23"/>
  <c r="AL859" i="23"/>
  <c r="AK859" i="23"/>
  <c r="AJ859" i="23"/>
  <c r="AI859" i="23"/>
  <c r="AH859" i="23"/>
  <c r="AG859" i="23"/>
  <c r="AF859" i="23"/>
  <c r="AE859" i="23"/>
  <c r="AP842" i="23"/>
  <c r="AO842" i="23"/>
  <c r="AN842" i="23"/>
  <c r="AM842" i="23"/>
  <c r="AL842" i="23"/>
  <c r="AK842" i="23"/>
  <c r="AJ842" i="23"/>
  <c r="AI842" i="23"/>
  <c r="AH842" i="23"/>
  <c r="AG842" i="23"/>
  <c r="AF842" i="23"/>
  <c r="AE842" i="23"/>
  <c r="AD885" i="23"/>
  <c r="AC885" i="23"/>
  <c r="AB885" i="23"/>
  <c r="AA885" i="23"/>
  <c r="Z885" i="23"/>
  <c r="Y885" i="23"/>
  <c r="X885" i="23"/>
  <c r="W885" i="23"/>
  <c r="V885" i="23"/>
  <c r="U885" i="23"/>
  <c r="T885" i="23"/>
  <c r="S885" i="23"/>
  <c r="R885" i="23"/>
  <c r="Q885" i="23"/>
  <c r="P885" i="23"/>
  <c r="O885" i="23"/>
  <c r="N885" i="23"/>
  <c r="AD871" i="23"/>
  <c r="AC871" i="23"/>
  <c r="AB871" i="23"/>
  <c r="AA871" i="23"/>
  <c r="Z871" i="23"/>
  <c r="Y871" i="23"/>
  <c r="X871" i="23"/>
  <c r="W871" i="23"/>
  <c r="V871" i="23"/>
  <c r="U871" i="23"/>
  <c r="T871" i="23"/>
  <c r="S871" i="23"/>
  <c r="R871" i="23"/>
  <c r="Q871" i="23"/>
  <c r="P871" i="23"/>
  <c r="O871" i="23"/>
  <c r="N871" i="23"/>
  <c r="AD859" i="23"/>
  <c r="AC859" i="23"/>
  <c r="AB859" i="23"/>
  <c r="AA859" i="23"/>
  <c r="Z859" i="23"/>
  <c r="Y859" i="23"/>
  <c r="X859" i="23"/>
  <c r="W859" i="23"/>
  <c r="V859" i="23"/>
  <c r="U859" i="23"/>
  <c r="T859" i="23"/>
  <c r="S859" i="23"/>
  <c r="R859" i="23"/>
  <c r="Q859" i="23"/>
  <c r="P859" i="23"/>
  <c r="O859" i="23"/>
  <c r="N859" i="23"/>
  <c r="AD842" i="23"/>
  <c r="AC842" i="23"/>
  <c r="AB842" i="23"/>
  <c r="AA842" i="23"/>
  <c r="Z842" i="23"/>
  <c r="Y842" i="23"/>
  <c r="X842" i="23"/>
  <c r="W842" i="23"/>
  <c r="V842" i="23"/>
  <c r="U842" i="23"/>
  <c r="T842" i="23"/>
  <c r="S842" i="23"/>
  <c r="R842" i="23"/>
  <c r="Q842" i="23"/>
  <c r="P842" i="23"/>
  <c r="O842" i="23"/>
  <c r="N842" i="23"/>
  <c r="T909" i="23"/>
  <c r="S909" i="23"/>
  <c r="T904" i="23"/>
  <c r="S904" i="23"/>
  <c r="T889" i="23"/>
  <c r="S889" i="23"/>
  <c r="T56" i="23"/>
  <c r="S56" i="23"/>
  <c r="T48" i="23"/>
  <c r="S48" i="23"/>
  <c r="T36" i="23"/>
  <c r="S36" i="23"/>
  <c r="T11" i="23"/>
  <c r="S11" i="23"/>
  <c r="T7" i="23"/>
  <c r="S7" i="23"/>
  <c r="Y909" i="23"/>
  <c r="X909" i="23"/>
  <c r="W909" i="23"/>
  <c r="V909" i="23"/>
  <c r="U909" i="23"/>
  <c r="Y904" i="23"/>
  <c r="X904" i="23"/>
  <c r="W904" i="23"/>
  <c r="V904" i="23"/>
  <c r="U904" i="23"/>
  <c r="Y889" i="23"/>
  <c r="X889" i="23"/>
  <c r="W889" i="23"/>
  <c r="V889" i="23"/>
  <c r="U889" i="23"/>
  <c r="Y56" i="23"/>
  <c r="X56" i="23"/>
  <c r="W56" i="23"/>
  <c r="V56" i="23"/>
  <c r="U56" i="23"/>
  <c r="Y48" i="23"/>
  <c r="X48" i="23"/>
  <c r="W48" i="23"/>
  <c r="V48" i="23"/>
  <c r="U48" i="23"/>
  <c r="Y36" i="23"/>
  <c r="X36" i="23"/>
  <c r="W36" i="23"/>
  <c r="V36" i="23"/>
  <c r="U36" i="23"/>
  <c r="Y11" i="23"/>
  <c r="X11" i="23"/>
  <c r="W11" i="23"/>
  <c r="V11" i="23"/>
  <c r="U11" i="23"/>
  <c r="Y7" i="23"/>
  <c r="X7" i="23"/>
  <c r="W7" i="23"/>
  <c r="V7" i="23"/>
  <c r="U7" i="23"/>
  <c r="AD909" i="23"/>
  <c r="AC909" i="23"/>
  <c r="AD904" i="23"/>
  <c r="AC904" i="23"/>
  <c r="AD889" i="23"/>
  <c r="AC889" i="23"/>
  <c r="AD56" i="23"/>
  <c r="AC56" i="23"/>
  <c r="AD48" i="23"/>
  <c r="AC48" i="23"/>
  <c r="AD36" i="23"/>
  <c r="AC36" i="23"/>
  <c r="AD11" i="23"/>
  <c r="AC11" i="23"/>
  <c r="AD7" i="23"/>
  <c r="AC7" i="23"/>
  <c r="AB909" i="23"/>
  <c r="AA909" i="23"/>
  <c r="Z909" i="23"/>
  <c r="AB904" i="23"/>
  <c r="AA904" i="23"/>
  <c r="Z904" i="23"/>
  <c r="AB889" i="23"/>
  <c r="AA889" i="23"/>
  <c r="Z889" i="23"/>
  <c r="AB56" i="23"/>
  <c r="AA56" i="23"/>
  <c r="Z56" i="23"/>
  <c r="AB48" i="23"/>
  <c r="AA48" i="23"/>
  <c r="Z48" i="23"/>
  <c r="AB36" i="23"/>
  <c r="AA36" i="23"/>
  <c r="Z36" i="23"/>
  <c r="AB11" i="23"/>
  <c r="AA11" i="23"/>
  <c r="Z11" i="23"/>
  <c r="AB7" i="23"/>
  <c r="AA7" i="23"/>
  <c r="Z7" i="23"/>
  <c r="R909" i="23"/>
  <c r="R904" i="23"/>
  <c r="R889" i="23"/>
  <c r="R56" i="23"/>
  <c r="R48" i="23"/>
  <c r="R36" i="23"/>
  <c r="R11" i="23"/>
  <c r="R7" i="23"/>
  <c r="Q909" i="23"/>
  <c r="Q904" i="23"/>
  <c r="Q889" i="23"/>
  <c r="Q56" i="23"/>
  <c r="Q48" i="23"/>
  <c r="Q36" i="23"/>
  <c r="Q11" i="23"/>
  <c r="Q7" i="23"/>
  <c r="P909" i="23"/>
  <c r="P904" i="23"/>
  <c r="P889" i="23"/>
  <c r="P56" i="23"/>
  <c r="P48" i="23"/>
  <c r="P36" i="23"/>
  <c r="P11" i="23"/>
  <c r="P7" i="23"/>
  <c r="O909" i="23"/>
  <c r="O904" i="23"/>
  <c r="O889" i="23"/>
  <c r="O56" i="23"/>
  <c r="O48" i="23"/>
  <c r="O36" i="23"/>
  <c r="O35" i="23" s="1"/>
  <c r="O11" i="23"/>
  <c r="O7" i="23"/>
  <c r="N909" i="23"/>
  <c r="N904" i="23"/>
  <c r="E891" i="23"/>
  <c r="F903" i="23" s="1"/>
  <c r="N889" i="23"/>
  <c r="E889" i="23"/>
  <c r="F890" i="23" s="1"/>
  <c r="F704" i="23" s="1"/>
  <c r="P703" i="23" s="1"/>
  <c r="L885" i="23"/>
  <c r="I885" i="23"/>
  <c r="H885" i="23"/>
  <c r="E885" i="23"/>
  <c r="F888" i="23" s="1"/>
  <c r="E879" i="23"/>
  <c r="F884" i="23" s="1"/>
  <c r="F508" i="23" s="1"/>
  <c r="L871" i="23"/>
  <c r="I871" i="23"/>
  <c r="H871" i="23"/>
  <c r="E871" i="23"/>
  <c r="F872" i="23" s="1"/>
  <c r="L859" i="23"/>
  <c r="I859" i="23"/>
  <c r="H859" i="23"/>
  <c r="E859" i="23"/>
  <c r="F869" i="23" s="1"/>
  <c r="F683" i="23" s="1"/>
  <c r="L842" i="23"/>
  <c r="I842" i="23"/>
  <c r="H842" i="23"/>
  <c r="E842" i="23"/>
  <c r="F857" i="23" s="1"/>
  <c r="F221" i="23" s="1"/>
  <c r="E826" i="23"/>
  <c r="F834" i="23" s="1"/>
  <c r="F458" i="23" s="1"/>
  <c r="E808" i="23"/>
  <c r="F819" i="23" s="1"/>
  <c r="F443" i="23" s="1"/>
  <c r="E793" i="23"/>
  <c r="F796" i="23" s="1"/>
  <c r="F161" i="23" s="1"/>
  <c r="L780" i="23"/>
  <c r="E780" i="23"/>
  <c r="F788" i="23" s="1"/>
  <c r="E768" i="23"/>
  <c r="F779" i="23" s="1"/>
  <c r="F144" i="23" s="1"/>
  <c r="L741" i="23"/>
  <c r="E741" i="23"/>
  <c r="F761" i="23" s="1"/>
  <c r="F126" i="23" s="1"/>
  <c r="L720" i="23"/>
  <c r="E720" i="23"/>
  <c r="G718" i="23"/>
  <c r="G529" i="23"/>
  <c r="G531" i="23" s="1"/>
  <c r="K528" i="23"/>
  <c r="J528" i="23"/>
  <c r="E62" i="23"/>
  <c r="F67" i="23" s="1"/>
  <c r="N56" i="23"/>
  <c r="N48" i="23"/>
  <c r="N36" i="23"/>
  <c r="N11" i="23"/>
  <c r="G10" i="23"/>
  <c r="G8" i="23"/>
  <c r="N7" i="23"/>
  <c r="E7" i="23"/>
  <c r="G6" i="23"/>
  <c r="M885" i="18"/>
  <c r="L885" i="18"/>
  <c r="I885" i="18"/>
  <c r="H885" i="18"/>
  <c r="M871" i="18"/>
  <c r="L871" i="18"/>
  <c r="I871" i="18"/>
  <c r="H871" i="18"/>
  <c r="M859" i="18"/>
  <c r="L859" i="18"/>
  <c r="M842" i="18"/>
  <c r="L842" i="18"/>
  <c r="I859" i="18"/>
  <c r="H859" i="18"/>
  <c r="I842" i="18"/>
  <c r="H842" i="18"/>
  <c r="AF35" i="23" l="1"/>
  <c r="Q35" i="23"/>
  <c r="F757" i="23"/>
  <c r="F571" i="23" s="1"/>
  <c r="F759" i="23"/>
  <c r="F383" i="23" s="1"/>
  <c r="F758" i="23"/>
  <c r="F382" i="23" s="1"/>
  <c r="F760" i="23"/>
  <c r="F125" i="23" s="1"/>
  <c r="R703" i="23"/>
  <c r="F762" i="23"/>
  <c r="F127" i="23" s="1"/>
  <c r="AF703" i="23"/>
  <c r="AE703" i="23"/>
  <c r="F765" i="23"/>
  <c r="F389" i="23" s="1"/>
  <c r="F766" i="23"/>
  <c r="F390" i="23" s="1"/>
  <c r="AN35" i="23"/>
  <c r="AM35" i="23"/>
  <c r="AL35" i="23"/>
  <c r="AK35" i="23"/>
  <c r="AJ35" i="23"/>
  <c r="AI35" i="23"/>
  <c r="AH35" i="23"/>
  <c r="AG35" i="23"/>
  <c r="P35" i="23"/>
  <c r="S35" i="23"/>
  <c r="T35" i="23"/>
  <c r="AE35" i="23"/>
  <c r="AP35" i="23"/>
  <c r="AO35" i="23"/>
  <c r="X35" i="23"/>
  <c r="R35" i="23"/>
  <c r="W35" i="23"/>
  <c r="U35" i="23"/>
  <c r="F34" i="23"/>
  <c r="F254" i="23"/>
  <c r="AB253" i="23" s="1"/>
  <c r="V35" i="23"/>
  <c r="F481" i="23"/>
  <c r="AC703" i="23"/>
  <c r="Q703" i="23"/>
  <c r="F743" i="23"/>
  <c r="F557" i="23" s="1"/>
  <c r="F750" i="23"/>
  <c r="F564" i="23" s="1"/>
  <c r="F855" i="23"/>
  <c r="F219" i="23" s="1"/>
  <c r="V703" i="23"/>
  <c r="AB35" i="23"/>
  <c r="F853" i="23"/>
  <c r="F30" i="23" s="1"/>
  <c r="F854" i="23"/>
  <c r="F218" i="23" s="1"/>
  <c r="F751" i="23"/>
  <c r="F375" i="23" s="1"/>
  <c r="F856" i="23"/>
  <c r="F220" i="23" s="1"/>
  <c r="O703" i="23"/>
  <c r="X703" i="23"/>
  <c r="S703" i="23"/>
  <c r="AD703" i="23"/>
  <c r="F850" i="23"/>
  <c r="F474" i="23" s="1"/>
  <c r="F851" i="23"/>
  <c r="F475" i="23" s="1"/>
  <c r="F744" i="23"/>
  <c r="F558" i="23" s="1"/>
  <c r="Y35" i="23"/>
  <c r="F746" i="23"/>
  <c r="F560" i="23" s="1"/>
  <c r="U703" i="23"/>
  <c r="F755" i="23"/>
  <c r="F569" i="23" s="1"/>
  <c r="Y703" i="23"/>
  <c r="T703" i="23"/>
  <c r="Z35" i="23"/>
  <c r="AA35" i="23"/>
  <c r="AC35" i="23"/>
  <c r="AD253" i="23"/>
  <c r="AD35" i="23"/>
  <c r="W703" i="23"/>
  <c r="Z703" i="23"/>
  <c r="F800" i="23"/>
  <c r="F424" i="23" s="1"/>
  <c r="AA703" i="23"/>
  <c r="AB703" i="23"/>
  <c r="F809" i="23"/>
  <c r="F433" i="23" s="1"/>
  <c r="F32" i="23"/>
  <c r="F818" i="23"/>
  <c r="F824" i="23"/>
  <c r="F862" i="23"/>
  <c r="F226" i="23" s="1"/>
  <c r="F817" i="23"/>
  <c r="F829" i="23"/>
  <c r="F453" i="23" s="1"/>
  <c r="F832" i="23"/>
  <c r="F646" i="23" s="1"/>
  <c r="F781" i="23"/>
  <c r="F405" i="23" s="1"/>
  <c r="F184" i="23"/>
  <c r="F789" i="23"/>
  <c r="F154" i="23" s="1"/>
  <c r="F777" i="23"/>
  <c r="F591" i="23" s="1"/>
  <c r="F790" i="23"/>
  <c r="F846" i="23"/>
  <c r="F660" i="23" s="1"/>
  <c r="F812" i="23"/>
  <c r="F626" i="23" s="1"/>
  <c r="F815" i="23"/>
  <c r="F821" i="23"/>
  <c r="F445" i="23" s="1"/>
  <c r="F823" i="23"/>
  <c r="F188" i="23" s="1"/>
  <c r="F830" i="23"/>
  <c r="F644" i="23" s="1"/>
  <c r="F633" i="23"/>
  <c r="F836" i="23"/>
  <c r="F460" i="23" s="1"/>
  <c r="F783" i="23"/>
  <c r="F148" i="23" s="1"/>
  <c r="F784" i="23"/>
  <c r="F149" i="23" s="1"/>
  <c r="F295" i="23"/>
  <c r="F791" i="23"/>
  <c r="F847" i="23"/>
  <c r="F471" i="23" s="1"/>
  <c r="F813" i="23"/>
  <c r="F437" i="23" s="1"/>
  <c r="F774" i="23"/>
  <c r="F398" i="23" s="1"/>
  <c r="F837" i="23"/>
  <c r="F671" i="23"/>
  <c r="F328" i="23"/>
  <c r="N327" i="23" s="1"/>
  <c r="F792" i="23"/>
  <c r="F606" i="23" s="1"/>
  <c r="F848" i="23"/>
  <c r="F212" i="23" s="1"/>
  <c r="I528" i="23"/>
  <c r="F786" i="23"/>
  <c r="F600" i="23" s="1"/>
  <c r="F849" i="23"/>
  <c r="F213" i="23" s="1"/>
  <c r="F512" i="23"/>
  <c r="F326" i="23"/>
  <c r="F252" i="23"/>
  <c r="F702" i="23"/>
  <c r="F63" i="23"/>
  <c r="F68" i="23"/>
  <c r="F69" i="23"/>
  <c r="F887" i="23"/>
  <c r="F701" i="23" s="1"/>
  <c r="F798" i="23"/>
  <c r="F422" i="23" s="1"/>
  <c r="F108" i="23"/>
  <c r="F831" i="23"/>
  <c r="F196" i="23" s="1"/>
  <c r="F838" i="23"/>
  <c r="F456" i="23"/>
  <c r="F745" i="23"/>
  <c r="F752" i="23"/>
  <c r="E858" i="23"/>
  <c r="F859" i="23" s="1"/>
  <c r="F816" i="23"/>
  <c r="F630" i="23" s="1"/>
  <c r="G532" i="23"/>
  <c r="F840" i="23"/>
  <c r="F123" i="23"/>
  <c r="F754" i="23"/>
  <c r="F378" i="23" s="1"/>
  <c r="F833" i="23"/>
  <c r="F747" i="23"/>
  <c r="F112" i="23" s="1"/>
  <c r="F778" i="23"/>
  <c r="F143" i="23" s="1"/>
  <c r="F810" i="23"/>
  <c r="F827" i="23"/>
  <c r="F772" i="23"/>
  <c r="F586" i="23" s="1"/>
  <c r="F835" i="23"/>
  <c r="F200" i="23" s="1"/>
  <c r="F874" i="23"/>
  <c r="F498" i="23" s="1"/>
  <c r="F66" i="23"/>
  <c r="F771" i="23"/>
  <c r="F136" i="23" s="1"/>
  <c r="F802" i="23"/>
  <c r="F616" i="23" s="1"/>
  <c r="F748" i="23"/>
  <c r="F873" i="23"/>
  <c r="F742" i="23"/>
  <c r="F749" i="23"/>
  <c r="F114" i="23" s="1"/>
  <c r="F64" i="23"/>
  <c r="H528" i="23"/>
  <c r="F130" i="23"/>
  <c r="F131" i="23"/>
  <c r="F638" i="23"/>
  <c r="F763" i="23"/>
  <c r="F756" i="23"/>
  <c r="F820" i="23"/>
  <c r="F185" i="23" s="1"/>
  <c r="F883" i="23"/>
  <c r="G530" i="23"/>
  <c r="E9" i="23"/>
  <c r="F514" i="23"/>
  <c r="N35" i="23"/>
  <c r="F844" i="23"/>
  <c r="F282" i="23" s="1"/>
  <c r="F686" i="23"/>
  <c r="F310" i="23"/>
  <c r="F496" i="23"/>
  <c r="F236" i="23"/>
  <c r="F721" i="23"/>
  <c r="F724" i="23"/>
  <c r="F727" i="23"/>
  <c r="F735" i="23"/>
  <c r="F728" i="23"/>
  <c r="F731" i="23"/>
  <c r="F723" i="23"/>
  <c r="F730" i="23"/>
  <c r="F738" i="23"/>
  <c r="F734" i="23"/>
  <c r="F726" i="23"/>
  <c r="F729" i="23"/>
  <c r="F739" i="23"/>
  <c r="F725" i="23"/>
  <c r="E719" i="23"/>
  <c r="F768" i="23" s="1"/>
  <c r="F737" i="23"/>
  <c r="F732" i="23"/>
  <c r="F740" i="23"/>
  <c r="F733" i="23"/>
  <c r="F722" i="23"/>
  <c r="F736" i="23"/>
  <c r="F717" i="23"/>
  <c r="F527" i="23"/>
  <c r="F82" i="23"/>
  <c r="F267" i="23"/>
  <c r="F341" i="23"/>
  <c r="F610" i="23"/>
  <c r="F420" i="23"/>
  <c r="F233" i="23"/>
  <c r="F307" i="23"/>
  <c r="F493" i="23"/>
  <c r="F576" i="23"/>
  <c r="F386" i="23"/>
  <c r="F898" i="23"/>
  <c r="F893" i="23"/>
  <c r="F900" i="23"/>
  <c r="F892" i="23"/>
  <c r="F897" i="23"/>
  <c r="F902" i="23"/>
  <c r="F901" i="23"/>
  <c r="F896" i="23"/>
  <c r="F895" i="23"/>
  <c r="F894" i="23"/>
  <c r="F899" i="23"/>
  <c r="F403" i="23"/>
  <c r="F593" i="23"/>
  <c r="F868" i="23"/>
  <c r="F863" i="23"/>
  <c r="F870" i="23"/>
  <c r="F865" i="23"/>
  <c r="F867" i="23"/>
  <c r="F861" i="23"/>
  <c r="F864" i="23"/>
  <c r="F385" i="23"/>
  <c r="F575" i="23"/>
  <c r="F602" i="23"/>
  <c r="F412" i="23"/>
  <c r="F153" i="23"/>
  <c r="F860" i="23"/>
  <c r="F866" i="23"/>
  <c r="F322" i="23"/>
  <c r="F248" i="23"/>
  <c r="F698" i="23"/>
  <c r="F442" i="23"/>
  <c r="F632" i="23"/>
  <c r="F877" i="23"/>
  <c r="F183" i="23"/>
  <c r="M528" i="23"/>
  <c r="L528" i="23"/>
  <c r="F770" i="23"/>
  <c r="F773" i="23"/>
  <c r="F769" i="23"/>
  <c r="F776" i="23"/>
  <c r="F775" i="23"/>
  <c r="F875" i="23"/>
  <c r="F878" i="23"/>
  <c r="F876" i="23"/>
  <c r="F794" i="23"/>
  <c r="F805" i="23"/>
  <c r="F797" i="23"/>
  <c r="F804" i="23"/>
  <c r="F806" i="23"/>
  <c r="F799" i="23"/>
  <c r="F881" i="23"/>
  <c r="F880" i="23"/>
  <c r="F801" i="23"/>
  <c r="F65" i="23"/>
  <c r="F574" i="23"/>
  <c r="F384" i="23"/>
  <c r="N703" i="23"/>
  <c r="F648" i="23"/>
  <c r="F199" i="23"/>
  <c r="F795" i="23"/>
  <c r="F882" i="23"/>
  <c r="F374" i="23"/>
  <c r="F807" i="23"/>
  <c r="F803" i="23"/>
  <c r="F782" i="23"/>
  <c r="F785" i="23"/>
  <c r="F886" i="23"/>
  <c r="F787" i="23"/>
  <c r="F828" i="23"/>
  <c r="F839" i="23"/>
  <c r="F814" i="23"/>
  <c r="F753" i="23"/>
  <c r="F811" i="23"/>
  <c r="F845" i="23"/>
  <c r="F767" i="23"/>
  <c r="F825" i="23"/>
  <c r="F852" i="23"/>
  <c r="F764" i="23"/>
  <c r="F822" i="23"/>
  <c r="F843" i="23"/>
  <c r="U253" i="23" l="1"/>
  <c r="F470" i="23"/>
  <c r="N253" i="23"/>
  <c r="F300" i="23"/>
  <c r="F197" i="23"/>
  <c r="O253" i="23"/>
  <c r="F579" i="23"/>
  <c r="Z253" i="23"/>
  <c r="R253" i="23"/>
  <c r="F645" i="23"/>
  <c r="F455" i="23"/>
  <c r="F486" i="23"/>
  <c r="F676" i="23"/>
  <c r="F580" i="23"/>
  <c r="AC253" i="23"/>
  <c r="AA253" i="23"/>
  <c r="F643" i="23"/>
  <c r="F27" i="23"/>
  <c r="P253" i="23"/>
  <c r="F146" i="23"/>
  <c r="F595" i="23"/>
  <c r="F662" i="23"/>
  <c r="F665" i="23"/>
  <c r="F116" i="23"/>
  <c r="AI253" i="23"/>
  <c r="AJ253" i="23"/>
  <c r="AK253" i="23"/>
  <c r="AL253" i="23"/>
  <c r="AM253" i="23"/>
  <c r="AN253" i="23"/>
  <c r="AO253" i="23"/>
  <c r="AP253" i="23"/>
  <c r="AF253" i="23"/>
  <c r="AE253" i="23"/>
  <c r="AG253" i="23"/>
  <c r="AH253" i="23"/>
  <c r="F291" i="23"/>
  <c r="F381" i="23"/>
  <c r="F285" i="23"/>
  <c r="F139" i="23"/>
  <c r="F122" i="23"/>
  <c r="F573" i="23"/>
  <c r="F572" i="23"/>
  <c r="F24" i="23"/>
  <c r="F661" i="23"/>
  <c r="F178" i="23"/>
  <c r="F479" i="23"/>
  <c r="V253" i="23"/>
  <c r="X253" i="23"/>
  <c r="F588" i="23"/>
  <c r="W253" i="23"/>
  <c r="F478" i="23"/>
  <c r="AM879" i="23"/>
  <c r="V879" i="23"/>
  <c r="U879" i="23"/>
  <c r="T879" i="23"/>
  <c r="X879" i="23"/>
  <c r="AN879" i="23"/>
  <c r="Y879" i="23"/>
  <c r="AO879" i="23"/>
  <c r="AP879" i="23"/>
  <c r="S879" i="23"/>
  <c r="R879" i="23"/>
  <c r="Q879" i="23"/>
  <c r="P879" i="23"/>
  <c r="AA879" i="23"/>
  <c r="O879" i="23"/>
  <c r="AD879" i="23"/>
  <c r="Z879" i="23"/>
  <c r="N879" i="23"/>
  <c r="AG879" i="23"/>
  <c r="AH879" i="23"/>
  <c r="AJ879" i="23"/>
  <c r="AE879" i="23"/>
  <c r="AC879" i="23"/>
  <c r="AI879" i="23"/>
  <c r="AK879" i="23"/>
  <c r="AB879" i="23"/>
  <c r="AF879" i="23"/>
  <c r="AL879" i="23"/>
  <c r="W879" i="23"/>
  <c r="F565" i="23"/>
  <c r="F627" i="23"/>
  <c r="F477" i="23"/>
  <c r="F367" i="23"/>
  <c r="AF513" i="23"/>
  <c r="AE513" i="23"/>
  <c r="F211" i="23"/>
  <c r="F124" i="23"/>
  <c r="F115" i="23"/>
  <c r="F472" i="23"/>
  <c r="F370" i="23"/>
  <c r="AE891" i="23"/>
  <c r="AF891" i="23"/>
  <c r="AG891" i="23"/>
  <c r="AH891" i="23"/>
  <c r="AI891" i="23"/>
  <c r="AJ891" i="23"/>
  <c r="AK891" i="23"/>
  <c r="AL891" i="23"/>
  <c r="AM891" i="23"/>
  <c r="AN891" i="23"/>
  <c r="AO891" i="23"/>
  <c r="AP891" i="23"/>
  <c r="AF327" i="23"/>
  <c r="AE327" i="23"/>
  <c r="AK62" i="23"/>
  <c r="AO62" i="23"/>
  <c r="AL62" i="23"/>
  <c r="AN62" i="23"/>
  <c r="AM62" i="23"/>
  <c r="AE62" i="23"/>
  <c r="AI62" i="23"/>
  <c r="AF62" i="23"/>
  <c r="AJ62" i="23"/>
  <c r="AG62" i="23"/>
  <c r="AH62" i="23"/>
  <c r="AP62" i="23"/>
  <c r="F614" i="23"/>
  <c r="T62" i="23"/>
  <c r="S62" i="23"/>
  <c r="F379" i="23"/>
  <c r="F473" i="23"/>
  <c r="F368" i="23"/>
  <c r="F623" i="23"/>
  <c r="F670" i="23"/>
  <c r="F871" i="23"/>
  <c r="F33" i="23"/>
  <c r="F592" i="23"/>
  <c r="F120" i="23"/>
  <c r="F669" i="23"/>
  <c r="F480" i="23"/>
  <c r="Y253" i="23"/>
  <c r="T253" i="23"/>
  <c r="S253" i="23"/>
  <c r="F793" i="23"/>
  <c r="F607" i="23" s="1"/>
  <c r="T891" i="23"/>
  <c r="S891" i="23"/>
  <c r="F612" i="23"/>
  <c r="F294" i="23"/>
  <c r="F214" i="23"/>
  <c r="F31" i="23"/>
  <c r="F664" i="23"/>
  <c r="F174" i="23"/>
  <c r="T327" i="23"/>
  <c r="S327" i="23"/>
  <c r="F165" i="23"/>
  <c r="F402" i="23"/>
  <c r="F293" i="23"/>
  <c r="F667" i="23"/>
  <c r="S513" i="23"/>
  <c r="T513" i="23"/>
  <c r="F28" i="23"/>
  <c r="Q253" i="23"/>
  <c r="F808" i="23"/>
  <c r="F277" i="23" s="1"/>
  <c r="F163" i="23"/>
  <c r="F668" i="23"/>
  <c r="F292" i="23"/>
  <c r="F889" i="23"/>
  <c r="F327" i="23" s="1"/>
  <c r="F720" i="23"/>
  <c r="F109" i="23"/>
  <c r="F289" i="23"/>
  <c r="F111" i="23"/>
  <c r="F217" i="23"/>
  <c r="F215" i="23"/>
  <c r="F288" i="23"/>
  <c r="F454" i="23"/>
  <c r="F408" i="23"/>
  <c r="AB891" i="23"/>
  <c r="O891" i="23"/>
  <c r="Y891" i="23"/>
  <c r="AA891" i="23"/>
  <c r="Q891" i="23"/>
  <c r="Z891" i="23"/>
  <c r="P891" i="23"/>
  <c r="R891" i="23"/>
  <c r="AD891" i="23"/>
  <c r="AC891" i="23"/>
  <c r="W891" i="23"/>
  <c r="U891" i="23"/>
  <c r="X891" i="23"/>
  <c r="V891" i="23"/>
  <c r="W327" i="23"/>
  <c r="V327" i="23"/>
  <c r="U327" i="23"/>
  <c r="AB327" i="23"/>
  <c r="P327" i="23"/>
  <c r="AA327" i="23"/>
  <c r="Z327" i="23"/>
  <c r="AC327" i="23"/>
  <c r="AD327" i="23"/>
  <c r="R327" i="23"/>
  <c r="Q327" i="23"/>
  <c r="O327" i="23"/>
  <c r="X327" i="23"/>
  <c r="Y327" i="23"/>
  <c r="F598" i="23"/>
  <c r="V513" i="23"/>
  <c r="O513" i="23"/>
  <c r="U513" i="23"/>
  <c r="R513" i="23"/>
  <c r="P513" i="23"/>
  <c r="AB513" i="23"/>
  <c r="AC513" i="23"/>
  <c r="AA513" i="23"/>
  <c r="W513" i="23"/>
  <c r="Q513" i="23"/>
  <c r="Z513" i="23"/>
  <c r="AD513" i="23"/>
  <c r="X513" i="23"/>
  <c r="Y513" i="23"/>
  <c r="F410" i="23"/>
  <c r="F195" i="23"/>
  <c r="F635" i="23"/>
  <c r="F186" i="23"/>
  <c r="F194" i="23"/>
  <c r="AD62" i="23"/>
  <c r="AC62" i="23"/>
  <c r="Q62" i="23"/>
  <c r="AB62" i="23"/>
  <c r="AA62" i="23"/>
  <c r="Z62" i="23"/>
  <c r="O62" i="23"/>
  <c r="W62" i="23"/>
  <c r="U62" i="23"/>
  <c r="Y62" i="23"/>
  <c r="X62" i="23"/>
  <c r="R62" i="23"/>
  <c r="V62" i="23"/>
  <c r="P62" i="23"/>
  <c r="F497" i="23"/>
  <c r="F440" i="23"/>
  <c r="F201" i="23"/>
  <c r="F311" i="23"/>
  <c r="F284" i="23"/>
  <c r="F23" i="23"/>
  <c r="F414" i="23"/>
  <c r="F155" i="23"/>
  <c r="F604" i="23"/>
  <c r="F885" i="23"/>
  <c r="F426" i="23"/>
  <c r="F511" i="23"/>
  <c r="F879" i="23"/>
  <c r="F693" i="23" s="1"/>
  <c r="F603" i="23"/>
  <c r="F413" i="23"/>
  <c r="F210" i="23"/>
  <c r="F182" i="23"/>
  <c r="F631" i="23"/>
  <c r="F441" i="23"/>
  <c r="F687" i="23"/>
  <c r="F237" i="23"/>
  <c r="F448" i="23"/>
  <c r="F189" i="23"/>
  <c r="F597" i="23"/>
  <c r="F407" i="23"/>
  <c r="F637" i="23"/>
  <c r="F447" i="23"/>
  <c r="F663" i="23"/>
  <c r="F26" i="23"/>
  <c r="F468" i="23"/>
  <c r="F167" i="23"/>
  <c r="F325" i="23"/>
  <c r="F416" i="23"/>
  <c r="F157" i="23"/>
  <c r="F251" i="23"/>
  <c r="F651" i="23"/>
  <c r="F461" i="23"/>
  <c r="F287" i="23"/>
  <c r="F119" i="23"/>
  <c r="F436" i="23"/>
  <c r="F605" i="23"/>
  <c r="F415" i="23"/>
  <c r="F156" i="23"/>
  <c r="F629" i="23"/>
  <c r="F439" i="23"/>
  <c r="F180" i="23"/>
  <c r="F650" i="23"/>
  <c r="F286" i="23"/>
  <c r="F25" i="23"/>
  <c r="F568" i="23"/>
  <c r="F181" i="23"/>
  <c r="F142" i="23"/>
  <c r="F177" i="23"/>
  <c r="F151" i="23"/>
  <c r="F202" i="23"/>
  <c r="F401" i="23"/>
  <c r="F373" i="23"/>
  <c r="F376" i="23"/>
  <c r="F117" i="23"/>
  <c r="F566" i="23"/>
  <c r="F459" i="23"/>
  <c r="F247" i="23"/>
  <c r="F507" i="23"/>
  <c r="F462" i="23"/>
  <c r="F652" i="23"/>
  <c r="F203" i="23"/>
  <c r="F561" i="23"/>
  <c r="F366" i="23"/>
  <c r="F107" i="23"/>
  <c r="F556" i="23"/>
  <c r="F563" i="23"/>
  <c r="N513" i="23"/>
  <c r="F192" i="23"/>
  <c r="F451" i="23"/>
  <c r="F641" i="23"/>
  <c r="F647" i="23"/>
  <c r="F198" i="23"/>
  <c r="F457" i="23"/>
  <c r="F464" i="23"/>
  <c r="F654" i="23"/>
  <c r="F205" i="23"/>
  <c r="F321" i="23"/>
  <c r="F634" i="23"/>
  <c r="F312" i="23"/>
  <c r="F395" i="23"/>
  <c r="F137" i="23"/>
  <c r="F649" i="23"/>
  <c r="F434" i="23"/>
  <c r="F624" i="23"/>
  <c r="F175" i="23"/>
  <c r="F585" i="23"/>
  <c r="F688" i="23"/>
  <c r="F444" i="23"/>
  <c r="F396" i="23"/>
  <c r="F562" i="23"/>
  <c r="F372" i="23"/>
  <c r="F113" i="23"/>
  <c r="F369" i="23"/>
  <c r="F110" i="23"/>
  <c r="F559" i="23"/>
  <c r="F121" i="23"/>
  <c r="F380" i="23"/>
  <c r="F570" i="23"/>
  <c r="F577" i="23"/>
  <c r="F128" i="23"/>
  <c r="F387" i="23"/>
  <c r="F371" i="23"/>
  <c r="F697" i="23"/>
  <c r="F238" i="23"/>
  <c r="F21" i="23"/>
  <c r="F208" i="23"/>
  <c r="F658" i="23"/>
  <c r="F411" i="23"/>
  <c r="F601" i="23"/>
  <c r="F152" i="23"/>
  <c r="F535" i="23"/>
  <c r="F345" i="23"/>
  <c r="F86" i="23"/>
  <c r="F467" i="23"/>
  <c r="F207" i="23"/>
  <c r="F657" i="23"/>
  <c r="F281" i="23"/>
  <c r="F20" i="23"/>
  <c r="F224" i="23"/>
  <c r="F484" i="23"/>
  <c r="F674" i="23"/>
  <c r="F298" i="23"/>
  <c r="F209" i="23"/>
  <c r="F283" i="23"/>
  <c r="F469" i="23"/>
  <c r="F659" i="23"/>
  <c r="F22" i="23"/>
  <c r="F346" i="23"/>
  <c r="F87" i="23"/>
  <c r="F536" i="23"/>
  <c r="F492" i="23"/>
  <c r="F682" i="23"/>
  <c r="F306" i="23"/>
  <c r="F232" i="23"/>
  <c r="F435" i="23"/>
  <c r="F625" i="23"/>
  <c r="F176" i="23"/>
  <c r="F452" i="23"/>
  <c r="F193" i="23"/>
  <c r="F642" i="23"/>
  <c r="F680" i="23"/>
  <c r="F490" i="23"/>
  <c r="F304" i="23"/>
  <c r="F230" i="23"/>
  <c r="F675" i="23"/>
  <c r="F485" i="23"/>
  <c r="F299" i="23"/>
  <c r="F225" i="23"/>
  <c r="F320" i="23"/>
  <c r="F506" i="23"/>
  <c r="F246" i="23"/>
  <c r="F696" i="23"/>
  <c r="F409" i="23"/>
  <c r="F150" i="23"/>
  <c r="F599" i="23"/>
  <c r="F332" i="23"/>
  <c r="F708" i="23"/>
  <c r="F518" i="23"/>
  <c r="F73" i="23"/>
  <c r="F258" i="23"/>
  <c r="F780" i="23"/>
  <c r="F826" i="23"/>
  <c r="F841" i="23"/>
  <c r="E718" i="23"/>
  <c r="G719" i="23" s="1"/>
  <c r="F741" i="23"/>
  <c r="F544" i="23"/>
  <c r="F95" i="23"/>
  <c r="F354" i="23"/>
  <c r="F347" i="23"/>
  <c r="F88" i="23"/>
  <c r="F537" i="23"/>
  <c r="F92" i="23"/>
  <c r="F351" i="23"/>
  <c r="F541" i="23"/>
  <c r="F589" i="23"/>
  <c r="F399" i="23"/>
  <c r="F140" i="23"/>
  <c r="F538" i="23"/>
  <c r="F89" i="23"/>
  <c r="F348" i="23"/>
  <c r="F582" i="23"/>
  <c r="F392" i="23"/>
  <c r="F274" i="23"/>
  <c r="F187" i="23"/>
  <c r="F636" i="23"/>
  <c r="F446" i="23"/>
  <c r="F587" i="23"/>
  <c r="F138" i="23"/>
  <c r="F397" i="23"/>
  <c r="F678" i="23"/>
  <c r="F488" i="23"/>
  <c r="F228" i="23"/>
  <c r="F302" i="23"/>
  <c r="F308" i="23"/>
  <c r="F494" i="23"/>
  <c r="F234" i="23"/>
  <c r="F684" i="23"/>
  <c r="F360" i="23"/>
  <c r="F550" i="23"/>
  <c r="F101" i="23"/>
  <c r="F613" i="23"/>
  <c r="F423" i="23"/>
  <c r="F164" i="23"/>
  <c r="F105" i="23"/>
  <c r="F554" i="23"/>
  <c r="F364" i="23"/>
  <c r="F428" i="23"/>
  <c r="F169" i="23"/>
  <c r="F618" i="23"/>
  <c r="F628" i="23"/>
  <c r="F438" i="23"/>
  <c r="F179" i="23"/>
  <c r="F340" i="23"/>
  <c r="F526" i="23"/>
  <c r="F81" i="23"/>
  <c r="F716" i="23"/>
  <c r="F266" i="23"/>
  <c r="F608" i="23"/>
  <c r="F159" i="23"/>
  <c r="F418" i="23"/>
  <c r="F76" i="23"/>
  <c r="F521" i="23"/>
  <c r="F261" i="23"/>
  <c r="F335" i="23"/>
  <c r="F711" i="23"/>
  <c r="F349" i="23"/>
  <c r="F90" i="23"/>
  <c r="F539" i="23"/>
  <c r="F549" i="23"/>
  <c r="F100" i="23"/>
  <c r="F359" i="23"/>
  <c r="F391" i="23"/>
  <c r="F581" i="23"/>
  <c r="F132" i="23"/>
  <c r="F504" i="23"/>
  <c r="F694" i="23"/>
  <c r="F318" i="23"/>
  <c r="F244" i="23"/>
  <c r="F319" i="23"/>
  <c r="F695" i="23"/>
  <c r="F505" i="23"/>
  <c r="F245" i="23"/>
  <c r="F596" i="23"/>
  <c r="F406" i="23"/>
  <c r="F147" i="23"/>
  <c r="F333" i="23"/>
  <c r="F259" i="23"/>
  <c r="F709" i="23"/>
  <c r="F519" i="23"/>
  <c r="F74" i="23"/>
  <c r="F71" i="23"/>
  <c r="F516" i="23"/>
  <c r="F330" i="23"/>
  <c r="F256" i="23"/>
  <c r="N891" i="23"/>
  <c r="F706" i="23"/>
  <c r="F363" i="23"/>
  <c r="F553" i="23"/>
  <c r="F104" i="23"/>
  <c r="F499" i="23"/>
  <c r="F689" i="23"/>
  <c r="F313" i="23"/>
  <c r="F239" i="23"/>
  <c r="F552" i="23"/>
  <c r="F103" i="23"/>
  <c r="F362" i="23"/>
  <c r="F653" i="23"/>
  <c r="F204" i="23"/>
  <c r="F463" i="23"/>
  <c r="F355" i="23"/>
  <c r="F545" i="23"/>
  <c r="F96" i="23"/>
  <c r="F542" i="23"/>
  <c r="F93" i="23"/>
  <c r="F352" i="23"/>
  <c r="F584" i="23"/>
  <c r="F394" i="23"/>
  <c r="F135" i="23"/>
  <c r="F305" i="23"/>
  <c r="F231" i="23"/>
  <c r="F491" i="23"/>
  <c r="F681" i="23"/>
  <c r="F449" i="23"/>
  <c r="F639" i="23"/>
  <c r="F190" i="23"/>
  <c r="F303" i="23"/>
  <c r="F489" i="23"/>
  <c r="F229" i="23"/>
  <c r="F679" i="23"/>
  <c r="F160" i="23"/>
  <c r="F609" i="23"/>
  <c r="F419" i="23"/>
  <c r="F710" i="23"/>
  <c r="F260" i="23"/>
  <c r="F334" i="23"/>
  <c r="F75" i="23"/>
  <c r="F520" i="23"/>
  <c r="F356" i="23"/>
  <c r="F97" i="23"/>
  <c r="F546" i="23"/>
  <c r="F316" i="23"/>
  <c r="F502" i="23"/>
  <c r="F242" i="23"/>
  <c r="F692" i="23"/>
  <c r="F524" i="23"/>
  <c r="F714" i="23"/>
  <c r="F264" i="23"/>
  <c r="F338" i="23"/>
  <c r="F79" i="23"/>
  <c r="F543" i="23"/>
  <c r="F353" i="23"/>
  <c r="F94" i="23"/>
  <c r="F427" i="23"/>
  <c r="F168" i="23"/>
  <c r="F617" i="23"/>
  <c r="F691" i="23"/>
  <c r="F315" i="23"/>
  <c r="F501" i="23"/>
  <c r="F241" i="23"/>
  <c r="F583" i="23"/>
  <c r="F134" i="23"/>
  <c r="F393" i="23"/>
  <c r="F337" i="23"/>
  <c r="F78" i="23"/>
  <c r="F523" i="23"/>
  <c r="F713" i="23"/>
  <c r="F263" i="23"/>
  <c r="F547" i="23"/>
  <c r="F98" i="23"/>
  <c r="F357" i="23"/>
  <c r="F620" i="23"/>
  <c r="F430" i="23"/>
  <c r="F171" i="23"/>
  <c r="F567" i="23"/>
  <c r="F377" i="23"/>
  <c r="F118" i="23"/>
  <c r="F421" i="23"/>
  <c r="F611" i="23"/>
  <c r="F162" i="23"/>
  <c r="F361" i="23"/>
  <c r="F551" i="23"/>
  <c r="F102" i="23"/>
  <c r="F331" i="23"/>
  <c r="F257" i="23"/>
  <c r="F517" i="23"/>
  <c r="F72" i="23"/>
  <c r="F707" i="23"/>
  <c r="F350" i="23"/>
  <c r="F540" i="23"/>
  <c r="F91" i="23"/>
  <c r="F297" i="23"/>
  <c r="F673" i="23"/>
  <c r="F223" i="23"/>
  <c r="F483" i="23"/>
  <c r="F172" i="23"/>
  <c r="F621" i="23"/>
  <c r="F431" i="23"/>
  <c r="F141" i="23"/>
  <c r="F400" i="23"/>
  <c r="F590" i="23"/>
  <c r="F700" i="23"/>
  <c r="F250" i="23"/>
  <c r="F324" i="23"/>
  <c r="F510" i="23"/>
  <c r="N62" i="23"/>
  <c r="F388" i="23"/>
  <c r="F129" i="23"/>
  <c r="F578" i="23"/>
  <c r="F615" i="23"/>
  <c r="F166" i="23"/>
  <c r="F425" i="23"/>
  <c r="F666" i="23"/>
  <c r="F476" i="23"/>
  <c r="F290" i="23"/>
  <c r="F29" i="23"/>
  <c r="F216" i="23"/>
  <c r="F487" i="23"/>
  <c r="F677" i="23"/>
  <c r="F227" i="23"/>
  <c r="F301" i="23"/>
  <c r="F715" i="23"/>
  <c r="F80" i="23"/>
  <c r="F265" i="23"/>
  <c r="F339" i="23"/>
  <c r="F525" i="23"/>
  <c r="F429" i="23"/>
  <c r="F619" i="23"/>
  <c r="F170" i="23"/>
  <c r="F500" i="23"/>
  <c r="AG495" i="23" s="1"/>
  <c r="F314" i="23"/>
  <c r="F240" i="23"/>
  <c r="F690" i="23"/>
  <c r="F712" i="23"/>
  <c r="F522" i="23"/>
  <c r="F336" i="23"/>
  <c r="F262" i="23"/>
  <c r="F77" i="23"/>
  <c r="F358" i="23"/>
  <c r="F548" i="23"/>
  <c r="F99" i="23"/>
  <c r="AI495" i="23" l="1"/>
  <c r="AJ235" i="23"/>
  <c r="AE235" i="23"/>
  <c r="AF404" i="23"/>
  <c r="AF432" i="23"/>
  <c r="AE495" i="23"/>
  <c r="AG309" i="23"/>
  <c r="AH858" i="23"/>
  <c r="AG858" i="23"/>
  <c r="Y858" i="23"/>
  <c r="AP145" i="23"/>
  <c r="AI404" i="23"/>
  <c r="AP594" i="23"/>
  <c r="AE858" i="23"/>
  <c r="AH404" i="23"/>
  <c r="AL404" i="23"/>
  <c r="AE432" i="23"/>
  <c r="T858" i="23"/>
  <c r="AK235" i="23"/>
  <c r="AJ594" i="23"/>
  <c r="AH432" i="23"/>
  <c r="AJ495" i="23"/>
  <c r="AO309" i="23"/>
  <c r="AJ404" i="23"/>
  <c r="AI309" i="23"/>
  <c r="AE404" i="23"/>
  <c r="V685" i="23"/>
  <c r="AE515" i="23"/>
  <c r="AF515" i="23"/>
  <c r="T145" i="23"/>
  <c r="AN297" i="23"/>
  <c r="AF297" i="23"/>
  <c r="AE297" i="23"/>
  <c r="AM297" i="23"/>
  <c r="AI297" i="23"/>
  <c r="AP297" i="23"/>
  <c r="AG297" i="23"/>
  <c r="AH297" i="23"/>
  <c r="AO297" i="23"/>
  <c r="AJ297" i="23"/>
  <c r="AK297" i="23"/>
  <c r="AL297" i="23"/>
  <c r="AF673" i="23"/>
  <c r="AE673" i="23"/>
  <c r="AE719" i="23"/>
  <c r="AH719" i="23"/>
  <c r="AF719" i="23"/>
  <c r="AG719" i="23"/>
  <c r="AI719" i="23"/>
  <c r="AJ719" i="23"/>
  <c r="AO719" i="23"/>
  <c r="AK719" i="23"/>
  <c r="AL719" i="23"/>
  <c r="AM719" i="23"/>
  <c r="AN719" i="23"/>
  <c r="AP719" i="23"/>
  <c r="AI432" i="23"/>
  <c r="AG594" i="23"/>
  <c r="AF235" i="23"/>
  <c r="AE158" i="23"/>
  <c r="AG158" i="23"/>
  <c r="AF158" i="23"/>
  <c r="AH158" i="23"/>
  <c r="AJ158" i="23"/>
  <c r="AI158" i="23"/>
  <c r="AK158" i="23"/>
  <c r="AM158" i="23"/>
  <c r="AL158" i="23"/>
  <c r="AN158" i="23"/>
  <c r="AO158" i="23"/>
  <c r="AP158" i="23"/>
  <c r="AF495" i="23"/>
  <c r="AK594" i="23"/>
  <c r="AI235" i="23"/>
  <c r="AM145" i="23"/>
  <c r="AF329" i="23"/>
  <c r="AE329" i="23"/>
  <c r="AK495" i="23"/>
  <c r="AI594" i="23"/>
  <c r="AM432" i="23"/>
  <c r="AG466" i="23"/>
  <c r="AH466" i="23"/>
  <c r="AI466" i="23"/>
  <c r="AJ466" i="23"/>
  <c r="AK466" i="23"/>
  <c r="AL466" i="23"/>
  <c r="AO466" i="23"/>
  <c r="AP466" i="23"/>
  <c r="AM466" i="23"/>
  <c r="AN466" i="23"/>
  <c r="AF466" i="23"/>
  <c r="AE466" i="23"/>
  <c r="AJ432" i="23"/>
  <c r="AE594" i="23"/>
  <c r="AG235" i="23"/>
  <c r="AN145" i="23"/>
  <c r="AH309" i="23"/>
  <c r="AI280" i="23"/>
  <c r="AJ280" i="23"/>
  <c r="AK280" i="23"/>
  <c r="AL280" i="23"/>
  <c r="AM280" i="23"/>
  <c r="AN280" i="23"/>
  <c r="AO280" i="23"/>
  <c r="AP280" i="23"/>
  <c r="AG280" i="23"/>
  <c r="AF280" i="23"/>
  <c r="AE280" i="23"/>
  <c r="AH280" i="23"/>
  <c r="AM594" i="23"/>
  <c r="AP235" i="23"/>
  <c r="AK145" i="23"/>
  <c r="AM309" i="23"/>
  <c r="AP495" i="23"/>
  <c r="AA173" i="23"/>
  <c r="AG432" i="23"/>
  <c r="AO235" i="23"/>
  <c r="AF145" i="23"/>
  <c r="AK607" i="23"/>
  <c r="AJ607" i="23"/>
  <c r="AG607" i="23"/>
  <c r="AI607" i="23"/>
  <c r="AH607" i="23"/>
  <c r="AL607" i="23"/>
  <c r="AE607" i="23"/>
  <c r="AN607" i="23"/>
  <c r="AM607" i="23"/>
  <c r="AF607" i="23"/>
  <c r="AO607" i="23"/>
  <c r="AP607" i="23"/>
  <c r="AM483" i="23"/>
  <c r="AN483" i="23"/>
  <c r="AO483" i="23"/>
  <c r="AP483" i="23"/>
  <c r="AG483" i="23"/>
  <c r="AJ483" i="23"/>
  <c r="AK483" i="23"/>
  <c r="AE483" i="23"/>
  <c r="AF483" i="23"/>
  <c r="AI483" i="23"/>
  <c r="AH483" i="23"/>
  <c r="AL483" i="23"/>
  <c r="AF309" i="23"/>
  <c r="AO243" i="23"/>
  <c r="AN243" i="23"/>
  <c r="AP243" i="23"/>
  <c r="AI243" i="23"/>
  <c r="AG243" i="23"/>
  <c r="AF243" i="23"/>
  <c r="AE243" i="23"/>
  <c r="AH243" i="23"/>
  <c r="AJ243" i="23"/>
  <c r="AM243" i="23"/>
  <c r="AK243" i="23"/>
  <c r="AL243" i="23"/>
  <c r="AP534" i="23"/>
  <c r="AM534" i="23"/>
  <c r="AF534" i="23"/>
  <c r="AG534" i="23"/>
  <c r="AE534" i="23"/>
  <c r="AI534" i="23"/>
  <c r="AN534" i="23"/>
  <c r="AH534" i="23"/>
  <c r="AO534" i="23"/>
  <c r="AJ534" i="23"/>
  <c r="AK534" i="23"/>
  <c r="AL534" i="23"/>
  <c r="AO432" i="23"/>
  <c r="AO594" i="23"/>
  <c r="AN235" i="23"/>
  <c r="AH145" i="23"/>
  <c r="AH594" i="23"/>
  <c r="AG503" i="23"/>
  <c r="AO503" i="23"/>
  <c r="AH503" i="23"/>
  <c r="AI503" i="23"/>
  <c r="AN503" i="23"/>
  <c r="AJ503" i="23"/>
  <c r="AK503" i="23"/>
  <c r="AM503" i="23"/>
  <c r="AE503" i="23"/>
  <c r="AL503" i="23"/>
  <c r="AF503" i="23"/>
  <c r="AP503" i="23"/>
  <c r="AM235" i="23"/>
  <c r="AG145" i="23"/>
  <c r="AL235" i="23"/>
  <c r="AE699" i="23"/>
  <c r="AF699" i="23"/>
  <c r="AH235" i="23"/>
  <c r="AL145" i="23"/>
  <c r="AH495" i="23"/>
  <c r="AN432" i="23"/>
  <c r="AK432" i="23"/>
  <c r="AL309" i="23"/>
  <c r="S685" i="23"/>
  <c r="AI145" i="23"/>
  <c r="V594" i="23"/>
  <c r="AF656" i="23"/>
  <c r="AE656" i="23"/>
  <c r="AM249" i="23"/>
  <c r="AK249" i="23"/>
  <c r="AG249" i="23"/>
  <c r="AH249" i="23"/>
  <c r="AI249" i="23"/>
  <c r="AL249" i="23"/>
  <c r="AJ249" i="23"/>
  <c r="AN249" i="23"/>
  <c r="AP249" i="23"/>
  <c r="AF249" i="23"/>
  <c r="AE249" i="23"/>
  <c r="AO249" i="23"/>
  <c r="AJ145" i="23"/>
  <c r="O235" i="23"/>
  <c r="AE145" i="23"/>
  <c r="AO495" i="23"/>
  <c r="AL594" i="23"/>
  <c r="U432" i="23"/>
  <c r="AF594" i="23"/>
  <c r="AG417" i="23"/>
  <c r="AH417" i="23"/>
  <c r="AI417" i="23"/>
  <c r="AJ417" i="23"/>
  <c r="AK417" i="23"/>
  <c r="AL417" i="23"/>
  <c r="AM417" i="23"/>
  <c r="AN417" i="23"/>
  <c r="AO417" i="23"/>
  <c r="AP417" i="23"/>
  <c r="AF417" i="23"/>
  <c r="AE417" i="23"/>
  <c r="AN594" i="23"/>
  <c r="AP858" i="23"/>
  <c r="AM640" i="23"/>
  <c r="AL640" i="23"/>
  <c r="AN640" i="23"/>
  <c r="AE640" i="23"/>
  <c r="AF640" i="23"/>
  <c r="AO640" i="23"/>
  <c r="AI640" i="23"/>
  <c r="AK640" i="23"/>
  <c r="AG640" i="23"/>
  <c r="AH640" i="23"/>
  <c r="AJ640" i="23"/>
  <c r="AP640" i="23"/>
  <c r="AO145" i="23"/>
  <c r="AO858" i="23"/>
  <c r="AJ309" i="23"/>
  <c r="AK309" i="23"/>
  <c r="AI85" i="23"/>
  <c r="AO85" i="23"/>
  <c r="AK85" i="23"/>
  <c r="AM85" i="23"/>
  <c r="AN85" i="23"/>
  <c r="AE85" i="23"/>
  <c r="AJ85" i="23"/>
  <c r="AF85" i="23"/>
  <c r="AL85" i="23"/>
  <c r="AG85" i="23"/>
  <c r="AH85" i="23"/>
  <c r="AP85" i="23"/>
  <c r="AP432" i="23"/>
  <c r="AN858" i="23"/>
  <c r="AN309" i="23"/>
  <c r="AE309" i="23"/>
  <c r="AD622" i="23"/>
  <c r="AI317" i="23"/>
  <c r="AJ317" i="23"/>
  <c r="AK317" i="23"/>
  <c r="AL317" i="23"/>
  <c r="AM317" i="23"/>
  <c r="AN317" i="23"/>
  <c r="AO317" i="23"/>
  <c r="AP317" i="23"/>
  <c r="AF317" i="23"/>
  <c r="AE317" i="23"/>
  <c r="AG317" i="23"/>
  <c r="AH317" i="23"/>
  <c r="AG450" i="23"/>
  <c r="AH450" i="23"/>
  <c r="AJ450" i="23"/>
  <c r="AI450" i="23"/>
  <c r="AK450" i="23"/>
  <c r="AL450" i="23"/>
  <c r="AM450" i="23"/>
  <c r="AE450" i="23"/>
  <c r="AN450" i="23"/>
  <c r="AO450" i="23"/>
  <c r="AP450" i="23"/>
  <c r="AF450" i="23"/>
  <c r="AM191" i="23"/>
  <c r="AN191" i="23"/>
  <c r="AO191" i="23"/>
  <c r="AJ191" i="23"/>
  <c r="AP191" i="23"/>
  <c r="AI191" i="23"/>
  <c r="AF191" i="23"/>
  <c r="AG191" i="23"/>
  <c r="AK191" i="23"/>
  <c r="AH191" i="23"/>
  <c r="AE191" i="23"/>
  <c r="AL191" i="23"/>
  <c r="AF173" i="23"/>
  <c r="AG173" i="23"/>
  <c r="AH173" i="23"/>
  <c r="AI173" i="23"/>
  <c r="AE173" i="23"/>
  <c r="AJ173" i="23"/>
  <c r="AP173" i="23"/>
  <c r="AK173" i="23"/>
  <c r="AL173" i="23"/>
  <c r="AO173" i="23"/>
  <c r="AM173" i="23"/>
  <c r="AN173" i="23"/>
  <c r="AF685" i="23"/>
  <c r="AN404" i="23"/>
  <c r="AM858" i="23"/>
  <c r="AL432" i="23"/>
  <c r="S404" i="23"/>
  <c r="AF392" i="23"/>
  <c r="AE392" i="23"/>
  <c r="AJ392" i="23"/>
  <c r="AL392" i="23"/>
  <c r="AO392" i="23"/>
  <c r="AI392" i="23"/>
  <c r="AK392" i="23"/>
  <c r="AN392" i="23"/>
  <c r="AM392" i="23"/>
  <c r="AG392" i="23"/>
  <c r="AH392" i="23"/>
  <c r="AP392" i="23"/>
  <c r="X145" i="23"/>
  <c r="AE685" i="23"/>
  <c r="AM404" i="23"/>
  <c r="AL858" i="23"/>
  <c r="AP309" i="23"/>
  <c r="AE19" i="23"/>
  <c r="AF19" i="23"/>
  <c r="AG19" i="23"/>
  <c r="AH19" i="23"/>
  <c r="AK19" i="23"/>
  <c r="AM19" i="23"/>
  <c r="AI19" i="23"/>
  <c r="AJ19" i="23"/>
  <c r="AL19" i="23"/>
  <c r="AN19" i="23"/>
  <c r="AP19" i="23"/>
  <c r="AO19" i="23"/>
  <c r="AF323" i="23"/>
  <c r="AE323" i="23"/>
  <c r="AK323" i="23"/>
  <c r="AP323" i="23"/>
  <c r="AG323" i="23"/>
  <c r="AH323" i="23"/>
  <c r="AL323" i="23"/>
  <c r="AO323" i="23"/>
  <c r="AM323" i="23"/>
  <c r="AN323" i="23"/>
  <c r="AI323" i="23"/>
  <c r="AJ323" i="23"/>
  <c r="AF858" i="23"/>
  <c r="AK404" i="23"/>
  <c r="AK858" i="23"/>
  <c r="AG404" i="23"/>
  <c r="AG133" i="23"/>
  <c r="AH133" i="23"/>
  <c r="AI133" i="23"/>
  <c r="AJ133" i="23"/>
  <c r="AK133" i="23"/>
  <c r="AL133" i="23"/>
  <c r="AM133" i="23"/>
  <c r="AN133" i="23"/>
  <c r="AO133" i="23"/>
  <c r="AP133" i="23"/>
  <c r="AE133" i="23"/>
  <c r="AF133" i="23"/>
  <c r="AI582" i="23"/>
  <c r="AJ582" i="23"/>
  <c r="AK582" i="23"/>
  <c r="AL582" i="23"/>
  <c r="AG582" i="23"/>
  <c r="AM582" i="23"/>
  <c r="AN582" i="23"/>
  <c r="AO582" i="23"/>
  <c r="AP582" i="23"/>
  <c r="AE582" i="23"/>
  <c r="AF582" i="23"/>
  <c r="AH582" i="23"/>
  <c r="AE705" i="23"/>
  <c r="AF705" i="23"/>
  <c r="AL555" i="23"/>
  <c r="AM555" i="23"/>
  <c r="AG555" i="23"/>
  <c r="AH555" i="23"/>
  <c r="AI555" i="23"/>
  <c r="AJ555" i="23"/>
  <c r="AK555" i="23"/>
  <c r="AN555" i="23"/>
  <c r="AP555" i="23"/>
  <c r="AO555" i="23"/>
  <c r="AE555" i="23"/>
  <c r="AF555" i="23"/>
  <c r="AM495" i="23"/>
  <c r="AP404" i="23"/>
  <c r="AJ858" i="23"/>
  <c r="AF344" i="23"/>
  <c r="AE344" i="23"/>
  <c r="AK344" i="23"/>
  <c r="AG344" i="23"/>
  <c r="AI344" i="23"/>
  <c r="AJ344" i="23"/>
  <c r="AH344" i="23"/>
  <c r="AL344" i="23"/>
  <c r="AN344" i="23"/>
  <c r="AM344" i="23"/>
  <c r="AO344" i="23"/>
  <c r="AP344" i="23"/>
  <c r="AK509" i="23"/>
  <c r="AI509" i="23"/>
  <c r="AL509" i="23"/>
  <c r="AM509" i="23"/>
  <c r="AN509" i="23"/>
  <c r="AF509" i="23"/>
  <c r="AO509" i="23"/>
  <c r="AP509" i="23"/>
  <c r="AE509" i="23"/>
  <c r="AH509" i="23"/>
  <c r="AG509" i="23"/>
  <c r="AJ509" i="23"/>
  <c r="AO404" i="23"/>
  <c r="AG70" i="23"/>
  <c r="AH70" i="23"/>
  <c r="AI70" i="23"/>
  <c r="AJ70" i="23"/>
  <c r="AK70" i="23"/>
  <c r="AL70" i="23"/>
  <c r="AM70" i="23"/>
  <c r="AN70" i="23"/>
  <c r="AO70" i="23"/>
  <c r="AP70" i="23"/>
  <c r="AE70" i="23"/>
  <c r="AF70" i="23"/>
  <c r="AM223" i="23"/>
  <c r="AO223" i="23"/>
  <c r="AG223" i="23"/>
  <c r="AH223" i="23"/>
  <c r="AI223" i="23"/>
  <c r="AJ223" i="23"/>
  <c r="AN223" i="23"/>
  <c r="AK223" i="23"/>
  <c r="AL223" i="23"/>
  <c r="AP223" i="23"/>
  <c r="AE223" i="23"/>
  <c r="AF223" i="23"/>
  <c r="AO206" i="23"/>
  <c r="AH206" i="23"/>
  <c r="AK206" i="23"/>
  <c r="AE206" i="23"/>
  <c r="AG206" i="23"/>
  <c r="AP206" i="23"/>
  <c r="AI206" i="23"/>
  <c r="AJ206" i="23"/>
  <c r="AL206" i="23"/>
  <c r="AM206" i="23"/>
  <c r="AF206" i="23"/>
  <c r="AN206" i="23"/>
  <c r="P622" i="23"/>
  <c r="AG622" i="23"/>
  <c r="AH622" i="23"/>
  <c r="AI622" i="23"/>
  <c r="AJ622" i="23"/>
  <c r="AK622" i="23"/>
  <c r="AL622" i="23"/>
  <c r="AE622" i="23"/>
  <c r="AM622" i="23"/>
  <c r="AN622" i="23"/>
  <c r="AO622" i="23"/>
  <c r="AP622" i="23"/>
  <c r="AF622" i="23"/>
  <c r="AE693" i="23"/>
  <c r="AF693" i="23"/>
  <c r="F417" i="23"/>
  <c r="AN495" i="23"/>
  <c r="AH106" i="23"/>
  <c r="AI106" i="23"/>
  <c r="AG106" i="23"/>
  <c r="AE106" i="23"/>
  <c r="AJ106" i="23"/>
  <c r="AL106" i="23"/>
  <c r="AO106" i="23"/>
  <c r="AP106" i="23"/>
  <c r="AK106" i="23"/>
  <c r="AF106" i="23"/>
  <c r="AM106" i="23"/>
  <c r="AN106" i="23"/>
  <c r="AL495" i="23"/>
  <c r="AI858" i="23"/>
  <c r="AN255" i="23"/>
  <c r="AL255" i="23"/>
  <c r="AM255" i="23"/>
  <c r="AF255" i="23"/>
  <c r="AE255" i="23"/>
  <c r="AH255" i="23"/>
  <c r="AG255" i="23"/>
  <c r="AK255" i="23"/>
  <c r="AP255" i="23"/>
  <c r="AI255" i="23"/>
  <c r="AJ255" i="23"/>
  <c r="AO255" i="23"/>
  <c r="AG365" i="23"/>
  <c r="AH365" i="23"/>
  <c r="AI365" i="23"/>
  <c r="AF365" i="23"/>
  <c r="AE365" i="23"/>
  <c r="AJ365" i="23"/>
  <c r="AK365" i="23"/>
  <c r="AL365" i="23"/>
  <c r="AM365" i="23"/>
  <c r="AN365" i="23"/>
  <c r="AO365" i="23"/>
  <c r="AP365" i="23"/>
  <c r="AA309" i="23"/>
  <c r="S858" i="23"/>
  <c r="T466" i="23"/>
  <c r="S466" i="23"/>
  <c r="Y145" i="23"/>
  <c r="S344" i="23"/>
  <c r="T344" i="23"/>
  <c r="AC622" i="23"/>
  <c r="AD173" i="23"/>
  <c r="T243" i="23"/>
  <c r="S243" i="23"/>
  <c r="T317" i="23"/>
  <c r="S317" i="23"/>
  <c r="T503" i="23"/>
  <c r="S503" i="23"/>
  <c r="F235" i="23"/>
  <c r="S509" i="23"/>
  <c r="T509" i="23"/>
  <c r="T323" i="23"/>
  <c r="S323" i="23"/>
  <c r="R235" i="23"/>
  <c r="T404" i="23"/>
  <c r="R495" i="23"/>
  <c r="F703" i="23"/>
  <c r="AD145" i="23"/>
  <c r="AB858" i="23"/>
  <c r="F685" i="23"/>
  <c r="V622" i="23"/>
  <c r="F495" i="23"/>
  <c r="F622" i="23"/>
  <c r="O622" i="23"/>
  <c r="T719" i="23"/>
  <c r="S719" i="23"/>
  <c r="Q495" i="23"/>
  <c r="T309" i="23"/>
  <c r="F253" i="23"/>
  <c r="S495" i="23"/>
  <c r="F513" i="23"/>
  <c r="T685" i="23"/>
  <c r="T515" i="23"/>
  <c r="S515" i="23"/>
  <c r="T297" i="23"/>
  <c r="S297" i="23"/>
  <c r="T70" i="23"/>
  <c r="S70" i="23"/>
  <c r="F534" i="23"/>
  <c r="R719" i="23"/>
  <c r="S673" i="23"/>
  <c r="T673" i="23"/>
  <c r="P719" i="23"/>
  <c r="AC719" i="23"/>
  <c r="T392" i="23"/>
  <c r="S392" i="23"/>
  <c r="T133" i="23"/>
  <c r="S133" i="23"/>
  <c r="F309" i="23"/>
  <c r="F432" i="23"/>
  <c r="T173" i="23"/>
  <c r="S173" i="23"/>
  <c r="T249" i="23"/>
  <c r="S249" i="23"/>
  <c r="S145" i="23"/>
  <c r="W432" i="23"/>
  <c r="S309" i="23"/>
  <c r="T495" i="23"/>
  <c r="S329" i="23"/>
  <c r="T329" i="23"/>
  <c r="F344" i="23"/>
  <c r="T450" i="23"/>
  <c r="S450" i="23"/>
  <c r="Z719" i="23"/>
  <c r="S191" i="23"/>
  <c r="T191" i="23"/>
  <c r="S483" i="23"/>
  <c r="T483" i="23"/>
  <c r="T223" i="23"/>
  <c r="S223" i="23"/>
  <c r="T106" i="23"/>
  <c r="S106" i="23"/>
  <c r="T622" i="23"/>
  <c r="S622" i="23"/>
  <c r="T365" i="23"/>
  <c r="S365" i="23"/>
  <c r="AC173" i="23"/>
  <c r="AD719" i="23"/>
  <c r="T85" i="23"/>
  <c r="S85" i="23"/>
  <c r="R622" i="23"/>
  <c r="W309" i="23"/>
  <c r="S594" i="23"/>
  <c r="T594" i="23"/>
  <c r="Y495" i="23"/>
  <c r="T555" i="23"/>
  <c r="S555" i="23"/>
  <c r="U235" i="23"/>
  <c r="R432" i="23"/>
  <c r="V495" i="23"/>
  <c r="T158" i="23"/>
  <c r="S158" i="23"/>
  <c r="T19" i="23"/>
  <c r="S19" i="23"/>
  <c r="Z309" i="23"/>
  <c r="R145" i="23"/>
  <c r="T607" i="23"/>
  <c r="S607" i="23"/>
  <c r="F276" i="23"/>
  <c r="T280" i="23"/>
  <c r="S280" i="23"/>
  <c r="N858" i="23"/>
  <c r="R858" i="23"/>
  <c r="S432" i="23"/>
  <c r="T206" i="23"/>
  <c r="S206" i="23"/>
  <c r="T534" i="23"/>
  <c r="S534" i="23"/>
  <c r="S582" i="23"/>
  <c r="T582" i="23"/>
  <c r="S693" i="23"/>
  <c r="T693" i="23"/>
  <c r="U622" i="23"/>
  <c r="Z495" i="23"/>
  <c r="S699" i="23"/>
  <c r="T699" i="23"/>
  <c r="T705" i="23"/>
  <c r="S705" i="23"/>
  <c r="AD235" i="23"/>
  <c r="AA432" i="23"/>
  <c r="T255" i="23"/>
  <c r="S255" i="23"/>
  <c r="T640" i="23"/>
  <c r="S640" i="23"/>
  <c r="Y719" i="23"/>
  <c r="S235" i="23"/>
  <c r="F272" i="23"/>
  <c r="T235" i="23"/>
  <c r="T417" i="23"/>
  <c r="S417" i="23"/>
  <c r="V404" i="23"/>
  <c r="S656" i="23"/>
  <c r="T656" i="23"/>
  <c r="T432" i="23"/>
  <c r="W858" i="23"/>
  <c r="AD495" i="23"/>
  <c r="X466" i="23"/>
  <c r="Z466" i="23"/>
  <c r="W466" i="23"/>
  <c r="AD466" i="23"/>
  <c r="V466" i="23"/>
  <c r="AC466" i="23"/>
  <c r="U466" i="23"/>
  <c r="Q466" i="23"/>
  <c r="AB466" i="23"/>
  <c r="AA466" i="23"/>
  <c r="R466" i="23"/>
  <c r="O466" i="23"/>
  <c r="Y466" i="23"/>
  <c r="P466" i="23"/>
  <c r="AB145" i="23"/>
  <c r="O309" i="23"/>
  <c r="W622" i="23"/>
  <c r="Q719" i="23"/>
  <c r="AC858" i="23"/>
  <c r="AD432" i="23"/>
  <c r="X495" i="23"/>
  <c r="Y85" i="23"/>
  <c r="X85" i="23"/>
  <c r="U85" i="23"/>
  <c r="AB85" i="23"/>
  <c r="W85" i="23"/>
  <c r="V85" i="23"/>
  <c r="AC85" i="23"/>
  <c r="AD85" i="23"/>
  <c r="Q85" i="23"/>
  <c r="P85" i="23"/>
  <c r="R85" i="23"/>
  <c r="O85" i="23"/>
  <c r="Z85" i="23"/>
  <c r="AA85" i="23"/>
  <c r="AC145" i="23"/>
  <c r="Q309" i="23"/>
  <c r="AC685" i="23"/>
  <c r="U719" i="23"/>
  <c r="AD858" i="23"/>
  <c r="X432" i="23"/>
  <c r="U495" i="23"/>
  <c r="Z235" i="23"/>
  <c r="Y235" i="23"/>
  <c r="X858" i="23"/>
  <c r="AA145" i="23"/>
  <c r="R685" i="23"/>
  <c r="V719" i="23"/>
  <c r="U858" i="23"/>
  <c r="AB432" i="23"/>
  <c r="O495" i="23"/>
  <c r="U392" i="23"/>
  <c r="Q392" i="23"/>
  <c r="AA392" i="23"/>
  <c r="P392" i="23"/>
  <c r="R392" i="23"/>
  <c r="AD392" i="23"/>
  <c r="Y392" i="23"/>
  <c r="Z392" i="23"/>
  <c r="X392" i="23"/>
  <c r="AC392" i="23"/>
  <c r="W392" i="23"/>
  <c r="AB392" i="23"/>
  <c r="V392" i="23"/>
  <c r="O392" i="23"/>
  <c r="AA243" i="23"/>
  <c r="Z243" i="23"/>
  <c r="X243" i="23"/>
  <c r="R243" i="23"/>
  <c r="V243" i="23"/>
  <c r="Y243" i="23"/>
  <c r="O243" i="23"/>
  <c r="AB243" i="23"/>
  <c r="W243" i="23"/>
  <c r="Q243" i="23"/>
  <c r="AD243" i="23"/>
  <c r="AC243" i="23"/>
  <c r="P243" i="23"/>
  <c r="U243" i="23"/>
  <c r="R534" i="23"/>
  <c r="O534" i="23"/>
  <c r="AC534" i="23"/>
  <c r="W534" i="23"/>
  <c r="U534" i="23"/>
  <c r="AA534" i="23"/>
  <c r="X534" i="23"/>
  <c r="V534" i="23"/>
  <c r="AD534" i="23"/>
  <c r="Y534" i="23"/>
  <c r="P534" i="23"/>
  <c r="AB534" i="23"/>
  <c r="Q534" i="23"/>
  <c r="Z534" i="23"/>
  <c r="AB309" i="23"/>
  <c r="Q685" i="23"/>
  <c r="W719" i="23"/>
  <c r="V858" i="23"/>
  <c r="Y432" i="23"/>
  <c r="U133" i="23"/>
  <c r="AD133" i="23"/>
  <c r="AC133" i="23"/>
  <c r="Q133" i="23"/>
  <c r="Z133" i="23"/>
  <c r="AB133" i="23"/>
  <c r="AA133" i="23"/>
  <c r="R133" i="23"/>
  <c r="O133" i="23"/>
  <c r="W133" i="23"/>
  <c r="P133" i="23"/>
  <c r="Y133" i="23"/>
  <c r="V133" i="23"/>
  <c r="X133" i="23"/>
  <c r="R317" i="23"/>
  <c r="X317" i="23"/>
  <c r="AB317" i="23"/>
  <c r="Y317" i="23"/>
  <c r="P317" i="23"/>
  <c r="W317" i="23"/>
  <c r="AA317" i="23"/>
  <c r="Q317" i="23"/>
  <c r="AD317" i="23"/>
  <c r="U317" i="23"/>
  <c r="AC317" i="23"/>
  <c r="V317" i="23"/>
  <c r="O317" i="23"/>
  <c r="Z317" i="23"/>
  <c r="Z404" i="23"/>
  <c r="AD309" i="23"/>
  <c r="AA685" i="23"/>
  <c r="X719" i="23"/>
  <c r="AC432" i="23"/>
  <c r="O582" i="23"/>
  <c r="Z582" i="23"/>
  <c r="AB582" i="23"/>
  <c r="R582" i="23"/>
  <c r="AA582" i="23"/>
  <c r="V582" i="23"/>
  <c r="U582" i="23"/>
  <c r="AC582" i="23"/>
  <c r="Y582" i="23"/>
  <c r="W582" i="23"/>
  <c r="Q582" i="23"/>
  <c r="X582" i="23"/>
  <c r="P582" i="23"/>
  <c r="AD582" i="23"/>
  <c r="U693" i="23"/>
  <c r="AA693" i="23"/>
  <c r="P693" i="23"/>
  <c r="AB693" i="23"/>
  <c r="O693" i="23"/>
  <c r="AD693" i="23"/>
  <c r="Y693" i="23"/>
  <c r="X693" i="23"/>
  <c r="Q693" i="23"/>
  <c r="R693" i="23"/>
  <c r="AC693" i="23"/>
  <c r="W693" i="23"/>
  <c r="V693" i="23"/>
  <c r="Z693" i="23"/>
  <c r="U404" i="23"/>
  <c r="AC309" i="23"/>
  <c r="Z685" i="23"/>
  <c r="P594" i="23"/>
  <c r="P173" i="23"/>
  <c r="Q235" i="23"/>
  <c r="W495" i="23"/>
  <c r="Z158" i="23"/>
  <c r="Q158" i="23"/>
  <c r="W158" i="23"/>
  <c r="V158" i="23"/>
  <c r="U158" i="23"/>
  <c r="X158" i="23"/>
  <c r="AD158" i="23"/>
  <c r="O158" i="23"/>
  <c r="AB158" i="23"/>
  <c r="AA158" i="23"/>
  <c r="AC158" i="23"/>
  <c r="Y158" i="23"/>
  <c r="R158" i="23"/>
  <c r="P158" i="23"/>
  <c r="V235" i="23"/>
  <c r="P432" i="23"/>
  <c r="Z145" i="23"/>
  <c r="AC495" i="23"/>
  <c r="Q503" i="23"/>
  <c r="W503" i="23"/>
  <c r="O503" i="23"/>
  <c r="X503" i="23"/>
  <c r="Y503" i="23"/>
  <c r="V503" i="23"/>
  <c r="AD503" i="23"/>
  <c r="AC503" i="23"/>
  <c r="P503" i="23"/>
  <c r="U503" i="23"/>
  <c r="AB503" i="23"/>
  <c r="AA503" i="23"/>
  <c r="R503" i="23"/>
  <c r="Z503" i="23"/>
  <c r="N309" i="23"/>
  <c r="R173" i="23"/>
  <c r="Q858" i="23"/>
  <c r="Y249" i="23"/>
  <c r="U249" i="23"/>
  <c r="Z249" i="23"/>
  <c r="X249" i="23"/>
  <c r="O249" i="23"/>
  <c r="W249" i="23"/>
  <c r="AA249" i="23"/>
  <c r="V249" i="23"/>
  <c r="AB249" i="23"/>
  <c r="R249" i="23"/>
  <c r="AC249" i="23"/>
  <c r="AD249" i="23"/>
  <c r="Q249" i="23"/>
  <c r="P249" i="23"/>
  <c r="U309" i="23"/>
  <c r="V309" i="23"/>
  <c r="R309" i="23"/>
  <c r="AB705" i="23"/>
  <c r="P705" i="23"/>
  <c r="AA705" i="23"/>
  <c r="Z705" i="23"/>
  <c r="Y705" i="23"/>
  <c r="X705" i="23"/>
  <c r="AC705" i="23"/>
  <c r="Q705" i="23"/>
  <c r="R705" i="23"/>
  <c r="U705" i="23"/>
  <c r="V705" i="23"/>
  <c r="O705" i="23"/>
  <c r="W705" i="23"/>
  <c r="AD705" i="23"/>
  <c r="X685" i="23"/>
  <c r="AB404" i="23"/>
  <c r="AA255" i="23"/>
  <c r="AD255" i="23"/>
  <c r="Z255" i="23"/>
  <c r="P255" i="23"/>
  <c r="O255" i="23"/>
  <c r="R255" i="23"/>
  <c r="AC255" i="23"/>
  <c r="Y255" i="23"/>
  <c r="W255" i="23"/>
  <c r="AB255" i="23"/>
  <c r="X255" i="23"/>
  <c r="V255" i="23"/>
  <c r="U255" i="23"/>
  <c r="Q255" i="23"/>
  <c r="AC404" i="23"/>
  <c r="Z622" i="23"/>
  <c r="AB594" i="23"/>
  <c r="AB173" i="23"/>
  <c r="Y280" i="23"/>
  <c r="X280" i="23"/>
  <c r="W280" i="23"/>
  <c r="O280" i="23"/>
  <c r="V280" i="23"/>
  <c r="AD280" i="23"/>
  <c r="R280" i="23"/>
  <c r="U280" i="23"/>
  <c r="AC280" i="23"/>
  <c r="P280" i="23"/>
  <c r="Q280" i="23"/>
  <c r="Z280" i="23"/>
  <c r="AB280" i="23"/>
  <c r="AA280" i="23"/>
  <c r="V432" i="23"/>
  <c r="R656" i="23"/>
  <c r="AD656" i="23"/>
  <c r="AC656" i="23"/>
  <c r="P656" i="23"/>
  <c r="Y656" i="23"/>
  <c r="X656" i="23"/>
  <c r="Q656" i="23"/>
  <c r="W656" i="23"/>
  <c r="U656" i="23"/>
  <c r="Z656" i="23"/>
  <c r="AB656" i="23"/>
  <c r="O656" i="23"/>
  <c r="V656" i="23"/>
  <c r="AA656" i="23"/>
  <c r="Q432" i="23"/>
  <c r="P344" i="23"/>
  <c r="W344" i="23"/>
  <c r="U344" i="23"/>
  <c r="Y344" i="23"/>
  <c r="X344" i="23"/>
  <c r="V344" i="23"/>
  <c r="Q344" i="23"/>
  <c r="AC344" i="23"/>
  <c r="AB344" i="23"/>
  <c r="R344" i="23"/>
  <c r="AA344" i="23"/>
  <c r="Z344" i="23"/>
  <c r="O344" i="23"/>
  <c r="AD344" i="23"/>
  <c r="Q594" i="23"/>
  <c r="R404" i="23"/>
  <c r="P404" i="23"/>
  <c r="P685" i="23"/>
  <c r="O404" i="23"/>
  <c r="AA594" i="23"/>
  <c r="X594" i="23"/>
  <c r="AB329" i="23"/>
  <c r="AA329" i="23"/>
  <c r="Z329" i="23"/>
  <c r="P329" i="23"/>
  <c r="AD329" i="23"/>
  <c r="R329" i="23"/>
  <c r="Q329" i="23"/>
  <c r="Y329" i="23"/>
  <c r="O329" i="23"/>
  <c r="X329" i="23"/>
  <c r="W329" i="23"/>
  <c r="V329" i="23"/>
  <c r="U329" i="23"/>
  <c r="AC329" i="23"/>
  <c r="P640" i="23"/>
  <c r="R640" i="23"/>
  <c r="AD640" i="23"/>
  <c r="AC640" i="23"/>
  <c r="AA640" i="23"/>
  <c r="Q640" i="23"/>
  <c r="Z640" i="23"/>
  <c r="V640" i="23"/>
  <c r="Y640" i="23"/>
  <c r="AB640" i="23"/>
  <c r="X640" i="23"/>
  <c r="U640" i="23"/>
  <c r="O640" i="23"/>
  <c r="W640" i="23"/>
  <c r="X235" i="23"/>
  <c r="U145" i="23"/>
  <c r="Q404" i="23"/>
  <c r="AA622" i="23"/>
  <c r="AC594" i="23"/>
  <c r="X173" i="23"/>
  <c r="AD417" i="23"/>
  <c r="AC417" i="23"/>
  <c r="Q417" i="23"/>
  <c r="W417" i="23"/>
  <c r="O417" i="23"/>
  <c r="V417" i="23"/>
  <c r="U417" i="23"/>
  <c r="Z417" i="23"/>
  <c r="AB417" i="23"/>
  <c r="AA417" i="23"/>
  <c r="X417" i="23"/>
  <c r="R417" i="23"/>
  <c r="P417" i="23"/>
  <c r="Y417" i="23"/>
  <c r="O223" i="23"/>
  <c r="R223" i="23"/>
  <c r="Z223" i="23"/>
  <c r="Y223" i="23"/>
  <c r="AD223" i="23"/>
  <c r="X223" i="23"/>
  <c r="V223" i="23"/>
  <c r="AA223" i="23"/>
  <c r="AC223" i="23"/>
  <c r="U223" i="23"/>
  <c r="P223" i="23"/>
  <c r="W223" i="23"/>
  <c r="AB223" i="23"/>
  <c r="Q223" i="23"/>
  <c r="AB106" i="23"/>
  <c r="Y106" i="23"/>
  <c r="X106" i="23"/>
  <c r="AA106" i="23"/>
  <c r="W106" i="23"/>
  <c r="AD106" i="23"/>
  <c r="V106" i="23"/>
  <c r="AC106" i="23"/>
  <c r="Q106" i="23"/>
  <c r="Z106" i="23"/>
  <c r="U106" i="23"/>
  <c r="R106" i="23"/>
  <c r="O106" i="23"/>
  <c r="P106" i="23"/>
  <c r="Y365" i="23"/>
  <c r="X365" i="23"/>
  <c r="W365" i="23"/>
  <c r="V365" i="23"/>
  <c r="U365" i="23"/>
  <c r="Q365" i="23"/>
  <c r="AB365" i="23"/>
  <c r="O365" i="23"/>
  <c r="AA365" i="23"/>
  <c r="R365" i="23"/>
  <c r="Z365" i="23"/>
  <c r="P365" i="23"/>
  <c r="AD365" i="23"/>
  <c r="AC365" i="23"/>
  <c r="AA495" i="23"/>
  <c r="AA607" i="23"/>
  <c r="V607" i="23"/>
  <c r="U607" i="23"/>
  <c r="Z607" i="23"/>
  <c r="O607" i="23"/>
  <c r="AC607" i="23"/>
  <c r="P607" i="23"/>
  <c r="Y607" i="23"/>
  <c r="R607" i="23"/>
  <c r="AD607" i="23"/>
  <c r="X607" i="23"/>
  <c r="W607" i="23"/>
  <c r="Q607" i="23"/>
  <c r="AB607" i="23"/>
  <c r="AB19" i="23"/>
  <c r="AA19" i="23"/>
  <c r="Z19" i="23"/>
  <c r="P19" i="23"/>
  <c r="Y19" i="23"/>
  <c r="W19" i="23"/>
  <c r="Q19" i="23"/>
  <c r="AC19" i="23"/>
  <c r="O19" i="23"/>
  <c r="AD19" i="23"/>
  <c r="R19" i="23"/>
  <c r="X19" i="23"/>
  <c r="V19" i="23"/>
  <c r="U19" i="23"/>
  <c r="Q145" i="23"/>
  <c r="X309" i="23"/>
  <c r="U173" i="23"/>
  <c r="Y594" i="23"/>
  <c r="W404" i="23"/>
  <c r="R594" i="23"/>
  <c r="Z173" i="23"/>
  <c r="W685" i="23"/>
  <c r="Y685" i="23"/>
  <c r="R515" i="23"/>
  <c r="O515" i="23"/>
  <c r="Z515" i="23"/>
  <c r="AD515" i="23"/>
  <c r="Y515" i="23"/>
  <c r="X515" i="23"/>
  <c r="W515" i="23"/>
  <c r="AB515" i="23"/>
  <c r="V515" i="23"/>
  <c r="AC515" i="23"/>
  <c r="Q515" i="23"/>
  <c r="U515" i="23"/>
  <c r="AA515" i="23"/>
  <c r="P515" i="23"/>
  <c r="W450" i="23"/>
  <c r="AA450" i="23"/>
  <c r="AB450" i="23"/>
  <c r="AD450" i="23"/>
  <c r="Y450" i="23"/>
  <c r="AC450" i="23"/>
  <c r="Q450" i="23"/>
  <c r="X450" i="23"/>
  <c r="V450" i="23"/>
  <c r="U450" i="23"/>
  <c r="Z450" i="23"/>
  <c r="R450" i="23"/>
  <c r="P450" i="23"/>
  <c r="O450" i="23"/>
  <c r="AB235" i="23"/>
  <c r="W145" i="23"/>
  <c r="AD404" i="23"/>
  <c r="X622" i="23"/>
  <c r="W594" i="23"/>
  <c r="Y173" i="23"/>
  <c r="AC235" i="23"/>
  <c r="X206" i="23"/>
  <c r="W206" i="23"/>
  <c r="V206" i="23"/>
  <c r="U206" i="23"/>
  <c r="P206" i="23"/>
  <c r="AB206" i="23"/>
  <c r="AC206" i="23"/>
  <c r="O206" i="23"/>
  <c r="Z206" i="23"/>
  <c r="Y206" i="23"/>
  <c r="R206" i="23"/>
  <c r="Q206" i="23"/>
  <c r="AA206" i="23"/>
  <c r="AD206" i="23"/>
  <c r="U594" i="23"/>
  <c r="Y404" i="23"/>
  <c r="AB685" i="23"/>
  <c r="Z858" i="23"/>
  <c r="V173" i="23"/>
  <c r="Z594" i="23"/>
  <c r="AA404" i="23"/>
  <c r="O594" i="23"/>
  <c r="AC70" i="23"/>
  <c r="AD70" i="23"/>
  <c r="Q70" i="23"/>
  <c r="Y70" i="23"/>
  <c r="X70" i="23"/>
  <c r="W70" i="23"/>
  <c r="U70" i="23"/>
  <c r="AA70" i="23"/>
  <c r="O70" i="23"/>
  <c r="Z70" i="23"/>
  <c r="V70" i="23"/>
  <c r="AB70" i="23"/>
  <c r="R70" i="23"/>
  <c r="P70" i="23"/>
  <c r="N719" i="23"/>
  <c r="AC297" i="23"/>
  <c r="O297" i="23"/>
  <c r="R297" i="23"/>
  <c r="P297" i="23"/>
  <c r="AA297" i="23"/>
  <c r="Q297" i="23"/>
  <c r="Z297" i="23"/>
  <c r="Y297" i="23"/>
  <c r="W297" i="23"/>
  <c r="V297" i="23"/>
  <c r="AB297" i="23"/>
  <c r="X297" i="23"/>
  <c r="U297" i="23"/>
  <c r="AD297" i="23"/>
  <c r="V191" i="23"/>
  <c r="Y191" i="23"/>
  <c r="U191" i="23"/>
  <c r="X191" i="23"/>
  <c r="W191" i="23"/>
  <c r="P191" i="23"/>
  <c r="AB191" i="23"/>
  <c r="Z191" i="23"/>
  <c r="AA191" i="23"/>
  <c r="O191" i="23"/>
  <c r="AC191" i="23"/>
  <c r="R191" i="23"/>
  <c r="AD191" i="23"/>
  <c r="Q191" i="23"/>
  <c r="P235" i="23"/>
  <c r="O145" i="23"/>
  <c r="AB622" i="23"/>
  <c r="AD594" i="23"/>
  <c r="Q173" i="23"/>
  <c r="P858" i="23"/>
  <c r="F323" i="23"/>
  <c r="U685" i="23"/>
  <c r="AA858" i="23"/>
  <c r="W173" i="23"/>
  <c r="P309" i="23"/>
  <c r="AA235" i="23"/>
  <c r="P145" i="23"/>
  <c r="Q622" i="23"/>
  <c r="AA719" i="23"/>
  <c r="Z432" i="23"/>
  <c r="P495" i="23"/>
  <c r="O719" i="23"/>
  <c r="R509" i="23"/>
  <c r="Y509" i="23"/>
  <c r="U509" i="23"/>
  <c r="X509" i="23"/>
  <c r="W509" i="23"/>
  <c r="V509" i="23"/>
  <c r="O509" i="23"/>
  <c r="P509" i="23"/>
  <c r="AB509" i="23"/>
  <c r="Z509" i="23"/>
  <c r="AA509" i="23"/>
  <c r="AC509" i="23"/>
  <c r="Q509" i="23"/>
  <c r="AD509" i="23"/>
  <c r="O685" i="23"/>
  <c r="F509" i="23"/>
  <c r="X404" i="23"/>
  <c r="Z699" i="23"/>
  <c r="P699" i="23"/>
  <c r="AB699" i="23"/>
  <c r="AA699" i="23"/>
  <c r="X699" i="23"/>
  <c r="AC699" i="23"/>
  <c r="W699" i="23"/>
  <c r="Q699" i="23"/>
  <c r="AD699" i="23"/>
  <c r="R699" i="23"/>
  <c r="V699" i="23"/>
  <c r="O699" i="23"/>
  <c r="Y699" i="23"/>
  <c r="U699" i="23"/>
  <c r="O173" i="23"/>
  <c r="Y673" i="23"/>
  <c r="W673" i="23"/>
  <c r="V673" i="23"/>
  <c r="P673" i="23"/>
  <c r="X673" i="23"/>
  <c r="U673" i="23"/>
  <c r="AA673" i="23"/>
  <c r="Q673" i="23"/>
  <c r="Z673" i="23"/>
  <c r="AC673" i="23"/>
  <c r="O673" i="23"/>
  <c r="R673" i="23"/>
  <c r="AB673" i="23"/>
  <c r="AD673" i="23"/>
  <c r="W235" i="23"/>
  <c r="V145" i="23"/>
  <c r="Y622" i="23"/>
  <c r="AB719" i="23"/>
  <c r="O432" i="23"/>
  <c r="AB495" i="23"/>
  <c r="AD685" i="23"/>
  <c r="F249" i="23"/>
  <c r="Y309" i="23"/>
  <c r="AB323" i="23"/>
  <c r="U323" i="23"/>
  <c r="Y323" i="23"/>
  <c r="V323" i="23"/>
  <c r="X323" i="23"/>
  <c r="P323" i="23"/>
  <c r="AA323" i="23"/>
  <c r="Z323" i="23"/>
  <c r="W323" i="23"/>
  <c r="AD323" i="23"/>
  <c r="AC323" i="23"/>
  <c r="R323" i="23"/>
  <c r="Q323" i="23"/>
  <c r="O323" i="23"/>
  <c r="F699" i="23"/>
  <c r="AC483" i="23"/>
  <c r="AB483" i="23"/>
  <c r="AA483" i="23"/>
  <c r="Q483" i="23"/>
  <c r="Z483" i="23"/>
  <c r="Y483" i="23"/>
  <c r="X483" i="23"/>
  <c r="V483" i="23"/>
  <c r="U483" i="23"/>
  <c r="O483" i="23"/>
  <c r="W483" i="23"/>
  <c r="P483" i="23"/>
  <c r="AD483" i="23"/>
  <c r="R483" i="23"/>
  <c r="R555" i="23"/>
  <c r="AA555" i="23"/>
  <c r="Z555" i="23"/>
  <c r="AB555" i="23"/>
  <c r="O555" i="23"/>
  <c r="Y555" i="23"/>
  <c r="W555" i="23"/>
  <c r="AD555" i="23"/>
  <c r="AC555" i="23"/>
  <c r="Q555" i="23"/>
  <c r="X555" i="23"/>
  <c r="V555" i="23"/>
  <c r="U555" i="23"/>
  <c r="P555" i="23"/>
  <c r="O858" i="23"/>
  <c r="F503" i="23"/>
  <c r="AE482" i="23" s="1"/>
  <c r="F317" i="23"/>
  <c r="F243" i="23"/>
  <c r="N145" i="23"/>
  <c r="F719" i="23"/>
  <c r="N640" i="23"/>
  <c r="G856" i="23"/>
  <c r="G846" i="23"/>
  <c r="G743" i="23"/>
  <c r="G733" i="23"/>
  <c r="G827" i="23"/>
  <c r="G758" i="23"/>
  <c r="G896" i="23"/>
  <c r="G823" i="23"/>
  <c r="G807" i="23"/>
  <c r="G765" i="23"/>
  <c r="G750" i="23"/>
  <c r="G882" i="23"/>
  <c r="G867" i="23"/>
  <c r="G857" i="23"/>
  <c r="G795" i="23"/>
  <c r="G746" i="23"/>
  <c r="G772" i="23"/>
  <c r="G842" i="23"/>
  <c r="G791" i="23"/>
  <c r="G734" i="23"/>
  <c r="G876" i="23"/>
  <c r="G851" i="23"/>
  <c r="G838" i="23"/>
  <c r="G834" i="23"/>
  <c r="G799" i="23"/>
  <c r="G901" i="23"/>
  <c r="G826" i="23"/>
  <c r="G787" i="23"/>
  <c r="G761" i="23"/>
  <c r="G726" i="23"/>
  <c r="G775" i="23"/>
  <c r="G729" i="23"/>
  <c r="G874" i="23"/>
  <c r="G844" i="23"/>
  <c r="G821" i="23"/>
  <c r="G809" i="23"/>
  <c r="G771" i="23"/>
  <c r="G725" i="23"/>
  <c r="G864" i="23"/>
  <c r="G849" i="23"/>
  <c r="G789" i="23"/>
  <c r="G744" i="23"/>
  <c r="G836" i="23"/>
  <c r="G763" i="23"/>
  <c r="G837" i="23"/>
  <c r="G781" i="23"/>
  <c r="G769" i="23"/>
  <c r="G884" i="23"/>
  <c r="G755" i="23"/>
  <c r="G802" i="23"/>
  <c r="G832" i="23"/>
  <c r="G801" i="23"/>
  <c r="G845" i="23"/>
  <c r="G841" i="23"/>
  <c r="G793" i="23"/>
  <c r="G751" i="23"/>
  <c r="G739" i="23"/>
  <c r="G905" i="23"/>
  <c r="G792" i="23"/>
  <c r="G889" i="23"/>
  <c r="G878" i="23"/>
  <c r="G806" i="23"/>
  <c r="G872" i="23"/>
  <c r="G850" i="23"/>
  <c r="G777" i="23"/>
  <c r="G747" i="23"/>
  <c r="G860" i="23"/>
  <c r="G754" i="23"/>
  <c r="G894" i="23"/>
  <c r="G855" i="23"/>
  <c r="G810" i="23"/>
  <c r="G784" i="23"/>
  <c r="G910" i="23"/>
  <c r="G818" i="23"/>
  <c r="E528" i="23"/>
  <c r="E6" i="23" s="1"/>
  <c r="G805" i="23"/>
  <c r="G839" i="23"/>
  <c r="G749" i="23"/>
  <c r="G813" i="23"/>
  <c r="G779" i="23"/>
  <c r="G753" i="23"/>
  <c r="G723" i="23"/>
  <c r="G830" i="23"/>
  <c r="G757" i="23"/>
  <c r="G862" i="23"/>
  <c r="G879" i="23"/>
  <c r="G908" i="23"/>
  <c r="G870" i="23"/>
  <c r="G798" i="23"/>
  <c r="G887" i="23"/>
  <c r="G835" i="23"/>
  <c r="E532" i="23"/>
  <c r="G812" i="23"/>
  <c r="G760" i="23"/>
  <c r="G737" i="23"/>
  <c r="G903" i="23"/>
  <c r="G859" i="23"/>
  <c r="G741" i="23"/>
  <c r="G881" i="23"/>
  <c r="G899" i="23"/>
  <c r="G868" i="23"/>
  <c r="G774" i="23"/>
  <c r="G824" i="23"/>
  <c r="G816" i="23"/>
  <c r="G732" i="23"/>
  <c r="G873" i="23"/>
  <c r="G796" i="23"/>
  <c r="G778" i="23"/>
  <c r="G736" i="23"/>
  <c r="G800" i="23"/>
  <c r="G786" i="23"/>
  <c r="G740" i="23"/>
  <c r="G803" i="23"/>
  <c r="G871" i="23"/>
  <c r="G900" i="23"/>
  <c r="G721" i="23"/>
  <c r="G869" i="23"/>
  <c r="G822" i="23"/>
  <c r="G861" i="23"/>
  <c r="G759" i="23"/>
  <c r="G825" i="23"/>
  <c r="F842" i="23"/>
  <c r="G735" i="23"/>
  <c r="G731" i="23"/>
  <c r="G891" i="23"/>
  <c r="G748" i="23"/>
  <c r="G790" i="23"/>
  <c r="G814" i="23"/>
  <c r="G833" i="23"/>
  <c r="G817" i="23"/>
  <c r="G877" i="23"/>
  <c r="G728" i="23"/>
  <c r="G776" i="23"/>
  <c r="G890" i="23"/>
  <c r="G843" i="23"/>
  <c r="G773" i="23"/>
  <c r="G730" i="23"/>
  <c r="G898" i="23"/>
  <c r="G756" i="23"/>
  <c r="G804" i="23"/>
  <c r="G880" i="23"/>
  <c r="G865" i="23"/>
  <c r="G895" i="23"/>
  <c r="G888" i="23"/>
  <c r="G782" i="23"/>
  <c r="G783" i="23"/>
  <c r="G722" i="23"/>
  <c r="G727" i="23"/>
  <c r="G752" i="23"/>
  <c r="G766" i="23"/>
  <c r="F858" i="23"/>
  <c r="G897" i="23"/>
  <c r="G906" i="23"/>
  <c r="G742" i="23"/>
  <c r="G819" i="23"/>
  <c r="G788" i="23"/>
  <c r="G720" i="23"/>
  <c r="G724" i="23"/>
  <c r="G863" i="23"/>
  <c r="G762" i="23"/>
  <c r="G893" i="23"/>
  <c r="G829" i="23"/>
  <c r="G815" i="23"/>
  <c r="G768" i="23"/>
  <c r="G745" i="23"/>
  <c r="G808" i="23"/>
  <c r="G797" i="23"/>
  <c r="G764" i="23"/>
  <c r="G854" i="23"/>
  <c r="G840" i="23"/>
  <c r="G892" i="23"/>
  <c r="G907" i="23"/>
  <c r="G852" i="23"/>
  <c r="G820" i="23"/>
  <c r="G770" i="23"/>
  <c r="G767" i="23"/>
  <c r="F891" i="23"/>
  <c r="G738" i="23"/>
  <c r="G886" i="23"/>
  <c r="G828" i="23"/>
  <c r="G785" i="23"/>
  <c r="G780" i="23"/>
  <c r="G847" i="23"/>
  <c r="G902" i="23"/>
  <c r="G875" i="23"/>
  <c r="G848" i="23"/>
  <c r="G885" i="23"/>
  <c r="G883" i="23"/>
  <c r="G811" i="23"/>
  <c r="G911" i="23"/>
  <c r="G853" i="23"/>
  <c r="G866" i="23"/>
  <c r="G858" i="23"/>
  <c r="G794" i="23"/>
  <c r="G831" i="23"/>
  <c r="N329" i="23"/>
  <c r="N235" i="23"/>
  <c r="N243" i="23"/>
  <c r="F640" i="23"/>
  <c r="F278" i="23"/>
  <c r="F450" i="23"/>
  <c r="N495" i="23"/>
  <c r="N483" i="23"/>
  <c r="F655" i="23"/>
  <c r="F465" i="23"/>
  <c r="F279" i="23"/>
  <c r="F404" i="23"/>
  <c r="F275" i="23"/>
  <c r="F594" i="23"/>
  <c r="N317" i="23"/>
  <c r="N673" i="23"/>
  <c r="F365" i="23"/>
  <c r="F273" i="23"/>
  <c r="F555" i="23"/>
  <c r="N255" i="23"/>
  <c r="N503" i="23"/>
  <c r="N323" i="23"/>
  <c r="N297" i="23"/>
  <c r="N515" i="23"/>
  <c r="N693" i="23"/>
  <c r="N534" i="23"/>
  <c r="N173" i="23"/>
  <c r="N417" i="23"/>
  <c r="N280" i="23"/>
  <c r="N685" i="23"/>
  <c r="N509" i="23"/>
  <c r="N191" i="23"/>
  <c r="N582" i="23"/>
  <c r="N158" i="23"/>
  <c r="N432" i="23"/>
  <c r="N133" i="23"/>
  <c r="N594" i="23"/>
  <c r="N555" i="23"/>
  <c r="N607" i="23"/>
  <c r="N223" i="23"/>
  <c r="N85" i="23"/>
  <c r="N392" i="23"/>
  <c r="N344" i="23"/>
  <c r="N699" i="23"/>
  <c r="N106" i="23"/>
  <c r="N656" i="23"/>
  <c r="N19" i="23"/>
  <c r="N365" i="23"/>
  <c r="N404" i="23"/>
  <c r="N206" i="23"/>
  <c r="N70" i="23"/>
  <c r="N450" i="23"/>
  <c r="N249" i="23"/>
  <c r="N622" i="23"/>
  <c r="N705" i="23"/>
  <c r="N466" i="23"/>
  <c r="AJ222" i="23" l="1"/>
  <c r="AO222" i="23"/>
  <c r="AM222" i="23"/>
  <c r="AE84" i="23"/>
  <c r="AF296" i="23"/>
  <c r="AO296" i="23"/>
  <c r="AK222" i="23"/>
  <c r="AE296" i="23"/>
  <c r="AG222" i="23"/>
  <c r="AH482" i="23"/>
  <c r="AF482" i="23"/>
  <c r="AF672" i="23"/>
  <c r="AI222" i="23"/>
  <c r="W482" i="23"/>
  <c r="AK482" i="23"/>
  <c r="AJ482" i="23"/>
  <c r="AG482" i="23"/>
  <c r="S296" i="23"/>
  <c r="AP84" i="23"/>
  <c r="AG296" i="23"/>
  <c r="AP222" i="23"/>
  <c r="AA296" i="23"/>
  <c r="AF222" i="23"/>
  <c r="AL222" i="23"/>
  <c r="Z296" i="23"/>
  <c r="AE533" i="23"/>
  <c r="AL482" i="23"/>
  <c r="AI482" i="23"/>
  <c r="S482" i="23"/>
  <c r="AN296" i="23"/>
  <c r="AE672" i="23"/>
  <c r="AH84" i="23"/>
  <c r="AH343" i="23"/>
  <c r="AG84" i="23"/>
  <c r="AL296" i="23"/>
  <c r="AJ533" i="23"/>
  <c r="U482" i="23"/>
  <c r="AL84" i="23"/>
  <c r="AN482" i="23"/>
  <c r="V482" i="23"/>
  <c r="AF84" i="23"/>
  <c r="AM482" i="23"/>
  <c r="AH533" i="23"/>
  <c r="AG343" i="23"/>
  <c r="AJ84" i="23"/>
  <c r="AI533" i="23"/>
  <c r="AE343" i="23"/>
  <c r="AN84" i="23"/>
  <c r="AH222" i="23"/>
  <c r="AH296" i="23"/>
  <c r="AP343" i="23"/>
  <c r="AF343" i="23"/>
  <c r="AM84" i="23"/>
  <c r="AG533" i="23"/>
  <c r="AO343" i="23"/>
  <c r="AK84" i="23"/>
  <c r="AF533" i="23"/>
  <c r="F533" i="23"/>
  <c r="G533" i="23" s="1"/>
  <c r="G555" i="23" s="1"/>
  <c r="AO718" i="23"/>
  <c r="AL718" i="23"/>
  <c r="AI718" i="23"/>
  <c r="AF718" i="23"/>
  <c r="AJ718" i="23"/>
  <c r="AE718" i="23"/>
  <c r="AP718" i="23"/>
  <c r="AN718" i="23"/>
  <c r="AK718" i="23"/>
  <c r="AM718" i="23"/>
  <c r="T482" i="23"/>
  <c r="AN343" i="23"/>
  <c r="AO84" i="23"/>
  <c r="AM343" i="23"/>
  <c r="AI84" i="23"/>
  <c r="AH718" i="23"/>
  <c r="AL343" i="23"/>
  <c r="AK296" i="23"/>
  <c r="AP296" i="23"/>
  <c r="AJ296" i="23"/>
  <c r="AO482" i="23"/>
  <c r="AK343" i="23"/>
  <c r="AJ343" i="23"/>
  <c r="AO533" i="23"/>
  <c r="AP533" i="23"/>
  <c r="O343" i="23"/>
  <c r="AI343" i="23"/>
  <c r="AN533" i="23"/>
  <c r="AI296" i="23"/>
  <c r="AD296" i="23"/>
  <c r="T296" i="23"/>
  <c r="AK533" i="23"/>
  <c r="AG718" i="23"/>
  <c r="U296" i="23"/>
  <c r="AN222" i="23"/>
  <c r="AE222" i="23"/>
  <c r="AK271" i="23"/>
  <c r="AL271" i="23"/>
  <c r="AG271" i="23"/>
  <c r="AH271" i="23"/>
  <c r="AI271" i="23"/>
  <c r="AF271" i="23"/>
  <c r="AE271" i="23"/>
  <c r="AM271" i="23"/>
  <c r="AJ271" i="23"/>
  <c r="AN271" i="23"/>
  <c r="AP271" i="23"/>
  <c r="AO271" i="23"/>
  <c r="T672" i="23"/>
  <c r="AP482" i="23"/>
  <c r="S672" i="23"/>
  <c r="AM533" i="23"/>
  <c r="AM296" i="23"/>
  <c r="AL533" i="23"/>
  <c r="T222" i="23"/>
  <c r="S222" i="23"/>
  <c r="AA222" i="23"/>
  <c r="V222" i="23"/>
  <c r="AD718" i="23"/>
  <c r="O222" i="23"/>
  <c r="O482" i="23"/>
  <c r="AB296" i="23"/>
  <c r="Q296" i="23"/>
  <c r="R672" i="23"/>
  <c r="F84" i="23"/>
  <c r="G84" i="23" s="1"/>
  <c r="R343" i="23"/>
  <c r="P296" i="23"/>
  <c r="T533" i="23"/>
  <c r="S533" i="23"/>
  <c r="U533" i="23"/>
  <c r="AB718" i="23"/>
  <c r="AD672" i="23"/>
  <c r="F271" i="23"/>
  <c r="G271" i="23" s="1"/>
  <c r="G273" i="23" s="1"/>
  <c r="AC296" i="23"/>
  <c r="X672" i="23"/>
  <c r="U222" i="23"/>
  <c r="AC533" i="23"/>
  <c r="W672" i="23"/>
  <c r="Y672" i="23"/>
  <c r="Z482" i="23"/>
  <c r="P672" i="23"/>
  <c r="AC84" i="23"/>
  <c r="AD84" i="23"/>
  <c r="X222" i="23"/>
  <c r="V296" i="23"/>
  <c r="Y482" i="23"/>
  <c r="O672" i="23"/>
  <c r="AA533" i="23"/>
  <c r="V672" i="23"/>
  <c r="O296" i="23"/>
  <c r="P343" i="23"/>
  <c r="W222" i="23"/>
  <c r="AD222" i="23"/>
  <c r="X482" i="23"/>
  <c r="Y222" i="23"/>
  <c r="S84" i="23"/>
  <c r="S271" i="23"/>
  <c r="T271" i="23"/>
  <c r="P271" i="23"/>
  <c r="P222" i="23"/>
  <c r="T343" i="23"/>
  <c r="S343" i="23"/>
  <c r="N482" i="23"/>
  <c r="R482" i="23"/>
  <c r="T84" i="23"/>
  <c r="T718" i="23"/>
  <c r="S718" i="23"/>
  <c r="AC672" i="23"/>
  <c r="U672" i="23"/>
  <c r="Y296" i="23"/>
  <c r="R222" i="23"/>
  <c r="AC718" i="23"/>
  <c r="Z222" i="23"/>
  <c r="AB672" i="23"/>
  <c r="Z271" i="23"/>
  <c r="Z672" i="23"/>
  <c r="W533" i="23"/>
  <c r="Q271" i="23"/>
  <c r="X533" i="23"/>
  <c r="N296" i="23"/>
  <c r="Y533" i="23"/>
  <c r="AA271" i="23"/>
  <c r="Z84" i="23"/>
  <c r="AC222" i="23"/>
  <c r="AB271" i="23"/>
  <c r="U343" i="23"/>
  <c r="AC343" i="23"/>
  <c r="AA84" i="23"/>
  <c r="AA718" i="23"/>
  <c r="AC271" i="23"/>
  <c r="W343" i="23"/>
  <c r="V533" i="23"/>
  <c r="R533" i="23"/>
  <c r="AD271" i="23"/>
  <c r="Y343" i="23"/>
  <c r="O84" i="23"/>
  <c r="Y271" i="23"/>
  <c r="R84" i="23"/>
  <c r="R271" i="23"/>
  <c r="AA343" i="23"/>
  <c r="P84" i="23"/>
  <c r="W271" i="23"/>
  <c r="Q222" i="23"/>
  <c r="V84" i="23"/>
  <c r="AD482" i="23"/>
  <c r="W296" i="23"/>
  <c r="AB222" i="23"/>
  <c r="W84" i="23"/>
  <c r="R296" i="23"/>
  <c r="AB533" i="23"/>
  <c r="X84" i="23"/>
  <c r="Q84" i="23"/>
  <c r="U271" i="23"/>
  <c r="X296" i="23"/>
  <c r="X271" i="23"/>
  <c r="Z533" i="23"/>
  <c r="Q343" i="23"/>
  <c r="U84" i="23"/>
  <c r="F343" i="23"/>
  <c r="U718" i="23"/>
  <c r="W718" i="23"/>
  <c r="V718" i="23"/>
  <c r="Y718" i="23"/>
  <c r="X718" i="23"/>
  <c r="O718" i="23"/>
  <c r="P718" i="23"/>
  <c r="P533" i="23"/>
  <c r="Y84" i="23"/>
  <c r="O533" i="23"/>
  <c r="AA672" i="23"/>
  <c r="AA482" i="23"/>
  <c r="V271" i="23"/>
  <c r="Z343" i="23"/>
  <c r="Q718" i="23"/>
  <c r="Z718" i="23"/>
  <c r="Q482" i="23"/>
  <c r="P482" i="23"/>
  <c r="AD533" i="23"/>
  <c r="AD343" i="23"/>
  <c r="V343" i="23"/>
  <c r="O271" i="23"/>
  <c r="X343" i="23"/>
  <c r="AB84" i="23"/>
  <c r="Q672" i="23"/>
  <c r="AC482" i="23"/>
  <c r="AB343" i="23"/>
  <c r="Q533" i="23"/>
  <c r="AB482" i="23"/>
  <c r="R718" i="23"/>
  <c r="N672" i="23"/>
  <c r="F11" i="23"/>
  <c r="N533" i="23"/>
  <c r="N222" i="23"/>
  <c r="F296" i="23"/>
  <c r="G296" i="23" s="1"/>
  <c r="F482" i="23"/>
  <c r="G482" i="23" s="1"/>
  <c r="F672" i="23"/>
  <c r="G672" i="23" s="1"/>
  <c r="F222" i="23"/>
  <c r="G222" i="23" s="1"/>
  <c r="F35" i="23"/>
  <c r="G35" i="23" s="1"/>
  <c r="N718" i="23"/>
  <c r="F280" i="23"/>
  <c r="G280" i="23" s="1"/>
  <c r="F206" i="23"/>
  <c r="G206" i="23" s="1"/>
  <c r="F466" i="23"/>
  <c r="G466" i="23" s="1"/>
  <c r="F19" i="23"/>
  <c r="G19" i="23" s="1"/>
  <c r="F656" i="23"/>
  <c r="G656" i="23" s="1"/>
  <c r="F329" i="23"/>
  <c r="G329" i="23" s="1"/>
  <c r="F255" i="23"/>
  <c r="G255" i="23" s="1"/>
  <c r="F515" i="23"/>
  <c r="G515" i="23" s="1"/>
  <c r="F70" i="23"/>
  <c r="G70" i="23" s="1"/>
  <c r="F705" i="23"/>
  <c r="G705" i="23" s="1"/>
  <c r="N343" i="23"/>
  <c r="N84" i="23"/>
  <c r="N271" i="23"/>
  <c r="AF532" i="23" l="1"/>
  <c r="AF529" i="23" s="1"/>
  <c r="AM270" i="23"/>
  <c r="AM268" i="23" s="1"/>
  <c r="AK532" i="23"/>
  <c r="AK529" i="23" s="1"/>
  <c r="AK528" i="23" s="1"/>
  <c r="AG270" i="23"/>
  <c r="AG268" i="23" s="1"/>
  <c r="AF10" i="23"/>
  <c r="AF9" i="23" s="1"/>
  <c r="AM10" i="23"/>
  <c r="AM9" i="23" s="1"/>
  <c r="AN10" i="23"/>
  <c r="AN9" i="23" s="1"/>
  <c r="AI10" i="23"/>
  <c r="AI9" i="23" s="1"/>
  <c r="AJ10" i="23"/>
  <c r="AJ9" i="23" s="1"/>
  <c r="AK10" i="23"/>
  <c r="AK9" i="23" s="1"/>
  <c r="AO10" i="23"/>
  <c r="AO9" i="23" s="1"/>
  <c r="AG10" i="23"/>
  <c r="AG9" i="23" s="1"/>
  <c r="AL10" i="23"/>
  <c r="AL9" i="23" s="1"/>
  <c r="AE10" i="23"/>
  <c r="AE9" i="23" s="1"/>
  <c r="AP10" i="23"/>
  <c r="AP9" i="23" s="1"/>
  <c r="AH10" i="23"/>
  <c r="AH9" i="23" s="1"/>
  <c r="AK342" i="23"/>
  <c r="AP532" i="23"/>
  <c r="AP529" i="23" s="1"/>
  <c r="AP528" i="23" s="1"/>
  <c r="AM532" i="23"/>
  <c r="AM529" i="23" s="1"/>
  <c r="AM528" i="23" s="1"/>
  <c r="AN532" i="23"/>
  <c r="AN529" i="23" s="1"/>
  <c r="AN528" i="23" s="1"/>
  <c r="G11" i="23"/>
  <c r="G13" i="23" s="1"/>
  <c r="AO532" i="23"/>
  <c r="AO529" i="23" s="1"/>
  <c r="AO528" i="23" s="1"/>
  <c r="AL532" i="23"/>
  <c r="AL529" i="23" s="1"/>
  <c r="AL528" i="23" s="1"/>
  <c r="AL342" i="23"/>
  <c r="AG532" i="23"/>
  <c r="AG529" i="23" s="1"/>
  <c r="AG528" i="23" s="1"/>
  <c r="AF342" i="23"/>
  <c r="AJ342" i="23"/>
  <c r="AI532" i="23"/>
  <c r="AI529" i="23" s="1"/>
  <c r="AI528" i="23" s="1"/>
  <c r="AH532" i="23"/>
  <c r="AH529" i="23" s="1"/>
  <c r="AH528" i="23" s="1"/>
  <c r="AF270" i="23"/>
  <c r="AF268" i="23" s="1"/>
  <c r="AE270" i="23"/>
  <c r="AE268" i="23" s="1"/>
  <c r="AO270" i="23"/>
  <c r="AO268" i="23" s="1"/>
  <c r="AP270" i="23"/>
  <c r="AP268" i="23" s="1"/>
  <c r="AJ270" i="23"/>
  <c r="AJ268" i="23" s="1"/>
  <c r="AK270" i="23"/>
  <c r="AK268" i="23" s="1"/>
  <c r="AI270" i="23"/>
  <c r="AI268" i="23" s="1"/>
  <c r="AL270" i="23"/>
  <c r="AL268" i="23" s="1"/>
  <c r="AH270" i="23"/>
  <c r="AH268" i="23" s="1"/>
  <c r="AJ532" i="23"/>
  <c r="AJ529" i="23" s="1"/>
  <c r="AJ528" i="23" s="1"/>
  <c r="S532" i="23"/>
  <c r="S529" i="23" s="1"/>
  <c r="V532" i="23"/>
  <c r="V529" i="23" s="1"/>
  <c r="V528" i="23" s="1"/>
  <c r="T532" i="23"/>
  <c r="T529" i="23" s="1"/>
  <c r="AE532" i="23"/>
  <c r="AE529" i="23" s="1"/>
  <c r="AE528" i="23" s="1"/>
  <c r="AF528" i="23"/>
  <c r="AN270" i="23"/>
  <c r="AN268" i="23" s="1"/>
  <c r="AH342" i="23"/>
  <c r="AG342" i="23"/>
  <c r="AP342" i="23"/>
  <c r="AO342" i="23"/>
  <c r="AM342" i="23"/>
  <c r="AN342" i="23"/>
  <c r="AI342" i="23"/>
  <c r="AE342" i="23"/>
  <c r="G343" i="23"/>
  <c r="G392" i="23" s="1"/>
  <c r="S528" i="23"/>
  <c r="T528" i="23"/>
  <c r="T10" i="23"/>
  <c r="T9" i="23" s="1"/>
  <c r="S10" i="23"/>
  <c r="S9" i="23" s="1"/>
  <c r="T342" i="23"/>
  <c r="S342" i="23"/>
  <c r="S270" i="23"/>
  <c r="S268" i="23" s="1"/>
  <c r="T270" i="23"/>
  <c r="T268" i="23" s="1"/>
  <c r="Y270" i="23"/>
  <c r="Y268" i="23" s="1"/>
  <c r="Y532" i="23"/>
  <c r="Y529" i="23" s="1"/>
  <c r="Y528" i="23" s="1"/>
  <c r="G278" i="23"/>
  <c r="X532" i="23"/>
  <c r="X529" i="23" s="1"/>
  <c r="X528" i="23" s="1"/>
  <c r="W532" i="23"/>
  <c r="W529" i="23" s="1"/>
  <c r="W528" i="23" s="1"/>
  <c r="AD270" i="23"/>
  <c r="AD268" i="23" s="1"/>
  <c r="U270" i="23"/>
  <c r="U268" i="23" s="1"/>
  <c r="AD342" i="23"/>
  <c r="AB270" i="23"/>
  <c r="AB268" i="23" s="1"/>
  <c r="AD532" i="23"/>
  <c r="AD529" i="23" s="1"/>
  <c r="AD528" i="23" s="1"/>
  <c r="AA270" i="23"/>
  <c r="AA268" i="23" s="1"/>
  <c r="V270" i="23"/>
  <c r="V268" i="23" s="1"/>
  <c r="Z270" i="23"/>
  <c r="Z268" i="23" s="1"/>
  <c r="O270" i="23"/>
  <c r="O268" i="23" s="1"/>
  <c r="AB532" i="23"/>
  <c r="AB529" i="23" s="1"/>
  <c r="AB528" i="23" s="1"/>
  <c r="P342" i="23"/>
  <c r="Q270" i="23"/>
  <c r="Q268" i="23" s="1"/>
  <c r="W270" i="23"/>
  <c r="W268" i="23" s="1"/>
  <c r="P532" i="23"/>
  <c r="P529" i="23" s="1"/>
  <c r="P528" i="23" s="1"/>
  <c r="P270" i="23"/>
  <c r="P268" i="23" s="1"/>
  <c r="R270" i="23"/>
  <c r="R268" i="23" s="1"/>
  <c r="AA532" i="23"/>
  <c r="AA529" i="23" s="1"/>
  <c r="AA528" i="23" s="1"/>
  <c r="Y342" i="23"/>
  <c r="X342" i="23"/>
  <c r="W342" i="23"/>
  <c r="U342" i="23"/>
  <c r="V342" i="23"/>
  <c r="R342" i="23"/>
  <c r="O342" i="23"/>
  <c r="AA342" i="23"/>
  <c r="AB342" i="23"/>
  <c r="Z342" i="23"/>
  <c r="Z532" i="23"/>
  <c r="Z529" i="23" s="1"/>
  <c r="Z528" i="23" s="1"/>
  <c r="AC270" i="23"/>
  <c r="AC268" i="23" s="1"/>
  <c r="AC532" i="23"/>
  <c r="AC529" i="23" s="1"/>
  <c r="AC528" i="23" s="1"/>
  <c r="U532" i="23"/>
  <c r="U529" i="23" s="1"/>
  <c r="U528" i="23" s="1"/>
  <c r="Q342" i="23"/>
  <c r="Y10" i="23"/>
  <c r="Y9" i="23" s="1"/>
  <c r="X10" i="23"/>
  <c r="X9" i="23" s="1"/>
  <c r="W10" i="23"/>
  <c r="W9" i="23" s="1"/>
  <c r="V10" i="23"/>
  <c r="V9" i="23" s="1"/>
  <c r="U10" i="23"/>
  <c r="U9" i="23" s="1"/>
  <c r="Z10" i="23"/>
  <c r="Z9" i="23" s="1"/>
  <c r="R10" i="23"/>
  <c r="R9" i="23" s="1"/>
  <c r="AB10" i="23"/>
  <c r="AB9" i="23" s="1"/>
  <c r="O10" i="23"/>
  <c r="O9" i="23" s="1"/>
  <c r="AD10" i="23"/>
  <c r="AD9" i="23" s="1"/>
  <c r="P10" i="23"/>
  <c r="P9" i="23" s="1"/>
  <c r="AC10" i="23"/>
  <c r="AC9" i="23" s="1"/>
  <c r="AA10" i="23"/>
  <c r="AA9" i="23" s="1"/>
  <c r="Q10" i="23"/>
  <c r="Q9" i="23" s="1"/>
  <c r="O532" i="23"/>
  <c r="O529" i="23" s="1"/>
  <c r="O528" i="23" s="1"/>
  <c r="X270" i="23"/>
  <c r="X268" i="23" s="1"/>
  <c r="R532" i="23"/>
  <c r="R529" i="23" s="1"/>
  <c r="R528" i="23" s="1"/>
  <c r="G275" i="23"/>
  <c r="Q532" i="23"/>
  <c r="Q529" i="23" s="1"/>
  <c r="Q528" i="23" s="1"/>
  <c r="G640" i="23"/>
  <c r="G642" i="23" s="1"/>
  <c r="AC342" i="23"/>
  <c r="N10" i="23"/>
  <c r="N9" i="23" s="1"/>
  <c r="G655" i="23"/>
  <c r="G279" i="23"/>
  <c r="G465" i="23"/>
  <c r="N270" i="23"/>
  <c r="N268" i="23" s="1"/>
  <c r="G594" i="23"/>
  <c r="G597" i="23" s="1"/>
  <c r="G573" i="23"/>
  <c r="G570" i="23"/>
  <c r="G579" i="23"/>
  <c r="G559" i="23"/>
  <c r="G562" i="23"/>
  <c r="G560" i="23"/>
  <c r="G564" i="23"/>
  <c r="G565" i="23"/>
  <c r="G580" i="23"/>
  <c r="G577" i="23"/>
  <c r="G558" i="23"/>
  <c r="G557" i="23"/>
  <c r="G569" i="23"/>
  <c r="G556" i="23"/>
  <c r="G572" i="23"/>
  <c r="G566" i="23"/>
  <c r="G575" i="23"/>
  <c r="G563" i="23"/>
  <c r="G576" i="23"/>
  <c r="G571" i="23"/>
  <c r="G568" i="23"/>
  <c r="G561" i="23"/>
  <c r="G574" i="23"/>
  <c r="G581" i="23"/>
  <c r="G578" i="23"/>
  <c r="G567" i="23"/>
  <c r="G284" i="23"/>
  <c r="G295" i="23"/>
  <c r="G288" i="23"/>
  <c r="G287" i="23"/>
  <c r="G289" i="23"/>
  <c r="G292" i="23"/>
  <c r="G286" i="23"/>
  <c r="G294" i="23"/>
  <c r="G291" i="23"/>
  <c r="G282" i="23"/>
  <c r="G285" i="23"/>
  <c r="G293" i="23"/>
  <c r="G281" i="23"/>
  <c r="G283" i="23"/>
  <c r="G290" i="23"/>
  <c r="G82" i="23"/>
  <c r="G76" i="23"/>
  <c r="G77" i="23"/>
  <c r="G73" i="23"/>
  <c r="G78" i="23"/>
  <c r="G81" i="23"/>
  <c r="G72" i="23"/>
  <c r="G79" i="23"/>
  <c r="G75" i="23"/>
  <c r="G80" i="23"/>
  <c r="G71" i="23"/>
  <c r="G74" i="23"/>
  <c r="G503" i="23"/>
  <c r="G509" i="23"/>
  <c r="G513" i="23"/>
  <c r="G514" i="23" s="1"/>
  <c r="G483" i="23"/>
  <c r="G495" i="23"/>
  <c r="G478" i="23"/>
  <c r="G479" i="23"/>
  <c r="G475" i="23"/>
  <c r="G481" i="23"/>
  <c r="G470" i="23"/>
  <c r="G473" i="23"/>
  <c r="G474" i="23"/>
  <c r="G472" i="23"/>
  <c r="G471" i="23"/>
  <c r="G480" i="23"/>
  <c r="G468" i="23"/>
  <c r="G477" i="23"/>
  <c r="G467" i="23"/>
  <c r="G469" i="23"/>
  <c r="G476" i="23"/>
  <c r="G267" i="23"/>
  <c r="G266" i="23"/>
  <c r="G264" i="23"/>
  <c r="G261" i="23"/>
  <c r="G256" i="23"/>
  <c r="G265" i="23"/>
  <c r="G258" i="23"/>
  <c r="G260" i="23"/>
  <c r="G263" i="23"/>
  <c r="G257" i="23"/>
  <c r="G262" i="23"/>
  <c r="G259" i="23"/>
  <c r="G210" i="23"/>
  <c r="G220" i="23"/>
  <c r="G215" i="23"/>
  <c r="G219" i="23"/>
  <c r="G218" i="23"/>
  <c r="G213" i="23"/>
  <c r="G208" i="23"/>
  <c r="G221" i="23"/>
  <c r="G212" i="23"/>
  <c r="G211" i="23"/>
  <c r="G217" i="23"/>
  <c r="G214" i="23"/>
  <c r="G207" i="23"/>
  <c r="G209" i="23"/>
  <c r="G216" i="23"/>
  <c r="G341" i="23"/>
  <c r="G336" i="23"/>
  <c r="G334" i="23"/>
  <c r="G337" i="23"/>
  <c r="G331" i="23"/>
  <c r="G335" i="23"/>
  <c r="G339" i="23"/>
  <c r="G340" i="23"/>
  <c r="G332" i="23"/>
  <c r="G338" i="23"/>
  <c r="G330" i="23"/>
  <c r="G333" i="23"/>
  <c r="G693" i="23"/>
  <c r="G685" i="23"/>
  <c r="G673" i="23"/>
  <c r="G703" i="23"/>
  <c r="G704" i="23" s="1"/>
  <c r="G699" i="23"/>
  <c r="G62" i="23"/>
  <c r="G56" i="23"/>
  <c r="G36" i="23"/>
  <c r="G48" i="23"/>
  <c r="N532" i="23"/>
  <c r="N529" i="23" s="1"/>
  <c r="N528" i="23" s="1"/>
  <c r="G274" i="23"/>
  <c r="G272" i="23"/>
  <c r="G277" i="23"/>
  <c r="G276" i="23"/>
  <c r="G717" i="23"/>
  <c r="G716" i="23"/>
  <c r="G710" i="23"/>
  <c r="G713" i="23"/>
  <c r="G714" i="23"/>
  <c r="G709" i="23"/>
  <c r="G711" i="23"/>
  <c r="G706" i="23"/>
  <c r="G707" i="23"/>
  <c r="G712" i="23"/>
  <c r="G708" i="23"/>
  <c r="G715" i="23"/>
  <c r="G527" i="23"/>
  <c r="G525" i="23"/>
  <c r="G523" i="23"/>
  <c r="G521" i="23"/>
  <c r="G520" i="23"/>
  <c r="G524" i="23"/>
  <c r="G526" i="23"/>
  <c r="G519" i="23"/>
  <c r="G522" i="23"/>
  <c r="G517" i="23"/>
  <c r="G518" i="23"/>
  <c r="G516" i="23"/>
  <c r="G243" i="23"/>
  <c r="G249" i="23"/>
  <c r="G223" i="23"/>
  <c r="G235" i="23"/>
  <c r="G253" i="23"/>
  <c r="G254" i="23" s="1"/>
  <c r="G327" i="23"/>
  <c r="G328" i="23" s="1"/>
  <c r="G297" i="23"/>
  <c r="G317" i="23"/>
  <c r="G309" i="23"/>
  <c r="G323" i="23"/>
  <c r="N342" i="23"/>
  <c r="G668" i="23"/>
  <c r="G665" i="23"/>
  <c r="G663" i="23"/>
  <c r="G671" i="23"/>
  <c r="G658" i="23"/>
  <c r="G660" i="23"/>
  <c r="G670" i="23"/>
  <c r="G669" i="23"/>
  <c r="G661" i="23"/>
  <c r="G667" i="23"/>
  <c r="G662" i="23"/>
  <c r="G664" i="23"/>
  <c r="G666" i="23"/>
  <c r="G659" i="23"/>
  <c r="G657" i="23"/>
  <c r="G191" i="23"/>
  <c r="G173" i="23"/>
  <c r="G106" i="23"/>
  <c r="G133" i="23"/>
  <c r="G158" i="23"/>
  <c r="G85" i="23"/>
  <c r="G145" i="23"/>
  <c r="G534" i="23"/>
  <c r="G582" i="23"/>
  <c r="G622" i="23"/>
  <c r="G607" i="23"/>
  <c r="G28" i="23"/>
  <c r="G26" i="23"/>
  <c r="G31" i="23"/>
  <c r="G27" i="23"/>
  <c r="G25" i="23"/>
  <c r="G32" i="23"/>
  <c r="G23" i="23"/>
  <c r="G30" i="23"/>
  <c r="G34" i="23"/>
  <c r="G21" i="23"/>
  <c r="G33" i="23"/>
  <c r="G24" i="23"/>
  <c r="G29" i="23"/>
  <c r="G22" i="23"/>
  <c r="G20" i="23"/>
  <c r="G365" i="23" l="1"/>
  <c r="G16" i="23"/>
  <c r="G18" i="23"/>
  <c r="G12" i="23"/>
  <c r="AF6" i="23"/>
  <c r="G15" i="23"/>
  <c r="G344" i="23"/>
  <c r="G432" i="23"/>
  <c r="G443" i="23" s="1"/>
  <c r="G17" i="23"/>
  <c r="G417" i="23"/>
  <c r="G404" i="23"/>
  <c r="G450" i="23"/>
  <c r="G61" i="23"/>
  <c r="AH6" i="23"/>
  <c r="G14" i="23"/>
  <c r="G649" i="23"/>
  <c r="AD6" i="23"/>
  <c r="AP6" i="23"/>
  <c r="G650" i="23"/>
  <c r="AL6" i="23"/>
  <c r="G644" i="23"/>
  <c r="AG6" i="23"/>
  <c r="O6" i="23"/>
  <c r="G648" i="23"/>
  <c r="AO6" i="23"/>
  <c r="AK6" i="23"/>
  <c r="G385" i="23"/>
  <c r="AI6" i="23"/>
  <c r="G653" i="23"/>
  <c r="G641" i="23"/>
  <c r="G654" i="23"/>
  <c r="V6" i="23"/>
  <c r="AJ6" i="23"/>
  <c r="G373" i="23"/>
  <c r="X6" i="23"/>
  <c r="AN6" i="23"/>
  <c r="G645" i="23"/>
  <c r="AE6" i="23"/>
  <c r="G643" i="23"/>
  <c r="AB6" i="23"/>
  <c r="U6" i="23"/>
  <c r="G386" i="23"/>
  <c r="G370" i="23"/>
  <c r="Y6" i="23"/>
  <c r="AM6" i="23"/>
  <c r="P6" i="23"/>
  <c r="G647" i="23"/>
  <c r="R6" i="23"/>
  <c r="W6" i="23"/>
  <c r="G388" i="23"/>
  <c r="G391" i="23"/>
  <c r="S6" i="23"/>
  <c r="G651" i="23"/>
  <c r="G646" i="23"/>
  <c r="G652" i="23"/>
  <c r="G377" i="23"/>
  <c r="G371" i="23"/>
  <c r="T6" i="23"/>
  <c r="G598" i="23"/>
  <c r="G384" i="23"/>
  <c r="G606" i="23"/>
  <c r="G595" i="23"/>
  <c r="G374" i="23"/>
  <c r="G596" i="23"/>
  <c r="G381" i="23"/>
  <c r="G602" i="23"/>
  <c r="G369" i="23"/>
  <c r="Q6" i="23"/>
  <c r="G601" i="23"/>
  <c r="G603" i="23"/>
  <c r="G367" i="23"/>
  <c r="AA6" i="23"/>
  <c r="G600" i="23"/>
  <c r="G604" i="23"/>
  <c r="G378" i="23"/>
  <c r="AC6" i="23"/>
  <c r="Z6" i="23"/>
  <c r="G605" i="23"/>
  <c r="G387" i="23"/>
  <c r="G599" i="23"/>
  <c r="G686" i="23"/>
  <c r="G687" i="23"/>
  <c r="G688" i="23"/>
  <c r="G692" i="23"/>
  <c r="G689" i="23"/>
  <c r="G691" i="23"/>
  <c r="G690" i="23"/>
  <c r="G586" i="23"/>
  <c r="G591" i="23"/>
  <c r="G585" i="23"/>
  <c r="G593" i="23"/>
  <c r="G592" i="23"/>
  <c r="G588" i="23"/>
  <c r="G590" i="23"/>
  <c r="G584" i="23"/>
  <c r="G587" i="23"/>
  <c r="G583" i="23"/>
  <c r="G589" i="23"/>
  <c r="G544" i="23"/>
  <c r="G546" i="23"/>
  <c r="G543" i="23"/>
  <c r="G540" i="23"/>
  <c r="G550" i="23"/>
  <c r="G547" i="23"/>
  <c r="G551" i="23"/>
  <c r="G554" i="23"/>
  <c r="G545" i="23"/>
  <c r="G538" i="23"/>
  <c r="G542" i="23"/>
  <c r="G541" i="23"/>
  <c r="G539" i="23"/>
  <c r="G537" i="23"/>
  <c r="G553" i="23"/>
  <c r="G536" i="23"/>
  <c r="G552" i="23"/>
  <c r="G535" i="23"/>
  <c r="G548" i="23"/>
  <c r="G549" i="23"/>
  <c r="G124" i="23"/>
  <c r="G110" i="23"/>
  <c r="G120" i="23"/>
  <c r="G130" i="23"/>
  <c r="G117" i="23"/>
  <c r="G121" i="23"/>
  <c r="G107" i="23"/>
  <c r="G111" i="23"/>
  <c r="G116" i="23"/>
  <c r="G108" i="23"/>
  <c r="G126" i="23"/>
  <c r="G128" i="23"/>
  <c r="G127" i="23"/>
  <c r="G113" i="23"/>
  <c r="G125" i="23"/>
  <c r="G123" i="23"/>
  <c r="G131" i="23"/>
  <c r="G112" i="23"/>
  <c r="G122" i="23"/>
  <c r="G119" i="23"/>
  <c r="G109" i="23"/>
  <c r="G115" i="23"/>
  <c r="G114" i="23"/>
  <c r="G129" i="23"/>
  <c r="G118" i="23"/>
  <c r="G132" i="23"/>
  <c r="G633" i="23"/>
  <c r="G627" i="23"/>
  <c r="G629" i="23"/>
  <c r="G638" i="23"/>
  <c r="G631" i="23"/>
  <c r="G624" i="23"/>
  <c r="G637" i="23"/>
  <c r="G632" i="23"/>
  <c r="G630" i="23"/>
  <c r="G634" i="23"/>
  <c r="G626" i="23"/>
  <c r="G635" i="23"/>
  <c r="G623" i="23"/>
  <c r="G639" i="23"/>
  <c r="G628" i="23"/>
  <c r="G625" i="23"/>
  <c r="G636" i="23"/>
  <c r="G155" i="23"/>
  <c r="G154" i="23"/>
  <c r="G156" i="23"/>
  <c r="G157" i="23"/>
  <c r="G149" i="23"/>
  <c r="G148" i="23"/>
  <c r="G151" i="23"/>
  <c r="G146" i="23"/>
  <c r="G153" i="23"/>
  <c r="G152" i="23"/>
  <c r="G147" i="23"/>
  <c r="G150" i="23"/>
  <c r="G185" i="23"/>
  <c r="G178" i="23"/>
  <c r="G182" i="23"/>
  <c r="G184" i="23"/>
  <c r="G180" i="23"/>
  <c r="G188" i="23"/>
  <c r="G189" i="23"/>
  <c r="G175" i="23"/>
  <c r="G174" i="23"/>
  <c r="G183" i="23"/>
  <c r="G186" i="23"/>
  <c r="G177" i="23"/>
  <c r="G181" i="23"/>
  <c r="G179" i="23"/>
  <c r="G190" i="23"/>
  <c r="G187" i="23"/>
  <c r="G176" i="23"/>
  <c r="G697" i="23"/>
  <c r="G698" i="23"/>
  <c r="G696" i="23"/>
  <c r="G695" i="23"/>
  <c r="G694" i="23"/>
  <c r="G161" i="23"/>
  <c r="G165" i="23"/>
  <c r="G167" i="23"/>
  <c r="G163" i="23"/>
  <c r="G159" i="23"/>
  <c r="G171" i="23"/>
  <c r="G172" i="23"/>
  <c r="G160" i="23"/>
  <c r="G162" i="23"/>
  <c r="G169" i="23"/>
  <c r="G170" i="23"/>
  <c r="G166" i="23"/>
  <c r="G168" i="23"/>
  <c r="G164" i="23"/>
  <c r="G64" i="23"/>
  <c r="G63" i="23"/>
  <c r="G311" i="23"/>
  <c r="G310" i="23"/>
  <c r="G312" i="23"/>
  <c r="G313" i="23"/>
  <c r="G315" i="23"/>
  <c r="G316" i="23"/>
  <c r="G314" i="23"/>
  <c r="G54" i="23"/>
  <c r="G52" i="23"/>
  <c r="G50" i="23"/>
  <c r="G55" i="23"/>
  <c r="G49" i="23"/>
  <c r="G53" i="23"/>
  <c r="G51" i="23"/>
  <c r="G58" i="23"/>
  <c r="G67" i="23" s="1"/>
  <c r="G57" i="23"/>
  <c r="G66" i="23" s="1"/>
  <c r="G60" i="23"/>
  <c r="G69" i="23" s="1"/>
  <c r="G59" i="23"/>
  <c r="G68" i="23" s="1"/>
  <c r="G65" i="23"/>
  <c r="G497" i="23"/>
  <c r="G498" i="23"/>
  <c r="G496" i="23"/>
  <c r="G500" i="23"/>
  <c r="G502" i="23"/>
  <c r="G499" i="23"/>
  <c r="G501" i="23"/>
  <c r="G616" i="23"/>
  <c r="G614" i="23"/>
  <c r="G612" i="23"/>
  <c r="G610" i="23"/>
  <c r="G620" i="23"/>
  <c r="G617" i="23"/>
  <c r="G613" i="23"/>
  <c r="G618" i="23"/>
  <c r="G621" i="23"/>
  <c r="G608" i="23"/>
  <c r="G615" i="23"/>
  <c r="G609" i="23"/>
  <c r="G619" i="23"/>
  <c r="G611" i="23"/>
  <c r="G144" i="23"/>
  <c r="G142" i="23"/>
  <c r="G136" i="23"/>
  <c r="G143" i="23"/>
  <c r="G139" i="23"/>
  <c r="G137" i="23"/>
  <c r="G140" i="23"/>
  <c r="G134" i="23"/>
  <c r="G138" i="23"/>
  <c r="G135" i="23"/>
  <c r="G141" i="23"/>
  <c r="G198" i="23"/>
  <c r="G203" i="23"/>
  <c r="G202" i="23"/>
  <c r="G194" i="23"/>
  <c r="G192" i="23"/>
  <c r="G205" i="23"/>
  <c r="G197" i="23"/>
  <c r="G201" i="23"/>
  <c r="G195" i="23"/>
  <c r="G200" i="23"/>
  <c r="G196" i="23"/>
  <c r="G199" i="23"/>
  <c r="G204" i="23"/>
  <c r="G193" i="23"/>
  <c r="G237" i="23"/>
  <c r="G236" i="23"/>
  <c r="G238" i="23"/>
  <c r="G240" i="23"/>
  <c r="G241" i="23"/>
  <c r="G239" i="23"/>
  <c r="G242" i="23"/>
  <c r="G226" i="23"/>
  <c r="G233" i="23"/>
  <c r="G224" i="23"/>
  <c r="G231" i="23"/>
  <c r="G229" i="23"/>
  <c r="G232" i="23"/>
  <c r="G228" i="23"/>
  <c r="G225" i="23"/>
  <c r="G230" i="23"/>
  <c r="G234" i="23"/>
  <c r="G227" i="23"/>
  <c r="G252" i="23"/>
  <c r="G251" i="23"/>
  <c r="G250" i="23"/>
  <c r="G247" i="23"/>
  <c r="G248" i="23"/>
  <c r="G244" i="23"/>
  <c r="G245" i="23"/>
  <c r="G246" i="23"/>
  <c r="G424" i="23"/>
  <c r="G426" i="23"/>
  <c r="G422" i="23"/>
  <c r="G420" i="23"/>
  <c r="G423" i="23"/>
  <c r="G421" i="23"/>
  <c r="G427" i="23"/>
  <c r="G418" i="23"/>
  <c r="G425" i="23"/>
  <c r="G419" i="23"/>
  <c r="G429" i="23"/>
  <c r="G431" i="23"/>
  <c r="G430" i="23"/>
  <c r="G428" i="23"/>
  <c r="G493" i="23"/>
  <c r="G486" i="23"/>
  <c r="G487" i="23"/>
  <c r="G484" i="23"/>
  <c r="G488" i="23"/>
  <c r="G492" i="23"/>
  <c r="G494" i="23"/>
  <c r="G491" i="23"/>
  <c r="G489" i="23"/>
  <c r="G490" i="23"/>
  <c r="G485" i="23"/>
  <c r="G683" i="23"/>
  <c r="G676" i="23"/>
  <c r="G677" i="23"/>
  <c r="G682" i="23"/>
  <c r="G679" i="23"/>
  <c r="G680" i="23"/>
  <c r="G675" i="23"/>
  <c r="G681" i="23"/>
  <c r="G678" i="23"/>
  <c r="G684" i="23"/>
  <c r="G674" i="23"/>
  <c r="G89" i="23"/>
  <c r="G98" i="23"/>
  <c r="G94" i="23"/>
  <c r="G87" i="23"/>
  <c r="G90" i="23"/>
  <c r="G101" i="23"/>
  <c r="G91" i="23"/>
  <c r="G103" i="23"/>
  <c r="G93" i="23"/>
  <c r="G92" i="23"/>
  <c r="G100" i="23"/>
  <c r="G88" i="23"/>
  <c r="G86" i="23"/>
  <c r="G105" i="23"/>
  <c r="G95" i="23"/>
  <c r="G97" i="23"/>
  <c r="G99" i="23"/>
  <c r="G96" i="23"/>
  <c r="G102" i="23"/>
  <c r="G104" i="23"/>
  <c r="G439" i="23"/>
  <c r="G434" i="23"/>
  <c r="G437" i="23"/>
  <c r="G445" i="23"/>
  <c r="G441" i="23"/>
  <c r="G447" i="23"/>
  <c r="G448" i="23"/>
  <c r="G440" i="23"/>
  <c r="G444" i="23"/>
  <c r="G442" i="23"/>
  <c r="G433" i="23"/>
  <c r="G436" i="23"/>
  <c r="G446" i="23"/>
  <c r="G438" i="23"/>
  <c r="G449" i="23"/>
  <c r="G435" i="23"/>
  <c r="G512" i="23"/>
  <c r="G511" i="23"/>
  <c r="G510" i="23"/>
  <c r="G402" i="23"/>
  <c r="G398" i="23"/>
  <c r="G396" i="23"/>
  <c r="G403" i="23"/>
  <c r="G395" i="23"/>
  <c r="G401" i="23"/>
  <c r="G393" i="23"/>
  <c r="G394" i="23"/>
  <c r="G397" i="23"/>
  <c r="G400" i="23"/>
  <c r="G399" i="23"/>
  <c r="G507" i="23"/>
  <c r="G508" i="23"/>
  <c r="G505" i="23"/>
  <c r="G504" i="23"/>
  <c r="G506" i="23"/>
  <c r="N6" i="23"/>
  <c r="G326" i="23"/>
  <c r="G325" i="23"/>
  <c r="G324" i="23"/>
  <c r="G322" i="23"/>
  <c r="G321" i="23"/>
  <c r="G320" i="23"/>
  <c r="G319" i="23"/>
  <c r="G318" i="23"/>
  <c r="G300" i="23"/>
  <c r="G307" i="23"/>
  <c r="G306" i="23"/>
  <c r="G298" i="23"/>
  <c r="G303" i="23"/>
  <c r="G301" i="23"/>
  <c r="G302" i="23"/>
  <c r="G305" i="23"/>
  <c r="G304" i="23"/>
  <c r="G299" i="23"/>
  <c r="G308" i="23"/>
  <c r="G38" i="23"/>
  <c r="G42" i="23"/>
  <c r="G47" i="23"/>
  <c r="G41" i="23"/>
  <c r="G45" i="23"/>
  <c r="G43" i="23"/>
  <c r="G37" i="23"/>
  <c r="G44" i="23"/>
  <c r="G46" i="23"/>
  <c r="G40" i="23"/>
  <c r="G39" i="23"/>
  <c r="G345" i="23"/>
  <c r="G351" i="23"/>
  <c r="G353" i="23"/>
  <c r="G352" i="23"/>
  <c r="G364" i="23"/>
  <c r="G346" i="23"/>
  <c r="G362" i="23"/>
  <c r="G361" i="23"/>
  <c r="G347" i="23"/>
  <c r="G354" i="23"/>
  <c r="G359" i="23"/>
  <c r="G349" i="23"/>
  <c r="G358" i="23"/>
  <c r="G350" i="23"/>
  <c r="G355" i="23"/>
  <c r="G357" i="23"/>
  <c r="G348" i="23"/>
  <c r="G363" i="23"/>
  <c r="G360" i="23"/>
  <c r="G356" i="23"/>
  <c r="G701" i="23"/>
  <c r="G702" i="23"/>
  <c r="G700" i="23"/>
  <c r="G375" i="23" l="1"/>
  <c r="G389" i="23"/>
  <c r="G379" i="23"/>
  <c r="G383" i="23"/>
  <c r="G368" i="23"/>
  <c r="G380" i="23"/>
  <c r="G382" i="23"/>
  <c r="G390" i="23"/>
  <c r="G366" i="23"/>
  <c r="G376" i="23"/>
  <c r="G372" i="23"/>
  <c r="G416" i="23"/>
  <c r="G407" i="23"/>
  <c r="G411" i="23"/>
  <c r="G405" i="23"/>
  <c r="G413" i="23"/>
  <c r="G410" i="23"/>
  <c r="G406" i="23"/>
  <c r="G408" i="23"/>
  <c r="G412" i="23"/>
  <c r="G409" i="23"/>
  <c r="G415" i="23"/>
  <c r="G414" i="23"/>
  <c r="G462" i="23"/>
  <c r="G456" i="23"/>
  <c r="G452" i="23"/>
  <c r="G453" i="23"/>
  <c r="G464" i="23"/>
  <c r="G454" i="23"/>
  <c r="G459" i="23"/>
  <c r="G451" i="23"/>
  <c r="G458" i="23"/>
  <c r="G457" i="23"/>
  <c r="G460" i="23"/>
  <c r="G461" i="23"/>
  <c r="G455" i="23"/>
  <c r="G463" i="23"/>
  <c r="M793" i="18"/>
  <c r="M780" i="18"/>
  <c r="L780" i="18"/>
  <c r="M741" i="18"/>
  <c r="L741" i="18"/>
  <c r="L720" i="18"/>
  <c r="M720" i="18"/>
  <c r="K528" i="18"/>
  <c r="J528" i="18"/>
  <c r="I528" i="18"/>
  <c r="H528" i="18"/>
  <c r="L528" i="18" l="1"/>
  <c r="M528" i="18"/>
  <c r="Q808" i="18"/>
  <c r="G11" i="25" s="1"/>
  <c r="Q793" i="18"/>
  <c r="G10" i="25" s="1"/>
  <c r="Q780" i="18"/>
  <c r="G9" i="25" s="1"/>
  <c r="Q741" i="18"/>
  <c r="G7" i="25" s="1"/>
  <c r="Q720" i="18"/>
  <c r="G6" i="25" s="1"/>
  <c r="Q7" i="18"/>
  <c r="Q11" i="18"/>
  <c r="Q36" i="18"/>
  <c r="Q48" i="18"/>
  <c r="Q56" i="18"/>
  <c r="Q841" i="18"/>
  <c r="Q889" i="18"/>
  <c r="Q904" i="18"/>
  <c r="Q909" i="18"/>
  <c r="W911" i="18"/>
  <c r="W910" i="18"/>
  <c r="W908" i="18"/>
  <c r="W907" i="18"/>
  <c r="W906" i="18"/>
  <c r="W905" i="18"/>
  <c r="W903" i="18"/>
  <c r="W902" i="18"/>
  <c r="W901" i="18"/>
  <c r="W900" i="18"/>
  <c r="W899" i="18"/>
  <c r="W898" i="18"/>
  <c r="W897" i="18"/>
  <c r="W896" i="18"/>
  <c r="W895" i="18"/>
  <c r="W894" i="18"/>
  <c r="W893" i="18"/>
  <c r="W892" i="18"/>
  <c r="W890" i="18"/>
  <c r="W888" i="18"/>
  <c r="W887" i="18"/>
  <c r="W886" i="18"/>
  <c r="W884" i="18"/>
  <c r="W883" i="18"/>
  <c r="W882" i="18"/>
  <c r="W881" i="18"/>
  <c r="W880" i="18"/>
  <c r="W878" i="18"/>
  <c r="W877" i="18"/>
  <c r="W876" i="18"/>
  <c r="W875" i="18"/>
  <c r="W874" i="18"/>
  <c r="W873" i="18"/>
  <c r="W872" i="18"/>
  <c r="W870" i="18"/>
  <c r="W869" i="18"/>
  <c r="W868" i="18"/>
  <c r="W867" i="18"/>
  <c r="W866" i="18"/>
  <c r="W865" i="18"/>
  <c r="W864" i="18"/>
  <c r="W863" i="18"/>
  <c r="W862" i="18"/>
  <c r="W861" i="18"/>
  <c r="W860" i="18"/>
  <c r="W857" i="18"/>
  <c r="W856" i="18"/>
  <c r="W855" i="18"/>
  <c r="W854" i="18"/>
  <c r="W853" i="18"/>
  <c r="W852" i="18"/>
  <c r="W851" i="18"/>
  <c r="W850" i="18"/>
  <c r="W849" i="18"/>
  <c r="W848" i="18"/>
  <c r="W847" i="18"/>
  <c r="W846" i="18"/>
  <c r="W845" i="18"/>
  <c r="W844" i="18"/>
  <c r="W843" i="18"/>
  <c r="W840" i="18"/>
  <c r="W839" i="18"/>
  <c r="W838" i="18"/>
  <c r="W837" i="18"/>
  <c r="W836" i="18"/>
  <c r="W835" i="18"/>
  <c r="W834" i="18"/>
  <c r="W833" i="18"/>
  <c r="W832" i="18"/>
  <c r="W831" i="18"/>
  <c r="W830" i="18"/>
  <c r="W829" i="18"/>
  <c r="W828" i="18"/>
  <c r="W827" i="18"/>
  <c r="W826" i="18"/>
  <c r="W825" i="18"/>
  <c r="W824" i="18"/>
  <c r="W823" i="18"/>
  <c r="W822" i="18"/>
  <c r="W821" i="18"/>
  <c r="W820" i="18"/>
  <c r="W819" i="18"/>
  <c r="W818" i="18"/>
  <c r="W817" i="18"/>
  <c r="W816" i="18"/>
  <c r="W815" i="18"/>
  <c r="W814" i="18"/>
  <c r="W813" i="18"/>
  <c r="W812" i="18"/>
  <c r="W811" i="18"/>
  <c r="W810" i="18"/>
  <c r="W809" i="18"/>
  <c r="W808" i="18"/>
  <c r="W807" i="18"/>
  <c r="W806" i="18"/>
  <c r="W805" i="18"/>
  <c r="W804" i="18"/>
  <c r="W803" i="18"/>
  <c r="W802" i="18"/>
  <c r="W801" i="18"/>
  <c r="W800" i="18"/>
  <c r="W799" i="18"/>
  <c r="W798" i="18"/>
  <c r="W797" i="18"/>
  <c r="W796" i="18"/>
  <c r="W795" i="18"/>
  <c r="W794" i="18"/>
  <c r="W793" i="18"/>
  <c r="W792" i="18"/>
  <c r="W791" i="18"/>
  <c r="W790" i="18"/>
  <c r="W789" i="18"/>
  <c r="W788" i="18"/>
  <c r="W787" i="18"/>
  <c r="W786" i="18"/>
  <c r="W785" i="18"/>
  <c r="W784" i="18"/>
  <c r="W783" i="18"/>
  <c r="W782" i="18"/>
  <c r="W781" i="18"/>
  <c r="W780" i="18"/>
  <c r="W779" i="18"/>
  <c r="W778" i="18"/>
  <c r="W777" i="18"/>
  <c r="W776" i="18"/>
  <c r="W775" i="18"/>
  <c r="W774" i="18"/>
  <c r="W773" i="18"/>
  <c r="W772" i="18"/>
  <c r="W771" i="18"/>
  <c r="W770" i="18"/>
  <c r="W769" i="18"/>
  <c r="W768" i="18"/>
  <c r="W767" i="18"/>
  <c r="W766" i="18"/>
  <c r="W765" i="18"/>
  <c r="W764" i="18"/>
  <c r="W763" i="18"/>
  <c r="W762" i="18"/>
  <c r="W761" i="18"/>
  <c r="W760" i="18"/>
  <c r="W759" i="18"/>
  <c r="W758" i="18"/>
  <c r="W757" i="18"/>
  <c r="W756" i="18"/>
  <c r="W755" i="18"/>
  <c r="W754" i="18"/>
  <c r="W753" i="18"/>
  <c r="W752" i="18"/>
  <c r="W751" i="18"/>
  <c r="W750" i="18"/>
  <c r="W749" i="18"/>
  <c r="W748" i="18"/>
  <c r="W747" i="18"/>
  <c r="W746" i="18"/>
  <c r="W745" i="18"/>
  <c r="W744" i="18"/>
  <c r="W743" i="18"/>
  <c r="W742" i="18"/>
  <c r="W741" i="18"/>
  <c r="W740" i="18"/>
  <c r="W739" i="18"/>
  <c r="W738" i="18"/>
  <c r="W737" i="18"/>
  <c r="W736" i="18"/>
  <c r="W735" i="18"/>
  <c r="W734" i="18"/>
  <c r="W733" i="18"/>
  <c r="W732" i="18"/>
  <c r="W731" i="18"/>
  <c r="W730" i="18"/>
  <c r="W729" i="18"/>
  <c r="W728" i="18"/>
  <c r="W727" i="18"/>
  <c r="W726" i="18"/>
  <c r="W725" i="18"/>
  <c r="W724" i="18"/>
  <c r="W723" i="18"/>
  <c r="W722" i="18"/>
  <c r="W721" i="18"/>
  <c r="W720" i="18"/>
  <c r="W717" i="18"/>
  <c r="W716" i="18"/>
  <c r="W715" i="18"/>
  <c r="W714" i="18"/>
  <c r="W713" i="18"/>
  <c r="W712" i="18"/>
  <c r="W711" i="18"/>
  <c r="W710" i="18"/>
  <c r="W709" i="18"/>
  <c r="W708" i="18"/>
  <c r="W707" i="18"/>
  <c r="W706" i="18"/>
  <c r="W704" i="18"/>
  <c r="W702" i="18"/>
  <c r="W701" i="18"/>
  <c r="W700" i="18"/>
  <c r="W698" i="18"/>
  <c r="W697" i="18"/>
  <c r="W696" i="18"/>
  <c r="W695" i="18"/>
  <c r="W694" i="18"/>
  <c r="W692" i="18"/>
  <c r="W691" i="18"/>
  <c r="W690" i="18"/>
  <c r="W689" i="18"/>
  <c r="W688" i="18"/>
  <c r="W687" i="18"/>
  <c r="W686" i="18"/>
  <c r="W684" i="18"/>
  <c r="W683" i="18"/>
  <c r="W682" i="18"/>
  <c r="W681" i="18"/>
  <c r="W680" i="18"/>
  <c r="W679" i="18"/>
  <c r="W678" i="18"/>
  <c r="W677" i="18"/>
  <c r="W676" i="18"/>
  <c r="W675" i="18"/>
  <c r="W674" i="18"/>
  <c r="W671" i="18"/>
  <c r="W670" i="18"/>
  <c r="W669" i="18"/>
  <c r="W668" i="18"/>
  <c r="W667" i="18"/>
  <c r="W666" i="18"/>
  <c r="W665" i="18"/>
  <c r="W664" i="18"/>
  <c r="W663" i="18"/>
  <c r="W662" i="18"/>
  <c r="W661" i="18"/>
  <c r="W660" i="18"/>
  <c r="W659" i="18"/>
  <c r="W658" i="18"/>
  <c r="W657" i="18"/>
  <c r="W655" i="18"/>
  <c r="W654" i="18"/>
  <c r="W653" i="18"/>
  <c r="W652" i="18"/>
  <c r="W651" i="18"/>
  <c r="W650" i="18"/>
  <c r="W649" i="18"/>
  <c r="W648" i="18"/>
  <c r="W647" i="18"/>
  <c r="W646" i="18"/>
  <c r="W645" i="18"/>
  <c r="W644" i="18"/>
  <c r="W643" i="18"/>
  <c r="W642" i="18"/>
  <c r="W641" i="18"/>
  <c r="W639" i="18"/>
  <c r="W638" i="18"/>
  <c r="W637" i="18"/>
  <c r="W636" i="18"/>
  <c r="W635" i="18"/>
  <c r="W634" i="18"/>
  <c r="W633" i="18"/>
  <c r="W632" i="18"/>
  <c r="W631" i="18"/>
  <c r="W630" i="18"/>
  <c r="W629" i="18"/>
  <c r="W628" i="18"/>
  <c r="W627" i="18"/>
  <c r="W626" i="18"/>
  <c r="W625" i="18"/>
  <c r="W624" i="18"/>
  <c r="W623" i="18"/>
  <c r="W621" i="18"/>
  <c r="W620" i="18"/>
  <c r="W619" i="18"/>
  <c r="W618" i="18"/>
  <c r="W617" i="18"/>
  <c r="W616" i="18"/>
  <c r="W615" i="18"/>
  <c r="W614" i="18"/>
  <c r="W613" i="18"/>
  <c r="W612" i="18"/>
  <c r="W611" i="18"/>
  <c r="W610" i="18"/>
  <c r="W609" i="18"/>
  <c r="W608" i="18"/>
  <c r="W606" i="18"/>
  <c r="W605" i="18"/>
  <c r="W604" i="18"/>
  <c r="W603" i="18"/>
  <c r="W602" i="18"/>
  <c r="W601" i="18"/>
  <c r="W600" i="18"/>
  <c r="W599" i="18"/>
  <c r="W598" i="18"/>
  <c r="W597" i="18"/>
  <c r="W596" i="18"/>
  <c r="W595" i="18"/>
  <c r="W593" i="18"/>
  <c r="W592" i="18"/>
  <c r="W591" i="18"/>
  <c r="W590" i="18"/>
  <c r="W589" i="18"/>
  <c r="W588" i="18"/>
  <c r="W587" i="18"/>
  <c r="W586" i="18"/>
  <c r="W585" i="18"/>
  <c r="W584" i="18"/>
  <c r="W583" i="18"/>
  <c r="W581" i="18"/>
  <c r="W580" i="18"/>
  <c r="W579" i="18"/>
  <c r="W578" i="18"/>
  <c r="W577" i="18"/>
  <c r="W576" i="18"/>
  <c r="W575" i="18"/>
  <c r="W574" i="18"/>
  <c r="W573" i="18"/>
  <c r="W572" i="18"/>
  <c r="W571" i="18"/>
  <c r="W570" i="18"/>
  <c r="W569" i="18"/>
  <c r="W568" i="18"/>
  <c r="W567" i="18"/>
  <c r="W566" i="18"/>
  <c r="W565" i="18"/>
  <c r="W564" i="18"/>
  <c r="W563" i="18"/>
  <c r="W562" i="18"/>
  <c r="W561" i="18"/>
  <c r="W560" i="18"/>
  <c r="W559" i="18"/>
  <c r="W558" i="18"/>
  <c r="W557" i="18"/>
  <c r="W556" i="18"/>
  <c r="W554" i="18"/>
  <c r="W553" i="18"/>
  <c r="W552" i="18"/>
  <c r="W551" i="18"/>
  <c r="W550" i="18"/>
  <c r="W549" i="18"/>
  <c r="W548" i="18"/>
  <c r="W547" i="18"/>
  <c r="W546" i="18"/>
  <c r="W545" i="18"/>
  <c r="W544" i="18"/>
  <c r="W543" i="18"/>
  <c r="W542" i="18"/>
  <c r="W541" i="18"/>
  <c r="W540" i="18"/>
  <c r="W539" i="18"/>
  <c r="W538" i="18"/>
  <c r="W537" i="18"/>
  <c r="W536" i="18"/>
  <c r="W535" i="18"/>
  <c r="W531" i="18"/>
  <c r="W530" i="18"/>
  <c r="W527" i="18"/>
  <c r="W526" i="18"/>
  <c r="W525" i="18"/>
  <c r="W524" i="18"/>
  <c r="W523" i="18"/>
  <c r="W522" i="18"/>
  <c r="W521" i="18"/>
  <c r="W520" i="18"/>
  <c r="W519" i="18"/>
  <c r="W518" i="18"/>
  <c r="W517" i="18"/>
  <c r="W516" i="18"/>
  <c r="W514" i="18"/>
  <c r="W512" i="18"/>
  <c r="W511" i="18"/>
  <c r="W510" i="18"/>
  <c r="W508" i="18"/>
  <c r="W507" i="18"/>
  <c r="W506" i="18"/>
  <c r="W505" i="18"/>
  <c r="W504" i="18"/>
  <c r="W502" i="18"/>
  <c r="W501" i="18"/>
  <c r="W500" i="18"/>
  <c r="W499" i="18"/>
  <c r="W498" i="18"/>
  <c r="W497" i="18"/>
  <c r="W496" i="18"/>
  <c r="W494" i="18"/>
  <c r="W493" i="18"/>
  <c r="W492" i="18"/>
  <c r="W491" i="18"/>
  <c r="W490" i="18"/>
  <c r="W489" i="18"/>
  <c r="W488" i="18"/>
  <c r="W487" i="18"/>
  <c r="W486" i="18"/>
  <c r="W485" i="18"/>
  <c r="W484" i="18"/>
  <c r="W481" i="18"/>
  <c r="W480" i="18"/>
  <c r="W479" i="18"/>
  <c r="W478" i="18"/>
  <c r="W477" i="18"/>
  <c r="W476" i="18"/>
  <c r="W475" i="18"/>
  <c r="W474" i="18"/>
  <c r="W473" i="18"/>
  <c r="W472" i="18"/>
  <c r="W471" i="18"/>
  <c r="W470" i="18"/>
  <c r="W469" i="18"/>
  <c r="W468" i="18"/>
  <c r="W467" i="18"/>
  <c r="W465" i="18"/>
  <c r="W464" i="18"/>
  <c r="W463" i="18"/>
  <c r="W462" i="18"/>
  <c r="W461" i="18"/>
  <c r="W460" i="18"/>
  <c r="W459" i="18"/>
  <c r="W458" i="18"/>
  <c r="W457" i="18"/>
  <c r="W456" i="18"/>
  <c r="W455" i="18"/>
  <c r="W454" i="18"/>
  <c r="W453" i="18"/>
  <c r="W452" i="18"/>
  <c r="W451" i="18"/>
  <c r="W449" i="18"/>
  <c r="W448" i="18"/>
  <c r="W447" i="18"/>
  <c r="W446" i="18"/>
  <c r="W445" i="18"/>
  <c r="W444" i="18"/>
  <c r="W443" i="18"/>
  <c r="W442" i="18"/>
  <c r="W441" i="18"/>
  <c r="W440" i="18"/>
  <c r="W439" i="18"/>
  <c r="W438" i="18"/>
  <c r="W437" i="18"/>
  <c r="W436" i="18"/>
  <c r="W435" i="18"/>
  <c r="W434" i="18"/>
  <c r="W433" i="18"/>
  <c r="W431" i="18"/>
  <c r="W430" i="18"/>
  <c r="W429" i="18"/>
  <c r="W428" i="18"/>
  <c r="W427" i="18"/>
  <c r="W426" i="18"/>
  <c r="W425" i="18"/>
  <c r="W424" i="18"/>
  <c r="W423" i="18"/>
  <c r="W422" i="18"/>
  <c r="W421" i="18"/>
  <c r="W420" i="18"/>
  <c r="W419" i="18"/>
  <c r="W418" i="18"/>
  <c r="W416" i="18"/>
  <c r="W415" i="18"/>
  <c r="W414" i="18"/>
  <c r="W413" i="18"/>
  <c r="W412" i="18"/>
  <c r="W411" i="18"/>
  <c r="W410" i="18"/>
  <c r="W409" i="18"/>
  <c r="W408" i="18"/>
  <c r="W407" i="18"/>
  <c r="W406" i="18"/>
  <c r="W405" i="18"/>
  <c r="W403" i="18"/>
  <c r="W402" i="18"/>
  <c r="W401" i="18"/>
  <c r="W400" i="18"/>
  <c r="W399" i="18"/>
  <c r="W398" i="18"/>
  <c r="W397" i="18"/>
  <c r="W396" i="18"/>
  <c r="W395" i="18"/>
  <c r="W394" i="18"/>
  <c r="W393" i="18"/>
  <c r="W391" i="18"/>
  <c r="W390" i="18"/>
  <c r="W389" i="18"/>
  <c r="W388" i="18"/>
  <c r="W387" i="18"/>
  <c r="W386" i="18"/>
  <c r="W385" i="18"/>
  <c r="W384" i="18"/>
  <c r="W383" i="18"/>
  <c r="W382" i="18"/>
  <c r="W381" i="18"/>
  <c r="W380" i="18"/>
  <c r="W379" i="18"/>
  <c r="W378" i="18"/>
  <c r="W377" i="18"/>
  <c r="W376" i="18"/>
  <c r="W375" i="18"/>
  <c r="W374" i="18"/>
  <c r="W373" i="18"/>
  <c r="W372" i="18"/>
  <c r="W371" i="18"/>
  <c r="W370" i="18"/>
  <c r="W369" i="18"/>
  <c r="W368" i="18"/>
  <c r="W367" i="18"/>
  <c r="W366" i="18"/>
  <c r="W364" i="18"/>
  <c r="W363" i="18"/>
  <c r="W362" i="18"/>
  <c r="W361" i="18"/>
  <c r="W360" i="18"/>
  <c r="W359" i="18"/>
  <c r="W358" i="18"/>
  <c r="W357" i="18"/>
  <c r="W356" i="18"/>
  <c r="W355" i="18"/>
  <c r="W354" i="18"/>
  <c r="W353" i="18"/>
  <c r="W352" i="18"/>
  <c r="W351" i="18"/>
  <c r="W350" i="18"/>
  <c r="W349" i="18"/>
  <c r="W348" i="18"/>
  <c r="W347" i="18"/>
  <c r="W346" i="18"/>
  <c r="W345" i="18"/>
  <c r="W341" i="18"/>
  <c r="W340" i="18"/>
  <c r="W339" i="18"/>
  <c r="W338" i="18"/>
  <c r="W337" i="18"/>
  <c r="W336" i="18"/>
  <c r="W335" i="18"/>
  <c r="W334" i="18"/>
  <c r="W333" i="18"/>
  <c r="W332" i="18"/>
  <c r="W331" i="18"/>
  <c r="W330" i="18"/>
  <c r="W328" i="18"/>
  <c r="W326" i="18"/>
  <c r="W325" i="18"/>
  <c r="W324" i="18"/>
  <c r="W322" i="18"/>
  <c r="W321" i="18"/>
  <c r="W320" i="18"/>
  <c r="W319" i="18"/>
  <c r="W318" i="18"/>
  <c r="W316" i="18"/>
  <c r="W315" i="18"/>
  <c r="W314" i="18"/>
  <c r="W313" i="18"/>
  <c r="W312" i="18"/>
  <c r="W311" i="18"/>
  <c r="W310" i="18"/>
  <c r="W308" i="18"/>
  <c r="W307" i="18"/>
  <c r="W306" i="18"/>
  <c r="W305" i="18"/>
  <c r="W304" i="18"/>
  <c r="W303" i="18"/>
  <c r="W302" i="18"/>
  <c r="W301" i="18"/>
  <c r="W300" i="18"/>
  <c r="W299" i="18"/>
  <c r="W298" i="18"/>
  <c r="W295" i="18"/>
  <c r="W294" i="18"/>
  <c r="W293" i="18"/>
  <c r="W292" i="18"/>
  <c r="W291" i="18"/>
  <c r="W290" i="18"/>
  <c r="W289" i="18"/>
  <c r="W288" i="18"/>
  <c r="W287" i="18"/>
  <c r="W286" i="18"/>
  <c r="W285" i="18"/>
  <c r="W284" i="18"/>
  <c r="W283" i="18"/>
  <c r="W282" i="18"/>
  <c r="W281" i="18"/>
  <c r="W279" i="18"/>
  <c r="W278" i="18"/>
  <c r="W277" i="18"/>
  <c r="W276" i="18"/>
  <c r="W275" i="18"/>
  <c r="W274" i="18"/>
  <c r="W273" i="18"/>
  <c r="W272" i="18"/>
  <c r="W269" i="18"/>
  <c r="W267" i="18"/>
  <c r="W266" i="18"/>
  <c r="W265" i="18"/>
  <c r="W264" i="18"/>
  <c r="W263" i="18"/>
  <c r="W262" i="18"/>
  <c r="W261" i="18"/>
  <c r="W260" i="18"/>
  <c r="W259" i="18"/>
  <c r="W258" i="18"/>
  <c r="W257" i="18"/>
  <c r="W256" i="18"/>
  <c r="W254" i="18"/>
  <c r="W252" i="18"/>
  <c r="W251" i="18"/>
  <c r="W250" i="18"/>
  <c r="W248" i="18"/>
  <c r="W247" i="18"/>
  <c r="W246" i="18"/>
  <c r="W245" i="18"/>
  <c r="W244" i="18"/>
  <c r="W242" i="18"/>
  <c r="W241" i="18"/>
  <c r="W240" i="18"/>
  <c r="W239" i="18"/>
  <c r="W238" i="18"/>
  <c r="W237" i="18"/>
  <c r="W236" i="18"/>
  <c r="W234" i="18"/>
  <c r="W233" i="18"/>
  <c r="W232" i="18"/>
  <c r="W231" i="18"/>
  <c r="W230" i="18"/>
  <c r="W229" i="18"/>
  <c r="W228" i="18"/>
  <c r="W227" i="18"/>
  <c r="W226" i="18"/>
  <c r="W225" i="18"/>
  <c r="W224" i="18"/>
  <c r="W221" i="18"/>
  <c r="W220" i="18"/>
  <c r="W219" i="18"/>
  <c r="W218" i="18"/>
  <c r="W217" i="18"/>
  <c r="W216" i="18"/>
  <c r="W215" i="18"/>
  <c r="W214" i="18"/>
  <c r="W213" i="18"/>
  <c r="W212" i="18"/>
  <c r="W211" i="18"/>
  <c r="W210" i="18"/>
  <c r="W209" i="18"/>
  <c r="W208" i="18"/>
  <c r="W207" i="18"/>
  <c r="W205" i="18"/>
  <c r="W204" i="18"/>
  <c r="W203" i="18"/>
  <c r="W202" i="18"/>
  <c r="W201" i="18"/>
  <c r="W200" i="18"/>
  <c r="W199" i="18"/>
  <c r="W198" i="18"/>
  <c r="W197" i="18"/>
  <c r="W196" i="18"/>
  <c r="W195" i="18"/>
  <c r="W194" i="18"/>
  <c r="W193" i="18"/>
  <c r="W192" i="18"/>
  <c r="W190" i="18"/>
  <c r="W189" i="18"/>
  <c r="W188" i="18"/>
  <c r="W187" i="18"/>
  <c r="W186" i="18"/>
  <c r="W185" i="18"/>
  <c r="W184" i="18"/>
  <c r="W183" i="18"/>
  <c r="W182" i="18"/>
  <c r="W181" i="18"/>
  <c r="W180" i="18"/>
  <c r="W179" i="18"/>
  <c r="W178" i="18"/>
  <c r="W177" i="18"/>
  <c r="W176" i="18"/>
  <c r="W175" i="18"/>
  <c r="W174" i="18"/>
  <c r="W172" i="18"/>
  <c r="W171" i="18"/>
  <c r="W170" i="18"/>
  <c r="W169" i="18"/>
  <c r="W168" i="18"/>
  <c r="W167" i="18"/>
  <c r="W166" i="18"/>
  <c r="W165" i="18"/>
  <c r="W164" i="18"/>
  <c r="W163" i="18"/>
  <c r="W162" i="18"/>
  <c r="W161" i="18"/>
  <c r="W160" i="18"/>
  <c r="W159" i="18"/>
  <c r="W157" i="18"/>
  <c r="W156" i="18"/>
  <c r="W155" i="18"/>
  <c r="W154" i="18"/>
  <c r="W153" i="18"/>
  <c r="W152" i="18"/>
  <c r="W151" i="18"/>
  <c r="W150" i="18"/>
  <c r="W149" i="18"/>
  <c r="W148" i="18"/>
  <c r="W147" i="18"/>
  <c r="W146" i="18"/>
  <c r="W144" i="18"/>
  <c r="W143" i="18"/>
  <c r="W142" i="18"/>
  <c r="W141" i="18"/>
  <c r="W140" i="18"/>
  <c r="W139" i="18"/>
  <c r="W138" i="18"/>
  <c r="W137" i="18"/>
  <c r="W136" i="18"/>
  <c r="W135" i="18"/>
  <c r="W134" i="18"/>
  <c r="W132" i="18"/>
  <c r="W131" i="18"/>
  <c r="W130" i="18"/>
  <c r="W129" i="18"/>
  <c r="W128" i="18"/>
  <c r="W127" i="18"/>
  <c r="W126" i="18"/>
  <c r="W125" i="18"/>
  <c r="W124" i="18"/>
  <c r="W123" i="18"/>
  <c r="W122" i="18"/>
  <c r="W121" i="18"/>
  <c r="W120" i="18"/>
  <c r="W119" i="18"/>
  <c r="W118" i="18"/>
  <c r="W117" i="18"/>
  <c r="W116" i="18"/>
  <c r="W115" i="18"/>
  <c r="W114" i="18"/>
  <c r="W113" i="18"/>
  <c r="W112" i="18"/>
  <c r="W111" i="18"/>
  <c r="W110" i="18"/>
  <c r="W109" i="18"/>
  <c r="W108" i="18"/>
  <c r="W107" i="18"/>
  <c r="W105" i="18"/>
  <c r="W104" i="18"/>
  <c r="W103" i="18"/>
  <c r="W102" i="18"/>
  <c r="W101" i="18"/>
  <c r="W100" i="18"/>
  <c r="W99" i="18"/>
  <c r="W98" i="18"/>
  <c r="W97" i="18"/>
  <c r="W96" i="18"/>
  <c r="W95" i="18"/>
  <c r="W94" i="18"/>
  <c r="W93" i="18"/>
  <c r="W92" i="18"/>
  <c r="W91" i="18"/>
  <c r="W90" i="18"/>
  <c r="W89" i="18"/>
  <c r="W88" i="18"/>
  <c r="W87" i="18"/>
  <c r="W86" i="18"/>
  <c r="W83" i="18"/>
  <c r="W82" i="18"/>
  <c r="W81" i="18"/>
  <c r="W80" i="18"/>
  <c r="W79" i="18"/>
  <c r="W78" i="18"/>
  <c r="W77" i="18"/>
  <c r="W76" i="18"/>
  <c r="W75" i="18"/>
  <c r="W74" i="18"/>
  <c r="W73" i="18"/>
  <c r="W72" i="18"/>
  <c r="W71" i="18"/>
  <c r="W69" i="18"/>
  <c r="W68" i="18"/>
  <c r="W67" i="18"/>
  <c r="W66" i="18"/>
  <c r="W65" i="18"/>
  <c r="W64" i="18"/>
  <c r="W63" i="18"/>
  <c r="W61" i="18"/>
  <c r="W60" i="18"/>
  <c r="W59" i="18"/>
  <c r="W58" i="18"/>
  <c r="W57" i="18"/>
  <c r="W55" i="18"/>
  <c r="W54" i="18"/>
  <c r="W53" i="18"/>
  <c r="W52" i="18"/>
  <c r="W51" i="18"/>
  <c r="W50" i="18"/>
  <c r="W49" i="18"/>
  <c r="W47" i="18"/>
  <c r="W46" i="18"/>
  <c r="W45" i="18"/>
  <c r="W44" i="18"/>
  <c r="W43" i="18"/>
  <c r="W42" i="18"/>
  <c r="W41" i="18"/>
  <c r="W40" i="18"/>
  <c r="W39" i="18"/>
  <c r="W38" i="18"/>
  <c r="W37" i="18"/>
  <c r="W34" i="18"/>
  <c r="W33" i="18"/>
  <c r="W32" i="18"/>
  <c r="W31" i="18"/>
  <c r="W30" i="18"/>
  <c r="W29" i="18"/>
  <c r="W28" i="18"/>
  <c r="W27" i="18"/>
  <c r="W26" i="18"/>
  <c r="W25" i="18"/>
  <c r="W24" i="18"/>
  <c r="W23" i="18"/>
  <c r="W22" i="18"/>
  <c r="W21" i="18"/>
  <c r="W20" i="18"/>
  <c r="W18" i="18"/>
  <c r="W17" i="18"/>
  <c r="W16" i="18"/>
  <c r="W15" i="18"/>
  <c r="W14" i="18"/>
  <c r="W13" i="18"/>
  <c r="W12" i="18"/>
  <c r="W8" i="18"/>
  <c r="R7" i="18"/>
  <c r="R11" i="18"/>
  <c r="R36" i="18"/>
  <c r="R48" i="18"/>
  <c r="R56" i="18"/>
  <c r="R841" i="18"/>
  <c r="R889" i="18"/>
  <c r="W889" i="18" s="1"/>
  <c r="R904" i="18"/>
  <c r="W904" i="18" s="1"/>
  <c r="R909" i="18"/>
  <c r="W909" i="18" s="1"/>
  <c r="E768" i="18"/>
  <c r="E11" i="22"/>
  <c r="E10" i="22"/>
  <c r="E9" i="22"/>
  <c r="E8" i="22"/>
  <c r="E7" i="22"/>
  <c r="F6" i="22"/>
  <c r="I11" i="22" s="1"/>
  <c r="E6" i="22"/>
  <c r="E5" i="22"/>
  <c r="E4" i="22"/>
  <c r="I741" i="20"/>
  <c r="E70" i="20"/>
  <c r="E879" i="20"/>
  <c r="T911" i="20"/>
  <c r="S911" i="20"/>
  <c r="R911" i="20"/>
  <c r="T910" i="20"/>
  <c r="S910" i="20"/>
  <c r="R910" i="20"/>
  <c r="Q909" i="20"/>
  <c r="P909" i="20"/>
  <c r="T909" i="20" s="1"/>
  <c r="O909" i="20"/>
  <c r="S909" i="20" s="1"/>
  <c r="N909" i="20"/>
  <c r="R909" i="20" s="1"/>
  <c r="T908" i="20"/>
  <c r="S908" i="20"/>
  <c r="R908" i="20"/>
  <c r="T907" i="20"/>
  <c r="S907" i="20"/>
  <c r="R907" i="20"/>
  <c r="T906" i="20"/>
  <c r="S906" i="20"/>
  <c r="R906" i="20"/>
  <c r="T905" i="20"/>
  <c r="S905" i="20"/>
  <c r="R905" i="20"/>
  <c r="Q904" i="20"/>
  <c r="P904" i="20"/>
  <c r="T904" i="20" s="1"/>
  <c r="O904" i="20"/>
  <c r="S904" i="20" s="1"/>
  <c r="N904" i="20"/>
  <c r="R904" i="20" s="1"/>
  <c r="T903" i="20"/>
  <c r="S903" i="20"/>
  <c r="R903" i="20"/>
  <c r="T902" i="20"/>
  <c r="S902" i="20"/>
  <c r="R902" i="20"/>
  <c r="T901" i="20"/>
  <c r="S901" i="20"/>
  <c r="R901" i="20"/>
  <c r="T900" i="20"/>
  <c r="S900" i="20"/>
  <c r="R900" i="20"/>
  <c r="T899" i="20"/>
  <c r="S899" i="20"/>
  <c r="R899" i="20"/>
  <c r="T898" i="20"/>
  <c r="S898" i="20"/>
  <c r="R898" i="20"/>
  <c r="T897" i="20"/>
  <c r="S897" i="20"/>
  <c r="R897" i="20"/>
  <c r="T896" i="20"/>
  <c r="S896" i="20"/>
  <c r="R896" i="20"/>
  <c r="T895" i="20"/>
  <c r="S895" i="20"/>
  <c r="R895" i="20"/>
  <c r="T894" i="20"/>
  <c r="S894" i="20"/>
  <c r="R894" i="20"/>
  <c r="T893" i="20"/>
  <c r="S893" i="20"/>
  <c r="R893" i="20"/>
  <c r="T892" i="20"/>
  <c r="S892" i="20"/>
  <c r="R892" i="20"/>
  <c r="E891" i="20"/>
  <c r="T890" i="20"/>
  <c r="S890" i="20"/>
  <c r="R890" i="20"/>
  <c r="Q889" i="20"/>
  <c r="P889" i="20"/>
  <c r="T889" i="20" s="1"/>
  <c r="O889" i="20"/>
  <c r="S889" i="20" s="1"/>
  <c r="N889" i="20"/>
  <c r="R889" i="20" s="1"/>
  <c r="E889" i="20"/>
  <c r="F890" i="20" s="1"/>
  <c r="F328" i="20" s="1"/>
  <c r="Q327" i="20" s="1"/>
  <c r="T888" i="20"/>
  <c r="S888" i="20"/>
  <c r="R888" i="20"/>
  <c r="T887" i="20"/>
  <c r="S887" i="20"/>
  <c r="R887" i="20"/>
  <c r="T886" i="20"/>
  <c r="S886" i="20"/>
  <c r="R886" i="20"/>
  <c r="E885" i="20"/>
  <c r="F888" i="20" s="1"/>
  <c r="F702" i="20" s="1"/>
  <c r="T884" i="20"/>
  <c r="S884" i="20"/>
  <c r="R884" i="20"/>
  <c r="T883" i="20"/>
  <c r="S883" i="20"/>
  <c r="R883" i="20"/>
  <c r="T882" i="20"/>
  <c r="S882" i="20"/>
  <c r="R882" i="20"/>
  <c r="T881" i="20"/>
  <c r="S881" i="20"/>
  <c r="R881" i="20"/>
  <c r="T880" i="20"/>
  <c r="S880" i="20"/>
  <c r="R880" i="20"/>
  <c r="F883" i="20"/>
  <c r="F247" i="20" s="1"/>
  <c r="T878" i="20"/>
  <c r="S878" i="20"/>
  <c r="R878" i="20"/>
  <c r="T877" i="20"/>
  <c r="S877" i="20"/>
  <c r="R877" i="20"/>
  <c r="T876" i="20"/>
  <c r="S876" i="20"/>
  <c r="R876" i="20"/>
  <c r="T875" i="20"/>
  <c r="S875" i="20"/>
  <c r="R875" i="20"/>
  <c r="T874" i="20"/>
  <c r="S874" i="20"/>
  <c r="R874" i="20"/>
  <c r="T873" i="20"/>
  <c r="S873" i="20"/>
  <c r="R873" i="20"/>
  <c r="T872" i="20"/>
  <c r="S872" i="20"/>
  <c r="R872" i="20"/>
  <c r="E871" i="20"/>
  <c r="F877" i="20" s="1"/>
  <c r="T870" i="20"/>
  <c r="S870" i="20"/>
  <c r="R870" i="20"/>
  <c r="T869" i="20"/>
  <c r="S869" i="20"/>
  <c r="R869" i="20"/>
  <c r="T868" i="20"/>
  <c r="S868" i="20"/>
  <c r="R868" i="20"/>
  <c r="T867" i="20"/>
  <c r="S867" i="20"/>
  <c r="R867" i="20"/>
  <c r="T866" i="20"/>
  <c r="S866" i="20"/>
  <c r="R866" i="20"/>
  <c r="T865" i="20"/>
  <c r="S865" i="20"/>
  <c r="R865" i="20"/>
  <c r="T864" i="20"/>
  <c r="S864" i="20"/>
  <c r="R864" i="20"/>
  <c r="T863" i="20"/>
  <c r="S863" i="20"/>
  <c r="R863" i="20"/>
  <c r="T862" i="20"/>
  <c r="S862" i="20"/>
  <c r="R862" i="20"/>
  <c r="T861" i="20"/>
  <c r="S861" i="20"/>
  <c r="R861" i="20"/>
  <c r="T860" i="20"/>
  <c r="S860" i="20"/>
  <c r="R860" i="20"/>
  <c r="E859" i="20"/>
  <c r="F864" i="20" s="1"/>
  <c r="T857" i="20"/>
  <c r="S857" i="20"/>
  <c r="R857" i="20"/>
  <c r="T856" i="20"/>
  <c r="S856" i="20"/>
  <c r="R856" i="20"/>
  <c r="T855" i="20"/>
  <c r="S855" i="20"/>
  <c r="R855" i="20"/>
  <c r="T854" i="20"/>
  <c r="S854" i="20"/>
  <c r="R854" i="20"/>
  <c r="T853" i="20"/>
  <c r="S853" i="20"/>
  <c r="R853" i="20"/>
  <c r="T852" i="20"/>
  <c r="S852" i="20"/>
  <c r="R852" i="20"/>
  <c r="T851" i="20"/>
  <c r="S851" i="20"/>
  <c r="R851" i="20"/>
  <c r="T850" i="20"/>
  <c r="S850" i="20"/>
  <c r="R850" i="20"/>
  <c r="T849" i="20"/>
  <c r="S849" i="20"/>
  <c r="R849" i="20"/>
  <c r="T848" i="20"/>
  <c r="S848" i="20"/>
  <c r="R848" i="20"/>
  <c r="T847" i="20"/>
  <c r="S847" i="20"/>
  <c r="R847" i="20"/>
  <c r="T846" i="20"/>
  <c r="S846" i="20"/>
  <c r="R846" i="20"/>
  <c r="T845" i="20"/>
  <c r="S845" i="20"/>
  <c r="R845" i="20"/>
  <c r="T844" i="20"/>
  <c r="S844" i="20"/>
  <c r="R844" i="20"/>
  <c r="T843" i="20"/>
  <c r="S843" i="20"/>
  <c r="R843" i="20"/>
  <c r="E842" i="20"/>
  <c r="F846" i="20" s="1"/>
  <c r="T841" i="20"/>
  <c r="S841" i="20"/>
  <c r="R841" i="20"/>
  <c r="Q841" i="20"/>
  <c r="E826" i="20"/>
  <c r="F838" i="20" s="1"/>
  <c r="E808" i="20"/>
  <c r="F823" i="20" s="1"/>
  <c r="F188" i="20" s="1"/>
  <c r="E793" i="20"/>
  <c r="E780" i="20"/>
  <c r="F789" i="20" s="1"/>
  <c r="E768" i="20"/>
  <c r="E741" i="20"/>
  <c r="F753" i="20" s="1"/>
  <c r="F377" i="20" s="1"/>
  <c r="E720" i="20"/>
  <c r="F740" i="20" s="1"/>
  <c r="G718" i="20"/>
  <c r="T717" i="20"/>
  <c r="S717" i="20"/>
  <c r="R717" i="20"/>
  <c r="T716" i="20"/>
  <c r="S716" i="20"/>
  <c r="R716" i="20"/>
  <c r="T715" i="20"/>
  <c r="S715" i="20"/>
  <c r="R715" i="20"/>
  <c r="T714" i="20"/>
  <c r="S714" i="20"/>
  <c r="R714" i="20"/>
  <c r="T713" i="20"/>
  <c r="S713" i="20"/>
  <c r="R713" i="20"/>
  <c r="T712" i="20"/>
  <c r="S712" i="20"/>
  <c r="R712" i="20"/>
  <c r="T711" i="20"/>
  <c r="S711" i="20"/>
  <c r="R711" i="20"/>
  <c r="T710" i="20"/>
  <c r="S710" i="20"/>
  <c r="R710" i="20"/>
  <c r="T709" i="20"/>
  <c r="S709" i="20"/>
  <c r="R709" i="20"/>
  <c r="T708" i="20"/>
  <c r="S708" i="20"/>
  <c r="R708" i="20"/>
  <c r="T707" i="20"/>
  <c r="S707" i="20"/>
  <c r="R707" i="20"/>
  <c r="T706" i="20"/>
  <c r="S706" i="20"/>
  <c r="R706" i="20"/>
  <c r="T704" i="20"/>
  <c r="S704" i="20"/>
  <c r="R704" i="20"/>
  <c r="T702" i="20"/>
  <c r="S702" i="20"/>
  <c r="R702" i="20"/>
  <c r="T701" i="20"/>
  <c r="S701" i="20"/>
  <c r="R701" i="20"/>
  <c r="T700" i="20"/>
  <c r="S700" i="20"/>
  <c r="R700" i="20"/>
  <c r="T698" i="20"/>
  <c r="S698" i="20"/>
  <c r="R698" i="20"/>
  <c r="T697" i="20"/>
  <c r="S697" i="20"/>
  <c r="R697" i="20"/>
  <c r="T696" i="20"/>
  <c r="S696" i="20"/>
  <c r="R696" i="20"/>
  <c r="T695" i="20"/>
  <c r="S695" i="20"/>
  <c r="R695" i="20"/>
  <c r="T694" i="20"/>
  <c r="S694" i="20"/>
  <c r="R694" i="20"/>
  <c r="T692" i="20"/>
  <c r="S692" i="20"/>
  <c r="R692" i="20"/>
  <c r="T691" i="20"/>
  <c r="S691" i="20"/>
  <c r="R691" i="20"/>
  <c r="T690" i="20"/>
  <c r="S690" i="20"/>
  <c r="R690" i="20"/>
  <c r="T689" i="20"/>
  <c r="S689" i="20"/>
  <c r="R689" i="20"/>
  <c r="T688" i="20"/>
  <c r="S688" i="20"/>
  <c r="R688" i="20"/>
  <c r="T687" i="20"/>
  <c r="S687" i="20"/>
  <c r="R687" i="20"/>
  <c r="T686" i="20"/>
  <c r="S686" i="20"/>
  <c r="R686" i="20"/>
  <c r="T684" i="20"/>
  <c r="S684" i="20"/>
  <c r="R684" i="20"/>
  <c r="T683" i="20"/>
  <c r="S683" i="20"/>
  <c r="R683" i="20"/>
  <c r="T682" i="20"/>
  <c r="S682" i="20"/>
  <c r="R682" i="20"/>
  <c r="T681" i="20"/>
  <c r="S681" i="20"/>
  <c r="R681" i="20"/>
  <c r="T680" i="20"/>
  <c r="S680" i="20"/>
  <c r="R680" i="20"/>
  <c r="T679" i="20"/>
  <c r="S679" i="20"/>
  <c r="R679" i="20"/>
  <c r="T678" i="20"/>
  <c r="S678" i="20"/>
  <c r="R678" i="20"/>
  <c r="T677" i="20"/>
  <c r="S677" i="20"/>
  <c r="R677" i="20"/>
  <c r="T676" i="20"/>
  <c r="S676" i="20"/>
  <c r="R676" i="20"/>
  <c r="T675" i="20"/>
  <c r="S675" i="20"/>
  <c r="R675" i="20"/>
  <c r="T674" i="20"/>
  <c r="S674" i="20"/>
  <c r="R674" i="20"/>
  <c r="T671" i="20"/>
  <c r="S671" i="20"/>
  <c r="R671" i="20"/>
  <c r="T670" i="20"/>
  <c r="S670" i="20"/>
  <c r="R670" i="20"/>
  <c r="T669" i="20"/>
  <c r="S669" i="20"/>
  <c r="R669" i="20"/>
  <c r="T668" i="20"/>
  <c r="S668" i="20"/>
  <c r="R668" i="20"/>
  <c r="T667" i="20"/>
  <c r="S667" i="20"/>
  <c r="R667" i="20"/>
  <c r="T666" i="20"/>
  <c r="S666" i="20"/>
  <c r="R666" i="20"/>
  <c r="T665" i="20"/>
  <c r="S665" i="20"/>
  <c r="R665" i="20"/>
  <c r="T664" i="20"/>
  <c r="S664" i="20"/>
  <c r="R664" i="20"/>
  <c r="T663" i="20"/>
  <c r="S663" i="20"/>
  <c r="R663" i="20"/>
  <c r="T662" i="20"/>
  <c r="S662" i="20"/>
  <c r="R662" i="20"/>
  <c r="T661" i="20"/>
  <c r="S661" i="20"/>
  <c r="R661" i="20"/>
  <c r="T660" i="20"/>
  <c r="S660" i="20"/>
  <c r="R660" i="20"/>
  <c r="T659" i="20"/>
  <c r="S659" i="20"/>
  <c r="R659" i="20"/>
  <c r="T658" i="20"/>
  <c r="S658" i="20"/>
  <c r="R658" i="20"/>
  <c r="T657" i="20"/>
  <c r="S657" i="20"/>
  <c r="R657" i="20"/>
  <c r="T655" i="20"/>
  <c r="S655" i="20"/>
  <c r="R655" i="20"/>
  <c r="T654" i="20"/>
  <c r="S654" i="20"/>
  <c r="R654" i="20"/>
  <c r="T653" i="20"/>
  <c r="S653" i="20"/>
  <c r="R653" i="20"/>
  <c r="T652" i="20"/>
  <c r="S652" i="20"/>
  <c r="R652" i="20"/>
  <c r="T651" i="20"/>
  <c r="S651" i="20"/>
  <c r="R651" i="20"/>
  <c r="T650" i="20"/>
  <c r="S650" i="20"/>
  <c r="R650" i="20"/>
  <c r="T649" i="20"/>
  <c r="S649" i="20"/>
  <c r="R649" i="20"/>
  <c r="T648" i="20"/>
  <c r="S648" i="20"/>
  <c r="R648" i="20"/>
  <c r="T647" i="20"/>
  <c r="S647" i="20"/>
  <c r="R647" i="20"/>
  <c r="T646" i="20"/>
  <c r="S646" i="20"/>
  <c r="R646" i="20"/>
  <c r="T645" i="20"/>
  <c r="S645" i="20"/>
  <c r="R645" i="20"/>
  <c r="T644" i="20"/>
  <c r="S644" i="20"/>
  <c r="R644" i="20"/>
  <c r="T643" i="20"/>
  <c r="S643" i="20"/>
  <c r="R643" i="20"/>
  <c r="T642" i="20"/>
  <c r="S642" i="20"/>
  <c r="R642" i="20"/>
  <c r="T641" i="20"/>
  <c r="S641" i="20"/>
  <c r="R641" i="20"/>
  <c r="T639" i="20"/>
  <c r="S639" i="20"/>
  <c r="R639" i="20"/>
  <c r="T638" i="20"/>
  <c r="S638" i="20"/>
  <c r="R638" i="20"/>
  <c r="T637" i="20"/>
  <c r="S637" i="20"/>
  <c r="R637" i="20"/>
  <c r="T636" i="20"/>
  <c r="S636" i="20"/>
  <c r="R636" i="20"/>
  <c r="T635" i="20"/>
  <c r="S635" i="20"/>
  <c r="R635" i="20"/>
  <c r="T634" i="20"/>
  <c r="S634" i="20"/>
  <c r="R634" i="20"/>
  <c r="T633" i="20"/>
  <c r="S633" i="20"/>
  <c r="R633" i="20"/>
  <c r="T632" i="20"/>
  <c r="S632" i="20"/>
  <c r="R632" i="20"/>
  <c r="T631" i="20"/>
  <c r="S631" i="20"/>
  <c r="R631" i="20"/>
  <c r="T630" i="20"/>
  <c r="S630" i="20"/>
  <c r="R630" i="20"/>
  <c r="T629" i="20"/>
  <c r="S629" i="20"/>
  <c r="R629" i="20"/>
  <c r="T628" i="20"/>
  <c r="S628" i="20"/>
  <c r="R628" i="20"/>
  <c r="T627" i="20"/>
  <c r="S627" i="20"/>
  <c r="R627" i="20"/>
  <c r="T626" i="20"/>
  <c r="S626" i="20"/>
  <c r="R626" i="20"/>
  <c r="T625" i="20"/>
  <c r="S625" i="20"/>
  <c r="R625" i="20"/>
  <c r="T624" i="20"/>
  <c r="S624" i="20"/>
  <c r="R624" i="20"/>
  <c r="T623" i="20"/>
  <c r="S623" i="20"/>
  <c r="R623" i="20"/>
  <c r="T621" i="20"/>
  <c r="S621" i="20"/>
  <c r="R621" i="20"/>
  <c r="T620" i="20"/>
  <c r="S620" i="20"/>
  <c r="R620" i="20"/>
  <c r="T619" i="20"/>
  <c r="S619" i="20"/>
  <c r="R619" i="20"/>
  <c r="T618" i="20"/>
  <c r="S618" i="20"/>
  <c r="R618" i="20"/>
  <c r="T617" i="20"/>
  <c r="S617" i="20"/>
  <c r="R617" i="20"/>
  <c r="T616" i="20"/>
  <c r="S616" i="20"/>
  <c r="R616" i="20"/>
  <c r="T615" i="20"/>
  <c r="S615" i="20"/>
  <c r="R615" i="20"/>
  <c r="T614" i="20"/>
  <c r="S614" i="20"/>
  <c r="R614" i="20"/>
  <c r="T613" i="20"/>
  <c r="S613" i="20"/>
  <c r="R613" i="20"/>
  <c r="T612" i="20"/>
  <c r="S612" i="20"/>
  <c r="R612" i="20"/>
  <c r="T611" i="20"/>
  <c r="S611" i="20"/>
  <c r="R611" i="20"/>
  <c r="T610" i="20"/>
  <c r="S610" i="20"/>
  <c r="R610" i="20"/>
  <c r="T609" i="20"/>
  <c r="S609" i="20"/>
  <c r="R609" i="20"/>
  <c r="T608" i="20"/>
  <c r="S608" i="20"/>
  <c r="R608" i="20"/>
  <c r="T606" i="20"/>
  <c r="S606" i="20"/>
  <c r="R606" i="20"/>
  <c r="T605" i="20"/>
  <c r="S605" i="20"/>
  <c r="R605" i="20"/>
  <c r="T604" i="20"/>
  <c r="S604" i="20"/>
  <c r="R604" i="20"/>
  <c r="T603" i="20"/>
  <c r="S603" i="20"/>
  <c r="R603" i="20"/>
  <c r="T602" i="20"/>
  <c r="S602" i="20"/>
  <c r="R602" i="20"/>
  <c r="T601" i="20"/>
  <c r="S601" i="20"/>
  <c r="R601" i="20"/>
  <c r="T600" i="20"/>
  <c r="S600" i="20"/>
  <c r="R600" i="20"/>
  <c r="T599" i="20"/>
  <c r="S599" i="20"/>
  <c r="R599" i="20"/>
  <c r="T598" i="20"/>
  <c r="S598" i="20"/>
  <c r="R598" i="20"/>
  <c r="T597" i="20"/>
  <c r="S597" i="20"/>
  <c r="R597" i="20"/>
  <c r="T596" i="20"/>
  <c r="S596" i="20"/>
  <c r="R596" i="20"/>
  <c r="T595" i="20"/>
  <c r="S595" i="20"/>
  <c r="R595" i="20"/>
  <c r="T593" i="20"/>
  <c r="S593" i="20"/>
  <c r="R593" i="20"/>
  <c r="T592" i="20"/>
  <c r="S592" i="20"/>
  <c r="R592" i="20"/>
  <c r="T591" i="20"/>
  <c r="S591" i="20"/>
  <c r="R591" i="20"/>
  <c r="T590" i="20"/>
  <c r="S590" i="20"/>
  <c r="R590" i="20"/>
  <c r="T589" i="20"/>
  <c r="S589" i="20"/>
  <c r="R589" i="20"/>
  <c r="T588" i="20"/>
  <c r="S588" i="20"/>
  <c r="R588" i="20"/>
  <c r="T587" i="20"/>
  <c r="S587" i="20"/>
  <c r="R587" i="20"/>
  <c r="T586" i="20"/>
  <c r="S586" i="20"/>
  <c r="R586" i="20"/>
  <c r="T585" i="20"/>
  <c r="S585" i="20"/>
  <c r="R585" i="20"/>
  <c r="T584" i="20"/>
  <c r="S584" i="20"/>
  <c r="R584" i="20"/>
  <c r="T583" i="20"/>
  <c r="S583" i="20"/>
  <c r="R583" i="20"/>
  <c r="T581" i="20"/>
  <c r="S581" i="20"/>
  <c r="R581" i="20"/>
  <c r="T580" i="20"/>
  <c r="S580" i="20"/>
  <c r="R580" i="20"/>
  <c r="T579" i="20"/>
  <c r="S579" i="20"/>
  <c r="R579" i="20"/>
  <c r="T578" i="20"/>
  <c r="S578" i="20"/>
  <c r="R578" i="20"/>
  <c r="T577" i="20"/>
  <c r="S577" i="20"/>
  <c r="R577" i="20"/>
  <c r="T576" i="20"/>
  <c r="S576" i="20"/>
  <c r="R576" i="20"/>
  <c r="T575" i="20"/>
  <c r="S575" i="20"/>
  <c r="R575" i="20"/>
  <c r="T574" i="20"/>
  <c r="S574" i="20"/>
  <c r="R574" i="20"/>
  <c r="T573" i="20"/>
  <c r="S573" i="20"/>
  <c r="R573" i="20"/>
  <c r="T572" i="20"/>
  <c r="S572" i="20"/>
  <c r="R572" i="20"/>
  <c r="T571" i="20"/>
  <c r="S571" i="20"/>
  <c r="R571" i="20"/>
  <c r="T570" i="20"/>
  <c r="S570" i="20"/>
  <c r="R570" i="20"/>
  <c r="T569" i="20"/>
  <c r="S569" i="20"/>
  <c r="R569" i="20"/>
  <c r="T568" i="20"/>
  <c r="S568" i="20"/>
  <c r="R568" i="20"/>
  <c r="T567" i="20"/>
  <c r="S567" i="20"/>
  <c r="R567" i="20"/>
  <c r="T566" i="20"/>
  <c r="S566" i="20"/>
  <c r="R566" i="20"/>
  <c r="T565" i="20"/>
  <c r="S565" i="20"/>
  <c r="R565" i="20"/>
  <c r="T564" i="20"/>
  <c r="S564" i="20"/>
  <c r="R564" i="20"/>
  <c r="T563" i="20"/>
  <c r="S563" i="20"/>
  <c r="R563" i="20"/>
  <c r="T562" i="20"/>
  <c r="S562" i="20"/>
  <c r="R562" i="20"/>
  <c r="T561" i="20"/>
  <c r="S561" i="20"/>
  <c r="R561" i="20"/>
  <c r="T560" i="20"/>
  <c r="S560" i="20"/>
  <c r="R560" i="20"/>
  <c r="T559" i="20"/>
  <c r="S559" i="20"/>
  <c r="R559" i="20"/>
  <c r="T558" i="20"/>
  <c r="S558" i="20"/>
  <c r="R558" i="20"/>
  <c r="T557" i="20"/>
  <c r="S557" i="20"/>
  <c r="R557" i="20"/>
  <c r="T556" i="20"/>
  <c r="S556" i="20"/>
  <c r="R556" i="20"/>
  <c r="T554" i="20"/>
  <c r="S554" i="20"/>
  <c r="R554" i="20"/>
  <c r="T553" i="20"/>
  <c r="S553" i="20"/>
  <c r="R553" i="20"/>
  <c r="T552" i="20"/>
  <c r="S552" i="20"/>
  <c r="R552" i="20"/>
  <c r="T551" i="20"/>
  <c r="S551" i="20"/>
  <c r="R551" i="20"/>
  <c r="T550" i="20"/>
  <c r="S550" i="20"/>
  <c r="R550" i="20"/>
  <c r="T549" i="20"/>
  <c r="S549" i="20"/>
  <c r="R549" i="20"/>
  <c r="T548" i="20"/>
  <c r="S548" i="20"/>
  <c r="R548" i="20"/>
  <c r="T547" i="20"/>
  <c r="S547" i="20"/>
  <c r="R547" i="20"/>
  <c r="T546" i="20"/>
  <c r="S546" i="20"/>
  <c r="R546" i="20"/>
  <c r="T545" i="20"/>
  <c r="S545" i="20"/>
  <c r="R545" i="20"/>
  <c r="T544" i="20"/>
  <c r="S544" i="20"/>
  <c r="R544" i="20"/>
  <c r="T543" i="20"/>
  <c r="S543" i="20"/>
  <c r="R543" i="20"/>
  <c r="T542" i="20"/>
  <c r="S542" i="20"/>
  <c r="R542" i="20"/>
  <c r="T541" i="20"/>
  <c r="S541" i="20"/>
  <c r="R541" i="20"/>
  <c r="T540" i="20"/>
  <c r="S540" i="20"/>
  <c r="R540" i="20"/>
  <c r="T539" i="20"/>
  <c r="S539" i="20"/>
  <c r="R539" i="20"/>
  <c r="T538" i="20"/>
  <c r="S538" i="20"/>
  <c r="R538" i="20"/>
  <c r="T537" i="20"/>
  <c r="S537" i="20"/>
  <c r="R537" i="20"/>
  <c r="T536" i="20"/>
  <c r="S536" i="20"/>
  <c r="R536" i="20"/>
  <c r="T535" i="20"/>
  <c r="S535" i="20"/>
  <c r="R535" i="20"/>
  <c r="T531" i="20"/>
  <c r="S531" i="20"/>
  <c r="R531" i="20"/>
  <c r="T530" i="20"/>
  <c r="S530" i="20"/>
  <c r="R530" i="20"/>
  <c r="G529" i="20"/>
  <c r="G532" i="20" s="1"/>
  <c r="T527" i="20"/>
  <c r="S527" i="20"/>
  <c r="R527" i="20"/>
  <c r="T526" i="20"/>
  <c r="S526" i="20"/>
  <c r="R526" i="20"/>
  <c r="T525" i="20"/>
  <c r="S525" i="20"/>
  <c r="R525" i="20"/>
  <c r="T524" i="20"/>
  <c r="S524" i="20"/>
  <c r="R524" i="20"/>
  <c r="T523" i="20"/>
  <c r="S523" i="20"/>
  <c r="R523" i="20"/>
  <c r="T522" i="20"/>
  <c r="S522" i="20"/>
  <c r="R522" i="20"/>
  <c r="T521" i="20"/>
  <c r="S521" i="20"/>
  <c r="R521" i="20"/>
  <c r="T520" i="20"/>
  <c r="S520" i="20"/>
  <c r="R520" i="20"/>
  <c r="T519" i="20"/>
  <c r="S519" i="20"/>
  <c r="R519" i="20"/>
  <c r="T518" i="20"/>
  <c r="S518" i="20"/>
  <c r="R518" i="20"/>
  <c r="T517" i="20"/>
  <c r="S517" i="20"/>
  <c r="R517" i="20"/>
  <c r="T516" i="20"/>
  <c r="S516" i="20"/>
  <c r="R516" i="20"/>
  <c r="T514" i="20"/>
  <c r="S514" i="20"/>
  <c r="R514" i="20"/>
  <c r="T512" i="20"/>
  <c r="S512" i="20"/>
  <c r="R512" i="20"/>
  <c r="T511" i="20"/>
  <c r="S511" i="20"/>
  <c r="R511" i="20"/>
  <c r="T510" i="20"/>
  <c r="S510" i="20"/>
  <c r="R510" i="20"/>
  <c r="T508" i="20"/>
  <c r="S508" i="20"/>
  <c r="R508" i="20"/>
  <c r="T507" i="20"/>
  <c r="S507" i="20"/>
  <c r="R507" i="20"/>
  <c r="T506" i="20"/>
  <c r="S506" i="20"/>
  <c r="R506" i="20"/>
  <c r="T505" i="20"/>
  <c r="S505" i="20"/>
  <c r="R505" i="20"/>
  <c r="T504" i="20"/>
  <c r="S504" i="20"/>
  <c r="R504" i="20"/>
  <c r="T502" i="20"/>
  <c r="S502" i="20"/>
  <c r="R502" i="20"/>
  <c r="T501" i="20"/>
  <c r="S501" i="20"/>
  <c r="R501" i="20"/>
  <c r="T500" i="20"/>
  <c r="S500" i="20"/>
  <c r="R500" i="20"/>
  <c r="T499" i="20"/>
  <c r="S499" i="20"/>
  <c r="R499" i="20"/>
  <c r="T498" i="20"/>
  <c r="S498" i="20"/>
  <c r="R498" i="20"/>
  <c r="T497" i="20"/>
  <c r="S497" i="20"/>
  <c r="R497" i="20"/>
  <c r="T496" i="20"/>
  <c r="S496" i="20"/>
  <c r="R496" i="20"/>
  <c r="T494" i="20"/>
  <c r="S494" i="20"/>
  <c r="R494" i="20"/>
  <c r="T493" i="20"/>
  <c r="S493" i="20"/>
  <c r="R493" i="20"/>
  <c r="T492" i="20"/>
  <c r="S492" i="20"/>
  <c r="R492" i="20"/>
  <c r="T491" i="20"/>
  <c r="S491" i="20"/>
  <c r="R491" i="20"/>
  <c r="T490" i="20"/>
  <c r="S490" i="20"/>
  <c r="R490" i="20"/>
  <c r="T489" i="20"/>
  <c r="S489" i="20"/>
  <c r="R489" i="20"/>
  <c r="T488" i="20"/>
  <c r="S488" i="20"/>
  <c r="R488" i="20"/>
  <c r="T487" i="20"/>
  <c r="S487" i="20"/>
  <c r="R487" i="20"/>
  <c r="T486" i="20"/>
  <c r="S486" i="20"/>
  <c r="R486" i="20"/>
  <c r="T485" i="20"/>
  <c r="S485" i="20"/>
  <c r="R485" i="20"/>
  <c r="T484" i="20"/>
  <c r="S484" i="20"/>
  <c r="R484" i="20"/>
  <c r="T481" i="20"/>
  <c r="S481" i="20"/>
  <c r="R481" i="20"/>
  <c r="T480" i="20"/>
  <c r="S480" i="20"/>
  <c r="R480" i="20"/>
  <c r="T479" i="20"/>
  <c r="S479" i="20"/>
  <c r="R479" i="20"/>
  <c r="T478" i="20"/>
  <c r="S478" i="20"/>
  <c r="R478" i="20"/>
  <c r="T477" i="20"/>
  <c r="S477" i="20"/>
  <c r="R477" i="20"/>
  <c r="T476" i="20"/>
  <c r="S476" i="20"/>
  <c r="R476" i="20"/>
  <c r="T475" i="20"/>
  <c r="S475" i="20"/>
  <c r="R475" i="20"/>
  <c r="T474" i="20"/>
  <c r="S474" i="20"/>
  <c r="R474" i="20"/>
  <c r="T473" i="20"/>
  <c r="S473" i="20"/>
  <c r="R473" i="20"/>
  <c r="T472" i="20"/>
  <c r="S472" i="20"/>
  <c r="R472" i="20"/>
  <c r="T471" i="20"/>
  <c r="S471" i="20"/>
  <c r="R471" i="20"/>
  <c r="T470" i="20"/>
  <c r="S470" i="20"/>
  <c r="R470" i="20"/>
  <c r="T469" i="20"/>
  <c r="S469" i="20"/>
  <c r="R469" i="20"/>
  <c r="T468" i="20"/>
  <c r="S468" i="20"/>
  <c r="R468" i="20"/>
  <c r="T467" i="20"/>
  <c r="S467" i="20"/>
  <c r="R467" i="20"/>
  <c r="T465" i="20"/>
  <c r="S465" i="20"/>
  <c r="R465" i="20"/>
  <c r="T464" i="20"/>
  <c r="S464" i="20"/>
  <c r="R464" i="20"/>
  <c r="T463" i="20"/>
  <c r="S463" i="20"/>
  <c r="R463" i="20"/>
  <c r="T462" i="20"/>
  <c r="S462" i="20"/>
  <c r="R462" i="20"/>
  <c r="T461" i="20"/>
  <c r="S461" i="20"/>
  <c r="R461" i="20"/>
  <c r="T460" i="20"/>
  <c r="S460" i="20"/>
  <c r="R460" i="20"/>
  <c r="T459" i="20"/>
  <c r="S459" i="20"/>
  <c r="R459" i="20"/>
  <c r="T458" i="20"/>
  <c r="S458" i="20"/>
  <c r="R458" i="20"/>
  <c r="T457" i="20"/>
  <c r="S457" i="20"/>
  <c r="R457" i="20"/>
  <c r="T456" i="20"/>
  <c r="S456" i="20"/>
  <c r="R456" i="20"/>
  <c r="T455" i="20"/>
  <c r="S455" i="20"/>
  <c r="R455" i="20"/>
  <c r="T454" i="20"/>
  <c r="S454" i="20"/>
  <c r="R454" i="20"/>
  <c r="T453" i="20"/>
  <c r="S453" i="20"/>
  <c r="R453" i="20"/>
  <c r="T452" i="20"/>
  <c r="S452" i="20"/>
  <c r="R452" i="20"/>
  <c r="T451" i="20"/>
  <c r="S451" i="20"/>
  <c r="R451" i="20"/>
  <c r="T449" i="20"/>
  <c r="S449" i="20"/>
  <c r="R449" i="20"/>
  <c r="T448" i="20"/>
  <c r="S448" i="20"/>
  <c r="R448" i="20"/>
  <c r="T447" i="20"/>
  <c r="S447" i="20"/>
  <c r="R447" i="20"/>
  <c r="T446" i="20"/>
  <c r="S446" i="20"/>
  <c r="R446" i="20"/>
  <c r="T445" i="20"/>
  <c r="S445" i="20"/>
  <c r="R445" i="20"/>
  <c r="T444" i="20"/>
  <c r="S444" i="20"/>
  <c r="R444" i="20"/>
  <c r="T443" i="20"/>
  <c r="S443" i="20"/>
  <c r="R443" i="20"/>
  <c r="T442" i="20"/>
  <c r="S442" i="20"/>
  <c r="R442" i="20"/>
  <c r="T441" i="20"/>
  <c r="S441" i="20"/>
  <c r="R441" i="20"/>
  <c r="T440" i="20"/>
  <c r="S440" i="20"/>
  <c r="R440" i="20"/>
  <c r="T439" i="20"/>
  <c r="S439" i="20"/>
  <c r="R439" i="20"/>
  <c r="T438" i="20"/>
  <c r="S438" i="20"/>
  <c r="R438" i="20"/>
  <c r="T437" i="20"/>
  <c r="S437" i="20"/>
  <c r="R437" i="20"/>
  <c r="T436" i="20"/>
  <c r="S436" i="20"/>
  <c r="R436" i="20"/>
  <c r="T435" i="20"/>
  <c r="S435" i="20"/>
  <c r="R435" i="20"/>
  <c r="T434" i="20"/>
  <c r="S434" i="20"/>
  <c r="R434" i="20"/>
  <c r="T433" i="20"/>
  <c r="S433" i="20"/>
  <c r="R433" i="20"/>
  <c r="T431" i="20"/>
  <c r="S431" i="20"/>
  <c r="R431" i="20"/>
  <c r="T430" i="20"/>
  <c r="S430" i="20"/>
  <c r="R430" i="20"/>
  <c r="T429" i="20"/>
  <c r="S429" i="20"/>
  <c r="R429" i="20"/>
  <c r="T428" i="20"/>
  <c r="S428" i="20"/>
  <c r="R428" i="20"/>
  <c r="T427" i="20"/>
  <c r="S427" i="20"/>
  <c r="R427" i="20"/>
  <c r="T426" i="20"/>
  <c r="S426" i="20"/>
  <c r="R426" i="20"/>
  <c r="T425" i="20"/>
  <c r="S425" i="20"/>
  <c r="R425" i="20"/>
  <c r="T424" i="20"/>
  <c r="S424" i="20"/>
  <c r="R424" i="20"/>
  <c r="T423" i="20"/>
  <c r="S423" i="20"/>
  <c r="R423" i="20"/>
  <c r="T422" i="20"/>
  <c r="S422" i="20"/>
  <c r="R422" i="20"/>
  <c r="T421" i="20"/>
  <c r="S421" i="20"/>
  <c r="R421" i="20"/>
  <c r="T420" i="20"/>
  <c r="S420" i="20"/>
  <c r="R420" i="20"/>
  <c r="T419" i="20"/>
  <c r="S419" i="20"/>
  <c r="R419" i="20"/>
  <c r="T418" i="20"/>
  <c r="S418" i="20"/>
  <c r="R418" i="20"/>
  <c r="T416" i="20"/>
  <c r="S416" i="20"/>
  <c r="R416" i="20"/>
  <c r="T415" i="20"/>
  <c r="S415" i="20"/>
  <c r="R415" i="20"/>
  <c r="T414" i="20"/>
  <c r="S414" i="20"/>
  <c r="R414" i="20"/>
  <c r="T413" i="20"/>
  <c r="S413" i="20"/>
  <c r="R413" i="20"/>
  <c r="T412" i="20"/>
  <c r="S412" i="20"/>
  <c r="R412" i="20"/>
  <c r="T411" i="20"/>
  <c r="S411" i="20"/>
  <c r="R411" i="20"/>
  <c r="T410" i="20"/>
  <c r="S410" i="20"/>
  <c r="R410" i="20"/>
  <c r="T409" i="20"/>
  <c r="S409" i="20"/>
  <c r="R409" i="20"/>
  <c r="T408" i="20"/>
  <c r="S408" i="20"/>
  <c r="R408" i="20"/>
  <c r="T407" i="20"/>
  <c r="S407" i="20"/>
  <c r="R407" i="20"/>
  <c r="T406" i="20"/>
  <c r="S406" i="20"/>
  <c r="R406" i="20"/>
  <c r="T405" i="20"/>
  <c r="S405" i="20"/>
  <c r="R405" i="20"/>
  <c r="T403" i="20"/>
  <c r="S403" i="20"/>
  <c r="R403" i="20"/>
  <c r="T402" i="20"/>
  <c r="S402" i="20"/>
  <c r="R402" i="20"/>
  <c r="T401" i="20"/>
  <c r="S401" i="20"/>
  <c r="R401" i="20"/>
  <c r="T400" i="20"/>
  <c r="S400" i="20"/>
  <c r="R400" i="20"/>
  <c r="T399" i="20"/>
  <c r="S399" i="20"/>
  <c r="R399" i="20"/>
  <c r="T398" i="20"/>
  <c r="S398" i="20"/>
  <c r="R398" i="20"/>
  <c r="T397" i="20"/>
  <c r="S397" i="20"/>
  <c r="R397" i="20"/>
  <c r="T396" i="20"/>
  <c r="S396" i="20"/>
  <c r="R396" i="20"/>
  <c r="T395" i="20"/>
  <c r="S395" i="20"/>
  <c r="R395" i="20"/>
  <c r="T394" i="20"/>
  <c r="S394" i="20"/>
  <c r="R394" i="20"/>
  <c r="T393" i="20"/>
  <c r="S393" i="20"/>
  <c r="R393" i="20"/>
  <c r="T391" i="20"/>
  <c r="S391" i="20"/>
  <c r="R391" i="20"/>
  <c r="T390" i="20"/>
  <c r="S390" i="20"/>
  <c r="R390" i="20"/>
  <c r="T389" i="20"/>
  <c r="S389" i="20"/>
  <c r="R389" i="20"/>
  <c r="T388" i="20"/>
  <c r="S388" i="20"/>
  <c r="R388" i="20"/>
  <c r="T387" i="20"/>
  <c r="S387" i="20"/>
  <c r="R387" i="20"/>
  <c r="T386" i="20"/>
  <c r="S386" i="20"/>
  <c r="R386" i="20"/>
  <c r="T385" i="20"/>
  <c r="S385" i="20"/>
  <c r="R385" i="20"/>
  <c r="T384" i="20"/>
  <c r="S384" i="20"/>
  <c r="R384" i="20"/>
  <c r="T383" i="20"/>
  <c r="S383" i="20"/>
  <c r="R383" i="20"/>
  <c r="T382" i="20"/>
  <c r="S382" i="20"/>
  <c r="R382" i="20"/>
  <c r="T381" i="20"/>
  <c r="S381" i="20"/>
  <c r="R381" i="20"/>
  <c r="T380" i="20"/>
  <c r="S380" i="20"/>
  <c r="R380" i="20"/>
  <c r="T379" i="20"/>
  <c r="S379" i="20"/>
  <c r="R379" i="20"/>
  <c r="T378" i="20"/>
  <c r="S378" i="20"/>
  <c r="R378" i="20"/>
  <c r="T377" i="20"/>
  <c r="S377" i="20"/>
  <c r="R377" i="20"/>
  <c r="T376" i="20"/>
  <c r="S376" i="20"/>
  <c r="R376" i="20"/>
  <c r="T375" i="20"/>
  <c r="S375" i="20"/>
  <c r="R375" i="20"/>
  <c r="T374" i="20"/>
  <c r="S374" i="20"/>
  <c r="R374" i="20"/>
  <c r="T373" i="20"/>
  <c r="S373" i="20"/>
  <c r="R373" i="20"/>
  <c r="T372" i="20"/>
  <c r="S372" i="20"/>
  <c r="R372" i="20"/>
  <c r="T371" i="20"/>
  <c r="S371" i="20"/>
  <c r="R371" i="20"/>
  <c r="T370" i="20"/>
  <c r="S370" i="20"/>
  <c r="R370" i="20"/>
  <c r="T369" i="20"/>
  <c r="S369" i="20"/>
  <c r="R369" i="20"/>
  <c r="T368" i="20"/>
  <c r="S368" i="20"/>
  <c r="R368" i="20"/>
  <c r="T367" i="20"/>
  <c r="S367" i="20"/>
  <c r="R367" i="20"/>
  <c r="T366" i="20"/>
  <c r="S366" i="20"/>
  <c r="R366" i="20"/>
  <c r="T364" i="20"/>
  <c r="S364" i="20"/>
  <c r="R364" i="20"/>
  <c r="T363" i="20"/>
  <c r="S363" i="20"/>
  <c r="R363" i="20"/>
  <c r="T362" i="20"/>
  <c r="S362" i="20"/>
  <c r="R362" i="20"/>
  <c r="T361" i="20"/>
  <c r="S361" i="20"/>
  <c r="R361" i="20"/>
  <c r="T360" i="20"/>
  <c r="S360" i="20"/>
  <c r="R360" i="20"/>
  <c r="T359" i="20"/>
  <c r="S359" i="20"/>
  <c r="R359" i="20"/>
  <c r="T358" i="20"/>
  <c r="S358" i="20"/>
  <c r="R358" i="20"/>
  <c r="T357" i="20"/>
  <c r="S357" i="20"/>
  <c r="R357" i="20"/>
  <c r="T356" i="20"/>
  <c r="S356" i="20"/>
  <c r="R356" i="20"/>
  <c r="T355" i="20"/>
  <c r="S355" i="20"/>
  <c r="R355" i="20"/>
  <c r="T354" i="20"/>
  <c r="S354" i="20"/>
  <c r="R354" i="20"/>
  <c r="T353" i="20"/>
  <c r="S353" i="20"/>
  <c r="R353" i="20"/>
  <c r="T352" i="20"/>
  <c r="S352" i="20"/>
  <c r="R352" i="20"/>
  <c r="T351" i="20"/>
  <c r="S351" i="20"/>
  <c r="R351" i="20"/>
  <c r="T350" i="20"/>
  <c r="S350" i="20"/>
  <c r="R350" i="20"/>
  <c r="T349" i="20"/>
  <c r="S349" i="20"/>
  <c r="R349" i="20"/>
  <c r="T348" i="20"/>
  <c r="S348" i="20"/>
  <c r="R348" i="20"/>
  <c r="T347" i="20"/>
  <c r="S347" i="20"/>
  <c r="R347" i="20"/>
  <c r="T346" i="20"/>
  <c r="S346" i="20"/>
  <c r="R346" i="20"/>
  <c r="T345" i="20"/>
  <c r="S345" i="20"/>
  <c r="R345" i="20"/>
  <c r="T341" i="20"/>
  <c r="S341" i="20"/>
  <c r="R341" i="20"/>
  <c r="T340" i="20"/>
  <c r="S340" i="20"/>
  <c r="R340" i="20"/>
  <c r="T339" i="20"/>
  <c r="S339" i="20"/>
  <c r="R339" i="20"/>
  <c r="T338" i="20"/>
  <c r="S338" i="20"/>
  <c r="R338" i="20"/>
  <c r="T337" i="20"/>
  <c r="S337" i="20"/>
  <c r="R337" i="20"/>
  <c r="T336" i="20"/>
  <c r="S336" i="20"/>
  <c r="R336" i="20"/>
  <c r="T335" i="20"/>
  <c r="S335" i="20"/>
  <c r="R335" i="20"/>
  <c r="T334" i="20"/>
  <c r="S334" i="20"/>
  <c r="R334" i="20"/>
  <c r="T333" i="20"/>
  <c r="S333" i="20"/>
  <c r="R333" i="20"/>
  <c r="T332" i="20"/>
  <c r="S332" i="20"/>
  <c r="R332" i="20"/>
  <c r="T331" i="20"/>
  <c r="S331" i="20"/>
  <c r="R331" i="20"/>
  <c r="T330" i="20"/>
  <c r="S330" i="20"/>
  <c r="R330" i="20"/>
  <c r="T328" i="20"/>
  <c r="S328" i="20"/>
  <c r="R328" i="20"/>
  <c r="T326" i="20"/>
  <c r="S326" i="20"/>
  <c r="R326" i="20"/>
  <c r="T325" i="20"/>
  <c r="S325" i="20"/>
  <c r="R325" i="20"/>
  <c r="T324" i="20"/>
  <c r="S324" i="20"/>
  <c r="R324" i="20"/>
  <c r="T322" i="20"/>
  <c r="S322" i="20"/>
  <c r="R322" i="20"/>
  <c r="T321" i="20"/>
  <c r="S321" i="20"/>
  <c r="R321" i="20"/>
  <c r="T320" i="20"/>
  <c r="S320" i="20"/>
  <c r="R320" i="20"/>
  <c r="T319" i="20"/>
  <c r="S319" i="20"/>
  <c r="R319" i="20"/>
  <c r="T318" i="20"/>
  <c r="S318" i="20"/>
  <c r="R318" i="20"/>
  <c r="T316" i="20"/>
  <c r="S316" i="20"/>
  <c r="R316" i="20"/>
  <c r="T315" i="20"/>
  <c r="S315" i="20"/>
  <c r="R315" i="20"/>
  <c r="T314" i="20"/>
  <c r="S314" i="20"/>
  <c r="R314" i="20"/>
  <c r="T313" i="20"/>
  <c r="S313" i="20"/>
  <c r="R313" i="20"/>
  <c r="T312" i="20"/>
  <c r="S312" i="20"/>
  <c r="R312" i="20"/>
  <c r="T311" i="20"/>
  <c r="S311" i="20"/>
  <c r="R311" i="20"/>
  <c r="T310" i="20"/>
  <c r="S310" i="20"/>
  <c r="R310" i="20"/>
  <c r="T308" i="20"/>
  <c r="S308" i="20"/>
  <c r="R308" i="20"/>
  <c r="T307" i="20"/>
  <c r="S307" i="20"/>
  <c r="R307" i="20"/>
  <c r="T306" i="20"/>
  <c r="S306" i="20"/>
  <c r="R306" i="20"/>
  <c r="T305" i="20"/>
  <c r="S305" i="20"/>
  <c r="R305" i="20"/>
  <c r="T304" i="20"/>
  <c r="S304" i="20"/>
  <c r="R304" i="20"/>
  <c r="T303" i="20"/>
  <c r="S303" i="20"/>
  <c r="R303" i="20"/>
  <c r="T302" i="20"/>
  <c r="S302" i="20"/>
  <c r="R302" i="20"/>
  <c r="T301" i="20"/>
  <c r="S301" i="20"/>
  <c r="R301" i="20"/>
  <c r="T300" i="20"/>
  <c r="S300" i="20"/>
  <c r="R300" i="20"/>
  <c r="T299" i="20"/>
  <c r="S299" i="20"/>
  <c r="R299" i="20"/>
  <c r="T298" i="20"/>
  <c r="S298" i="20"/>
  <c r="R298" i="20"/>
  <c r="T295" i="20"/>
  <c r="S295" i="20"/>
  <c r="R295" i="20"/>
  <c r="T294" i="20"/>
  <c r="S294" i="20"/>
  <c r="R294" i="20"/>
  <c r="T293" i="20"/>
  <c r="S293" i="20"/>
  <c r="R293" i="20"/>
  <c r="T292" i="20"/>
  <c r="S292" i="20"/>
  <c r="R292" i="20"/>
  <c r="T291" i="20"/>
  <c r="S291" i="20"/>
  <c r="R291" i="20"/>
  <c r="T290" i="20"/>
  <c r="S290" i="20"/>
  <c r="R290" i="20"/>
  <c r="T289" i="20"/>
  <c r="S289" i="20"/>
  <c r="R289" i="20"/>
  <c r="T288" i="20"/>
  <c r="S288" i="20"/>
  <c r="R288" i="20"/>
  <c r="T287" i="20"/>
  <c r="S287" i="20"/>
  <c r="R287" i="20"/>
  <c r="T286" i="20"/>
  <c r="S286" i="20"/>
  <c r="R286" i="20"/>
  <c r="T285" i="20"/>
  <c r="S285" i="20"/>
  <c r="R285" i="20"/>
  <c r="T284" i="20"/>
  <c r="S284" i="20"/>
  <c r="R284" i="20"/>
  <c r="T283" i="20"/>
  <c r="S283" i="20"/>
  <c r="R283" i="20"/>
  <c r="T282" i="20"/>
  <c r="S282" i="20"/>
  <c r="R282" i="20"/>
  <c r="T281" i="20"/>
  <c r="S281" i="20"/>
  <c r="R281" i="20"/>
  <c r="T279" i="20"/>
  <c r="S279" i="20"/>
  <c r="R279" i="20"/>
  <c r="T278" i="20"/>
  <c r="S278" i="20"/>
  <c r="R278" i="20"/>
  <c r="T277" i="20"/>
  <c r="S277" i="20"/>
  <c r="R277" i="20"/>
  <c r="T276" i="20"/>
  <c r="S276" i="20"/>
  <c r="R276" i="20"/>
  <c r="T275" i="20"/>
  <c r="S275" i="20"/>
  <c r="R275" i="20"/>
  <c r="T274" i="20"/>
  <c r="S274" i="20"/>
  <c r="R274" i="20"/>
  <c r="T273" i="20"/>
  <c r="S273" i="20"/>
  <c r="R273" i="20"/>
  <c r="T272" i="20"/>
  <c r="S272" i="20"/>
  <c r="R272" i="20"/>
  <c r="T269" i="20"/>
  <c r="S269" i="20"/>
  <c r="R269" i="20"/>
  <c r="T267" i="20"/>
  <c r="S267" i="20"/>
  <c r="R267" i="20"/>
  <c r="T266" i="20"/>
  <c r="S266" i="20"/>
  <c r="R266" i="20"/>
  <c r="T265" i="20"/>
  <c r="S265" i="20"/>
  <c r="R265" i="20"/>
  <c r="T264" i="20"/>
  <c r="S264" i="20"/>
  <c r="R264" i="20"/>
  <c r="T263" i="20"/>
  <c r="S263" i="20"/>
  <c r="R263" i="20"/>
  <c r="T262" i="20"/>
  <c r="S262" i="20"/>
  <c r="R262" i="20"/>
  <c r="T261" i="20"/>
  <c r="S261" i="20"/>
  <c r="R261" i="20"/>
  <c r="T260" i="20"/>
  <c r="S260" i="20"/>
  <c r="R260" i="20"/>
  <c r="T259" i="20"/>
  <c r="S259" i="20"/>
  <c r="R259" i="20"/>
  <c r="T258" i="20"/>
  <c r="S258" i="20"/>
  <c r="R258" i="20"/>
  <c r="T257" i="20"/>
  <c r="S257" i="20"/>
  <c r="R257" i="20"/>
  <c r="T256" i="20"/>
  <c r="S256" i="20"/>
  <c r="R256" i="20"/>
  <c r="T254" i="20"/>
  <c r="S254" i="20"/>
  <c r="R254" i="20"/>
  <c r="T252" i="20"/>
  <c r="S252" i="20"/>
  <c r="R252" i="20"/>
  <c r="T251" i="20"/>
  <c r="S251" i="20"/>
  <c r="R251" i="20"/>
  <c r="T250" i="20"/>
  <c r="S250" i="20"/>
  <c r="R250" i="20"/>
  <c r="T248" i="20"/>
  <c r="S248" i="20"/>
  <c r="R248" i="20"/>
  <c r="T247" i="20"/>
  <c r="S247" i="20"/>
  <c r="R247" i="20"/>
  <c r="T246" i="20"/>
  <c r="S246" i="20"/>
  <c r="R246" i="20"/>
  <c r="T245" i="20"/>
  <c r="S245" i="20"/>
  <c r="R245" i="20"/>
  <c r="T244" i="20"/>
  <c r="S244" i="20"/>
  <c r="R244" i="20"/>
  <c r="T242" i="20"/>
  <c r="S242" i="20"/>
  <c r="R242" i="20"/>
  <c r="T241" i="20"/>
  <c r="S241" i="20"/>
  <c r="R241" i="20"/>
  <c r="T240" i="20"/>
  <c r="S240" i="20"/>
  <c r="R240" i="20"/>
  <c r="T239" i="20"/>
  <c r="S239" i="20"/>
  <c r="R239" i="20"/>
  <c r="T238" i="20"/>
  <c r="S238" i="20"/>
  <c r="R238" i="20"/>
  <c r="T237" i="20"/>
  <c r="S237" i="20"/>
  <c r="R237" i="20"/>
  <c r="T236" i="20"/>
  <c r="S236" i="20"/>
  <c r="R236" i="20"/>
  <c r="T234" i="20"/>
  <c r="S234" i="20"/>
  <c r="R234" i="20"/>
  <c r="T233" i="20"/>
  <c r="S233" i="20"/>
  <c r="R233" i="20"/>
  <c r="T232" i="20"/>
  <c r="S232" i="20"/>
  <c r="R232" i="20"/>
  <c r="T231" i="20"/>
  <c r="S231" i="20"/>
  <c r="R231" i="20"/>
  <c r="T230" i="20"/>
  <c r="S230" i="20"/>
  <c r="R230" i="20"/>
  <c r="T229" i="20"/>
  <c r="S229" i="20"/>
  <c r="R229" i="20"/>
  <c r="T228" i="20"/>
  <c r="S228" i="20"/>
  <c r="R228" i="20"/>
  <c r="T227" i="20"/>
  <c r="S227" i="20"/>
  <c r="R227" i="20"/>
  <c r="T226" i="20"/>
  <c r="S226" i="20"/>
  <c r="R226" i="20"/>
  <c r="T225" i="20"/>
  <c r="S225" i="20"/>
  <c r="R225" i="20"/>
  <c r="T224" i="20"/>
  <c r="S224" i="20"/>
  <c r="R224" i="20"/>
  <c r="T221" i="20"/>
  <c r="S221" i="20"/>
  <c r="R221" i="20"/>
  <c r="T220" i="20"/>
  <c r="S220" i="20"/>
  <c r="R220" i="20"/>
  <c r="T219" i="20"/>
  <c r="S219" i="20"/>
  <c r="R219" i="20"/>
  <c r="T218" i="20"/>
  <c r="S218" i="20"/>
  <c r="R218" i="20"/>
  <c r="T217" i="20"/>
  <c r="S217" i="20"/>
  <c r="R217" i="20"/>
  <c r="T216" i="20"/>
  <c r="S216" i="20"/>
  <c r="R216" i="20"/>
  <c r="T215" i="20"/>
  <c r="S215" i="20"/>
  <c r="R215" i="20"/>
  <c r="T214" i="20"/>
  <c r="S214" i="20"/>
  <c r="R214" i="20"/>
  <c r="T213" i="20"/>
  <c r="S213" i="20"/>
  <c r="R213" i="20"/>
  <c r="T212" i="20"/>
  <c r="S212" i="20"/>
  <c r="R212" i="20"/>
  <c r="T211" i="20"/>
  <c r="S211" i="20"/>
  <c r="R211" i="20"/>
  <c r="T210" i="20"/>
  <c r="S210" i="20"/>
  <c r="R210" i="20"/>
  <c r="T209" i="20"/>
  <c r="S209" i="20"/>
  <c r="R209" i="20"/>
  <c r="T208" i="20"/>
  <c r="S208" i="20"/>
  <c r="R208" i="20"/>
  <c r="T207" i="20"/>
  <c r="S207" i="20"/>
  <c r="R207" i="20"/>
  <c r="T205" i="20"/>
  <c r="S205" i="20"/>
  <c r="R205" i="20"/>
  <c r="T204" i="20"/>
  <c r="S204" i="20"/>
  <c r="R204" i="20"/>
  <c r="T203" i="20"/>
  <c r="S203" i="20"/>
  <c r="R203" i="20"/>
  <c r="T202" i="20"/>
  <c r="S202" i="20"/>
  <c r="R202" i="20"/>
  <c r="T201" i="20"/>
  <c r="S201" i="20"/>
  <c r="R201" i="20"/>
  <c r="T200" i="20"/>
  <c r="S200" i="20"/>
  <c r="R200" i="20"/>
  <c r="T199" i="20"/>
  <c r="S199" i="20"/>
  <c r="R199" i="20"/>
  <c r="T198" i="20"/>
  <c r="S198" i="20"/>
  <c r="R198" i="20"/>
  <c r="T197" i="20"/>
  <c r="S197" i="20"/>
  <c r="R197" i="20"/>
  <c r="T196" i="20"/>
  <c r="S196" i="20"/>
  <c r="R196" i="20"/>
  <c r="T195" i="20"/>
  <c r="S195" i="20"/>
  <c r="R195" i="20"/>
  <c r="T194" i="20"/>
  <c r="S194" i="20"/>
  <c r="R194" i="20"/>
  <c r="T193" i="20"/>
  <c r="S193" i="20"/>
  <c r="R193" i="20"/>
  <c r="T192" i="20"/>
  <c r="S192" i="20"/>
  <c r="R192" i="20"/>
  <c r="T190" i="20"/>
  <c r="S190" i="20"/>
  <c r="R190" i="20"/>
  <c r="T189" i="20"/>
  <c r="S189" i="20"/>
  <c r="R189" i="20"/>
  <c r="T188" i="20"/>
  <c r="S188" i="20"/>
  <c r="R188" i="20"/>
  <c r="T187" i="20"/>
  <c r="S187" i="20"/>
  <c r="R187" i="20"/>
  <c r="T186" i="20"/>
  <c r="S186" i="20"/>
  <c r="R186" i="20"/>
  <c r="T185" i="20"/>
  <c r="S185" i="20"/>
  <c r="R185" i="20"/>
  <c r="T184" i="20"/>
  <c r="S184" i="20"/>
  <c r="R184" i="20"/>
  <c r="T183" i="20"/>
  <c r="S183" i="20"/>
  <c r="R183" i="20"/>
  <c r="T182" i="20"/>
  <c r="S182" i="20"/>
  <c r="R182" i="20"/>
  <c r="T181" i="20"/>
  <c r="S181" i="20"/>
  <c r="R181" i="20"/>
  <c r="T180" i="20"/>
  <c r="S180" i="20"/>
  <c r="R180" i="20"/>
  <c r="T179" i="20"/>
  <c r="S179" i="20"/>
  <c r="R179" i="20"/>
  <c r="T178" i="20"/>
  <c r="S178" i="20"/>
  <c r="R178" i="20"/>
  <c r="T177" i="20"/>
  <c r="S177" i="20"/>
  <c r="R177" i="20"/>
  <c r="T176" i="20"/>
  <c r="S176" i="20"/>
  <c r="R176" i="20"/>
  <c r="T175" i="20"/>
  <c r="S175" i="20"/>
  <c r="R175" i="20"/>
  <c r="T174" i="20"/>
  <c r="S174" i="20"/>
  <c r="R174" i="20"/>
  <c r="T172" i="20"/>
  <c r="S172" i="20"/>
  <c r="R172" i="20"/>
  <c r="T171" i="20"/>
  <c r="S171" i="20"/>
  <c r="R171" i="20"/>
  <c r="T170" i="20"/>
  <c r="S170" i="20"/>
  <c r="R170" i="20"/>
  <c r="T169" i="20"/>
  <c r="S169" i="20"/>
  <c r="R169" i="20"/>
  <c r="T168" i="20"/>
  <c r="S168" i="20"/>
  <c r="R168" i="20"/>
  <c r="T167" i="20"/>
  <c r="S167" i="20"/>
  <c r="R167" i="20"/>
  <c r="T166" i="20"/>
  <c r="S166" i="20"/>
  <c r="R166" i="20"/>
  <c r="T165" i="20"/>
  <c r="S165" i="20"/>
  <c r="R165" i="20"/>
  <c r="T164" i="20"/>
  <c r="S164" i="20"/>
  <c r="R164" i="20"/>
  <c r="T163" i="20"/>
  <c r="S163" i="20"/>
  <c r="R163" i="20"/>
  <c r="T162" i="20"/>
  <c r="S162" i="20"/>
  <c r="R162" i="20"/>
  <c r="T161" i="20"/>
  <c r="S161" i="20"/>
  <c r="R161" i="20"/>
  <c r="T160" i="20"/>
  <c r="S160" i="20"/>
  <c r="R160" i="20"/>
  <c r="T159" i="20"/>
  <c r="S159" i="20"/>
  <c r="R159" i="20"/>
  <c r="T157" i="20"/>
  <c r="S157" i="20"/>
  <c r="R157" i="20"/>
  <c r="T156" i="20"/>
  <c r="S156" i="20"/>
  <c r="R156" i="20"/>
  <c r="T155" i="20"/>
  <c r="S155" i="20"/>
  <c r="R155" i="20"/>
  <c r="T154" i="20"/>
  <c r="S154" i="20"/>
  <c r="R154" i="20"/>
  <c r="T153" i="20"/>
  <c r="S153" i="20"/>
  <c r="R153" i="20"/>
  <c r="T152" i="20"/>
  <c r="S152" i="20"/>
  <c r="R152" i="20"/>
  <c r="T151" i="20"/>
  <c r="S151" i="20"/>
  <c r="R151" i="20"/>
  <c r="T150" i="20"/>
  <c r="S150" i="20"/>
  <c r="R150" i="20"/>
  <c r="T149" i="20"/>
  <c r="S149" i="20"/>
  <c r="R149" i="20"/>
  <c r="T148" i="20"/>
  <c r="S148" i="20"/>
  <c r="R148" i="20"/>
  <c r="T147" i="20"/>
  <c r="S147" i="20"/>
  <c r="R147" i="20"/>
  <c r="T146" i="20"/>
  <c r="S146" i="20"/>
  <c r="R146" i="20"/>
  <c r="T144" i="20"/>
  <c r="S144" i="20"/>
  <c r="R144" i="20"/>
  <c r="T143" i="20"/>
  <c r="S143" i="20"/>
  <c r="R143" i="20"/>
  <c r="T142" i="20"/>
  <c r="S142" i="20"/>
  <c r="R142" i="20"/>
  <c r="T141" i="20"/>
  <c r="S141" i="20"/>
  <c r="R141" i="20"/>
  <c r="T140" i="20"/>
  <c r="S140" i="20"/>
  <c r="R140" i="20"/>
  <c r="T139" i="20"/>
  <c r="S139" i="20"/>
  <c r="R139" i="20"/>
  <c r="T138" i="20"/>
  <c r="S138" i="20"/>
  <c r="R138" i="20"/>
  <c r="T137" i="20"/>
  <c r="S137" i="20"/>
  <c r="R137" i="20"/>
  <c r="T136" i="20"/>
  <c r="S136" i="20"/>
  <c r="R136" i="20"/>
  <c r="T135" i="20"/>
  <c r="S135" i="20"/>
  <c r="R135" i="20"/>
  <c r="T134" i="20"/>
  <c r="S134" i="20"/>
  <c r="R134" i="20"/>
  <c r="T132" i="20"/>
  <c r="S132" i="20"/>
  <c r="R132" i="20"/>
  <c r="T131" i="20"/>
  <c r="S131" i="20"/>
  <c r="R131" i="20"/>
  <c r="T130" i="20"/>
  <c r="S130" i="20"/>
  <c r="R130" i="20"/>
  <c r="T129" i="20"/>
  <c r="S129" i="20"/>
  <c r="R129" i="20"/>
  <c r="T128" i="20"/>
  <c r="S128" i="20"/>
  <c r="R128" i="20"/>
  <c r="T127" i="20"/>
  <c r="S127" i="20"/>
  <c r="R127" i="20"/>
  <c r="T126" i="20"/>
  <c r="S126" i="20"/>
  <c r="R126" i="20"/>
  <c r="T125" i="20"/>
  <c r="S125" i="20"/>
  <c r="R125" i="20"/>
  <c r="T124" i="20"/>
  <c r="S124" i="20"/>
  <c r="R124" i="20"/>
  <c r="T123" i="20"/>
  <c r="S123" i="20"/>
  <c r="R123" i="20"/>
  <c r="T122" i="20"/>
  <c r="S122" i="20"/>
  <c r="R122" i="20"/>
  <c r="T121" i="20"/>
  <c r="S121" i="20"/>
  <c r="R121" i="20"/>
  <c r="T120" i="20"/>
  <c r="S120" i="20"/>
  <c r="R120" i="20"/>
  <c r="T119" i="20"/>
  <c r="S119" i="20"/>
  <c r="R119" i="20"/>
  <c r="T118" i="20"/>
  <c r="S118" i="20"/>
  <c r="R118" i="20"/>
  <c r="T117" i="20"/>
  <c r="S117" i="20"/>
  <c r="R117" i="20"/>
  <c r="T116" i="20"/>
  <c r="S116" i="20"/>
  <c r="R116" i="20"/>
  <c r="T115" i="20"/>
  <c r="S115" i="20"/>
  <c r="R115" i="20"/>
  <c r="T114" i="20"/>
  <c r="S114" i="20"/>
  <c r="R114" i="20"/>
  <c r="T113" i="20"/>
  <c r="S113" i="20"/>
  <c r="R113" i="20"/>
  <c r="T112" i="20"/>
  <c r="S112" i="20"/>
  <c r="R112" i="20"/>
  <c r="T111" i="20"/>
  <c r="S111" i="20"/>
  <c r="R111" i="20"/>
  <c r="T110" i="20"/>
  <c r="S110" i="20"/>
  <c r="R110" i="20"/>
  <c r="T109" i="20"/>
  <c r="S109" i="20"/>
  <c r="R109" i="20"/>
  <c r="T108" i="20"/>
  <c r="S108" i="20"/>
  <c r="R108" i="20"/>
  <c r="T107" i="20"/>
  <c r="S107" i="20"/>
  <c r="R107" i="20"/>
  <c r="T105" i="20"/>
  <c r="S105" i="20"/>
  <c r="R105" i="20"/>
  <c r="T104" i="20"/>
  <c r="S104" i="20"/>
  <c r="R104" i="20"/>
  <c r="T103" i="20"/>
  <c r="S103" i="20"/>
  <c r="R103" i="20"/>
  <c r="T102" i="20"/>
  <c r="S102" i="20"/>
  <c r="R102" i="20"/>
  <c r="T101" i="20"/>
  <c r="S101" i="20"/>
  <c r="R101" i="20"/>
  <c r="T100" i="20"/>
  <c r="S100" i="20"/>
  <c r="R100" i="20"/>
  <c r="T99" i="20"/>
  <c r="S99" i="20"/>
  <c r="R99" i="20"/>
  <c r="T98" i="20"/>
  <c r="S98" i="20"/>
  <c r="R98" i="20"/>
  <c r="T97" i="20"/>
  <c r="S97" i="20"/>
  <c r="R97" i="20"/>
  <c r="T96" i="20"/>
  <c r="S96" i="20"/>
  <c r="R96" i="20"/>
  <c r="T95" i="20"/>
  <c r="S95" i="20"/>
  <c r="R95" i="20"/>
  <c r="T94" i="20"/>
  <c r="S94" i="20"/>
  <c r="R94" i="20"/>
  <c r="T93" i="20"/>
  <c r="S93" i="20"/>
  <c r="R93" i="20"/>
  <c r="T92" i="20"/>
  <c r="S92" i="20"/>
  <c r="R92" i="20"/>
  <c r="T91" i="20"/>
  <c r="S91" i="20"/>
  <c r="R91" i="20"/>
  <c r="T90" i="20"/>
  <c r="S90" i="20"/>
  <c r="R90" i="20"/>
  <c r="T89" i="20"/>
  <c r="S89" i="20"/>
  <c r="R89" i="20"/>
  <c r="T88" i="20"/>
  <c r="S88" i="20"/>
  <c r="R88" i="20"/>
  <c r="T87" i="20"/>
  <c r="S87" i="20"/>
  <c r="R87" i="20"/>
  <c r="T86" i="20"/>
  <c r="S86" i="20"/>
  <c r="R86" i="20"/>
  <c r="T82" i="20"/>
  <c r="S82" i="20"/>
  <c r="R82" i="20"/>
  <c r="T81" i="20"/>
  <c r="S81" i="20"/>
  <c r="R81" i="20"/>
  <c r="T80" i="20"/>
  <c r="S80" i="20"/>
  <c r="R80" i="20"/>
  <c r="T79" i="20"/>
  <c r="S79" i="20"/>
  <c r="R79" i="20"/>
  <c r="T78" i="20"/>
  <c r="S78" i="20"/>
  <c r="R78" i="20"/>
  <c r="T77" i="20"/>
  <c r="S77" i="20"/>
  <c r="R77" i="20"/>
  <c r="T76" i="20"/>
  <c r="S76" i="20"/>
  <c r="R76" i="20"/>
  <c r="T75" i="20"/>
  <c r="S75" i="20"/>
  <c r="R75" i="20"/>
  <c r="T74" i="20"/>
  <c r="S74" i="20"/>
  <c r="R74" i="20"/>
  <c r="T73" i="20"/>
  <c r="S73" i="20"/>
  <c r="R73" i="20"/>
  <c r="T72" i="20"/>
  <c r="S72" i="20"/>
  <c r="R72" i="20"/>
  <c r="T71" i="20"/>
  <c r="S71" i="20"/>
  <c r="R71" i="20"/>
  <c r="T69" i="20"/>
  <c r="S69" i="20"/>
  <c r="R69" i="20"/>
  <c r="T68" i="20"/>
  <c r="S68" i="20"/>
  <c r="R68" i="20"/>
  <c r="T67" i="20"/>
  <c r="S67" i="20"/>
  <c r="R67" i="20"/>
  <c r="T66" i="20"/>
  <c r="S66" i="20"/>
  <c r="R66" i="20"/>
  <c r="T65" i="20"/>
  <c r="S65" i="20"/>
  <c r="R65" i="20"/>
  <c r="T64" i="20"/>
  <c r="S64" i="20"/>
  <c r="R64" i="20"/>
  <c r="T63" i="20"/>
  <c r="S63" i="20"/>
  <c r="R63" i="20"/>
  <c r="E62" i="20"/>
  <c r="F67" i="20" s="1"/>
  <c r="T61" i="20"/>
  <c r="S61" i="20"/>
  <c r="R61" i="20"/>
  <c r="T60" i="20"/>
  <c r="S60" i="20"/>
  <c r="R60" i="20"/>
  <c r="T59" i="20"/>
  <c r="S59" i="20"/>
  <c r="R59" i="20"/>
  <c r="T58" i="20"/>
  <c r="S58" i="20"/>
  <c r="R58" i="20"/>
  <c r="T57" i="20"/>
  <c r="S57" i="20"/>
  <c r="R57" i="20"/>
  <c r="Q56" i="20"/>
  <c r="P56" i="20"/>
  <c r="O56" i="20"/>
  <c r="N56" i="20"/>
  <c r="T55" i="20"/>
  <c r="S55" i="20"/>
  <c r="R55" i="20"/>
  <c r="T54" i="20"/>
  <c r="S54" i="20"/>
  <c r="R54" i="20"/>
  <c r="T53" i="20"/>
  <c r="S53" i="20"/>
  <c r="R53" i="20"/>
  <c r="T52" i="20"/>
  <c r="S52" i="20"/>
  <c r="R52" i="20"/>
  <c r="T51" i="20"/>
  <c r="S51" i="20"/>
  <c r="R51" i="20"/>
  <c r="T50" i="20"/>
  <c r="S50" i="20"/>
  <c r="R50" i="20"/>
  <c r="T49" i="20"/>
  <c r="S49" i="20"/>
  <c r="R49" i="20"/>
  <c r="Q48" i="20"/>
  <c r="P48" i="20"/>
  <c r="O48" i="20"/>
  <c r="N48" i="20"/>
  <c r="T47" i="20"/>
  <c r="S47" i="20"/>
  <c r="R47" i="20"/>
  <c r="T46" i="20"/>
  <c r="S46" i="20"/>
  <c r="R46" i="20"/>
  <c r="T45" i="20"/>
  <c r="S45" i="20"/>
  <c r="R45" i="20"/>
  <c r="T44" i="20"/>
  <c r="S44" i="20"/>
  <c r="R44" i="20"/>
  <c r="T43" i="20"/>
  <c r="S43" i="20"/>
  <c r="R43" i="20"/>
  <c r="T42" i="20"/>
  <c r="S42" i="20"/>
  <c r="R42" i="20"/>
  <c r="T41" i="20"/>
  <c r="S41" i="20"/>
  <c r="R41" i="20"/>
  <c r="T40" i="20"/>
  <c r="S40" i="20"/>
  <c r="R40" i="20"/>
  <c r="T39" i="20"/>
  <c r="S39" i="20"/>
  <c r="R39" i="20"/>
  <c r="T38" i="20"/>
  <c r="S38" i="20"/>
  <c r="R38" i="20"/>
  <c r="T37" i="20"/>
  <c r="S37" i="20"/>
  <c r="R37" i="20"/>
  <c r="Q36" i="20"/>
  <c r="P36" i="20"/>
  <c r="O36" i="20"/>
  <c r="N36" i="20"/>
  <c r="T34" i="20"/>
  <c r="S34" i="20"/>
  <c r="R34" i="20"/>
  <c r="T33" i="20"/>
  <c r="S33" i="20"/>
  <c r="R33" i="20"/>
  <c r="T32" i="20"/>
  <c r="S32" i="20"/>
  <c r="R32" i="20"/>
  <c r="T31" i="20"/>
  <c r="S31" i="20"/>
  <c r="R31" i="20"/>
  <c r="T30" i="20"/>
  <c r="S30" i="20"/>
  <c r="R30" i="20"/>
  <c r="T29" i="20"/>
  <c r="S29" i="20"/>
  <c r="R29" i="20"/>
  <c r="T28" i="20"/>
  <c r="S28" i="20"/>
  <c r="R28" i="20"/>
  <c r="T27" i="20"/>
  <c r="S27" i="20"/>
  <c r="R27" i="20"/>
  <c r="T26" i="20"/>
  <c r="S26" i="20"/>
  <c r="R26" i="20"/>
  <c r="T25" i="20"/>
  <c r="S25" i="20"/>
  <c r="R25" i="20"/>
  <c r="T24" i="20"/>
  <c r="S24" i="20"/>
  <c r="R24" i="20"/>
  <c r="T23" i="20"/>
  <c r="S23" i="20"/>
  <c r="R23" i="20"/>
  <c r="T22" i="20"/>
  <c r="S22" i="20"/>
  <c r="R22" i="20"/>
  <c r="T21" i="20"/>
  <c r="S21" i="20"/>
  <c r="R21" i="20"/>
  <c r="T20" i="20"/>
  <c r="S20" i="20"/>
  <c r="R20" i="20"/>
  <c r="T18" i="20"/>
  <c r="S18" i="20"/>
  <c r="R18" i="20"/>
  <c r="T17" i="20"/>
  <c r="S17" i="20"/>
  <c r="R17" i="20"/>
  <c r="T16" i="20"/>
  <c r="S16" i="20"/>
  <c r="R16" i="20"/>
  <c r="T15" i="20"/>
  <c r="S15" i="20"/>
  <c r="R15" i="20"/>
  <c r="T14" i="20"/>
  <c r="S14" i="20"/>
  <c r="R14" i="20"/>
  <c r="T13" i="20"/>
  <c r="S13" i="20"/>
  <c r="R13" i="20"/>
  <c r="T12" i="20"/>
  <c r="S12" i="20"/>
  <c r="R12" i="20"/>
  <c r="Q11" i="20"/>
  <c r="P11" i="20"/>
  <c r="O11" i="20"/>
  <c r="N11" i="20"/>
  <c r="T8" i="20"/>
  <c r="S8" i="20"/>
  <c r="R8" i="20"/>
  <c r="G8" i="20"/>
  <c r="Q7" i="20"/>
  <c r="P7" i="20"/>
  <c r="O7" i="20"/>
  <c r="N7" i="20"/>
  <c r="R7" i="20" s="1"/>
  <c r="E7" i="20"/>
  <c r="G6" i="20"/>
  <c r="R11" i="20" l="1"/>
  <c r="Q35" i="18"/>
  <c r="R35" i="18"/>
  <c r="F895" i="20"/>
  <c r="F74" i="20" s="1"/>
  <c r="F896" i="20"/>
  <c r="F801" i="20"/>
  <c r="F799" i="20"/>
  <c r="F423" i="20" s="1"/>
  <c r="F603" i="20"/>
  <c r="F154" i="20"/>
  <c r="E9" i="20"/>
  <c r="F70" i="20" s="1"/>
  <c r="F68" i="20"/>
  <c r="N327" i="20"/>
  <c r="R327" i="20" s="1"/>
  <c r="F69" i="20"/>
  <c r="F757" i="20"/>
  <c r="F760" i="20"/>
  <c r="F384" i="20" s="1"/>
  <c r="F767" i="20"/>
  <c r="S11" i="20"/>
  <c r="F61" i="20"/>
  <c r="F862" i="20"/>
  <c r="F486" i="20" s="1"/>
  <c r="F326" i="20"/>
  <c r="F748" i="20"/>
  <c r="T36" i="20"/>
  <c r="S7" i="20"/>
  <c r="T7" i="20"/>
  <c r="F828" i="20"/>
  <c r="F452" i="20" s="1"/>
  <c r="R48" i="20"/>
  <c r="S48" i="20"/>
  <c r="F807" i="20"/>
  <c r="F621" i="20" s="1"/>
  <c r="F892" i="20"/>
  <c r="F256" i="20" s="1"/>
  <c r="F830" i="20"/>
  <c r="F644" i="20" s="1"/>
  <c r="F863" i="20"/>
  <c r="F254" i="20"/>
  <c r="F514" i="20"/>
  <c r="F729" i="20"/>
  <c r="F543" i="20" s="1"/>
  <c r="F735" i="20"/>
  <c r="F549" i="20" s="1"/>
  <c r="F894" i="20"/>
  <c r="F837" i="20"/>
  <c r="F651" i="20" s="1"/>
  <c r="F903" i="20"/>
  <c r="F364" i="20"/>
  <c r="F105" i="20"/>
  <c r="F554" i="20"/>
  <c r="F814" i="20"/>
  <c r="F179" i="20" s="1"/>
  <c r="F792" i="20"/>
  <c r="F416" i="20" s="1"/>
  <c r="F817" i="20"/>
  <c r="F182" i="20" s="1"/>
  <c r="F781" i="20"/>
  <c r="F786" i="20"/>
  <c r="F824" i="20"/>
  <c r="F189" i="20" s="1"/>
  <c r="O327" i="20"/>
  <c r="S327" i="20" s="1"/>
  <c r="P327" i="20"/>
  <c r="T327" i="20" s="1"/>
  <c r="F844" i="20"/>
  <c r="F282" i="20" s="1"/>
  <c r="F882" i="20"/>
  <c r="F506" i="20" s="1"/>
  <c r="F813" i="20"/>
  <c r="F812" i="20"/>
  <c r="F736" i="20"/>
  <c r="F788" i="20"/>
  <c r="F845" i="20"/>
  <c r="F22" i="20" s="1"/>
  <c r="F743" i="20"/>
  <c r="F783" i="20"/>
  <c r="F854" i="20"/>
  <c r="F478" i="20" s="1"/>
  <c r="F63" i="20"/>
  <c r="F731" i="20"/>
  <c r="F96" i="20" s="1"/>
  <c r="F762" i="20"/>
  <c r="F127" i="20" s="1"/>
  <c r="F267" i="20"/>
  <c r="F725" i="20"/>
  <c r="F884" i="20"/>
  <c r="F508" i="20" s="1"/>
  <c r="R36" i="20"/>
  <c r="G530" i="20"/>
  <c r="S36" i="20"/>
  <c r="F847" i="20"/>
  <c r="F285" i="20" s="1"/>
  <c r="F784" i="20"/>
  <c r="F598" i="20" s="1"/>
  <c r="F790" i="20"/>
  <c r="F414" i="20" s="1"/>
  <c r="F810" i="20"/>
  <c r="F175" i="20" s="1"/>
  <c r="F821" i="20"/>
  <c r="F445" i="20" s="1"/>
  <c r="F886" i="20"/>
  <c r="F65" i="20"/>
  <c r="G531" i="20"/>
  <c r="F815" i="20"/>
  <c r="F758" i="20"/>
  <c r="F572" i="20" s="1"/>
  <c r="F797" i="20"/>
  <c r="F857" i="20"/>
  <c r="F34" i="20" s="1"/>
  <c r="F739" i="20"/>
  <c r="F104" i="20" s="1"/>
  <c r="F887" i="20"/>
  <c r="T56" i="20"/>
  <c r="F66" i="20"/>
  <c r="F721" i="20"/>
  <c r="F727" i="20"/>
  <c r="F351" i="20" s="1"/>
  <c r="F733" i="20"/>
  <c r="F765" i="20"/>
  <c r="F389" i="20" s="1"/>
  <c r="F785" i="20"/>
  <c r="F150" i="20" s="1"/>
  <c r="T11" i="20"/>
  <c r="T48" i="20"/>
  <c r="F791" i="20"/>
  <c r="F156" i="20" s="1"/>
  <c r="F816" i="20"/>
  <c r="F181" i="20" s="1"/>
  <c r="F252" i="20"/>
  <c r="F512" i="20"/>
  <c r="F850" i="20"/>
  <c r="F214" i="20" s="1"/>
  <c r="F228" i="20"/>
  <c r="F678" i="20"/>
  <c r="F302" i="20"/>
  <c r="F488" i="20"/>
  <c r="F284" i="20"/>
  <c r="F660" i="20"/>
  <c r="F210" i="20"/>
  <c r="F23" i="20"/>
  <c r="F470" i="20"/>
  <c r="F691" i="20"/>
  <c r="F315" i="20"/>
  <c r="F501" i="20"/>
  <c r="F241" i="20"/>
  <c r="F166" i="20"/>
  <c r="F615" i="20"/>
  <c r="F425" i="20"/>
  <c r="F333" i="20"/>
  <c r="F709" i="20"/>
  <c r="F519" i="20"/>
  <c r="F259" i="20"/>
  <c r="F775" i="20"/>
  <c r="F773" i="20"/>
  <c r="F779" i="20"/>
  <c r="F203" i="20"/>
  <c r="F462" i="20"/>
  <c r="R56" i="20"/>
  <c r="S56" i="20"/>
  <c r="F875" i="20"/>
  <c r="F881" i="20"/>
  <c r="F766" i="20"/>
  <c r="F759" i="20"/>
  <c r="F752" i="20"/>
  <c r="F745" i="20"/>
  <c r="F750" i="20"/>
  <c r="F742" i="20"/>
  <c r="F754" i="20"/>
  <c r="F746" i="20"/>
  <c r="F744" i="20"/>
  <c r="F764" i="20"/>
  <c r="F756" i="20"/>
  <c r="F755" i="20"/>
  <c r="F769" i="20"/>
  <c r="F795" i="20"/>
  <c r="F869" i="20"/>
  <c r="F751" i="20"/>
  <c r="F804" i="20"/>
  <c r="F825" i="20"/>
  <c r="F818" i="20"/>
  <c r="F811" i="20"/>
  <c r="F819" i="20"/>
  <c r="F834" i="20"/>
  <c r="F827" i="20"/>
  <c r="F839" i="20"/>
  <c r="F832" i="20"/>
  <c r="F835" i="20"/>
  <c r="F637" i="20"/>
  <c r="F778" i="20"/>
  <c r="E719" i="20"/>
  <c r="F774" i="20"/>
  <c r="F567" i="20"/>
  <c r="E858" i="20"/>
  <c r="F885" i="20" s="1"/>
  <c r="F870" i="20"/>
  <c r="F822" i="20"/>
  <c r="F64" i="20"/>
  <c r="F747" i="20"/>
  <c r="F770" i="20"/>
  <c r="F831" i="20"/>
  <c r="F852" i="20"/>
  <c r="F901" i="20"/>
  <c r="F80" i="20" s="1"/>
  <c r="F447" i="20"/>
  <c r="F805" i="20"/>
  <c r="F809" i="20"/>
  <c r="F840" i="20"/>
  <c r="F761" i="20"/>
  <c r="F836" i="20"/>
  <c r="F876" i="20"/>
  <c r="F878" i="20"/>
  <c r="F874" i="20"/>
  <c r="F613" i="20"/>
  <c r="F866" i="20"/>
  <c r="F860" i="20"/>
  <c r="F868" i="20"/>
  <c r="F865" i="20"/>
  <c r="F652" i="20"/>
  <c r="F771" i="20"/>
  <c r="F872" i="20"/>
  <c r="F710" i="20"/>
  <c r="F697" i="20"/>
  <c r="F507" i="20"/>
  <c r="F520" i="20"/>
  <c r="F776" i="20"/>
  <c r="F803" i="20"/>
  <c r="F796" i="20"/>
  <c r="F800" i="20"/>
  <c r="F806" i="20"/>
  <c r="F321" i="20"/>
  <c r="F802" i="20"/>
  <c r="F900" i="20"/>
  <c r="F79" i="20" s="1"/>
  <c r="F902" i="20"/>
  <c r="F81" i="20" s="1"/>
  <c r="F899" i="20"/>
  <c r="F78" i="20" s="1"/>
  <c r="F893" i="20"/>
  <c r="F72" i="20" s="1"/>
  <c r="F118" i="20"/>
  <c r="F164" i="20"/>
  <c r="F873" i="20"/>
  <c r="F897" i="20"/>
  <c r="F76" i="20" s="1"/>
  <c r="F413" i="20"/>
  <c r="F749" i="20"/>
  <c r="F772" i="20"/>
  <c r="F851" i="20"/>
  <c r="F853" i="20"/>
  <c r="F849" i="20"/>
  <c r="F843" i="20"/>
  <c r="F855" i="20"/>
  <c r="F848" i="20"/>
  <c r="N35" i="20"/>
  <c r="F798" i="20"/>
  <c r="F829" i="20"/>
  <c r="F833" i="20"/>
  <c r="F867" i="20"/>
  <c r="O35" i="20"/>
  <c r="F763" i="20"/>
  <c r="F820" i="20"/>
  <c r="F861" i="20"/>
  <c r="P35" i="20"/>
  <c r="F704" i="20"/>
  <c r="F777" i="20"/>
  <c r="F794" i="20"/>
  <c r="F880" i="20"/>
  <c r="Q35" i="20"/>
  <c r="F334" i="20"/>
  <c r="F856" i="20"/>
  <c r="F898" i="20"/>
  <c r="F77" i="20" s="1"/>
  <c r="F737" i="20"/>
  <c r="F730" i="20"/>
  <c r="F723" i="20"/>
  <c r="F724" i="20"/>
  <c r="F728" i="20"/>
  <c r="F732" i="20"/>
  <c r="F738" i="20"/>
  <c r="F722" i="20"/>
  <c r="F726" i="20"/>
  <c r="F734" i="20"/>
  <c r="F787" i="20"/>
  <c r="F782" i="20"/>
  <c r="F195" i="20" l="1"/>
  <c r="N885" i="20"/>
  <c r="R885" i="20" s="1"/>
  <c r="F75" i="20"/>
  <c r="F260" i="20"/>
  <c r="F571" i="20"/>
  <c r="F122" i="20"/>
  <c r="F381" i="20"/>
  <c r="F581" i="20"/>
  <c r="F391" i="20"/>
  <c r="F113" i="20"/>
  <c r="F372" i="20"/>
  <c r="F516" i="20"/>
  <c r="F71" i="20"/>
  <c r="F487" i="20"/>
  <c r="F301" i="20"/>
  <c r="F227" i="20"/>
  <c r="O253" i="20"/>
  <c r="Q253" i="20"/>
  <c r="P253" i="20"/>
  <c r="N253" i="20"/>
  <c r="R253" i="20" s="1"/>
  <c r="N513" i="20"/>
  <c r="Q513" i="20"/>
  <c r="R513" i="20" s="1"/>
  <c r="F518" i="20"/>
  <c r="F332" i="20"/>
  <c r="F73" i="20"/>
  <c r="F527" i="20"/>
  <c r="F82" i="20"/>
  <c r="F367" i="20"/>
  <c r="F557" i="20"/>
  <c r="F349" i="20"/>
  <c r="F90" i="20"/>
  <c r="F10" i="20"/>
  <c r="F62" i="20"/>
  <c r="F708" i="20"/>
  <c r="F574" i="20"/>
  <c r="F125" i="20"/>
  <c r="F677" i="20"/>
  <c r="F676" i="20"/>
  <c r="F300" i="20"/>
  <c r="F132" i="20"/>
  <c r="F226" i="20"/>
  <c r="F706" i="20"/>
  <c r="F353" i="20"/>
  <c r="P513" i="20"/>
  <c r="F330" i="20"/>
  <c r="F149" i="20"/>
  <c r="F94" i="20"/>
  <c r="F123" i="20"/>
  <c r="F562" i="20"/>
  <c r="F431" i="20"/>
  <c r="F292" i="20"/>
  <c r="F202" i="20"/>
  <c r="F471" i="20"/>
  <c r="F130" i="20"/>
  <c r="F415" i="20"/>
  <c r="F172" i="20"/>
  <c r="F454" i="20"/>
  <c r="F322" i="20"/>
  <c r="F461" i="20"/>
  <c r="E718" i="20"/>
  <c r="E528" i="20" s="1"/>
  <c r="E6" i="20" s="1"/>
  <c r="F631" i="20"/>
  <c r="F599" i="20"/>
  <c r="F859" i="20"/>
  <c r="F297" i="20" s="1"/>
  <c r="F24" i="20"/>
  <c r="F434" i="20"/>
  <c r="F624" i="20"/>
  <c r="F248" i="20"/>
  <c r="F698" i="20"/>
  <c r="F717" i="20"/>
  <c r="F341" i="20"/>
  <c r="F258" i="20"/>
  <c r="F100" i="20"/>
  <c r="F359" i="20"/>
  <c r="O513" i="20"/>
  <c r="S513" i="20" s="1"/>
  <c r="F668" i="20"/>
  <c r="F741" i="20"/>
  <c r="F273" i="20" s="1"/>
  <c r="F605" i="20"/>
  <c r="F155" i="20"/>
  <c r="F579" i="20"/>
  <c r="F193" i="20"/>
  <c r="F642" i="20"/>
  <c r="F604" i="20"/>
  <c r="F441" i="20"/>
  <c r="F108" i="20"/>
  <c r="F440" i="20"/>
  <c r="F409" i="20"/>
  <c r="R35" i="20"/>
  <c r="F382" i="20"/>
  <c r="F325" i="20"/>
  <c r="F511" i="20"/>
  <c r="F597" i="20"/>
  <c r="F407" i="20"/>
  <c r="F148" i="20"/>
  <c r="F218" i="20"/>
  <c r="F553" i="20"/>
  <c r="F363" i="20"/>
  <c r="F209" i="20"/>
  <c r="F283" i="20"/>
  <c r="F469" i="20"/>
  <c r="F659" i="20"/>
  <c r="F162" i="20"/>
  <c r="F611" i="20"/>
  <c r="F412" i="20"/>
  <c r="F153" i="20"/>
  <c r="F602" i="20"/>
  <c r="F386" i="20"/>
  <c r="F576" i="20"/>
  <c r="F101" i="20"/>
  <c r="F550" i="20"/>
  <c r="F360" i="20"/>
  <c r="F221" i="20"/>
  <c r="F439" i="20"/>
  <c r="F629" i="20"/>
  <c r="F180" i="20"/>
  <c r="F436" i="20"/>
  <c r="F626" i="20"/>
  <c r="F177" i="20"/>
  <c r="F481" i="20"/>
  <c r="F539" i="20"/>
  <c r="F701" i="20"/>
  <c r="F295" i="20"/>
  <c r="F630" i="20"/>
  <c r="F780" i="20"/>
  <c r="F594" i="20" s="1"/>
  <c r="F671" i="20"/>
  <c r="F627" i="20"/>
  <c r="F178" i="20"/>
  <c r="F320" i="20"/>
  <c r="F696" i="20"/>
  <c r="F246" i="20"/>
  <c r="T35" i="20"/>
  <c r="F437" i="20"/>
  <c r="F324" i="20"/>
  <c r="F250" i="20"/>
  <c r="F510" i="20"/>
  <c r="F700" i="20"/>
  <c r="F468" i="20"/>
  <c r="F658" i="20"/>
  <c r="F21" i="20"/>
  <c r="F208" i="20"/>
  <c r="F31" i="20"/>
  <c r="F92" i="20"/>
  <c r="F408" i="20"/>
  <c r="F635" i="20"/>
  <c r="F186" i="20"/>
  <c r="F345" i="20"/>
  <c r="F535" i="20"/>
  <c r="F86" i="20"/>
  <c r="N891" i="20"/>
  <c r="R891" i="20" s="1"/>
  <c r="F541" i="20"/>
  <c r="F474" i="20"/>
  <c r="F664" i="20"/>
  <c r="F27" i="20"/>
  <c r="F288" i="20"/>
  <c r="F638" i="20"/>
  <c r="F448" i="20"/>
  <c r="F545" i="20"/>
  <c r="F410" i="20"/>
  <c r="F600" i="20"/>
  <c r="F151" i="20"/>
  <c r="F355" i="20"/>
  <c r="F661" i="20"/>
  <c r="F211" i="20"/>
  <c r="F595" i="20"/>
  <c r="F146" i="20"/>
  <c r="F405" i="20"/>
  <c r="F768" i="20"/>
  <c r="F274" i="20" s="1"/>
  <c r="F251" i="20"/>
  <c r="F606" i="20"/>
  <c r="F157" i="20"/>
  <c r="F628" i="20"/>
  <c r="F438" i="20"/>
  <c r="S35" i="20"/>
  <c r="P885" i="20"/>
  <c r="T885" i="20" s="1"/>
  <c r="O885" i="20"/>
  <c r="S885" i="20" s="1"/>
  <c r="Q885" i="20"/>
  <c r="Q879" i="20" s="1"/>
  <c r="F421" i="20"/>
  <c r="F547" i="20"/>
  <c r="F98" i="20"/>
  <c r="F357" i="20"/>
  <c r="F396" i="20"/>
  <c r="F586" i="20"/>
  <c r="F137" i="20"/>
  <c r="T253" i="20"/>
  <c r="F375" i="20"/>
  <c r="F116" i="20"/>
  <c r="F565" i="20"/>
  <c r="F564" i="20"/>
  <c r="F374" i="20"/>
  <c r="F115" i="20"/>
  <c r="F358" i="20"/>
  <c r="F99" i="20"/>
  <c r="F548" i="20"/>
  <c r="F608" i="20"/>
  <c r="F159" i="20"/>
  <c r="F418" i="20"/>
  <c r="F563" i="20"/>
  <c r="F373" i="20"/>
  <c r="F114" i="20"/>
  <c r="F339" i="20"/>
  <c r="F715" i="20"/>
  <c r="F525" i="20"/>
  <c r="F265" i="20"/>
  <c r="F369" i="20"/>
  <c r="F110" i="20"/>
  <c r="F559" i="20"/>
  <c r="F350" i="20"/>
  <c r="F91" i="20"/>
  <c r="F540" i="20"/>
  <c r="F234" i="20"/>
  <c r="F684" i="20"/>
  <c r="F308" i="20"/>
  <c r="F494" i="20"/>
  <c r="F117" i="20"/>
  <c r="F376" i="20"/>
  <c r="F566" i="20"/>
  <c r="F346" i="20"/>
  <c r="Q720" i="20"/>
  <c r="F87" i="20"/>
  <c r="F536" i="20"/>
  <c r="F430" i="20"/>
  <c r="F171" i="20"/>
  <c r="F620" i="20"/>
  <c r="F585" i="20"/>
  <c r="F395" i="20"/>
  <c r="F136" i="20"/>
  <c r="F575" i="20"/>
  <c r="F385" i="20"/>
  <c r="F126" i="20"/>
  <c r="F666" i="20"/>
  <c r="F216" i="20"/>
  <c r="F290" i="20"/>
  <c r="F29" i="20"/>
  <c r="F476" i="20"/>
  <c r="F889" i="20"/>
  <c r="F402" i="20"/>
  <c r="F592" i="20"/>
  <c r="F143" i="20"/>
  <c r="F383" i="20"/>
  <c r="F124" i="20"/>
  <c r="F573" i="20"/>
  <c r="G10" i="20"/>
  <c r="F552" i="20"/>
  <c r="F362" i="20"/>
  <c r="F103" i="20"/>
  <c r="F305" i="20"/>
  <c r="F231" i="20"/>
  <c r="F491" i="20"/>
  <c r="F681" i="20"/>
  <c r="F614" i="20"/>
  <c r="F165" i="20"/>
  <c r="F424" i="20"/>
  <c r="F645" i="20"/>
  <c r="F455" i="20"/>
  <c r="F196" i="20"/>
  <c r="F390" i="20"/>
  <c r="F580" i="20"/>
  <c r="F131" i="20"/>
  <c r="F249" i="20"/>
  <c r="F509" i="20"/>
  <c r="F323" i="20"/>
  <c r="F699" i="20"/>
  <c r="F591" i="20"/>
  <c r="F401" i="20"/>
  <c r="F142" i="20"/>
  <c r="F521" i="20"/>
  <c r="F261" i="20"/>
  <c r="F335" i="20"/>
  <c r="F711" i="20"/>
  <c r="F420" i="20"/>
  <c r="F161" i="20"/>
  <c r="F610" i="20"/>
  <c r="F556" i="20"/>
  <c r="F107" i="20"/>
  <c r="F366" i="20"/>
  <c r="F546" i="20"/>
  <c r="F356" i="20"/>
  <c r="F97" i="20"/>
  <c r="F457" i="20"/>
  <c r="F647" i="20"/>
  <c r="F198" i="20"/>
  <c r="F617" i="20"/>
  <c r="F168" i="20"/>
  <c r="F427" i="20"/>
  <c r="F394" i="20"/>
  <c r="F135" i="20"/>
  <c r="F584" i="20"/>
  <c r="F542" i="20"/>
  <c r="F352" i="20"/>
  <c r="F93" i="20"/>
  <c r="Q703" i="20"/>
  <c r="P703" i="20"/>
  <c r="T703" i="20" s="1"/>
  <c r="O703" i="20"/>
  <c r="S703" i="20" s="1"/>
  <c r="N703" i="20"/>
  <c r="R703" i="20" s="1"/>
  <c r="F453" i="20"/>
  <c r="F643" i="20"/>
  <c r="F194" i="20"/>
  <c r="F497" i="20"/>
  <c r="F237" i="20"/>
  <c r="F311" i="20"/>
  <c r="F687" i="20"/>
  <c r="F371" i="20"/>
  <c r="F112" i="20"/>
  <c r="F561" i="20"/>
  <c r="O891" i="20"/>
  <c r="S891" i="20" s="1"/>
  <c r="F89" i="20"/>
  <c r="F538" i="20"/>
  <c r="F348" i="20"/>
  <c r="F612" i="20"/>
  <c r="F163" i="20"/>
  <c r="F422" i="20"/>
  <c r="F679" i="20"/>
  <c r="F303" i="20"/>
  <c r="F489" i="20"/>
  <c r="F229" i="20"/>
  <c r="P891" i="20"/>
  <c r="T891" i="20" s="1"/>
  <c r="F88" i="20"/>
  <c r="F537" i="20"/>
  <c r="F347" i="20"/>
  <c r="F492" i="20"/>
  <c r="F232" i="20"/>
  <c r="F682" i="20"/>
  <c r="F306" i="20"/>
  <c r="Q891" i="20"/>
  <c r="F601" i="20"/>
  <c r="F152" i="20"/>
  <c r="F411" i="20"/>
  <c r="F544" i="20"/>
  <c r="F95" i="20"/>
  <c r="F354" i="20"/>
  <c r="F674" i="20"/>
  <c r="Q859" i="20"/>
  <c r="P859" i="20"/>
  <c r="T859" i="20" s="1"/>
  <c r="O859" i="20"/>
  <c r="S859" i="20" s="1"/>
  <c r="N859" i="20"/>
  <c r="R859" i="20" s="1"/>
  <c r="F484" i="20"/>
  <c r="F224" i="20"/>
  <c r="F298" i="20"/>
  <c r="F551" i="20"/>
  <c r="F361" i="20"/>
  <c r="F102" i="20"/>
  <c r="F879" i="20"/>
  <c r="F680" i="20"/>
  <c r="F490" i="20"/>
  <c r="F230" i="20"/>
  <c r="F304" i="20"/>
  <c r="F712" i="20"/>
  <c r="F336" i="20"/>
  <c r="F262" i="20"/>
  <c r="F522" i="20"/>
  <c r="F593" i="20"/>
  <c r="F144" i="20"/>
  <c r="F403" i="20"/>
  <c r="F590" i="20"/>
  <c r="F141" i="20"/>
  <c r="F400" i="20"/>
  <c r="F649" i="20"/>
  <c r="F459" i="20"/>
  <c r="F200" i="20"/>
  <c r="F587" i="20"/>
  <c r="F138" i="20"/>
  <c r="F397" i="20"/>
  <c r="F460" i="20"/>
  <c r="F650" i="20"/>
  <c r="F201" i="20"/>
  <c r="F675" i="20"/>
  <c r="F299" i="20"/>
  <c r="F485" i="20"/>
  <c r="F225" i="20"/>
  <c r="F654" i="20"/>
  <c r="F205" i="20"/>
  <c r="F464" i="20"/>
  <c r="F646" i="20"/>
  <c r="F197" i="20"/>
  <c r="F456" i="20"/>
  <c r="F493" i="20"/>
  <c r="F307" i="20"/>
  <c r="F233" i="20"/>
  <c r="F683" i="20"/>
  <c r="F463" i="20"/>
  <c r="F204" i="20"/>
  <c r="F653" i="20"/>
  <c r="F245" i="20"/>
  <c r="F319" i="20"/>
  <c r="F695" i="20"/>
  <c r="F505" i="20"/>
  <c r="F589" i="20"/>
  <c r="F140" i="20"/>
  <c r="F399" i="20"/>
  <c r="F517" i="20"/>
  <c r="F331" i="20"/>
  <c r="F707" i="20"/>
  <c r="F257" i="20"/>
  <c r="F174" i="20"/>
  <c r="F433" i="20"/>
  <c r="F623" i="20"/>
  <c r="F451" i="20"/>
  <c r="Q826" i="20"/>
  <c r="F641" i="20"/>
  <c r="F192" i="20"/>
  <c r="F239" i="20"/>
  <c r="F313" i="20"/>
  <c r="F689" i="20"/>
  <c r="F499" i="20"/>
  <c r="F480" i="20"/>
  <c r="F220" i="20"/>
  <c r="F670" i="20"/>
  <c r="F294" i="20"/>
  <c r="F33" i="20"/>
  <c r="F523" i="20"/>
  <c r="F713" i="20"/>
  <c r="F337" i="20"/>
  <c r="F263" i="20"/>
  <c r="F498" i="20"/>
  <c r="F688" i="20"/>
  <c r="F238" i="20"/>
  <c r="F312" i="20"/>
  <c r="F429" i="20"/>
  <c r="F170" i="20"/>
  <c r="F619" i="20"/>
  <c r="Q62" i="20"/>
  <c r="P62" i="20"/>
  <c r="O62" i="20"/>
  <c r="F398" i="20"/>
  <c r="F139" i="20"/>
  <c r="F588" i="20"/>
  <c r="F199" i="20"/>
  <c r="F458" i="20"/>
  <c r="F648" i="20"/>
  <c r="F634" i="20"/>
  <c r="F185" i="20"/>
  <c r="F444" i="20"/>
  <c r="F340" i="20"/>
  <c r="F526" i="20"/>
  <c r="F716" i="20"/>
  <c r="F266" i="20"/>
  <c r="F502" i="20"/>
  <c r="F242" i="20"/>
  <c r="F316" i="20"/>
  <c r="F692" i="20"/>
  <c r="F841" i="20"/>
  <c r="F720" i="20"/>
  <c r="F826" i="20"/>
  <c r="F808" i="20"/>
  <c r="N62" i="20"/>
  <c r="F264" i="20"/>
  <c r="F338" i="20"/>
  <c r="F714" i="20"/>
  <c r="F524" i="20"/>
  <c r="F871" i="20"/>
  <c r="F419" i="20"/>
  <c r="F160" i="20"/>
  <c r="F609" i="20"/>
  <c r="F662" i="20"/>
  <c r="F286" i="20"/>
  <c r="F25" i="20"/>
  <c r="F472" i="20"/>
  <c r="F212" i="20"/>
  <c r="F446" i="20"/>
  <c r="F636" i="20"/>
  <c r="F187" i="20"/>
  <c r="F633" i="20"/>
  <c r="F443" i="20"/>
  <c r="F184" i="20"/>
  <c r="F583" i="20"/>
  <c r="F393" i="20"/>
  <c r="F134" i="20"/>
  <c r="F577" i="20"/>
  <c r="F387" i="20"/>
  <c r="F128" i="20"/>
  <c r="F219" i="20"/>
  <c r="F669" i="20"/>
  <c r="F479" i="20"/>
  <c r="F293" i="20"/>
  <c r="F32" i="20"/>
  <c r="F500" i="20"/>
  <c r="F240" i="20"/>
  <c r="F314" i="20"/>
  <c r="F690" i="20"/>
  <c r="F435" i="20"/>
  <c r="F176" i="20"/>
  <c r="F625" i="20"/>
  <c r="F569" i="20"/>
  <c r="F379" i="20"/>
  <c r="F120" i="20"/>
  <c r="F467" i="20"/>
  <c r="Q842" i="20"/>
  <c r="P842" i="20"/>
  <c r="T842" i="20" s="1"/>
  <c r="O842" i="20"/>
  <c r="S842" i="20" s="1"/>
  <c r="F657" i="20"/>
  <c r="N842" i="20"/>
  <c r="R842" i="20" s="1"/>
  <c r="F207" i="20"/>
  <c r="F281" i="20"/>
  <c r="F20" i="20"/>
  <c r="F426" i="20"/>
  <c r="F167" i="20"/>
  <c r="F616" i="20"/>
  <c r="F442" i="20"/>
  <c r="F632" i="20"/>
  <c r="F183" i="20"/>
  <c r="F570" i="20"/>
  <c r="F380" i="20"/>
  <c r="F121" i="20"/>
  <c r="N871" i="20"/>
  <c r="R871" i="20" s="1"/>
  <c r="F496" i="20"/>
  <c r="Q871" i="20"/>
  <c r="F310" i="20"/>
  <c r="F686" i="20"/>
  <c r="P871" i="20"/>
  <c r="T871" i="20" s="1"/>
  <c r="O871" i="20"/>
  <c r="S871" i="20" s="1"/>
  <c r="F236" i="20"/>
  <c r="F213" i="20"/>
  <c r="F663" i="20"/>
  <c r="F473" i="20"/>
  <c r="F287" i="20"/>
  <c r="F26" i="20"/>
  <c r="F793" i="20"/>
  <c r="F639" i="20"/>
  <c r="F449" i="20"/>
  <c r="F190" i="20"/>
  <c r="F388" i="20"/>
  <c r="F129" i="20"/>
  <c r="F578" i="20"/>
  <c r="F291" i="20"/>
  <c r="F30" i="20"/>
  <c r="F667" i="20"/>
  <c r="F217" i="20"/>
  <c r="F477" i="20"/>
  <c r="F618" i="20"/>
  <c r="F169" i="20"/>
  <c r="F428" i="20"/>
  <c r="F558" i="20"/>
  <c r="F368" i="20"/>
  <c r="F109" i="20"/>
  <c r="F665" i="20"/>
  <c r="F215" i="20"/>
  <c r="F289" i="20"/>
  <c r="F28" i="20"/>
  <c r="F475" i="20"/>
  <c r="F560" i="20"/>
  <c r="F370" i="20"/>
  <c r="F111" i="20"/>
  <c r="F406" i="20"/>
  <c r="F596" i="20"/>
  <c r="F147" i="20"/>
  <c r="F318" i="20"/>
  <c r="F504" i="20"/>
  <c r="P879" i="20"/>
  <c r="T879" i="20" s="1"/>
  <c r="O879" i="20"/>
  <c r="S879" i="20" s="1"/>
  <c r="N879" i="20"/>
  <c r="R879" i="20" s="1"/>
  <c r="F244" i="20"/>
  <c r="F694" i="20"/>
  <c r="F568" i="20"/>
  <c r="F378" i="20"/>
  <c r="F119" i="20"/>
  <c r="S253" i="20" l="1"/>
  <c r="F365" i="20"/>
  <c r="T513" i="20"/>
  <c r="S62" i="20"/>
  <c r="T62" i="20"/>
  <c r="O699" i="20"/>
  <c r="Q249" i="20"/>
  <c r="F719" i="20"/>
  <c r="G719" i="20"/>
  <c r="Q699" i="20"/>
  <c r="N699" i="20"/>
  <c r="R699" i="20" s="1"/>
  <c r="Q70" i="20"/>
  <c r="F673" i="20"/>
  <c r="F555" i="20"/>
  <c r="F483" i="20"/>
  <c r="O249" i="20"/>
  <c r="S249" i="20" s="1"/>
  <c r="P329" i="20"/>
  <c r="F223" i="20"/>
  <c r="F392" i="20"/>
  <c r="P85" i="20"/>
  <c r="F582" i="20"/>
  <c r="P70" i="20"/>
  <c r="T70" i="20" s="1"/>
  <c r="R62" i="20"/>
  <c r="P699" i="20"/>
  <c r="Q858" i="20"/>
  <c r="Q509" i="20"/>
  <c r="N509" i="20"/>
  <c r="O509" i="20"/>
  <c r="O70" i="20"/>
  <c r="S70" i="20" s="1"/>
  <c r="N85" i="20"/>
  <c r="N249" i="20"/>
  <c r="Q323" i="20"/>
  <c r="P323" i="20"/>
  <c r="O323" i="20"/>
  <c r="N323" i="20"/>
  <c r="O85" i="20"/>
  <c r="F275" i="20"/>
  <c r="F404" i="20"/>
  <c r="N705" i="20"/>
  <c r="R705" i="20" s="1"/>
  <c r="O329" i="20"/>
  <c r="P249" i="20"/>
  <c r="P255" i="20"/>
  <c r="Q255" i="20"/>
  <c r="P509" i="20"/>
  <c r="N329" i="20"/>
  <c r="Q515" i="20"/>
  <c r="Q685" i="20"/>
  <c r="P685" i="20"/>
  <c r="O685" i="20"/>
  <c r="N685" i="20"/>
  <c r="F842" i="20"/>
  <c r="G885" i="20"/>
  <c r="G837" i="20"/>
  <c r="G802" i="20"/>
  <c r="G758" i="20"/>
  <c r="G735" i="20"/>
  <c r="G721" i="20"/>
  <c r="G910" i="20"/>
  <c r="G824" i="20"/>
  <c r="G806" i="20"/>
  <c r="G767" i="20"/>
  <c r="G903" i="20"/>
  <c r="G854" i="20"/>
  <c r="G776" i="20"/>
  <c r="G744" i="20"/>
  <c r="G847" i="20"/>
  <c r="G780" i="20"/>
  <c r="G753" i="20"/>
  <c r="G739" i="20"/>
  <c r="G896" i="20"/>
  <c r="G872" i="20"/>
  <c r="G819" i="20"/>
  <c r="G810" i="20"/>
  <c r="G771" i="20"/>
  <c r="G748" i="20"/>
  <c r="G884" i="20"/>
  <c r="G865" i="20"/>
  <c r="G832" i="20"/>
  <c r="G828" i="20"/>
  <c r="G814" i="20"/>
  <c r="G757" i="20"/>
  <c r="G725" i="20"/>
  <c r="G823" i="20"/>
  <c r="G743" i="20"/>
  <c r="G720" i="20"/>
  <c r="E532" i="20"/>
  <c r="G784" i="20"/>
  <c r="G846" i="20"/>
  <c r="G836" i="20"/>
  <c r="G801" i="20"/>
  <c r="G788" i="20"/>
  <c r="G729" i="20"/>
  <c r="G907" i="20"/>
  <c r="G863" i="20"/>
  <c r="G826" i="20"/>
  <c r="G817" i="20"/>
  <c r="G791" i="20"/>
  <c r="G783" i="20"/>
  <c r="G778" i="20"/>
  <c r="G835" i="20"/>
  <c r="G787" i="20"/>
  <c r="G751" i="20"/>
  <c r="G741" i="20"/>
  <c r="G728" i="20"/>
  <c r="G812" i="20"/>
  <c r="G786" i="20"/>
  <c r="G727" i="20"/>
  <c r="G892" i="20"/>
  <c r="G838" i="20"/>
  <c r="G807" i="20"/>
  <c r="G898" i="20"/>
  <c r="G886" i="20"/>
  <c r="G856" i="20"/>
  <c r="G736" i="20"/>
  <c r="G820" i="20"/>
  <c r="G734" i="20"/>
  <c r="G769" i="20"/>
  <c r="G840" i="20"/>
  <c r="G815" i="20"/>
  <c r="G813" i="20"/>
  <c r="G888" i="20"/>
  <c r="G795" i="20"/>
  <c r="G889" i="20"/>
  <c r="G861" i="20"/>
  <c r="G761" i="20"/>
  <c r="G843" i="20"/>
  <c r="G895" i="20"/>
  <c r="G785" i="20"/>
  <c r="G906" i="20"/>
  <c r="G754" i="20"/>
  <c r="G750" i="20"/>
  <c r="G747" i="20"/>
  <c r="G742" i="20"/>
  <c r="G740" i="20"/>
  <c r="G868" i="20"/>
  <c r="G726" i="20"/>
  <c r="G796" i="20"/>
  <c r="G773" i="20"/>
  <c r="G722" i="20"/>
  <c r="G871" i="20"/>
  <c r="G781" i="20"/>
  <c r="G777" i="20"/>
  <c r="G732" i="20"/>
  <c r="G908" i="20"/>
  <c r="G855" i="20"/>
  <c r="G808" i="20"/>
  <c r="G870" i="20"/>
  <c r="G770" i="20"/>
  <c r="G859" i="20"/>
  <c r="G873" i="20"/>
  <c r="G798" i="20"/>
  <c r="G790" i="20"/>
  <c r="G799" i="20"/>
  <c r="G902" i="20"/>
  <c r="G746" i="20"/>
  <c r="G850" i="20"/>
  <c r="G821" i="20"/>
  <c r="G779" i="20"/>
  <c r="G794" i="20"/>
  <c r="G845" i="20"/>
  <c r="G878" i="20"/>
  <c r="G911" i="20"/>
  <c r="G891" i="20"/>
  <c r="G829" i="20"/>
  <c r="G768" i="20"/>
  <c r="G853" i="20"/>
  <c r="G882" i="20"/>
  <c r="G897" i="20"/>
  <c r="G833" i="20"/>
  <c r="G874" i="20"/>
  <c r="G825" i="20"/>
  <c r="G877" i="20"/>
  <c r="G831" i="20"/>
  <c r="G842" i="20"/>
  <c r="G880" i="20"/>
  <c r="G755" i="20"/>
  <c r="G818" i="20"/>
  <c r="G762" i="20"/>
  <c r="G811" i="20"/>
  <c r="G730" i="20"/>
  <c r="G875" i="20"/>
  <c r="G852" i="20"/>
  <c r="G867" i="20"/>
  <c r="G766" i="20"/>
  <c r="G890" i="20"/>
  <c r="G881" i="20"/>
  <c r="G830" i="20"/>
  <c r="G864" i="20"/>
  <c r="G749" i="20"/>
  <c r="G900" i="20"/>
  <c r="G759" i="20"/>
  <c r="G800" i="20"/>
  <c r="G899" i="20"/>
  <c r="G839" i="20"/>
  <c r="G883" i="20"/>
  <c r="G772" i="20"/>
  <c r="G876" i="20"/>
  <c r="G752" i="20"/>
  <c r="G764" i="20"/>
  <c r="G844" i="20"/>
  <c r="G901" i="20"/>
  <c r="G851" i="20"/>
  <c r="G745" i="20"/>
  <c r="G756" i="20"/>
  <c r="G857" i="20"/>
  <c r="G841" i="20"/>
  <c r="G887" i="20"/>
  <c r="G816" i="20"/>
  <c r="G869" i="20"/>
  <c r="G733" i="20"/>
  <c r="G793" i="20"/>
  <c r="G834" i="20"/>
  <c r="G862" i="20"/>
  <c r="G792" i="20"/>
  <c r="G765" i="20"/>
  <c r="G827" i="20"/>
  <c r="G804" i="20"/>
  <c r="G760" i="20"/>
  <c r="G774" i="20"/>
  <c r="F891" i="20"/>
  <c r="G763" i="20"/>
  <c r="G789" i="20"/>
  <c r="G797" i="20"/>
  <c r="G723" i="20"/>
  <c r="G822" i="20"/>
  <c r="G848" i="20"/>
  <c r="G849" i="20"/>
  <c r="G782" i="20"/>
  <c r="G738" i="20"/>
  <c r="G860" i="20"/>
  <c r="G731" i="20"/>
  <c r="G775" i="20"/>
  <c r="G724" i="20"/>
  <c r="G737" i="20"/>
  <c r="G879" i="20"/>
  <c r="G905" i="20"/>
  <c r="G893" i="20"/>
  <c r="G805" i="20"/>
  <c r="G894" i="20"/>
  <c r="G866" i="20"/>
  <c r="G809" i="20"/>
  <c r="G803" i="20"/>
  <c r="O255" i="20"/>
  <c r="P534" i="20"/>
  <c r="O534" i="20"/>
  <c r="N534" i="20"/>
  <c r="Q534" i="20"/>
  <c r="O309" i="20"/>
  <c r="Q309" i="20"/>
  <c r="P309" i="20"/>
  <c r="N309" i="20"/>
  <c r="F655" i="20"/>
  <c r="F279" i="20"/>
  <c r="F465" i="20"/>
  <c r="Q450" i="20"/>
  <c r="P450" i="20"/>
  <c r="O450" i="20"/>
  <c r="N450" i="20"/>
  <c r="Q495" i="20"/>
  <c r="P495" i="20"/>
  <c r="O495" i="20"/>
  <c r="N495" i="20"/>
  <c r="Q85" i="20"/>
  <c r="Q673" i="20"/>
  <c r="P673" i="20"/>
  <c r="O673" i="20"/>
  <c r="N673" i="20"/>
  <c r="O705" i="20"/>
  <c r="S705" i="20" s="1"/>
  <c r="Q365" i="20"/>
  <c r="P365" i="20"/>
  <c r="O365" i="20"/>
  <c r="N365" i="20"/>
  <c r="P705" i="20"/>
  <c r="T705" i="20" s="1"/>
  <c r="Q705" i="20"/>
  <c r="O344" i="20"/>
  <c r="N344" i="20"/>
  <c r="P344" i="20"/>
  <c r="Q344" i="20"/>
  <c r="Q622" i="20"/>
  <c r="P622" i="20"/>
  <c r="O622" i="20"/>
  <c r="N622" i="20"/>
  <c r="Q106" i="20"/>
  <c r="P106" i="20"/>
  <c r="O106" i="20"/>
  <c r="N106" i="20"/>
  <c r="N432" i="20"/>
  <c r="Q432" i="20"/>
  <c r="P432" i="20"/>
  <c r="O432" i="20"/>
  <c r="N555" i="20"/>
  <c r="Q555" i="20"/>
  <c r="P555" i="20"/>
  <c r="O555" i="20"/>
  <c r="F858" i="20"/>
  <c r="Q693" i="20"/>
  <c r="P693" i="20"/>
  <c r="O693" i="20"/>
  <c r="S693" i="20" s="1"/>
  <c r="N693" i="20"/>
  <c r="G858" i="20"/>
  <c r="Q243" i="20"/>
  <c r="P243" i="20"/>
  <c r="O243" i="20"/>
  <c r="N243" i="20"/>
  <c r="Q173" i="20"/>
  <c r="P173" i="20"/>
  <c r="O173" i="20"/>
  <c r="N173" i="20"/>
  <c r="F513" i="20"/>
  <c r="F253" i="20"/>
  <c r="F327" i="20"/>
  <c r="F703" i="20"/>
  <c r="N515" i="20"/>
  <c r="P503" i="20"/>
  <c r="O503" i="20"/>
  <c r="N503" i="20"/>
  <c r="Q503" i="20"/>
  <c r="O515" i="20"/>
  <c r="F685" i="20"/>
  <c r="F309" i="20"/>
  <c r="F495" i="20"/>
  <c r="F235" i="20"/>
  <c r="F693" i="20"/>
  <c r="F503" i="20"/>
  <c r="F243" i="20"/>
  <c r="F317" i="20"/>
  <c r="P515" i="20"/>
  <c r="N858" i="20"/>
  <c r="R858" i="20" s="1"/>
  <c r="Q317" i="20"/>
  <c r="P317" i="20"/>
  <c r="O317" i="20"/>
  <c r="N317" i="20"/>
  <c r="F607" i="20"/>
  <c r="F417" i="20"/>
  <c r="F276" i="20"/>
  <c r="Q19" i="20"/>
  <c r="P19" i="20"/>
  <c r="O19" i="20"/>
  <c r="N19" i="20"/>
  <c r="O858" i="20"/>
  <c r="S858" i="20" s="1"/>
  <c r="N280" i="20"/>
  <c r="Q280" i="20"/>
  <c r="P280" i="20"/>
  <c r="T280" i="20" s="1"/>
  <c r="O280" i="20"/>
  <c r="S280" i="20" s="1"/>
  <c r="P858" i="20"/>
  <c r="T858" i="20" s="1"/>
  <c r="Q145" i="20"/>
  <c r="O145" i="20"/>
  <c r="S145" i="20" s="1"/>
  <c r="N145" i="20"/>
  <c r="P145" i="20"/>
  <c r="Q206" i="20"/>
  <c r="P206" i="20"/>
  <c r="O206" i="20"/>
  <c r="N206" i="20"/>
  <c r="Q594" i="20"/>
  <c r="P594" i="20"/>
  <c r="O594" i="20"/>
  <c r="N594" i="20"/>
  <c r="O404" i="20"/>
  <c r="N404" i="20"/>
  <c r="P404" i="20"/>
  <c r="Q404" i="20"/>
  <c r="Q656" i="20"/>
  <c r="P656" i="20"/>
  <c r="O656" i="20"/>
  <c r="N656" i="20"/>
  <c r="Q133" i="20"/>
  <c r="P133" i="20"/>
  <c r="O133" i="20"/>
  <c r="N133" i="20"/>
  <c r="Q392" i="20"/>
  <c r="N392" i="20"/>
  <c r="R392" i="20" s="1"/>
  <c r="P392" i="20"/>
  <c r="O392" i="20"/>
  <c r="Q417" i="20"/>
  <c r="P417" i="20"/>
  <c r="O417" i="20"/>
  <c r="N417" i="20"/>
  <c r="F432" i="20"/>
  <c r="F622" i="20"/>
  <c r="F277" i="20"/>
  <c r="P582" i="20"/>
  <c r="O582" i="20"/>
  <c r="N582" i="20"/>
  <c r="Q582" i="20"/>
  <c r="F450" i="20"/>
  <c r="F278" i="20"/>
  <c r="F640" i="20"/>
  <c r="N70" i="20"/>
  <c r="R70" i="20" s="1"/>
  <c r="Q235" i="20"/>
  <c r="P235" i="20"/>
  <c r="O235" i="20"/>
  <c r="N235" i="20"/>
  <c r="Q466" i="20"/>
  <c r="P466" i="20"/>
  <c r="O466" i="20"/>
  <c r="N466" i="20"/>
  <c r="Q191" i="20"/>
  <c r="P191" i="20"/>
  <c r="O191" i="20"/>
  <c r="N191" i="20"/>
  <c r="Q297" i="20"/>
  <c r="P297" i="20"/>
  <c r="O297" i="20"/>
  <c r="N297" i="20"/>
  <c r="Q640" i="20"/>
  <c r="P640" i="20"/>
  <c r="O640" i="20"/>
  <c r="N640" i="20"/>
  <c r="P223" i="20"/>
  <c r="O223" i="20"/>
  <c r="N223" i="20"/>
  <c r="Q223" i="20"/>
  <c r="Q158" i="20"/>
  <c r="P158" i="20"/>
  <c r="O158" i="20"/>
  <c r="N158" i="20"/>
  <c r="Q329" i="20"/>
  <c r="Q719" i="20"/>
  <c r="F534" i="20"/>
  <c r="F344" i="20"/>
  <c r="F272" i="20"/>
  <c r="N255" i="20"/>
  <c r="Q483" i="20"/>
  <c r="P483" i="20"/>
  <c r="O483" i="20"/>
  <c r="N483" i="20"/>
  <c r="Q607" i="20"/>
  <c r="P607" i="20"/>
  <c r="O607" i="20"/>
  <c r="N607" i="20"/>
  <c r="R607" i="20" s="1"/>
  <c r="Q718" i="20" l="1"/>
  <c r="R329" i="20"/>
  <c r="T607" i="20"/>
  <c r="R509" i="20"/>
  <c r="S699" i="20"/>
  <c r="F533" i="20"/>
  <c r="F271" i="20"/>
  <c r="G271" i="20" s="1"/>
  <c r="G277" i="20" s="1"/>
  <c r="F84" i="20"/>
  <c r="F11" i="20"/>
  <c r="G11" i="20" s="1"/>
  <c r="F343" i="20"/>
  <c r="T699" i="20"/>
  <c r="S607" i="20"/>
  <c r="S495" i="20"/>
  <c r="S255" i="20"/>
  <c r="R297" i="20"/>
  <c r="R206" i="20"/>
  <c r="S297" i="20"/>
  <c r="T249" i="20"/>
  <c r="R656" i="20"/>
  <c r="R249" i="20"/>
  <c r="T656" i="20"/>
  <c r="R85" i="20"/>
  <c r="T19" i="20"/>
  <c r="T344" i="20"/>
  <c r="T223" i="20"/>
  <c r="S404" i="20"/>
  <c r="R640" i="20"/>
  <c r="R685" i="20"/>
  <c r="S685" i="20"/>
  <c r="S323" i="20"/>
  <c r="S19" i="20"/>
  <c r="T323" i="20"/>
  <c r="T432" i="20"/>
  <c r="R106" i="20"/>
  <c r="R515" i="20"/>
  <c r="R450" i="20"/>
  <c r="S173" i="20"/>
  <c r="T404" i="20"/>
  <c r="S223" i="20"/>
  <c r="R404" i="20"/>
  <c r="S317" i="20"/>
  <c r="S344" i="20"/>
  <c r="S509" i="20"/>
  <c r="T317" i="20"/>
  <c r="T640" i="20"/>
  <c r="R582" i="20"/>
  <c r="T515" i="20"/>
  <c r="S582" i="20"/>
  <c r="T365" i="20"/>
  <c r="T509" i="20"/>
  <c r="T255" i="20"/>
  <c r="P672" i="20"/>
  <c r="R255" i="20"/>
  <c r="S515" i="20"/>
  <c r="S85" i="20"/>
  <c r="O672" i="20"/>
  <c r="Q672" i="20"/>
  <c r="S432" i="20"/>
  <c r="R432" i="20"/>
  <c r="R280" i="20"/>
  <c r="T503" i="20"/>
  <c r="S133" i="20"/>
  <c r="O84" i="20"/>
  <c r="T329" i="20"/>
  <c r="S466" i="20"/>
  <c r="P84" i="20"/>
  <c r="T466" i="20"/>
  <c r="T450" i="20"/>
  <c r="Q222" i="20"/>
  <c r="N222" i="20"/>
  <c r="R317" i="20"/>
  <c r="R323" i="20"/>
  <c r="S640" i="20"/>
  <c r="T534" i="20"/>
  <c r="T297" i="20"/>
  <c r="Q296" i="20"/>
  <c r="S555" i="20"/>
  <c r="R673" i="20"/>
  <c r="R145" i="20"/>
  <c r="O296" i="20"/>
  <c r="T555" i="20"/>
  <c r="S673" i="20"/>
  <c r="Q482" i="20"/>
  <c r="Q84" i="20"/>
  <c r="R235" i="20"/>
  <c r="P296" i="20"/>
  <c r="R622" i="20"/>
  <c r="S235" i="20"/>
  <c r="R555" i="20"/>
  <c r="S622" i="20"/>
  <c r="R309" i="20"/>
  <c r="T235" i="20"/>
  <c r="N672" i="20"/>
  <c r="R173" i="20"/>
  <c r="R693" i="20"/>
  <c r="T622" i="20"/>
  <c r="T309" i="20"/>
  <c r="T173" i="20"/>
  <c r="T693" i="20"/>
  <c r="S309" i="20"/>
  <c r="R158" i="20"/>
  <c r="S158" i="20"/>
  <c r="O222" i="20"/>
  <c r="T158" i="20"/>
  <c r="P222" i="20"/>
  <c r="R417" i="20"/>
  <c r="R191" i="20"/>
  <c r="S206" i="20"/>
  <c r="F672" i="20"/>
  <c r="G672" i="20" s="1"/>
  <c r="G685" i="20" s="1"/>
  <c r="F222" i="20"/>
  <c r="G222" i="20" s="1"/>
  <c r="G243" i="20" s="1"/>
  <c r="F35" i="20"/>
  <c r="G35" i="20" s="1"/>
  <c r="F296" i="20"/>
  <c r="G296" i="20" s="1"/>
  <c r="G327" i="20" s="1"/>
  <c r="G328" i="20" s="1"/>
  <c r="F482" i="20"/>
  <c r="G482" i="20" s="1"/>
  <c r="G495" i="20" s="1"/>
  <c r="S329" i="20"/>
  <c r="R534" i="20"/>
  <c r="S191" i="20"/>
  <c r="S417" i="20"/>
  <c r="T206" i="20"/>
  <c r="S534" i="20"/>
  <c r="T191" i="20"/>
  <c r="T417" i="20"/>
  <c r="T85" i="20"/>
  <c r="R483" i="20"/>
  <c r="R133" i="20"/>
  <c r="R594" i="20"/>
  <c r="R243" i="20"/>
  <c r="R365" i="20"/>
  <c r="S483" i="20"/>
  <c r="S594" i="20"/>
  <c r="S243" i="20"/>
  <c r="S365" i="20"/>
  <c r="T483" i="20"/>
  <c r="R223" i="20"/>
  <c r="T133" i="20"/>
  <c r="T594" i="20"/>
  <c r="T145" i="20"/>
  <c r="T243" i="20"/>
  <c r="R344" i="20"/>
  <c r="F705" i="20"/>
  <c r="G705" i="20" s="1"/>
  <c r="G70" i="20"/>
  <c r="F515" i="20"/>
  <c r="G515" i="20" s="1"/>
  <c r="F255" i="20"/>
  <c r="G255" i="20" s="1"/>
  <c r="F329" i="20"/>
  <c r="G329" i="20" s="1"/>
  <c r="F280" i="20"/>
  <c r="G280" i="20" s="1"/>
  <c r="F19" i="20"/>
  <c r="G19" i="20" s="1"/>
  <c r="F466" i="20"/>
  <c r="G466" i="20" s="1"/>
  <c r="F656" i="20"/>
  <c r="G656" i="20" s="1"/>
  <c r="F206" i="20"/>
  <c r="G206" i="20" s="1"/>
  <c r="R495" i="20"/>
  <c r="N482" i="20"/>
  <c r="S656" i="20"/>
  <c r="O482" i="20"/>
  <c r="T495" i="20"/>
  <c r="S450" i="20"/>
  <c r="T582" i="20"/>
  <c r="P482" i="20"/>
  <c r="T673" i="20"/>
  <c r="T685" i="20"/>
  <c r="S392" i="20"/>
  <c r="R503" i="20"/>
  <c r="S106" i="20"/>
  <c r="R466" i="20"/>
  <c r="T392" i="20"/>
  <c r="R19" i="20"/>
  <c r="S503" i="20"/>
  <c r="T106" i="20"/>
  <c r="Q271" i="20"/>
  <c r="P271" i="20"/>
  <c r="T271" i="20" s="1"/>
  <c r="O271" i="20"/>
  <c r="N271" i="20"/>
  <c r="N84" i="20"/>
  <c r="Q343" i="20"/>
  <c r="P343" i="20"/>
  <c r="O343" i="20"/>
  <c r="N343" i="20"/>
  <c r="N296" i="20"/>
  <c r="Q533" i="20"/>
  <c r="P533" i="20"/>
  <c r="O533" i="20"/>
  <c r="N533" i="20"/>
  <c r="G84" i="20" l="1"/>
  <c r="Q83" i="20"/>
  <c r="Q270" i="20"/>
  <c r="G533" i="20"/>
  <c r="G655" i="20" s="1"/>
  <c r="Q532" i="20"/>
  <c r="G343" i="20"/>
  <c r="G465" i="20" s="1"/>
  <c r="Q342" i="20"/>
  <c r="R533" i="20"/>
  <c r="G622" i="20"/>
  <c r="N83" i="20"/>
  <c r="G317" i="20"/>
  <c r="N270" i="20"/>
  <c r="S343" i="20"/>
  <c r="G279" i="20"/>
  <c r="T672" i="20"/>
  <c r="O83" i="20"/>
  <c r="Q268" i="20"/>
  <c r="P83" i="20"/>
  <c r="S672" i="20"/>
  <c r="N532" i="20"/>
  <c r="S296" i="20"/>
  <c r="O532" i="20"/>
  <c r="P532" i="20"/>
  <c r="Q529" i="20"/>
  <c r="Q528" i="20" s="1"/>
  <c r="V2" i="20" s="1"/>
  <c r="N342" i="20"/>
  <c r="O342" i="20"/>
  <c r="P342" i="20"/>
  <c r="O270" i="20"/>
  <c r="P270" i="20"/>
  <c r="S533" i="20"/>
  <c r="R482" i="20"/>
  <c r="R222" i="20"/>
  <c r="R672" i="20"/>
  <c r="G703" i="20"/>
  <c r="G704" i="20" s="1"/>
  <c r="T296" i="20"/>
  <c r="G309" i="20"/>
  <c r="G310" i="20" s="1"/>
  <c r="S222" i="20"/>
  <c r="R343" i="20"/>
  <c r="S482" i="20"/>
  <c r="R84" i="20"/>
  <c r="G253" i="20"/>
  <c r="G254" i="20" s="1"/>
  <c r="S84" i="20"/>
  <c r="T533" i="20"/>
  <c r="T482" i="20"/>
  <c r="T222" i="20"/>
  <c r="R296" i="20"/>
  <c r="G503" i="20"/>
  <c r="G508" i="20" s="1"/>
  <c r="G272" i="20"/>
  <c r="N10" i="20"/>
  <c r="N9" i="20" s="1"/>
  <c r="O10" i="20"/>
  <c r="O9" i="20" s="1"/>
  <c r="Q10" i="20"/>
  <c r="Q9" i="20" s="1"/>
  <c r="G278" i="20"/>
  <c r="G513" i="20"/>
  <c r="G514" i="20" s="1"/>
  <c r="G693" i="20"/>
  <c r="G696" i="20" s="1"/>
  <c r="G501" i="20"/>
  <c r="G500" i="20"/>
  <c r="G496" i="20"/>
  <c r="G497" i="20"/>
  <c r="G502" i="20"/>
  <c r="G498" i="20"/>
  <c r="G499" i="20"/>
  <c r="G247" i="20"/>
  <c r="G246" i="20"/>
  <c r="G248" i="20"/>
  <c r="G245" i="20"/>
  <c r="G244" i="20"/>
  <c r="G691" i="20"/>
  <c r="G686" i="20"/>
  <c r="G687" i="20"/>
  <c r="G690" i="20"/>
  <c r="G692" i="20"/>
  <c r="G689" i="20"/>
  <c r="G688" i="20"/>
  <c r="G288" i="20"/>
  <c r="G283" i="20"/>
  <c r="G292" i="20"/>
  <c r="G295" i="20"/>
  <c r="G282" i="20"/>
  <c r="G284" i="20"/>
  <c r="G285" i="20"/>
  <c r="G294" i="20"/>
  <c r="G286" i="20"/>
  <c r="G291" i="20"/>
  <c r="G289" i="20"/>
  <c r="G287" i="20"/>
  <c r="G281" i="20"/>
  <c r="G290" i="20"/>
  <c r="G293" i="20"/>
  <c r="R271" i="20"/>
  <c r="S271" i="20"/>
  <c r="G365" i="20"/>
  <c r="G392" i="20"/>
  <c r="G404" i="20"/>
  <c r="G145" i="20"/>
  <c r="G85" i="20"/>
  <c r="G106" i="20"/>
  <c r="G158" i="20"/>
  <c r="G191" i="20"/>
  <c r="G133" i="20"/>
  <c r="G173" i="20"/>
  <c r="G341" i="20"/>
  <c r="G334" i="20"/>
  <c r="G332" i="20"/>
  <c r="G333" i="20"/>
  <c r="G330" i="20"/>
  <c r="G335" i="20"/>
  <c r="G336" i="20"/>
  <c r="G331" i="20"/>
  <c r="G338" i="20"/>
  <c r="G337" i="20"/>
  <c r="G339" i="20"/>
  <c r="G340" i="20"/>
  <c r="G260" i="20"/>
  <c r="G267" i="20"/>
  <c r="G258" i="20"/>
  <c r="G259" i="20"/>
  <c r="G256" i="20"/>
  <c r="G262" i="20"/>
  <c r="G265" i="20"/>
  <c r="G257" i="20"/>
  <c r="G264" i="20"/>
  <c r="G266" i="20"/>
  <c r="G261" i="20"/>
  <c r="G263" i="20"/>
  <c r="G520" i="20"/>
  <c r="G516" i="20"/>
  <c r="G518" i="20"/>
  <c r="G527" i="20"/>
  <c r="G519" i="20"/>
  <c r="G522" i="20"/>
  <c r="G526" i="20"/>
  <c r="G521" i="20"/>
  <c r="G523" i="20"/>
  <c r="G524" i="20"/>
  <c r="G517" i="20"/>
  <c r="G525" i="20"/>
  <c r="G73" i="20"/>
  <c r="G82" i="20"/>
  <c r="G71" i="20"/>
  <c r="G75" i="20"/>
  <c r="G74" i="20"/>
  <c r="G79" i="20"/>
  <c r="G78" i="20"/>
  <c r="G80" i="20"/>
  <c r="G81" i="20"/>
  <c r="G76" i="20"/>
  <c r="G77" i="20"/>
  <c r="G72" i="20"/>
  <c r="G717" i="20"/>
  <c r="G708" i="20"/>
  <c r="G710" i="20"/>
  <c r="G706" i="20"/>
  <c r="G709" i="20"/>
  <c r="G713" i="20"/>
  <c r="G711" i="20"/>
  <c r="G707" i="20"/>
  <c r="G716" i="20"/>
  <c r="G715" i="20"/>
  <c r="G714" i="20"/>
  <c r="G712" i="20"/>
  <c r="G235" i="20"/>
  <c r="G594" i="20"/>
  <c r="G483" i="20"/>
  <c r="G509" i="20"/>
  <c r="G297" i="20"/>
  <c r="G323" i="20"/>
  <c r="G607" i="20"/>
  <c r="G534" i="20"/>
  <c r="G450" i="20"/>
  <c r="G640" i="20"/>
  <c r="G48" i="20"/>
  <c r="G56" i="20"/>
  <c r="G36" i="20"/>
  <c r="G62" i="20"/>
  <c r="G249" i="20"/>
  <c r="G223" i="20"/>
  <c r="G699" i="20"/>
  <c r="G673" i="20"/>
  <c r="P10" i="20"/>
  <c r="P9" i="20" s="1"/>
  <c r="G417" i="20"/>
  <c r="G275" i="20"/>
  <c r="G273" i="20"/>
  <c r="G274" i="20"/>
  <c r="G13" i="20"/>
  <c r="G12" i="20"/>
  <c r="G18" i="20"/>
  <c r="G17" i="20"/>
  <c r="G16" i="20"/>
  <c r="G15" i="20"/>
  <c r="G14" i="20"/>
  <c r="G61" i="20"/>
  <c r="G208" i="20"/>
  <c r="G211" i="20"/>
  <c r="G209" i="20"/>
  <c r="G214" i="20"/>
  <c r="G218" i="20"/>
  <c r="G210" i="20"/>
  <c r="G221" i="20"/>
  <c r="G217" i="20"/>
  <c r="G215" i="20"/>
  <c r="G220" i="20"/>
  <c r="G207" i="20"/>
  <c r="G216" i="20"/>
  <c r="G212" i="20"/>
  <c r="G219" i="20"/>
  <c r="G213" i="20"/>
  <c r="G276" i="20"/>
  <c r="T343" i="20"/>
  <c r="G664" i="20"/>
  <c r="G661" i="20"/>
  <c r="G659" i="20"/>
  <c r="G658" i="20"/>
  <c r="G668" i="20"/>
  <c r="G671" i="20"/>
  <c r="G660" i="20"/>
  <c r="G663" i="20"/>
  <c r="G657" i="20"/>
  <c r="G669" i="20"/>
  <c r="G670" i="20"/>
  <c r="G666" i="20"/>
  <c r="G662" i="20"/>
  <c r="G667" i="20"/>
  <c r="G665" i="20"/>
  <c r="G469" i="20"/>
  <c r="G468" i="20"/>
  <c r="G474" i="20"/>
  <c r="G478" i="20"/>
  <c r="G481" i="20"/>
  <c r="G470" i="20"/>
  <c r="G471" i="20"/>
  <c r="G475" i="20"/>
  <c r="G480" i="20"/>
  <c r="G479" i="20"/>
  <c r="G472" i="20"/>
  <c r="G473" i="20"/>
  <c r="G476" i="20"/>
  <c r="G477" i="20"/>
  <c r="G467" i="20"/>
  <c r="T84" i="20"/>
  <c r="G344" i="20"/>
  <c r="G21" i="20"/>
  <c r="G27" i="20"/>
  <c r="G34" i="20"/>
  <c r="G22" i="20"/>
  <c r="G24" i="20"/>
  <c r="G31" i="20"/>
  <c r="G23" i="20"/>
  <c r="G20" i="20"/>
  <c r="G32" i="20"/>
  <c r="G29" i="20"/>
  <c r="G33" i="20"/>
  <c r="G25" i="20"/>
  <c r="G26" i="20"/>
  <c r="G28" i="20"/>
  <c r="G30" i="20"/>
  <c r="S9" i="20" l="1"/>
  <c r="G555" i="20"/>
  <c r="G582" i="20"/>
  <c r="G432" i="20"/>
  <c r="G638" i="20"/>
  <c r="G627" i="20"/>
  <c r="G624" i="20"/>
  <c r="G626" i="20"/>
  <c r="G629" i="20"/>
  <c r="G630" i="20"/>
  <c r="G633" i="20"/>
  <c r="G625" i="20"/>
  <c r="G639" i="20"/>
  <c r="G623" i="20"/>
  <c r="G632" i="20"/>
  <c r="G320" i="20"/>
  <c r="G322" i="20"/>
  <c r="G318" i="20"/>
  <c r="G321" i="20"/>
  <c r="G319" i="20"/>
  <c r="O801" i="18"/>
  <c r="O801" i="20"/>
  <c r="S801" i="20" s="1"/>
  <c r="O731" i="18"/>
  <c r="O731" i="20"/>
  <c r="S731" i="20" s="1"/>
  <c r="O776" i="18"/>
  <c r="O776" i="20"/>
  <c r="S776" i="20" s="1"/>
  <c r="O743" i="18"/>
  <c r="O743" i="20"/>
  <c r="S743" i="20" s="1"/>
  <c r="O774" i="18"/>
  <c r="O774" i="20"/>
  <c r="S774" i="20" s="1"/>
  <c r="O727" i="18"/>
  <c r="O727" i="20"/>
  <c r="S727" i="20" s="1"/>
  <c r="O821" i="18"/>
  <c r="O821" i="20"/>
  <c r="S821" i="20" s="1"/>
  <c r="O788" i="18"/>
  <c r="O788" i="20"/>
  <c r="S788" i="20" s="1"/>
  <c r="O817" i="18"/>
  <c r="O817" i="20"/>
  <c r="S817" i="20" s="1"/>
  <c r="O806" i="18"/>
  <c r="O806" i="20"/>
  <c r="S806" i="20" s="1"/>
  <c r="O758" i="18"/>
  <c r="O758" i="20"/>
  <c r="S758" i="20" s="1"/>
  <c r="O753" i="18"/>
  <c r="O753" i="20"/>
  <c r="S753" i="20" s="1"/>
  <c r="O738" i="18"/>
  <c r="O738" i="20"/>
  <c r="S738" i="20" s="1"/>
  <c r="O785" i="18"/>
  <c r="O785" i="20"/>
  <c r="S785" i="20" s="1"/>
  <c r="O728" i="18"/>
  <c r="O728" i="20"/>
  <c r="S728" i="20" s="1"/>
  <c r="O800" i="18"/>
  <c r="O800" i="20"/>
  <c r="S800" i="20" s="1"/>
  <c r="O739" i="18"/>
  <c r="O739" i="20"/>
  <c r="S739" i="20" s="1"/>
  <c r="O735" i="18"/>
  <c r="O735" i="20"/>
  <c r="S735" i="20" s="1"/>
  <c r="O751" i="18"/>
  <c r="O751" i="20"/>
  <c r="S751" i="20" s="1"/>
  <c r="O760" i="18"/>
  <c r="O760" i="20"/>
  <c r="S760" i="20" s="1"/>
  <c r="O804" i="18"/>
  <c r="O804" i="20"/>
  <c r="S804" i="20" s="1"/>
  <c r="O820" i="18"/>
  <c r="O820" i="20"/>
  <c r="S820" i="20" s="1"/>
  <c r="O723" i="18"/>
  <c r="O723" i="20"/>
  <c r="S723" i="20" s="1"/>
  <c r="O722" i="18"/>
  <c r="O722" i="20"/>
  <c r="S722" i="20" s="1"/>
  <c r="O784" i="18"/>
  <c r="O784" i="20"/>
  <c r="S784" i="20" s="1"/>
  <c r="O814" i="18"/>
  <c r="O814" i="20"/>
  <c r="S814" i="20" s="1"/>
  <c r="O773" i="18"/>
  <c r="O773" i="20"/>
  <c r="S773" i="20" s="1"/>
  <c r="O740" i="18"/>
  <c r="O740" i="20"/>
  <c r="S740" i="20" s="1"/>
  <c r="P800" i="18"/>
  <c r="P800" i="20"/>
  <c r="T800" i="20" s="1"/>
  <c r="O734" i="18"/>
  <c r="O734" i="20"/>
  <c r="S734" i="20" s="1"/>
  <c r="O805" i="18"/>
  <c r="O805" i="20"/>
  <c r="S805" i="20" s="1"/>
  <c r="O775" i="18"/>
  <c r="O775" i="20"/>
  <c r="S775" i="20" s="1"/>
  <c r="O797" i="18"/>
  <c r="O797" i="20"/>
  <c r="S797" i="20" s="1"/>
  <c r="O795" i="18"/>
  <c r="O795" i="20"/>
  <c r="S795" i="20" s="1"/>
  <c r="O789" i="18"/>
  <c r="O789" i="20"/>
  <c r="S789" i="20" s="1"/>
  <c r="O733" i="18"/>
  <c r="O733" i="20"/>
  <c r="S733" i="20" s="1"/>
  <c r="O799" i="18"/>
  <c r="O799" i="20"/>
  <c r="S799" i="20" s="1"/>
  <c r="O766" i="18"/>
  <c r="O766" i="20"/>
  <c r="S766" i="20" s="1"/>
  <c r="O812" i="18"/>
  <c r="O812" i="20"/>
  <c r="S812" i="20" s="1"/>
  <c r="O807" i="18"/>
  <c r="O807" i="20"/>
  <c r="S807" i="20" s="1"/>
  <c r="O777" i="18"/>
  <c r="O777" i="20"/>
  <c r="S777" i="20" s="1"/>
  <c r="O778" i="18"/>
  <c r="O778" i="20"/>
  <c r="S778" i="20" s="1"/>
  <c r="O762" i="18"/>
  <c r="O762" i="20"/>
  <c r="S762" i="20" s="1"/>
  <c r="O763" i="18"/>
  <c r="O763" i="20"/>
  <c r="S763" i="20" s="1"/>
  <c r="O824" i="18"/>
  <c r="O824" i="20"/>
  <c r="S824" i="20" s="1"/>
  <c r="O771" i="18"/>
  <c r="O771" i="20"/>
  <c r="S771" i="20" s="1"/>
  <c r="O811" i="18"/>
  <c r="O811" i="20"/>
  <c r="S811" i="20" s="1"/>
  <c r="O765" i="18"/>
  <c r="O765" i="20"/>
  <c r="S765" i="20" s="1"/>
  <c r="O823" i="18"/>
  <c r="O823" i="20"/>
  <c r="S823" i="20" s="1"/>
  <c r="O761" i="18"/>
  <c r="O761" i="20"/>
  <c r="S761" i="20" s="1"/>
  <c r="O767" i="18"/>
  <c r="O767" i="20"/>
  <c r="S767" i="20" s="1"/>
  <c r="O796" i="18"/>
  <c r="O796" i="20"/>
  <c r="S796" i="20" s="1"/>
  <c r="O787" i="18"/>
  <c r="O787" i="20"/>
  <c r="S787" i="20" s="1"/>
  <c r="O786" i="18"/>
  <c r="O786" i="20"/>
  <c r="S786" i="20" s="1"/>
  <c r="O732" i="18"/>
  <c r="O732" i="20"/>
  <c r="S732" i="20" s="1"/>
  <c r="O770" i="18"/>
  <c r="O770" i="20"/>
  <c r="S770" i="20" s="1"/>
  <c r="O756" i="18"/>
  <c r="O756" i="20"/>
  <c r="S756" i="20" s="1"/>
  <c r="O752" i="18"/>
  <c r="O752" i="20"/>
  <c r="S752" i="20" s="1"/>
  <c r="O754" i="18"/>
  <c r="O754" i="20"/>
  <c r="S754" i="20" s="1"/>
  <c r="O749" i="18"/>
  <c r="O749" i="20"/>
  <c r="S749" i="20" s="1"/>
  <c r="O737" i="18"/>
  <c r="O737" i="20"/>
  <c r="S737" i="20" s="1"/>
  <c r="O803" i="18"/>
  <c r="O803" i="20"/>
  <c r="S803" i="20" s="1"/>
  <c r="O726" i="18"/>
  <c r="O726" i="20"/>
  <c r="S726" i="20" s="1"/>
  <c r="O750" i="18"/>
  <c r="O750" i="20"/>
  <c r="S750" i="20" s="1"/>
  <c r="O764" i="18"/>
  <c r="O764" i="20"/>
  <c r="S764" i="20" s="1"/>
  <c r="O736" i="18"/>
  <c r="O736" i="20"/>
  <c r="S736" i="20" s="1"/>
  <c r="O790" i="18"/>
  <c r="O790" i="20"/>
  <c r="S790" i="20" s="1"/>
  <c r="O813" i="18"/>
  <c r="O813" i="20"/>
  <c r="S813" i="20" s="1"/>
  <c r="O772" i="18"/>
  <c r="O772" i="20"/>
  <c r="S772" i="20" s="1"/>
  <c r="O724" i="18"/>
  <c r="O724" i="20"/>
  <c r="S724" i="20" s="1"/>
  <c r="O748" i="18"/>
  <c r="O748" i="20"/>
  <c r="S748" i="20" s="1"/>
  <c r="O782" i="18"/>
  <c r="O782" i="20"/>
  <c r="S782" i="20" s="1"/>
  <c r="O730" i="18"/>
  <c r="O730" i="20"/>
  <c r="S730" i="20" s="1"/>
  <c r="O745" i="18"/>
  <c r="O745" i="20"/>
  <c r="S745" i="20" s="1"/>
  <c r="O746" i="18"/>
  <c r="O746" i="20"/>
  <c r="S746" i="20" s="1"/>
  <c r="O725" i="18"/>
  <c r="O725" i="20"/>
  <c r="S725" i="20" s="1"/>
  <c r="O791" i="18"/>
  <c r="O791" i="20"/>
  <c r="S791" i="20" s="1"/>
  <c r="O810" i="18"/>
  <c r="O810" i="20"/>
  <c r="S810" i="20" s="1"/>
  <c r="O815" i="18"/>
  <c r="O815" i="20"/>
  <c r="S815" i="20" s="1"/>
  <c r="O755" i="18"/>
  <c r="O755" i="20"/>
  <c r="S755" i="20" s="1"/>
  <c r="O744" i="18"/>
  <c r="O744" i="20"/>
  <c r="S744" i="20" s="1"/>
  <c r="O729" i="18"/>
  <c r="O729" i="20"/>
  <c r="S729" i="20" s="1"/>
  <c r="O779" i="18"/>
  <c r="O779" i="20"/>
  <c r="S779" i="20" s="1"/>
  <c r="O802" i="18"/>
  <c r="O802" i="20"/>
  <c r="S802" i="20" s="1"/>
  <c r="O798" i="18"/>
  <c r="O798" i="20"/>
  <c r="S798" i="20" s="1"/>
  <c r="O819" i="18"/>
  <c r="O819" i="20"/>
  <c r="S819" i="20" s="1"/>
  <c r="O816" i="18"/>
  <c r="O816" i="20"/>
  <c r="S816" i="20" s="1"/>
  <c r="O818" i="18"/>
  <c r="O818" i="20"/>
  <c r="S818" i="20" s="1"/>
  <c r="O759" i="18"/>
  <c r="O759" i="20"/>
  <c r="S759" i="20" s="1"/>
  <c r="O822" i="18"/>
  <c r="O822" i="20"/>
  <c r="S822" i="20" s="1"/>
  <c r="O792" i="18"/>
  <c r="O792" i="20"/>
  <c r="S792" i="20" s="1"/>
  <c r="O757" i="18"/>
  <c r="O757" i="20"/>
  <c r="S757" i="20" s="1"/>
  <c r="O783" i="18"/>
  <c r="O783" i="20"/>
  <c r="S783" i="20" s="1"/>
  <c r="O747" i="18"/>
  <c r="O747" i="20"/>
  <c r="S747" i="20" s="1"/>
  <c r="G634" i="20"/>
  <c r="G636" i="20"/>
  <c r="G637" i="20"/>
  <c r="G631" i="20"/>
  <c r="G628" i="20"/>
  <c r="G635" i="20"/>
  <c r="G312" i="20"/>
  <c r="G313" i="20"/>
  <c r="G314" i="20"/>
  <c r="G316" i="20"/>
  <c r="G311" i="20"/>
  <c r="R10" i="20"/>
  <c r="T342" i="20"/>
  <c r="Q6" i="20"/>
  <c r="G315" i="20"/>
  <c r="S10" i="20"/>
  <c r="R342" i="20"/>
  <c r="T83" i="20"/>
  <c r="S83" i="20"/>
  <c r="S342" i="20"/>
  <c r="V1" i="20"/>
  <c r="R9" i="20"/>
  <c r="G505" i="20"/>
  <c r="G504" i="20"/>
  <c r="G694" i="20"/>
  <c r="G507" i="20"/>
  <c r="G695" i="20"/>
  <c r="G506" i="20"/>
  <c r="G697" i="20"/>
  <c r="R83" i="20"/>
  <c r="G698" i="20"/>
  <c r="G252" i="20"/>
  <c r="G250" i="20"/>
  <c r="G251" i="20"/>
  <c r="O268" i="20"/>
  <c r="S268" i="20" s="1"/>
  <c r="S270" i="20"/>
  <c r="G63" i="20"/>
  <c r="G64" i="20"/>
  <c r="G178" i="20"/>
  <c r="G180" i="20"/>
  <c r="G186" i="20"/>
  <c r="G188" i="20"/>
  <c r="G177" i="20"/>
  <c r="G182" i="20"/>
  <c r="G179" i="20"/>
  <c r="G175" i="20"/>
  <c r="G189" i="20"/>
  <c r="G181" i="20"/>
  <c r="G183" i="20"/>
  <c r="G190" i="20"/>
  <c r="G187" i="20"/>
  <c r="G176" i="20"/>
  <c r="G174" i="20"/>
  <c r="G184" i="20"/>
  <c r="G185" i="20"/>
  <c r="G41" i="20"/>
  <c r="G43" i="20"/>
  <c r="G42" i="20"/>
  <c r="G40" i="20"/>
  <c r="G47" i="20"/>
  <c r="G39" i="20"/>
  <c r="G46" i="20"/>
  <c r="G38" i="20"/>
  <c r="G45" i="20"/>
  <c r="G37" i="20"/>
  <c r="G44" i="20"/>
  <c r="S532" i="20"/>
  <c r="O529" i="20"/>
  <c r="G143" i="20"/>
  <c r="G144" i="20"/>
  <c r="G138" i="20"/>
  <c r="G134" i="20"/>
  <c r="G139" i="20"/>
  <c r="G141" i="20"/>
  <c r="G140" i="20"/>
  <c r="G136" i="20"/>
  <c r="G137" i="20"/>
  <c r="G135" i="20"/>
  <c r="G142" i="20"/>
  <c r="G364" i="20"/>
  <c r="G363" i="20"/>
  <c r="G345" i="20"/>
  <c r="G357" i="20"/>
  <c r="G351" i="20"/>
  <c r="G360" i="20"/>
  <c r="G359" i="20"/>
  <c r="G353" i="20"/>
  <c r="G349" i="20"/>
  <c r="G355" i="20"/>
  <c r="G350" i="20"/>
  <c r="G348" i="20"/>
  <c r="G358" i="20"/>
  <c r="G352" i="20"/>
  <c r="G346" i="20"/>
  <c r="G362" i="20"/>
  <c r="G354" i="20"/>
  <c r="G347" i="20"/>
  <c r="G361" i="20"/>
  <c r="G356" i="20"/>
  <c r="G60" i="20"/>
  <c r="G69" i="20" s="1"/>
  <c r="G59" i="20"/>
  <c r="G68" i="20" s="1"/>
  <c r="G58" i="20"/>
  <c r="G67" i="20" s="1"/>
  <c r="G57" i="20"/>
  <c r="G66" i="20" s="1"/>
  <c r="G65" i="20"/>
  <c r="G195" i="20"/>
  <c r="G193" i="20"/>
  <c r="G202" i="20"/>
  <c r="G203" i="20"/>
  <c r="G196" i="20"/>
  <c r="G205" i="20"/>
  <c r="G194" i="20"/>
  <c r="G200" i="20"/>
  <c r="G192" i="20"/>
  <c r="G198" i="20"/>
  <c r="G204" i="20"/>
  <c r="G199" i="20"/>
  <c r="G201" i="20"/>
  <c r="G197" i="20"/>
  <c r="G54" i="20"/>
  <c r="G49" i="20"/>
  <c r="G55" i="20"/>
  <c r="G53" i="20"/>
  <c r="G52" i="20"/>
  <c r="G51" i="20"/>
  <c r="G50" i="20"/>
  <c r="G162" i="20"/>
  <c r="G164" i="20"/>
  <c r="G166" i="20"/>
  <c r="G172" i="20"/>
  <c r="G170" i="20"/>
  <c r="G165" i="20"/>
  <c r="G167" i="20"/>
  <c r="G161" i="20"/>
  <c r="G163" i="20"/>
  <c r="G168" i="20"/>
  <c r="G171" i="20"/>
  <c r="G159" i="20"/>
  <c r="G169" i="20"/>
  <c r="G160" i="20"/>
  <c r="G651" i="20"/>
  <c r="G642" i="20"/>
  <c r="G644" i="20"/>
  <c r="G652" i="20"/>
  <c r="G641" i="20"/>
  <c r="G648" i="20"/>
  <c r="G649" i="20"/>
  <c r="G650" i="20"/>
  <c r="G645" i="20"/>
  <c r="G647" i="20"/>
  <c r="G646" i="20"/>
  <c r="G654" i="20"/>
  <c r="G653" i="20"/>
  <c r="G643" i="20"/>
  <c r="G122" i="20"/>
  <c r="G113" i="20"/>
  <c r="G118" i="20"/>
  <c r="G123" i="20"/>
  <c r="G108" i="20"/>
  <c r="G132" i="20"/>
  <c r="G127" i="20"/>
  <c r="G130" i="20"/>
  <c r="G125" i="20"/>
  <c r="G119" i="20"/>
  <c r="G121" i="20"/>
  <c r="G114" i="20"/>
  <c r="G111" i="20"/>
  <c r="G107" i="20"/>
  <c r="G116" i="20"/>
  <c r="G128" i="20"/>
  <c r="G129" i="20"/>
  <c r="G126" i="20"/>
  <c r="G110" i="20"/>
  <c r="G115" i="20"/>
  <c r="G131" i="20"/>
  <c r="G124" i="20"/>
  <c r="G109" i="20"/>
  <c r="G117" i="20"/>
  <c r="G112" i="20"/>
  <c r="G120" i="20"/>
  <c r="G452" i="20"/>
  <c r="G454" i="20"/>
  <c r="G462" i="20"/>
  <c r="G461" i="20"/>
  <c r="G463" i="20"/>
  <c r="G455" i="20"/>
  <c r="G451" i="20"/>
  <c r="G460" i="20"/>
  <c r="G459" i="20"/>
  <c r="G453" i="20"/>
  <c r="G456" i="20"/>
  <c r="G457" i="20"/>
  <c r="G464" i="20"/>
  <c r="G458" i="20"/>
  <c r="G101" i="20"/>
  <c r="G100" i="20"/>
  <c r="G96" i="20"/>
  <c r="G105" i="20"/>
  <c r="G94" i="20"/>
  <c r="G98" i="20"/>
  <c r="G104" i="20"/>
  <c r="G92" i="20"/>
  <c r="G86" i="20"/>
  <c r="G90" i="20"/>
  <c r="G102" i="20"/>
  <c r="G95" i="20"/>
  <c r="G88" i="20"/>
  <c r="G97" i="20"/>
  <c r="G87" i="20"/>
  <c r="G93" i="20"/>
  <c r="G91" i="20"/>
  <c r="G99" i="20"/>
  <c r="G89" i="20"/>
  <c r="G103" i="20"/>
  <c r="G554" i="20"/>
  <c r="G535" i="20"/>
  <c r="G547" i="20"/>
  <c r="G543" i="20"/>
  <c r="G553" i="20"/>
  <c r="G550" i="20"/>
  <c r="G545" i="20"/>
  <c r="G539" i="20"/>
  <c r="G541" i="20"/>
  <c r="G549" i="20"/>
  <c r="G552" i="20"/>
  <c r="G537" i="20"/>
  <c r="G536" i="20"/>
  <c r="G540" i="20"/>
  <c r="G546" i="20"/>
  <c r="G548" i="20"/>
  <c r="G542" i="20"/>
  <c r="G551" i="20"/>
  <c r="G538" i="20"/>
  <c r="G544" i="20"/>
  <c r="G151" i="20"/>
  <c r="G157" i="20"/>
  <c r="G146" i="20"/>
  <c r="G154" i="20"/>
  <c r="G148" i="20"/>
  <c r="G153" i="20"/>
  <c r="G150" i="20"/>
  <c r="G156" i="20"/>
  <c r="G155" i="20"/>
  <c r="G149" i="20"/>
  <c r="G152" i="20"/>
  <c r="G147" i="20"/>
  <c r="G611" i="20"/>
  <c r="G621" i="20"/>
  <c r="G613" i="20"/>
  <c r="G615" i="20"/>
  <c r="G620" i="20"/>
  <c r="G619" i="20"/>
  <c r="G609" i="20"/>
  <c r="G616" i="20"/>
  <c r="G612" i="20"/>
  <c r="G618" i="20"/>
  <c r="G610" i="20"/>
  <c r="G608" i="20"/>
  <c r="G614" i="20"/>
  <c r="G617" i="20"/>
  <c r="G325" i="20"/>
  <c r="G326" i="20"/>
  <c r="G324" i="20"/>
  <c r="G302" i="20"/>
  <c r="G301" i="20"/>
  <c r="G300" i="20"/>
  <c r="G305" i="20"/>
  <c r="G299" i="20"/>
  <c r="G304" i="20"/>
  <c r="G307" i="20"/>
  <c r="G303" i="20"/>
  <c r="G308" i="20"/>
  <c r="G306" i="20"/>
  <c r="G298" i="20"/>
  <c r="G405" i="20"/>
  <c r="G410" i="20"/>
  <c r="G407" i="20"/>
  <c r="G412" i="20"/>
  <c r="G413" i="20"/>
  <c r="G409" i="20"/>
  <c r="G414" i="20"/>
  <c r="G416" i="20"/>
  <c r="G408" i="20"/>
  <c r="G415" i="20"/>
  <c r="G411" i="20"/>
  <c r="G406" i="20"/>
  <c r="G510" i="20"/>
  <c r="G512" i="20"/>
  <c r="G511" i="20"/>
  <c r="G393" i="20"/>
  <c r="G402" i="20"/>
  <c r="G396" i="20"/>
  <c r="G398" i="20"/>
  <c r="G399" i="20"/>
  <c r="G401" i="20"/>
  <c r="G400" i="20"/>
  <c r="G403" i="20"/>
  <c r="G394" i="20"/>
  <c r="G395" i="20"/>
  <c r="G397" i="20"/>
  <c r="G486" i="20"/>
  <c r="G487" i="20"/>
  <c r="G488" i="20"/>
  <c r="G489" i="20"/>
  <c r="G493" i="20"/>
  <c r="G484" i="20"/>
  <c r="G491" i="20"/>
  <c r="G492" i="20"/>
  <c r="G490" i="20"/>
  <c r="G485" i="20"/>
  <c r="G494" i="20"/>
  <c r="G381" i="20"/>
  <c r="G367" i="20"/>
  <c r="G386" i="20"/>
  <c r="G384" i="20"/>
  <c r="G389" i="20"/>
  <c r="G377" i="20"/>
  <c r="G391" i="20"/>
  <c r="G372" i="20"/>
  <c r="G382" i="20"/>
  <c r="G374" i="20"/>
  <c r="G376" i="20"/>
  <c r="G385" i="20"/>
  <c r="G369" i="20"/>
  <c r="G368" i="20"/>
  <c r="G366" i="20"/>
  <c r="G371" i="20"/>
  <c r="G383" i="20"/>
  <c r="G380" i="20"/>
  <c r="G379" i="20"/>
  <c r="G375" i="20"/>
  <c r="G370" i="20"/>
  <c r="G378" i="20"/>
  <c r="G387" i="20"/>
  <c r="G388" i="20"/>
  <c r="G373" i="20"/>
  <c r="G390" i="20"/>
  <c r="G602" i="20"/>
  <c r="G600" i="20"/>
  <c r="G598" i="20"/>
  <c r="G595" i="20"/>
  <c r="G597" i="20"/>
  <c r="G603" i="20"/>
  <c r="G606" i="20"/>
  <c r="G604" i="20"/>
  <c r="G599" i="20"/>
  <c r="G605" i="20"/>
  <c r="G596" i="20"/>
  <c r="G601" i="20"/>
  <c r="G587" i="20"/>
  <c r="G584" i="20"/>
  <c r="G592" i="20"/>
  <c r="G590" i="20"/>
  <c r="G583" i="20"/>
  <c r="G593" i="20"/>
  <c r="G585" i="20"/>
  <c r="G589" i="20"/>
  <c r="G588" i="20"/>
  <c r="G586" i="20"/>
  <c r="G591" i="20"/>
  <c r="G439" i="20"/>
  <c r="G438" i="20"/>
  <c r="G436" i="20"/>
  <c r="G448" i="20"/>
  <c r="G437" i="20"/>
  <c r="G434" i="20"/>
  <c r="G445" i="20"/>
  <c r="G441" i="20"/>
  <c r="G447" i="20"/>
  <c r="G440" i="20"/>
  <c r="G435" i="20"/>
  <c r="G449" i="20"/>
  <c r="G444" i="20"/>
  <c r="G443" i="20"/>
  <c r="G442" i="20"/>
  <c r="G433" i="20"/>
  <c r="G446" i="20"/>
  <c r="G581" i="20"/>
  <c r="G576" i="20"/>
  <c r="G572" i="20"/>
  <c r="G562" i="20"/>
  <c r="G571" i="20"/>
  <c r="G557" i="20"/>
  <c r="G574" i="20"/>
  <c r="G567" i="20"/>
  <c r="G579" i="20"/>
  <c r="G573" i="20"/>
  <c r="G559" i="20"/>
  <c r="G575" i="20"/>
  <c r="G560" i="20"/>
  <c r="G566" i="20"/>
  <c r="G558" i="20"/>
  <c r="G565" i="20"/>
  <c r="G569" i="20"/>
  <c r="G578" i="20"/>
  <c r="G570" i="20"/>
  <c r="G580" i="20"/>
  <c r="G561" i="20"/>
  <c r="G564" i="20"/>
  <c r="G568" i="20"/>
  <c r="G577" i="20"/>
  <c r="G563" i="20"/>
  <c r="G556" i="20"/>
  <c r="R532" i="20"/>
  <c r="N529" i="20"/>
  <c r="T532" i="20"/>
  <c r="P529" i="20"/>
  <c r="G423" i="20"/>
  <c r="G431" i="20"/>
  <c r="G425" i="20"/>
  <c r="G421" i="20"/>
  <c r="G430" i="20"/>
  <c r="G429" i="20"/>
  <c r="G420" i="20"/>
  <c r="G419" i="20"/>
  <c r="G424" i="20"/>
  <c r="G418" i="20"/>
  <c r="G422" i="20"/>
  <c r="G428" i="20"/>
  <c r="G426" i="20"/>
  <c r="G427" i="20"/>
  <c r="G241" i="20"/>
  <c r="G240" i="20"/>
  <c r="G238" i="20"/>
  <c r="G239" i="20"/>
  <c r="G236" i="20"/>
  <c r="G242" i="20"/>
  <c r="G237" i="20"/>
  <c r="T10" i="20"/>
  <c r="G678" i="20"/>
  <c r="G677" i="20"/>
  <c r="G676" i="20"/>
  <c r="G675" i="20"/>
  <c r="G683" i="20"/>
  <c r="G684" i="20"/>
  <c r="G674" i="20"/>
  <c r="G679" i="20"/>
  <c r="G682" i="20"/>
  <c r="G680" i="20"/>
  <c r="G681" i="20"/>
  <c r="G700" i="20"/>
  <c r="G702" i="20"/>
  <c r="G701" i="20"/>
  <c r="P268" i="20"/>
  <c r="T268" i="20" s="1"/>
  <c r="T270" i="20"/>
  <c r="N268" i="20"/>
  <c r="R268" i="20" s="1"/>
  <c r="R270" i="20"/>
  <c r="G227" i="20"/>
  <c r="G226" i="20"/>
  <c r="G228" i="20"/>
  <c r="G225" i="20"/>
  <c r="G230" i="20"/>
  <c r="G231" i="20"/>
  <c r="G229" i="20"/>
  <c r="G224" i="20"/>
  <c r="G233" i="20"/>
  <c r="G234" i="20"/>
  <c r="G232" i="20"/>
  <c r="P811" i="20"/>
  <c r="T811" i="20" s="1"/>
  <c r="N788" i="20"/>
  <c r="R788" i="20" s="1"/>
  <c r="N811" i="20"/>
  <c r="R811" i="20" s="1"/>
  <c r="N806" i="20"/>
  <c r="R806" i="20" s="1"/>
  <c r="N790" i="20"/>
  <c r="R790" i="20" s="1"/>
  <c r="N783" i="20"/>
  <c r="R783" i="20" s="1"/>
  <c r="N784" i="18" l="1"/>
  <c r="N784" i="20"/>
  <c r="R784" i="20" s="1"/>
  <c r="N803" i="18"/>
  <c r="N803" i="20"/>
  <c r="R803" i="20" s="1"/>
  <c r="P787" i="18"/>
  <c r="P787" i="20"/>
  <c r="T787" i="20" s="1"/>
  <c r="P824" i="18"/>
  <c r="P824" i="20"/>
  <c r="T824" i="20" s="1"/>
  <c r="N804" i="18"/>
  <c r="N804" i="20"/>
  <c r="R804" i="20" s="1"/>
  <c r="N772" i="18"/>
  <c r="N772" i="20"/>
  <c r="R772" i="20" s="1"/>
  <c r="P733" i="18"/>
  <c r="P733" i="20"/>
  <c r="T733" i="20" s="1"/>
  <c r="P816" i="18"/>
  <c r="P816" i="20"/>
  <c r="T816" i="20" s="1"/>
  <c r="P812" i="18"/>
  <c r="P812" i="20"/>
  <c r="T812" i="20" s="1"/>
  <c r="O829" i="18"/>
  <c r="O829" i="20"/>
  <c r="S829" i="20" s="1"/>
  <c r="O742" i="18"/>
  <c r="O742" i="20"/>
  <c r="P769" i="18"/>
  <c r="P769" i="20"/>
  <c r="N728" i="18"/>
  <c r="N728" i="20"/>
  <c r="R728" i="20" s="1"/>
  <c r="N748" i="18"/>
  <c r="N748" i="20"/>
  <c r="R748" i="20" s="1"/>
  <c r="P822" i="18"/>
  <c r="P822" i="20"/>
  <c r="T822" i="20" s="1"/>
  <c r="P747" i="18"/>
  <c r="P747" i="20"/>
  <c r="T747" i="20" s="1"/>
  <c r="P805" i="18"/>
  <c r="P805" i="20"/>
  <c r="T805" i="20" s="1"/>
  <c r="P810" i="18"/>
  <c r="P810" i="20"/>
  <c r="T810" i="20" s="1"/>
  <c r="O833" i="18"/>
  <c r="O833" i="20"/>
  <c r="S833" i="20" s="1"/>
  <c r="O825" i="18"/>
  <c r="O825" i="20"/>
  <c r="S825" i="20" s="1"/>
  <c r="N735" i="18"/>
  <c r="N735" i="20"/>
  <c r="R735" i="20" s="1"/>
  <c r="N777" i="18"/>
  <c r="N777" i="20"/>
  <c r="R777" i="20" s="1"/>
  <c r="P735" i="18"/>
  <c r="P735" i="20"/>
  <c r="T735" i="20" s="1"/>
  <c r="P807" i="18"/>
  <c r="P807" i="20"/>
  <c r="T807" i="20" s="1"/>
  <c r="O809" i="18"/>
  <c r="O809" i="20"/>
  <c r="N825" i="18"/>
  <c r="N825" i="20"/>
  <c r="R825" i="20" s="1"/>
  <c r="N729" i="18"/>
  <c r="N729" i="20"/>
  <c r="R729" i="20" s="1"/>
  <c r="N743" i="18"/>
  <c r="N743" i="20"/>
  <c r="R743" i="20" s="1"/>
  <c r="N817" i="18"/>
  <c r="N817" i="20"/>
  <c r="R817" i="20" s="1"/>
  <c r="P725" i="18"/>
  <c r="P725" i="20"/>
  <c r="T725" i="20" s="1"/>
  <c r="P746" i="18"/>
  <c r="P746" i="20"/>
  <c r="T746" i="20" s="1"/>
  <c r="P817" i="18"/>
  <c r="P817" i="20"/>
  <c r="T817" i="20" s="1"/>
  <c r="O832" i="18"/>
  <c r="O832" i="20"/>
  <c r="S832" i="20" s="1"/>
  <c r="N807" i="18"/>
  <c r="N807" i="20"/>
  <c r="R807" i="20" s="1"/>
  <c r="P757" i="18"/>
  <c r="P757" i="20"/>
  <c r="T757" i="20" s="1"/>
  <c r="P803" i="18"/>
  <c r="P803" i="20"/>
  <c r="T803" i="20" s="1"/>
  <c r="N758" i="18"/>
  <c r="N758" i="20"/>
  <c r="R758" i="20" s="1"/>
  <c r="N778" i="18"/>
  <c r="N778" i="20"/>
  <c r="R778" i="20" s="1"/>
  <c r="P748" i="18"/>
  <c r="P748" i="20"/>
  <c r="T748" i="20" s="1"/>
  <c r="P767" i="18"/>
  <c r="P767" i="20"/>
  <c r="T767" i="20" s="1"/>
  <c r="N824" i="18"/>
  <c r="N824" i="20"/>
  <c r="R824" i="20" s="1"/>
  <c r="N739" i="18"/>
  <c r="N739" i="20"/>
  <c r="R739" i="20" s="1"/>
  <c r="N750" i="18"/>
  <c r="N750" i="20"/>
  <c r="R750" i="20" s="1"/>
  <c r="N760" i="18"/>
  <c r="N760" i="20"/>
  <c r="R760" i="20" s="1"/>
  <c r="O828" i="18"/>
  <c r="O828" i="20"/>
  <c r="S828" i="20" s="1"/>
  <c r="N781" i="18"/>
  <c r="N781" i="20"/>
  <c r="P754" i="18"/>
  <c r="P754" i="20"/>
  <c r="T754" i="20" s="1"/>
  <c r="P730" i="18"/>
  <c r="P730" i="20"/>
  <c r="T730" i="20" s="1"/>
  <c r="P770" i="18"/>
  <c r="P770" i="20"/>
  <c r="T770" i="20" s="1"/>
  <c r="O835" i="18"/>
  <c r="O835" i="20"/>
  <c r="S835" i="20" s="1"/>
  <c r="N722" i="18"/>
  <c r="N722" i="20"/>
  <c r="R722" i="20" s="1"/>
  <c r="N812" i="18"/>
  <c r="N812" i="20"/>
  <c r="R812" i="20" s="1"/>
  <c r="P779" i="18"/>
  <c r="P779" i="20"/>
  <c r="T779" i="20" s="1"/>
  <c r="P756" i="18"/>
  <c r="P756" i="20"/>
  <c r="T756" i="20" s="1"/>
  <c r="N821" i="18"/>
  <c r="N821" i="20"/>
  <c r="R821" i="20" s="1"/>
  <c r="N779" i="18"/>
  <c r="N779" i="20"/>
  <c r="R779" i="20" s="1"/>
  <c r="P790" i="18"/>
  <c r="P790" i="20"/>
  <c r="T790" i="20" s="1"/>
  <c r="P763" i="18"/>
  <c r="P763" i="20"/>
  <c r="T763" i="20" s="1"/>
  <c r="P797" i="18"/>
  <c r="P797" i="20"/>
  <c r="T797" i="20" s="1"/>
  <c r="P813" i="18"/>
  <c r="P813" i="20"/>
  <c r="T813" i="20" s="1"/>
  <c r="N792" i="18"/>
  <c r="N792" i="20"/>
  <c r="R792" i="20" s="1"/>
  <c r="N769" i="18"/>
  <c r="N769" i="20"/>
  <c r="P755" i="18"/>
  <c r="P755" i="20"/>
  <c r="T755" i="20" s="1"/>
  <c r="N775" i="18"/>
  <c r="N775" i="20"/>
  <c r="R775" i="20" s="1"/>
  <c r="N740" i="18"/>
  <c r="N740" i="20"/>
  <c r="R740" i="20" s="1"/>
  <c r="N751" i="18"/>
  <c r="N751" i="20"/>
  <c r="R751" i="20" s="1"/>
  <c r="N810" i="18"/>
  <c r="N810" i="20"/>
  <c r="R810" i="20" s="1"/>
  <c r="P740" i="18"/>
  <c r="P740" i="20"/>
  <c r="T740" i="20" s="1"/>
  <c r="P753" i="18"/>
  <c r="P753" i="20"/>
  <c r="T753" i="20" s="1"/>
  <c r="N786" i="18"/>
  <c r="N786" i="20"/>
  <c r="R786" i="20" s="1"/>
  <c r="N809" i="18"/>
  <c r="N809" i="20"/>
  <c r="P758" i="18"/>
  <c r="P758" i="20"/>
  <c r="T758" i="20" s="1"/>
  <c r="P775" i="18"/>
  <c r="P775" i="20"/>
  <c r="T775" i="20" s="1"/>
  <c r="N823" i="18"/>
  <c r="N823" i="20"/>
  <c r="R823" i="20" s="1"/>
  <c r="P726" i="18"/>
  <c r="P726" i="20"/>
  <c r="T726" i="20" s="1"/>
  <c r="P802" i="18"/>
  <c r="P802" i="20"/>
  <c r="T802" i="20" s="1"/>
  <c r="N752" i="18"/>
  <c r="N752" i="20"/>
  <c r="R752" i="20" s="1"/>
  <c r="N814" i="18"/>
  <c r="N814" i="20"/>
  <c r="R814" i="20" s="1"/>
  <c r="N774" i="18"/>
  <c r="N774" i="20"/>
  <c r="R774" i="20" s="1"/>
  <c r="P729" i="18"/>
  <c r="P729" i="20"/>
  <c r="T729" i="20" s="1"/>
  <c r="P750" i="18"/>
  <c r="P750" i="20"/>
  <c r="T750" i="20" s="1"/>
  <c r="P749" i="18"/>
  <c r="P749" i="20"/>
  <c r="T749" i="20" s="1"/>
  <c r="P745" i="18"/>
  <c r="P745" i="20"/>
  <c r="T745" i="20" s="1"/>
  <c r="P820" i="18"/>
  <c r="P820" i="20"/>
  <c r="T820" i="20" s="1"/>
  <c r="O838" i="18"/>
  <c r="O838" i="20"/>
  <c r="S838" i="20" s="1"/>
  <c r="O794" i="18"/>
  <c r="O794" i="20"/>
  <c r="P761" i="18"/>
  <c r="P761" i="20"/>
  <c r="T761" i="20" s="1"/>
  <c r="P799" i="18"/>
  <c r="P799" i="20"/>
  <c r="T799" i="20" s="1"/>
  <c r="P788" i="18"/>
  <c r="P788" i="20"/>
  <c r="T788" i="20" s="1"/>
  <c r="N753" i="18"/>
  <c r="N753" i="20"/>
  <c r="R753" i="20" s="1"/>
  <c r="N805" i="18"/>
  <c r="N805" i="20"/>
  <c r="R805" i="20" s="1"/>
  <c r="N776" i="18"/>
  <c r="N776" i="20"/>
  <c r="R776" i="20" s="1"/>
  <c r="P823" i="18"/>
  <c r="P823" i="20"/>
  <c r="T823" i="20" s="1"/>
  <c r="N797" i="18"/>
  <c r="N797" i="20"/>
  <c r="R797" i="20" s="1"/>
  <c r="P774" i="18"/>
  <c r="P774" i="20"/>
  <c r="T774" i="20" s="1"/>
  <c r="P771" i="18"/>
  <c r="P771" i="20"/>
  <c r="T771" i="20" s="1"/>
  <c r="P736" i="18"/>
  <c r="P736" i="20"/>
  <c r="T736" i="20" s="1"/>
  <c r="P751" i="18"/>
  <c r="P751" i="20"/>
  <c r="T751" i="20" s="1"/>
  <c r="O831" i="18"/>
  <c r="O831" i="20"/>
  <c r="S831" i="20" s="1"/>
  <c r="N795" i="18"/>
  <c r="N795" i="20"/>
  <c r="R795" i="20" s="1"/>
  <c r="P819" i="18"/>
  <c r="P819" i="20"/>
  <c r="T819" i="20" s="1"/>
  <c r="P795" i="18"/>
  <c r="P795" i="20"/>
  <c r="T795" i="20" s="1"/>
  <c r="O839" i="18"/>
  <c r="O839" i="20"/>
  <c r="S839" i="20" s="1"/>
  <c r="N762" i="18"/>
  <c r="N762" i="20"/>
  <c r="R762" i="20" s="1"/>
  <c r="N756" i="18"/>
  <c r="N756" i="20"/>
  <c r="R756" i="20" s="1"/>
  <c r="N765" i="18"/>
  <c r="N765" i="20"/>
  <c r="R765" i="20" s="1"/>
  <c r="N766" i="18"/>
  <c r="N766" i="20"/>
  <c r="R766" i="20" s="1"/>
  <c r="P738" i="18"/>
  <c r="P738" i="20"/>
  <c r="T738" i="20" s="1"/>
  <c r="P814" i="18"/>
  <c r="P814" i="20"/>
  <c r="T814" i="20" s="1"/>
  <c r="N791" i="18"/>
  <c r="N791" i="20"/>
  <c r="R791" i="20" s="1"/>
  <c r="N813" i="18"/>
  <c r="N813" i="20"/>
  <c r="R813" i="20" s="1"/>
  <c r="N732" i="18"/>
  <c r="N732" i="20"/>
  <c r="R732" i="20" s="1"/>
  <c r="N767" i="18"/>
  <c r="N767" i="20"/>
  <c r="R767" i="20" s="1"/>
  <c r="N816" i="18"/>
  <c r="N816" i="20"/>
  <c r="R816" i="20" s="1"/>
  <c r="P722" i="18"/>
  <c r="P722" i="20"/>
  <c r="T722" i="20" s="1"/>
  <c r="P765" i="18"/>
  <c r="P765" i="20"/>
  <c r="T765" i="20" s="1"/>
  <c r="O837" i="18"/>
  <c r="O837" i="20"/>
  <c r="S837" i="20" s="1"/>
  <c r="N761" i="18"/>
  <c r="N761" i="20"/>
  <c r="R761" i="20" s="1"/>
  <c r="N754" i="18"/>
  <c r="N754" i="20"/>
  <c r="R754" i="20" s="1"/>
  <c r="N785" i="18"/>
  <c r="N785" i="20"/>
  <c r="R785" i="20" s="1"/>
  <c r="P791" i="18"/>
  <c r="P791" i="20"/>
  <c r="T791" i="20" s="1"/>
  <c r="N733" i="18"/>
  <c r="N733" i="20"/>
  <c r="R733" i="20" s="1"/>
  <c r="N746" i="18"/>
  <c r="N746" i="20"/>
  <c r="R746" i="20" s="1"/>
  <c r="N796" i="18"/>
  <c r="N796" i="20"/>
  <c r="R796" i="20" s="1"/>
  <c r="N815" i="18"/>
  <c r="N815" i="20"/>
  <c r="R815" i="20" s="1"/>
  <c r="P727" i="18"/>
  <c r="P727" i="20"/>
  <c r="T727" i="20" s="1"/>
  <c r="P776" i="18"/>
  <c r="P776" i="20"/>
  <c r="T776" i="20" s="1"/>
  <c r="O840" i="18"/>
  <c r="O840" i="20"/>
  <c r="S840" i="20" s="1"/>
  <c r="N787" i="18"/>
  <c r="N787" i="20"/>
  <c r="R787" i="20" s="1"/>
  <c r="P732" i="18"/>
  <c r="P732" i="20"/>
  <c r="T732" i="20" s="1"/>
  <c r="P804" i="18"/>
  <c r="P804" i="20"/>
  <c r="T804" i="20" s="1"/>
  <c r="O769" i="18"/>
  <c r="O769" i="20"/>
  <c r="O836" i="18"/>
  <c r="O836" i="20"/>
  <c r="S836" i="20" s="1"/>
  <c r="P806" i="18"/>
  <c r="P806" i="20"/>
  <c r="T806" i="20" s="1"/>
  <c r="P731" i="18"/>
  <c r="P731" i="20"/>
  <c r="T731" i="20" s="1"/>
  <c r="P773" i="18"/>
  <c r="P773" i="20"/>
  <c r="T773" i="20" s="1"/>
  <c r="P723" i="18"/>
  <c r="P723" i="20"/>
  <c r="T723" i="20" s="1"/>
  <c r="O830" i="18"/>
  <c r="O830" i="20"/>
  <c r="S830" i="20" s="1"/>
  <c r="N789" i="18"/>
  <c r="N789" i="20"/>
  <c r="R789" i="20" s="1"/>
  <c r="P742" i="18"/>
  <c r="P742" i="20"/>
  <c r="P759" i="18"/>
  <c r="P759" i="20"/>
  <c r="T759" i="20" s="1"/>
  <c r="P789" i="18"/>
  <c r="P789" i="20"/>
  <c r="T789" i="20" s="1"/>
  <c r="P782" i="18"/>
  <c r="P782" i="20"/>
  <c r="T782" i="20" s="1"/>
  <c r="P784" i="18"/>
  <c r="P784" i="20"/>
  <c r="T784" i="20" s="1"/>
  <c r="N734" i="18"/>
  <c r="N734" i="20"/>
  <c r="R734" i="20" s="1"/>
  <c r="P728" i="18"/>
  <c r="P728" i="20"/>
  <c r="T728" i="20" s="1"/>
  <c r="P772" i="18"/>
  <c r="P772" i="20"/>
  <c r="T772" i="20" s="1"/>
  <c r="P798" i="18"/>
  <c r="P798" i="20"/>
  <c r="T798" i="20" s="1"/>
  <c r="N724" i="18"/>
  <c r="N724" i="20"/>
  <c r="R724" i="20" s="1"/>
  <c r="N763" i="18"/>
  <c r="N763" i="20"/>
  <c r="R763" i="20" s="1"/>
  <c r="N819" i="18"/>
  <c r="N819" i="20"/>
  <c r="R819" i="20" s="1"/>
  <c r="P801" i="18"/>
  <c r="P801" i="20"/>
  <c r="T801" i="20" s="1"/>
  <c r="N742" i="18"/>
  <c r="N742" i="20"/>
  <c r="N737" i="18"/>
  <c r="N737" i="20"/>
  <c r="R737" i="20" s="1"/>
  <c r="N757" i="18"/>
  <c r="N757" i="20"/>
  <c r="R757" i="20" s="1"/>
  <c r="P792" i="18"/>
  <c r="P792" i="20"/>
  <c r="T792" i="20" s="1"/>
  <c r="P815" i="18"/>
  <c r="P815" i="20"/>
  <c r="T815" i="20" s="1"/>
  <c r="N730" i="18"/>
  <c r="N730" i="20"/>
  <c r="R730" i="20" s="1"/>
  <c r="N822" i="18"/>
  <c r="N822" i="20"/>
  <c r="R822" i="20" s="1"/>
  <c r="P737" i="18"/>
  <c r="P737" i="20"/>
  <c r="T737" i="20" s="1"/>
  <c r="P743" i="18"/>
  <c r="P743" i="20"/>
  <c r="T743" i="20" s="1"/>
  <c r="O834" i="18"/>
  <c r="O834" i="20"/>
  <c r="S834" i="20" s="1"/>
  <c r="P760" i="18"/>
  <c r="P760" i="20"/>
  <c r="T760" i="20" s="1"/>
  <c r="P794" i="18"/>
  <c r="P794" i="20"/>
  <c r="P818" i="18"/>
  <c r="P818" i="20"/>
  <c r="T818" i="20" s="1"/>
  <c r="N731" i="18"/>
  <c r="N731" i="20"/>
  <c r="R731" i="20" s="1"/>
  <c r="N798" i="18"/>
  <c r="N798" i="20"/>
  <c r="R798" i="20" s="1"/>
  <c r="N770" i="18"/>
  <c r="N770" i="20"/>
  <c r="R770" i="20" s="1"/>
  <c r="P734" i="18"/>
  <c r="P734" i="20"/>
  <c r="T734" i="20" s="1"/>
  <c r="P796" i="18"/>
  <c r="P796" i="20"/>
  <c r="T796" i="20" s="1"/>
  <c r="N759" i="18"/>
  <c r="N759" i="20"/>
  <c r="R759" i="20" s="1"/>
  <c r="N723" i="18"/>
  <c r="N723" i="20"/>
  <c r="R723" i="20" s="1"/>
  <c r="N800" i="18"/>
  <c r="N800" i="20"/>
  <c r="R800" i="20" s="1"/>
  <c r="P786" i="18"/>
  <c r="P786" i="20"/>
  <c r="T786" i="20" s="1"/>
  <c r="N727" i="18"/>
  <c r="N727" i="20"/>
  <c r="R727" i="20" s="1"/>
  <c r="N764" i="18"/>
  <c r="N764" i="20"/>
  <c r="R764" i="20" s="1"/>
  <c r="N771" i="18"/>
  <c r="N771" i="20"/>
  <c r="R771" i="20" s="1"/>
  <c r="P744" i="18"/>
  <c r="P744" i="20"/>
  <c r="T744" i="20" s="1"/>
  <c r="P762" i="18"/>
  <c r="P762" i="20"/>
  <c r="T762" i="20" s="1"/>
  <c r="P721" i="18"/>
  <c r="P721" i="20"/>
  <c r="P783" i="18"/>
  <c r="P783" i="20"/>
  <c r="T783" i="20" s="1"/>
  <c r="N738" i="18"/>
  <c r="N738" i="20"/>
  <c r="R738" i="20" s="1"/>
  <c r="N744" i="18"/>
  <c r="N744" i="20"/>
  <c r="R744" i="20" s="1"/>
  <c r="N820" i="18"/>
  <c r="N820" i="20"/>
  <c r="R820" i="20" s="1"/>
  <c r="P724" i="18"/>
  <c r="P724" i="20"/>
  <c r="T724" i="20" s="1"/>
  <c r="P778" i="18"/>
  <c r="P778" i="20"/>
  <c r="T778" i="20" s="1"/>
  <c r="N721" i="18"/>
  <c r="N721" i="20"/>
  <c r="N745" i="18"/>
  <c r="N745" i="20"/>
  <c r="R745" i="20" s="1"/>
  <c r="N799" i="18"/>
  <c r="N799" i="20"/>
  <c r="R799" i="20" s="1"/>
  <c r="P739" i="18"/>
  <c r="P739" i="20"/>
  <c r="T739" i="20" s="1"/>
  <c r="N725" i="18"/>
  <c r="N725" i="20"/>
  <c r="R725" i="20" s="1"/>
  <c r="N755" i="18"/>
  <c r="N755" i="20"/>
  <c r="R755" i="20" s="1"/>
  <c r="N782" i="18"/>
  <c r="N782" i="20"/>
  <c r="R782" i="20" s="1"/>
  <c r="P781" i="18"/>
  <c r="P781" i="20"/>
  <c r="P785" i="18"/>
  <c r="P785" i="20"/>
  <c r="T785" i="20" s="1"/>
  <c r="P809" i="18"/>
  <c r="P809" i="20"/>
  <c r="N726" i="18"/>
  <c r="N726" i="20"/>
  <c r="R726" i="20" s="1"/>
  <c r="N749" i="18"/>
  <c r="N749" i="20"/>
  <c r="R749" i="20" s="1"/>
  <c r="N818" i="18"/>
  <c r="N818" i="20"/>
  <c r="R818" i="20" s="1"/>
  <c r="N773" i="18"/>
  <c r="N773" i="20"/>
  <c r="R773" i="20" s="1"/>
  <c r="P821" i="18"/>
  <c r="P821" i="20"/>
  <c r="T821" i="20" s="1"/>
  <c r="O721" i="18"/>
  <c r="O721" i="20"/>
  <c r="O781" i="18"/>
  <c r="O781" i="20"/>
  <c r="N794" i="18"/>
  <c r="N794" i="20"/>
  <c r="N802" i="18"/>
  <c r="N802" i="20"/>
  <c r="R802" i="20" s="1"/>
  <c r="P752" i="18"/>
  <c r="P752" i="20"/>
  <c r="T752" i="20" s="1"/>
  <c r="N736" i="18"/>
  <c r="N736" i="20"/>
  <c r="R736" i="20" s="1"/>
  <c r="N747" i="18"/>
  <c r="N747" i="20"/>
  <c r="R747" i="20" s="1"/>
  <c r="N801" i="18"/>
  <c r="N801" i="20"/>
  <c r="R801" i="20" s="1"/>
  <c r="P777" i="18"/>
  <c r="P777" i="20"/>
  <c r="T777" i="20" s="1"/>
  <c r="T529" i="20"/>
  <c r="R529" i="20"/>
  <c r="S529" i="20"/>
  <c r="T9" i="20"/>
  <c r="N783" i="18"/>
  <c r="P811" i="18"/>
  <c r="N790" i="18"/>
  <c r="N806" i="18"/>
  <c r="N811" i="18"/>
  <c r="N788" i="18"/>
  <c r="N840" i="20"/>
  <c r="R840" i="20" s="1"/>
  <c r="N829" i="20"/>
  <c r="R829" i="20" s="1"/>
  <c r="N831" i="20"/>
  <c r="R831" i="20" s="1"/>
  <c r="T809" i="20" l="1"/>
  <c r="T742" i="20"/>
  <c r="N834" i="18"/>
  <c r="N834" i="20"/>
  <c r="R834" i="20" s="1"/>
  <c r="P832" i="18"/>
  <c r="P832" i="20"/>
  <c r="T832" i="20" s="1"/>
  <c r="N832" i="18"/>
  <c r="N832" i="20"/>
  <c r="R832" i="20" s="1"/>
  <c r="R742" i="20"/>
  <c r="N741" i="20"/>
  <c r="R741" i="20" s="1"/>
  <c r="N836" i="18"/>
  <c r="N836" i="20"/>
  <c r="R836" i="20" s="1"/>
  <c r="P840" i="18"/>
  <c r="P840" i="20"/>
  <c r="T840" i="20" s="1"/>
  <c r="P838" i="18"/>
  <c r="P838" i="20"/>
  <c r="T838" i="20" s="1"/>
  <c r="T781" i="20"/>
  <c r="P780" i="20"/>
  <c r="T780" i="20" s="1"/>
  <c r="T721" i="20"/>
  <c r="P720" i="20"/>
  <c r="T769" i="20"/>
  <c r="P768" i="20"/>
  <c r="T768" i="20" s="1"/>
  <c r="P827" i="18"/>
  <c r="P827" i="20"/>
  <c r="N837" i="18"/>
  <c r="N837" i="20"/>
  <c r="R837" i="20" s="1"/>
  <c r="S809" i="20"/>
  <c r="O808" i="20"/>
  <c r="S808" i="20" s="1"/>
  <c r="S742" i="20"/>
  <c r="O741" i="20"/>
  <c r="S741" i="20" s="1"/>
  <c r="P837" i="18"/>
  <c r="P837" i="20"/>
  <c r="T837" i="20" s="1"/>
  <c r="N833" i="18"/>
  <c r="N833" i="20"/>
  <c r="R833" i="20" s="1"/>
  <c r="T794" i="20"/>
  <c r="P793" i="20"/>
  <c r="T793" i="20" s="1"/>
  <c r="N827" i="18"/>
  <c r="N827" i="20"/>
  <c r="P828" i="18"/>
  <c r="P828" i="20"/>
  <c r="T828" i="20" s="1"/>
  <c r="P831" i="18"/>
  <c r="P831" i="20"/>
  <c r="T831" i="20" s="1"/>
  <c r="R794" i="20"/>
  <c r="N793" i="20"/>
  <c r="R793" i="20" s="1"/>
  <c r="P839" i="18"/>
  <c r="P839" i="20"/>
  <c r="T839" i="20" s="1"/>
  <c r="S781" i="20"/>
  <c r="O780" i="20"/>
  <c r="S780" i="20" s="1"/>
  <c r="N835" i="18"/>
  <c r="N835" i="20"/>
  <c r="R835" i="20" s="1"/>
  <c r="N828" i="18"/>
  <c r="N828" i="20"/>
  <c r="R828" i="20" s="1"/>
  <c r="S721" i="20"/>
  <c r="O720" i="20"/>
  <c r="S769" i="20"/>
  <c r="O768" i="20"/>
  <c r="S768" i="20" s="1"/>
  <c r="R769" i="20"/>
  <c r="N768" i="20"/>
  <c r="R768" i="20" s="1"/>
  <c r="P834" i="18"/>
  <c r="P834" i="20"/>
  <c r="T834" i="20" s="1"/>
  <c r="P830" i="18"/>
  <c r="P830" i="20"/>
  <c r="T830" i="20" s="1"/>
  <c r="R721" i="20"/>
  <c r="N720" i="20"/>
  <c r="N838" i="18"/>
  <c r="N838" i="20"/>
  <c r="R838" i="20" s="1"/>
  <c r="P836" i="18"/>
  <c r="P836" i="20"/>
  <c r="T836" i="20" s="1"/>
  <c r="P833" i="18"/>
  <c r="P833" i="20"/>
  <c r="T833" i="20" s="1"/>
  <c r="R781" i="20"/>
  <c r="N780" i="20"/>
  <c r="R780" i="20" s="1"/>
  <c r="N839" i="18"/>
  <c r="N839" i="20"/>
  <c r="R839" i="20" s="1"/>
  <c r="N830" i="18"/>
  <c r="N830" i="20"/>
  <c r="R830" i="20" s="1"/>
  <c r="P835" i="18"/>
  <c r="P835" i="20"/>
  <c r="T835" i="20" s="1"/>
  <c r="S794" i="20"/>
  <c r="O793" i="20"/>
  <c r="S793" i="20" s="1"/>
  <c r="P825" i="18"/>
  <c r="P825" i="20"/>
  <c r="T825" i="20" s="1"/>
  <c r="P829" i="18"/>
  <c r="P829" i="20"/>
  <c r="T829" i="20" s="1"/>
  <c r="O827" i="18"/>
  <c r="O827" i="20"/>
  <c r="R809" i="20"/>
  <c r="N808" i="20"/>
  <c r="R808" i="20" s="1"/>
  <c r="N831" i="18"/>
  <c r="N829" i="18"/>
  <c r="N840" i="18"/>
  <c r="S720" i="20" l="1"/>
  <c r="T827" i="20"/>
  <c r="P826" i="20"/>
  <c r="T826" i="20" s="1"/>
  <c r="T720" i="20"/>
  <c r="R827" i="20"/>
  <c r="N826" i="20"/>
  <c r="R720" i="20"/>
  <c r="S827" i="20"/>
  <c r="O826" i="20"/>
  <c r="S826" i="20" s="1"/>
  <c r="P808" i="20"/>
  <c r="T808" i="20" s="1"/>
  <c r="R826" i="20" l="1"/>
  <c r="N719" i="20"/>
  <c r="O719" i="20"/>
  <c r="N718" i="20" l="1"/>
  <c r="R718" i="20" s="1"/>
  <c r="R719" i="20"/>
  <c r="S719" i="20"/>
  <c r="O718" i="20"/>
  <c r="N528" i="20"/>
  <c r="R528" i="20" l="1"/>
  <c r="N6" i="20"/>
  <c r="R6" i="20" s="1"/>
  <c r="S718" i="20"/>
  <c r="O528" i="20"/>
  <c r="S528" i="20" l="1"/>
  <c r="O6" i="20"/>
  <c r="S6" i="20" s="1"/>
  <c r="P764" i="18" l="1"/>
  <c r="P764" i="20"/>
  <c r="P766" i="18"/>
  <c r="P766" i="20"/>
  <c r="T766" i="20" s="1"/>
  <c r="T764" i="20" l="1"/>
  <c r="P741" i="20"/>
  <c r="T741" i="20" l="1"/>
  <c r="P719" i="20"/>
  <c r="P718" i="20" l="1"/>
  <c r="T719" i="20"/>
  <c r="T718" i="20" l="1"/>
  <c r="P528" i="20"/>
  <c r="T528" i="20" l="1"/>
  <c r="P6" i="20"/>
  <c r="T6" i="20" s="1"/>
  <c r="T869" i="18" l="1"/>
  <c r="U869" i="18"/>
  <c r="V869" i="18"/>
  <c r="E62" i="18"/>
  <c r="V69" i="18"/>
  <c r="U69" i="18"/>
  <c r="T69" i="18"/>
  <c r="S841" i="18"/>
  <c r="W841" i="18" s="1"/>
  <c r="G6" i="18"/>
  <c r="S11" i="18"/>
  <c r="W11" i="18" s="1"/>
  <c r="P11" i="18"/>
  <c r="O11" i="18"/>
  <c r="N11" i="18"/>
  <c r="E7" i="18"/>
  <c r="V68" i="18"/>
  <c r="U68" i="18"/>
  <c r="T68" i="18"/>
  <c r="V67" i="18"/>
  <c r="U67" i="18"/>
  <c r="T67" i="18"/>
  <c r="V66" i="18"/>
  <c r="U66" i="18"/>
  <c r="T66" i="18"/>
  <c r="S7" i="18"/>
  <c r="P7" i="18"/>
  <c r="O7" i="18"/>
  <c r="N7" i="18"/>
  <c r="T535" i="18"/>
  <c r="U535" i="18"/>
  <c r="V535" i="18"/>
  <c r="T536" i="18"/>
  <c r="U536" i="18"/>
  <c r="V536" i="18"/>
  <c r="T537" i="18"/>
  <c r="U537" i="18"/>
  <c r="V537" i="18"/>
  <c r="T538" i="18"/>
  <c r="U538" i="18"/>
  <c r="V538" i="18"/>
  <c r="T539" i="18"/>
  <c r="U539" i="18"/>
  <c r="V539" i="18"/>
  <c r="T540" i="18"/>
  <c r="U540" i="18"/>
  <c r="V540" i="18"/>
  <c r="T541" i="18"/>
  <c r="U541" i="18"/>
  <c r="V541" i="18"/>
  <c r="T542" i="18"/>
  <c r="U542" i="18"/>
  <c r="V542" i="18"/>
  <c r="T543" i="18"/>
  <c r="U543" i="18"/>
  <c r="V543" i="18"/>
  <c r="T544" i="18"/>
  <c r="U544" i="18"/>
  <c r="V544" i="18"/>
  <c r="T545" i="18"/>
  <c r="U545" i="18"/>
  <c r="V545" i="18"/>
  <c r="T546" i="18"/>
  <c r="U546" i="18"/>
  <c r="V546" i="18"/>
  <c r="T547" i="18"/>
  <c r="U547" i="18"/>
  <c r="V547" i="18"/>
  <c r="T548" i="18"/>
  <c r="U548" i="18"/>
  <c r="V548" i="18"/>
  <c r="T549" i="18"/>
  <c r="U549" i="18"/>
  <c r="V549" i="18"/>
  <c r="T550" i="18"/>
  <c r="U550" i="18"/>
  <c r="V550" i="18"/>
  <c r="T551" i="18"/>
  <c r="U551" i="18"/>
  <c r="V551" i="18"/>
  <c r="T552" i="18"/>
  <c r="U552" i="18"/>
  <c r="V552" i="18"/>
  <c r="T553" i="18"/>
  <c r="U553" i="18"/>
  <c r="V553" i="18"/>
  <c r="T554" i="18"/>
  <c r="U554" i="18"/>
  <c r="V554" i="18"/>
  <c r="T556" i="18"/>
  <c r="U556" i="18"/>
  <c r="V556" i="18"/>
  <c r="T557" i="18"/>
  <c r="U557" i="18"/>
  <c r="V557" i="18"/>
  <c r="T558" i="18"/>
  <c r="U558" i="18"/>
  <c r="V558" i="18"/>
  <c r="T559" i="18"/>
  <c r="U559" i="18"/>
  <c r="V559" i="18"/>
  <c r="T560" i="18"/>
  <c r="U560" i="18"/>
  <c r="V560" i="18"/>
  <c r="T561" i="18"/>
  <c r="U561" i="18"/>
  <c r="V561" i="18"/>
  <c r="T562" i="18"/>
  <c r="U562" i="18"/>
  <c r="V562" i="18"/>
  <c r="T563" i="18"/>
  <c r="U563" i="18"/>
  <c r="V563" i="18"/>
  <c r="T564" i="18"/>
  <c r="U564" i="18"/>
  <c r="V564" i="18"/>
  <c r="T565" i="18"/>
  <c r="U565" i="18"/>
  <c r="V565" i="18"/>
  <c r="T566" i="18"/>
  <c r="U566" i="18"/>
  <c r="V566" i="18"/>
  <c r="T567" i="18"/>
  <c r="U567" i="18"/>
  <c r="V567" i="18"/>
  <c r="T568" i="18"/>
  <c r="U568" i="18"/>
  <c r="V568" i="18"/>
  <c r="T569" i="18"/>
  <c r="U569" i="18"/>
  <c r="V569" i="18"/>
  <c r="T570" i="18"/>
  <c r="U570" i="18"/>
  <c r="V570" i="18"/>
  <c r="T571" i="18"/>
  <c r="U571" i="18"/>
  <c r="V571" i="18"/>
  <c r="T572" i="18"/>
  <c r="U572" i="18"/>
  <c r="V572" i="18"/>
  <c r="T573" i="18"/>
  <c r="U573" i="18"/>
  <c r="V573" i="18"/>
  <c r="T574" i="18"/>
  <c r="U574" i="18"/>
  <c r="V574" i="18"/>
  <c r="T575" i="18"/>
  <c r="U575" i="18"/>
  <c r="V575" i="18"/>
  <c r="T576" i="18"/>
  <c r="U576" i="18"/>
  <c r="V576" i="18"/>
  <c r="T577" i="18"/>
  <c r="U577" i="18"/>
  <c r="V577" i="18"/>
  <c r="T578" i="18"/>
  <c r="U578" i="18"/>
  <c r="V578" i="18"/>
  <c r="T579" i="18"/>
  <c r="U579" i="18"/>
  <c r="V579" i="18"/>
  <c r="T580" i="18"/>
  <c r="U580" i="18"/>
  <c r="V580" i="18"/>
  <c r="T581" i="18"/>
  <c r="U581" i="18"/>
  <c r="V581" i="18"/>
  <c r="T583" i="18"/>
  <c r="U583" i="18"/>
  <c r="V583" i="18"/>
  <c r="T584" i="18"/>
  <c r="U584" i="18"/>
  <c r="V584" i="18"/>
  <c r="T585" i="18"/>
  <c r="U585" i="18"/>
  <c r="V585" i="18"/>
  <c r="T586" i="18"/>
  <c r="U586" i="18"/>
  <c r="V586" i="18"/>
  <c r="T587" i="18"/>
  <c r="U587" i="18"/>
  <c r="V587" i="18"/>
  <c r="T588" i="18"/>
  <c r="U588" i="18"/>
  <c r="V588" i="18"/>
  <c r="T589" i="18"/>
  <c r="U589" i="18"/>
  <c r="V589" i="18"/>
  <c r="T590" i="18"/>
  <c r="U590" i="18"/>
  <c r="V590" i="18"/>
  <c r="T591" i="18"/>
  <c r="U591" i="18"/>
  <c r="V591" i="18"/>
  <c r="T592" i="18"/>
  <c r="U592" i="18"/>
  <c r="V592" i="18"/>
  <c r="T593" i="18"/>
  <c r="U593" i="18"/>
  <c r="V593" i="18"/>
  <c r="T595" i="18"/>
  <c r="U595" i="18"/>
  <c r="V595" i="18"/>
  <c r="T596" i="18"/>
  <c r="U596" i="18"/>
  <c r="V596" i="18"/>
  <c r="T597" i="18"/>
  <c r="U597" i="18"/>
  <c r="V597" i="18"/>
  <c r="T598" i="18"/>
  <c r="U598" i="18"/>
  <c r="V598" i="18"/>
  <c r="T599" i="18"/>
  <c r="U599" i="18"/>
  <c r="V599" i="18"/>
  <c r="T600" i="18"/>
  <c r="U600" i="18"/>
  <c r="V600" i="18"/>
  <c r="T601" i="18"/>
  <c r="U601" i="18"/>
  <c r="V601" i="18"/>
  <c r="T602" i="18"/>
  <c r="U602" i="18"/>
  <c r="V602" i="18"/>
  <c r="T603" i="18"/>
  <c r="U603" i="18"/>
  <c r="V603" i="18"/>
  <c r="T604" i="18"/>
  <c r="U604" i="18"/>
  <c r="V604" i="18"/>
  <c r="T605" i="18"/>
  <c r="U605" i="18"/>
  <c r="V605" i="18"/>
  <c r="T606" i="18"/>
  <c r="U606" i="18"/>
  <c r="V606" i="18"/>
  <c r="T608" i="18"/>
  <c r="U608" i="18"/>
  <c r="V608" i="18"/>
  <c r="T609" i="18"/>
  <c r="U609" i="18"/>
  <c r="V609" i="18"/>
  <c r="T610" i="18"/>
  <c r="U610" i="18"/>
  <c r="V610" i="18"/>
  <c r="T611" i="18"/>
  <c r="U611" i="18"/>
  <c r="V611" i="18"/>
  <c r="T612" i="18"/>
  <c r="U612" i="18"/>
  <c r="V612" i="18"/>
  <c r="T613" i="18"/>
  <c r="U613" i="18"/>
  <c r="V613" i="18"/>
  <c r="T614" i="18"/>
  <c r="U614" i="18"/>
  <c r="V614" i="18"/>
  <c r="T615" i="18"/>
  <c r="U615" i="18"/>
  <c r="V615" i="18"/>
  <c r="T616" i="18"/>
  <c r="U616" i="18"/>
  <c r="V616" i="18"/>
  <c r="T617" i="18"/>
  <c r="U617" i="18"/>
  <c r="V617" i="18"/>
  <c r="T618" i="18"/>
  <c r="U618" i="18"/>
  <c r="V618" i="18"/>
  <c r="T619" i="18"/>
  <c r="U619" i="18"/>
  <c r="V619" i="18"/>
  <c r="T620" i="18"/>
  <c r="U620" i="18"/>
  <c r="V620" i="18"/>
  <c r="T621" i="18"/>
  <c r="U621" i="18"/>
  <c r="V621" i="18"/>
  <c r="T623" i="18"/>
  <c r="U623" i="18"/>
  <c r="V623" i="18"/>
  <c r="T624" i="18"/>
  <c r="U624" i="18"/>
  <c r="V624" i="18"/>
  <c r="T625" i="18"/>
  <c r="U625" i="18"/>
  <c r="V625" i="18"/>
  <c r="T626" i="18"/>
  <c r="U626" i="18"/>
  <c r="V626" i="18"/>
  <c r="T627" i="18"/>
  <c r="U627" i="18"/>
  <c r="V627" i="18"/>
  <c r="T628" i="18"/>
  <c r="U628" i="18"/>
  <c r="V628" i="18"/>
  <c r="T629" i="18"/>
  <c r="U629" i="18"/>
  <c r="V629" i="18"/>
  <c r="T630" i="18"/>
  <c r="U630" i="18"/>
  <c r="V630" i="18"/>
  <c r="T631" i="18"/>
  <c r="U631" i="18"/>
  <c r="V631" i="18"/>
  <c r="T632" i="18"/>
  <c r="U632" i="18"/>
  <c r="V632" i="18"/>
  <c r="T633" i="18"/>
  <c r="U633" i="18"/>
  <c r="V633" i="18"/>
  <c r="T634" i="18"/>
  <c r="U634" i="18"/>
  <c r="V634" i="18"/>
  <c r="T635" i="18"/>
  <c r="U635" i="18"/>
  <c r="V635" i="18"/>
  <c r="T636" i="18"/>
  <c r="U636" i="18"/>
  <c r="V636" i="18"/>
  <c r="T637" i="18"/>
  <c r="U637" i="18"/>
  <c r="V637" i="18"/>
  <c r="T638" i="18"/>
  <c r="U638" i="18"/>
  <c r="V638" i="18"/>
  <c r="T639" i="18"/>
  <c r="U639" i="18"/>
  <c r="V639" i="18"/>
  <c r="T641" i="18"/>
  <c r="U641" i="18"/>
  <c r="V641" i="18"/>
  <c r="T642" i="18"/>
  <c r="U642" i="18"/>
  <c r="V642" i="18"/>
  <c r="T643" i="18"/>
  <c r="U643" i="18"/>
  <c r="V643" i="18"/>
  <c r="T644" i="18"/>
  <c r="U644" i="18"/>
  <c r="V644" i="18"/>
  <c r="T645" i="18"/>
  <c r="U645" i="18"/>
  <c r="V645" i="18"/>
  <c r="T646" i="18"/>
  <c r="U646" i="18"/>
  <c r="V646" i="18"/>
  <c r="T647" i="18"/>
  <c r="U647" i="18"/>
  <c r="V647" i="18"/>
  <c r="T648" i="18"/>
  <c r="U648" i="18"/>
  <c r="V648" i="18"/>
  <c r="T649" i="18"/>
  <c r="U649" i="18"/>
  <c r="V649" i="18"/>
  <c r="T650" i="18"/>
  <c r="U650" i="18"/>
  <c r="V650" i="18"/>
  <c r="T651" i="18"/>
  <c r="U651" i="18"/>
  <c r="V651" i="18"/>
  <c r="T652" i="18"/>
  <c r="U652" i="18"/>
  <c r="V652" i="18"/>
  <c r="T653" i="18"/>
  <c r="U653" i="18"/>
  <c r="V653" i="18"/>
  <c r="T654" i="18"/>
  <c r="U654" i="18"/>
  <c r="V654" i="18"/>
  <c r="T655" i="18"/>
  <c r="U655" i="18"/>
  <c r="V655" i="18"/>
  <c r="T657" i="18"/>
  <c r="U657" i="18"/>
  <c r="V657" i="18"/>
  <c r="T658" i="18"/>
  <c r="U658" i="18"/>
  <c r="V658" i="18"/>
  <c r="T659" i="18"/>
  <c r="U659" i="18"/>
  <c r="V659" i="18"/>
  <c r="T660" i="18"/>
  <c r="U660" i="18"/>
  <c r="V660" i="18"/>
  <c r="T661" i="18"/>
  <c r="U661" i="18"/>
  <c r="V661" i="18"/>
  <c r="T662" i="18"/>
  <c r="U662" i="18"/>
  <c r="V662" i="18"/>
  <c r="T663" i="18"/>
  <c r="U663" i="18"/>
  <c r="V663" i="18"/>
  <c r="T664" i="18"/>
  <c r="U664" i="18"/>
  <c r="V664" i="18"/>
  <c r="T665" i="18"/>
  <c r="U665" i="18"/>
  <c r="V665" i="18"/>
  <c r="T666" i="18"/>
  <c r="U666" i="18"/>
  <c r="V666" i="18"/>
  <c r="T667" i="18"/>
  <c r="U667" i="18"/>
  <c r="V667" i="18"/>
  <c r="T668" i="18"/>
  <c r="U668" i="18"/>
  <c r="V668" i="18"/>
  <c r="T669" i="18"/>
  <c r="U669" i="18"/>
  <c r="V669" i="18"/>
  <c r="T670" i="18"/>
  <c r="U670" i="18"/>
  <c r="V670" i="18"/>
  <c r="T671" i="18"/>
  <c r="U671" i="18"/>
  <c r="V671" i="18"/>
  <c r="T674" i="18"/>
  <c r="U674" i="18"/>
  <c r="V674" i="18"/>
  <c r="T675" i="18"/>
  <c r="U675" i="18"/>
  <c r="V675" i="18"/>
  <c r="T676" i="18"/>
  <c r="U676" i="18"/>
  <c r="V676" i="18"/>
  <c r="T677" i="18"/>
  <c r="U677" i="18"/>
  <c r="V677" i="18"/>
  <c r="T678" i="18"/>
  <c r="U678" i="18"/>
  <c r="V678" i="18"/>
  <c r="T679" i="18"/>
  <c r="U679" i="18"/>
  <c r="V679" i="18"/>
  <c r="T680" i="18"/>
  <c r="U680" i="18"/>
  <c r="V680" i="18"/>
  <c r="T681" i="18"/>
  <c r="U681" i="18"/>
  <c r="V681" i="18"/>
  <c r="T682" i="18"/>
  <c r="U682" i="18"/>
  <c r="V682" i="18"/>
  <c r="T683" i="18"/>
  <c r="U683" i="18"/>
  <c r="V683" i="18"/>
  <c r="T684" i="18"/>
  <c r="U684" i="18"/>
  <c r="V684" i="18"/>
  <c r="T686" i="18"/>
  <c r="U686" i="18"/>
  <c r="V686" i="18"/>
  <c r="T687" i="18"/>
  <c r="U687" i="18"/>
  <c r="V687" i="18"/>
  <c r="T688" i="18"/>
  <c r="U688" i="18"/>
  <c r="V688" i="18"/>
  <c r="T689" i="18"/>
  <c r="U689" i="18"/>
  <c r="V689" i="18"/>
  <c r="T690" i="18"/>
  <c r="U690" i="18"/>
  <c r="V690" i="18"/>
  <c r="T691" i="18"/>
  <c r="U691" i="18"/>
  <c r="V691" i="18"/>
  <c r="T692" i="18"/>
  <c r="U692" i="18"/>
  <c r="V692" i="18"/>
  <c r="T694" i="18"/>
  <c r="U694" i="18"/>
  <c r="V694" i="18"/>
  <c r="T695" i="18"/>
  <c r="U695" i="18"/>
  <c r="V695" i="18"/>
  <c r="T696" i="18"/>
  <c r="U696" i="18"/>
  <c r="V696" i="18"/>
  <c r="T697" i="18"/>
  <c r="U697" i="18"/>
  <c r="V697" i="18"/>
  <c r="T698" i="18"/>
  <c r="U698" i="18"/>
  <c r="V698" i="18"/>
  <c r="T700" i="18"/>
  <c r="U700" i="18"/>
  <c r="V700" i="18"/>
  <c r="T701" i="18"/>
  <c r="U701" i="18"/>
  <c r="V701" i="18"/>
  <c r="T702" i="18"/>
  <c r="U702" i="18"/>
  <c r="V702" i="18"/>
  <c r="T704" i="18"/>
  <c r="U704" i="18"/>
  <c r="V704" i="18"/>
  <c r="T706" i="18"/>
  <c r="U706" i="18"/>
  <c r="V706" i="18"/>
  <c r="T707" i="18"/>
  <c r="U707" i="18"/>
  <c r="V707" i="18"/>
  <c r="T708" i="18"/>
  <c r="U708" i="18"/>
  <c r="V708" i="18"/>
  <c r="T709" i="18"/>
  <c r="U709" i="18"/>
  <c r="V709" i="18"/>
  <c r="T710" i="18"/>
  <c r="U710" i="18"/>
  <c r="V710" i="18"/>
  <c r="T711" i="18"/>
  <c r="U711" i="18"/>
  <c r="V711" i="18"/>
  <c r="T712" i="18"/>
  <c r="U712" i="18"/>
  <c r="V712" i="18"/>
  <c r="T713" i="18"/>
  <c r="U713" i="18"/>
  <c r="V713" i="18"/>
  <c r="T714" i="18"/>
  <c r="U714" i="18"/>
  <c r="V714" i="18"/>
  <c r="T715" i="18"/>
  <c r="U715" i="18"/>
  <c r="V715" i="18"/>
  <c r="T716" i="18"/>
  <c r="U716" i="18"/>
  <c r="V716" i="18"/>
  <c r="T717" i="18"/>
  <c r="U717" i="18"/>
  <c r="V717" i="18"/>
  <c r="T345" i="18"/>
  <c r="U345" i="18"/>
  <c r="V345" i="18"/>
  <c r="T346" i="18"/>
  <c r="U346" i="18"/>
  <c r="V346" i="18"/>
  <c r="T347" i="18"/>
  <c r="U347" i="18"/>
  <c r="V347" i="18"/>
  <c r="T348" i="18"/>
  <c r="U348" i="18"/>
  <c r="V348" i="18"/>
  <c r="T349" i="18"/>
  <c r="U349" i="18"/>
  <c r="V349" i="18"/>
  <c r="T350" i="18"/>
  <c r="U350" i="18"/>
  <c r="V350" i="18"/>
  <c r="T351" i="18"/>
  <c r="U351" i="18"/>
  <c r="V351" i="18"/>
  <c r="T352" i="18"/>
  <c r="U352" i="18"/>
  <c r="V352" i="18"/>
  <c r="T353" i="18"/>
  <c r="U353" i="18"/>
  <c r="V353" i="18"/>
  <c r="T354" i="18"/>
  <c r="U354" i="18"/>
  <c r="V354" i="18"/>
  <c r="T355" i="18"/>
  <c r="U355" i="18"/>
  <c r="V355" i="18"/>
  <c r="T356" i="18"/>
  <c r="U356" i="18"/>
  <c r="V356" i="18"/>
  <c r="T357" i="18"/>
  <c r="U357" i="18"/>
  <c r="V357" i="18"/>
  <c r="T358" i="18"/>
  <c r="U358" i="18"/>
  <c r="V358" i="18"/>
  <c r="T359" i="18"/>
  <c r="U359" i="18"/>
  <c r="V359" i="18"/>
  <c r="T360" i="18"/>
  <c r="U360" i="18"/>
  <c r="V360" i="18"/>
  <c r="T361" i="18"/>
  <c r="U361" i="18"/>
  <c r="V361" i="18"/>
  <c r="T362" i="18"/>
  <c r="U362" i="18"/>
  <c r="V362" i="18"/>
  <c r="T363" i="18"/>
  <c r="U363" i="18"/>
  <c r="V363" i="18"/>
  <c r="T364" i="18"/>
  <c r="U364" i="18"/>
  <c r="V364" i="18"/>
  <c r="T366" i="18"/>
  <c r="U366" i="18"/>
  <c r="V366" i="18"/>
  <c r="T367" i="18"/>
  <c r="U367" i="18"/>
  <c r="V367" i="18"/>
  <c r="T368" i="18"/>
  <c r="U368" i="18"/>
  <c r="V368" i="18"/>
  <c r="T369" i="18"/>
  <c r="U369" i="18"/>
  <c r="V369" i="18"/>
  <c r="T370" i="18"/>
  <c r="U370" i="18"/>
  <c r="V370" i="18"/>
  <c r="T371" i="18"/>
  <c r="U371" i="18"/>
  <c r="V371" i="18"/>
  <c r="T372" i="18"/>
  <c r="U372" i="18"/>
  <c r="V372" i="18"/>
  <c r="T373" i="18"/>
  <c r="U373" i="18"/>
  <c r="V373" i="18"/>
  <c r="T374" i="18"/>
  <c r="U374" i="18"/>
  <c r="V374" i="18"/>
  <c r="T375" i="18"/>
  <c r="U375" i="18"/>
  <c r="V375" i="18"/>
  <c r="T376" i="18"/>
  <c r="U376" i="18"/>
  <c r="V376" i="18"/>
  <c r="T377" i="18"/>
  <c r="U377" i="18"/>
  <c r="V377" i="18"/>
  <c r="T378" i="18"/>
  <c r="U378" i="18"/>
  <c r="V378" i="18"/>
  <c r="T379" i="18"/>
  <c r="U379" i="18"/>
  <c r="V379" i="18"/>
  <c r="T380" i="18"/>
  <c r="U380" i="18"/>
  <c r="V380" i="18"/>
  <c r="T381" i="18"/>
  <c r="U381" i="18"/>
  <c r="V381" i="18"/>
  <c r="T382" i="18"/>
  <c r="U382" i="18"/>
  <c r="V382" i="18"/>
  <c r="T383" i="18"/>
  <c r="U383" i="18"/>
  <c r="V383" i="18"/>
  <c r="T384" i="18"/>
  <c r="U384" i="18"/>
  <c r="V384" i="18"/>
  <c r="T385" i="18"/>
  <c r="U385" i="18"/>
  <c r="V385" i="18"/>
  <c r="T386" i="18"/>
  <c r="U386" i="18"/>
  <c r="V386" i="18"/>
  <c r="T387" i="18"/>
  <c r="U387" i="18"/>
  <c r="V387" i="18"/>
  <c r="T388" i="18"/>
  <c r="U388" i="18"/>
  <c r="V388" i="18"/>
  <c r="T389" i="18"/>
  <c r="U389" i="18"/>
  <c r="V389" i="18"/>
  <c r="T390" i="18"/>
  <c r="U390" i="18"/>
  <c r="V390" i="18"/>
  <c r="T391" i="18"/>
  <c r="U391" i="18"/>
  <c r="V391" i="18"/>
  <c r="T393" i="18"/>
  <c r="U393" i="18"/>
  <c r="V393" i="18"/>
  <c r="T394" i="18"/>
  <c r="U394" i="18"/>
  <c r="V394" i="18"/>
  <c r="T395" i="18"/>
  <c r="U395" i="18"/>
  <c r="V395" i="18"/>
  <c r="T396" i="18"/>
  <c r="U396" i="18"/>
  <c r="V396" i="18"/>
  <c r="T397" i="18"/>
  <c r="U397" i="18"/>
  <c r="V397" i="18"/>
  <c r="T398" i="18"/>
  <c r="U398" i="18"/>
  <c r="V398" i="18"/>
  <c r="T399" i="18"/>
  <c r="U399" i="18"/>
  <c r="V399" i="18"/>
  <c r="T400" i="18"/>
  <c r="U400" i="18"/>
  <c r="V400" i="18"/>
  <c r="T401" i="18"/>
  <c r="U401" i="18"/>
  <c r="V401" i="18"/>
  <c r="T402" i="18"/>
  <c r="U402" i="18"/>
  <c r="V402" i="18"/>
  <c r="T403" i="18"/>
  <c r="U403" i="18"/>
  <c r="V403" i="18"/>
  <c r="T405" i="18"/>
  <c r="U405" i="18"/>
  <c r="V405" i="18"/>
  <c r="T406" i="18"/>
  <c r="U406" i="18"/>
  <c r="V406" i="18"/>
  <c r="T407" i="18"/>
  <c r="U407" i="18"/>
  <c r="V407" i="18"/>
  <c r="T408" i="18"/>
  <c r="U408" i="18"/>
  <c r="V408" i="18"/>
  <c r="T409" i="18"/>
  <c r="U409" i="18"/>
  <c r="V409" i="18"/>
  <c r="T410" i="18"/>
  <c r="U410" i="18"/>
  <c r="V410" i="18"/>
  <c r="T411" i="18"/>
  <c r="U411" i="18"/>
  <c r="V411" i="18"/>
  <c r="T412" i="18"/>
  <c r="U412" i="18"/>
  <c r="V412" i="18"/>
  <c r="T413" i="18"/>
  <c r="U413" i="18"/>
  <c r="V413" i="18"/>
  <c r="T414" i="18"/>
  <c r="U414" i="18"/>
  <c r="V414" i="18"/>
  <c r="T415" i="18"/>
  <c r="U415" i="18"/>
  <c r="V415" i="18"/>
  <c r="T416" i="18"/>
  <c r="U416" i="18"/>
  <c r="V416" i="18"/>
  <c r="T418" i="18"/>
  <c r="U418" i="18"/>
  <c r="V418" i="18"/>
  <c r="T419" i="18"/>
  <c r="U419" i="18"/>
  <c r="V419" i="18"/>
  <c r="T420" i="18"/>
  <c r="U420" i="18"/>
  <c r="V420" i="18"/>
  <c r="T421" i="18"/>
  <c r="U421" i="18"/>
  <c r="V421" i="18"/>
  <c r="T422" i="18"/>
  <c r="U422" i="18"/>
  <c r="V422" i="18"/>
  <c r="T423" i="18"/>
  <c r="U423" i="18"/>
  <c r="V423" i="18"/>
  <c r="T424" i="18"/>
  <c r="U424" i="18"/>
  <c r="V424" i="18"/>
  <c r="T425" i="18"/>
  <c r="U425" i="18"/>
  <c r="V425" i="18"/>
  <c r="T426" i="18"/>
  <c r="U426" i="18"/>
  <c r="V426" i="18"/>
  <c r="T427" i="18"/>
  <c r="U427" i="18"/>
  <c r="V427" i="18"/>
  <c r="T428" i="18"/>
  <c r="U428" i="18"/>
  <c r="V428" i="18"/>
  <c r="T429" i="18"/>
  <c r="U429" i="18"/>
  <c r="V429" i="18"/>
  <c r="T430" i="18"/>
  <c r="U430" i="18"/>
  <c r="V430" i="18"/>
  <c r="T431" i="18"/>
  <c r="U431" i="18"/>
  <c r="V431" i="18"/>
  <c r="T433" i="18"/>
  <c r="U433" i="18"/>
  <c r="V433" i="18"/>
  <c r="T434" i="18"/>
  <c r="U434" i="18"/>
  <c r="V434" i="18"/>
  <c r="T435" i="18"/>
  <c r="U435" i="18"/>
  <c r="V435" i="18"/>
  <c r="T436" i="18"/>
  <c r="U436" i="18"/>
  <c r="V436" i="18"/>
  <c r="T437" i="18"/>
  <c r="U437" i="18"/>
  <c r="V437" i="18"/>
  <c r="T438" i="18"/>
  <c r="U438" i="18"/>
  <c r="V438" i="18"/>
  <c r="T439" i="18"/>
  <c r="U439" i="18"/>
  <c r="V439" i="18"/>
  <c r="T440" i="18"/>
  <c r="U440" i="18"/>
  <c r="V440" i="18"/>
  <c r="T441" i="18"/>
  <c r="U441" i="18"/>
  <c r="V441" i="18"/>
  <c r="T442" i="18"/>
  <c r="U442" i="18"/>
  <c r="V442" i="18"/>
  <c r="T443" i="18"/>
  <c r="U443" i="18"/>
  <c r="V443" i="18"/>
  <c r="T444" i="18"/>
  <c r="U444" i="18"/>
  <c r="V444" i="18"/>
  <c r="T445" i="18"/>
  <c r="U445" i="18"/>
  <c r="V445" i="18"/>
  <c r="T446" i="18"/>
  <c r="U446" i="18"/>
  <c r="V446" i="18"/>
  <c r="T447" i="18"/>
  <c r="U447" i="18"/>
  <c r="V447" i="18"/>
  <c r="T448" i="18"/>
  <c r="U448" i="18"/>
  <c r="V448" i="18"/>
  <c r="T449" i="18"/>
  <c r="U449" i="18"/>
  <c r="V449" i="18"/>
  <c r="T451" i="18"/>
  <c r="U451" i="18"/>
  <c r="V451" i="18"/>
  <c r="T452" i="18"/>
  <c r="U452" i="18"/>
  <c r="V452" i="18"/>
  <c r="T453" i="18"/>
  <c r="U453" i="18"/>
  <c r="V453" i="18"/>
  <c r="T454" i="18"/>
  <c r="U454" i="18"/>
  <c r="V454" i="18"/>
  <c r="T455" i="18"/>
  <c r="U455" i="18"/>
  <c r="V455" i="18"/>
  <c r="T456" i="18"/>
  <c r="U456" i="18"/>
  <c r="V456" i="18"/>
  <c r="T457" i="18"/>
  <c r="U457" i="18"/>
  <c r="V457" i="18"/>
  <c r="T458" i="18"/>
  <c r="U458" i="18"/>
  <c r="V458" i="18"/>
  <c r="T459" i="18"/>
  <c r="U459" i="18"/>
  <c r="V459" i="18"/>
  <c r="T460" i="18"/>
  <c r="U460" i="18"/>
  <c r="V460" i="18"/>
  <c r="T461" i="18"/>
  <c r="U461" i="18"/>
  <c r="V461" i="18"/>
  <c r="T462" i="18"/>
  <c r="U462" i="18"/>
  <c r="V462" i="18"/>
  <c r="T463" i="18"/>
  <c r="U463" i="18"/>
  <c r="V463" i="18"/>
  <c r="T464" i="18"/>
  <c r="U464" i="18"/>
  <c r="V464" i="18"/>
  <c r="T465" i="18"/>
  <c r="U465" i="18"/>
  <c r="V465" i="18"/>
  <c r="T467" i="18"/>
  <c r="U467" i="18"/>
  <c r="V467" i="18"/>
  <c r="T468" i="18"/>
  <c r="U468" i="18"/>
  <c r="V468" i="18"/>
  <c r="T469" i="18"/>
  <c r="U469" i="18"/>
  <c r="V469" i="18"/>
  <c r="T470" i="18"/>
  <c r="U470" i="18"/>
  <c r="V470" i="18"/>
  <c r="T471" i="18"/>
  <c r="U471" i="18"/>
  <c r="V471" i="18"/>
  <c r="T472" i="18"/>
  <c r="U472" i="18"/>
  <c r="V472" i="18"/>
  <c r="T473" i="18"/>
  <c r="U473" i="18"/>
  <c r="V473" i="18"/>
  <c r="T474" i="18"/>
  <c r="U474" i="18"/>
  <c r="V474" i="18"/>
  <c r="T475" i="18"/>
  <c r="U475" i="18"/>
  <c r="V475" i="18"/>
  <c r="T476" i="18"/>
  <c r="U476" i="18"/>
  <c r="V476" i="18"/>
  <c r="T477" i="18"/>
  <c r="U477" i="18"/>
  <c r="V477" i="18"/>
  <c r="T478" i="18"/>
  <c r="U478" i="18"/>
  <c r="V478" i="18"/>
  <c r="T479" i="18"/>
  <c r="U479" i="18"/>
  <c r="V479" i="18"/>
  <c r="T480" i="18"/>
  <c r="U480" i="18"/>
  <c r="V480" i="18"/>
  <c r="T481" i="18"/>
  <c r="U481" i="18"/>
  <c r="V481" i="18"/>
  <c r="T484" i="18"/>
  <c r="U484" i="18"/>
  <c r="V484" i="18"/>
  <c r="T485" i="18"/>
  <c r="U485" i="18"/>
  <c r="V485" i="18"/>
  <c r="T486" i="18"/>
  <c r="U486" i="18"/>
  <c r="V486" i="18"/>
  <c r="T487" i="18"/>
  <c r="U487" i="18"/>
  <c r="V487" i="18"/>
  <c r="T488" i="18"/>
  <c r="U488" i="18"/>
  <c r="V488" i="18"/>
  <c r="T489" i="18"/>
  <c r="U489" i="18"/>
  <c r="V489" i="18"/>
  <c r="T490" i="18"/>
  <c r="U490" i="18"/>
  <c r="V490" i="18"/>
  <c r="T491" i="18"/>
  <c r="U491" i="18"/>
  <c r="V491" i="18"/>
  <c r="T492" i="18"/>
  <c r="U492" i="18"/>
  <c r="V492" i="18"/>
  <c r="T493" i="18"/>
  <c r="U493" i="18"/>
  <c r="V493" i="18"/>
  <c r="T494" i="18"/>
  <c r="U494" i="18"/>
  <c r="V494" i="18"/>
  <c r="T496" i="18"/>
  <c r="U496" i="18"/>
  <c r="V496" i="18"/>
  <c r="T497" i="18"/>
  <c r="U497" i="18"/>
  <c r="V497" i="18"/>
  <c r="T498" i="18"/>
  <c r="U498" i="18"/>
  <c r="V498" i="18"/>
  <c r="T499" i="18"/>
  <c r="U499" i="18"/>
  <c r="V499" i="18"/>
  <c r="T500" i="18"/>
  <c r="U500" i="18"/>
  <c r="V500" i="18"/>
  <c r="T501" i="18"/>
  <c r="U501" i="18"/>
  <c r="V501" i="18"/>
  <c r="T502" i="18"/>
  <c r="U502" i="18"/>
  <c r="V502" i="18"/>
  <c r="T504" i="18"/>
  <c r="U504" i="18"/>
  <c r="V504" i="18"/>
  <c r="T505" i="18"/>
  <c r="U505" i="18"/>
  <c r="V505" i="18"/>
  <c r="T506" i="18"/>
  <c r="U506" i="18"/>
  <c r="V506" i="18"/>
  <c r="T507" i="18"/>
  <c r="U507" i="18"/>
  <c r="V507" i="18"/>
  <c r="T508" i="18"/>
  <c r="U508" i="18"/>
  <c r="V508" i="18"/>
  <c r="T510" i="18"/>
  <c r="U510" i="18"/>
  <c r="V510" i="18"/>
  <c r="T511" i="18"/>
  <c r="U511" i="18"/>
  <c r="V511" i="18"/>
  <c r="T512" i="18"/>
  <c r="U512" i="18"/>
  <c r="V512" i="18"/>
  <c r="T514" i="18"/>
  <c r="U514" i="18"/>
  <c r="V514" i="18"/>
  <c r="T516" i="18"/>
  <c r="U516" i="18"/>
  <c r="V516" i="18"/>
  <c r="T517" i="18"/>
  <c r="U517" i="18"/>
  <c r="V517" i="18"/>
  <c r="T518" i="18"/>
  <c r="U518" i="18"/>
  <c r="V518" i="18"/>
  <c r="T519" i="18"/>
  <c r="U519" i="18"/>
  <c r="V519" i="18"/>
  <c r="T520" i="18"/>
  <c r="U520" i="18"/>
  <c r="V520" i="18"/>
  <c r="T521" i="18"/>
  <c r="U521" i="18"/>
  <c r="V521" i="18"/>
  <c r="T522" i="18"/>
  <c r="U522" i="18"/>
  <c r="V522" i="18"/>
  <c r="T523" i="18"/>
  <c r="U523" i="18"/>
  <c r="V523" i="18"/>
  <c r="T524" i="18"/>
  <c r="U524" i="18"/>
  <c r="V524" i="18"/>
  <c r="T525" i="18"/>
  <c r="U525" i="18"/>
  <c r="V525" i="18"/>
  <c r="T526" i="18"/>
  <c r="U526" i="18"/>
  <c r="V526" i="18"/>
  <c r="T527" i="18"/>
  <c r="U527" i="18"/>
  <c r="V527" i="18"/>
  <c r="T279" i="18"/>
  <c r="U279" i="18"/>
  <c r="V279" i="18"/>
  <c r="T281" i="18"/>
  <c r="U281" i="18"/>
  <c r="V281" i="18"/>
  <c r="T282" i="18"/>
  <c r="U282" i="18"/>
  <c r="V282" i="18"/>
  <c r="T283" i="18"/>
  <c r="U283" i="18"/>
  <c r="V283" i="18"/>
  <c r="T284" i="18"/>
  <c r="U284" i="18"/>
  <c r="V284" i="18"/>
  <c r="T285" i="18"/>
  <c r="U285" i="18"/>
  <c r="V285" i="18"/>
  <c r="T286" i="18"/>
  <c r="U286" i="18"/>
  <c r="V286" i="18"/>
  <c r="T287" i="18"/>
  <c r="U287" i="18"/>
  <c r="V287" i="18"/>
  <c r="T288" i="18"/>
  <c r="U288" i="18"/>
  <c r="V288" i="18"/>
  <c r="T289" i="18"/>
  <c r="U289" i="18"/>
  <c r="V289" i="18"/>
  <c r="T290" i="18"/>
  <c r="U290" i="18"/>
  <c r="V290" i="18"/>
  <c r="T291" i="18"/>
  <c r="U291" i="18"/>
  <c r="V291" i="18"/>
  <c r="T292" i="18"/>
  <c r="U292" i="18"/>
  <c r="V292" i="18"/>
  <c r="T293" i="18"/>
  <c r="U293" i="18"/>
  <c r="V293" i="18"/>
  <c r="T294" i="18"/>
  <c r="U294" i="18"/>
  <c r="V294" i="18"/>
  <c r="T295" i="18"/>
  <c r="U295" i="18"/>
  <c r="V295" i="18"/>
  <c r="T298" i="18"/>
  <c r="U298" i="18"/>
  <c r="V298" i="18"/>
  <c r="T299" i="18"/>
  <c r="U299" i="18"/>
  <c r="V299" i="18"/>
  <c r="T300" i="18"/>
  <c r="U300" i="18"/>
  <c r="V300" i="18"/>
  <c r="T301" i="18"/>
  <c r="U301" i="18"/>
  <c r="V301" i="18"/>
  <c r="T302" i="18"/>
  <c r="U302" i="18"/>
  <c r="V302" i="18"/>
  <c r="T303" i="18"/>
  <c r="U303" i="18"/>
  <c r="V303" i="18"/>
  <c r="T304" i="18"/>
  <c r="U304" i="18"/>
  <c r="V304" i="18"/>
  <c r="T305" i="18"/>
  <c r="U305" i="18"/>
  <c r="V305" i="18"/>
  <c r="T306" i="18"/>
  <c r="U306" i="18"/>
  <c r="V306" i="18"/>
  <c r="T307" i="18"/>
  <c r="U307" i="18"/>
  <c r="V307" i="18"/>
  <c r="T308" i="18"/>
  <c r="U308" i="18"/>
  <c r="V308" i="18"/>
  <c r="T310" i="18"/>
  <c r="U310" i="18"/>
  <c r="V310" i="18"/>
  <c r="T311" i="18"/>
  <c r="U311" i="18"/>
  <c r="V311" i="18"/>
  <c r="T312" i="18"/>
  <c r="U312" i="18"/>
  <c r="V312" i="18"/>
  <c r="T313" i="18"/>
  <c r="U313" i="18"/>
  <c r="V313" i="18"/>
  <c r="T314" i="18"/>
  <c r="U314" i="18"/>
  <c r="V314" i="18"/>
  <c r="T315" i="18"/>
  <c r="U315" i="18"/>
  <c r="V315" i="18"/>
  <c r="T316" i="18"/>
  <c r="U316" i="18"/>
  <c r="V316" i="18"/>
  <c r="T318" i="18"/>
  <c r="U318" i="18"/>
  <c r="V318" i="18"/>
  <c r="T319" i="18"/>
  <c r="U319" i="18"/>
  <c r="V319" i="18"/>
  <c r="T320" i="18"/>
  <c r="U320" i="18"/>
  <c r="V320" i="18"/>
  <c r="T321" i="18"/>
  <c r="U321" i="18"/>
  <c r="V321" i="18"/>
  <c r="T322" i="18"/>
  <c r="U322" i="18"/>
  <c r="V322" i="18"/>
  <c r="T324" i="18"/>
  <c r="U324" i="18"/>
  <c r="V324" i="18"/>
  <c r="T325" i="18"/>
  <c r="U325" i="18"/>
  <c r="V325" i="18"/>
  <c r="T326" i="18"/>
  <c r="U326" i="18"/>
  <c r="V326" i="18"/>
  <c r="T328" i="18"/>
  <c r="U328" i="18"/>
  <c r="V328" i="18"/>
  <c r="T330" i="18"/>
  <c r="U330" i="18"/>
  <c r="V330" i="18"/>
  <c r="T331" i="18"/>
  <c r="U331" i="18"/>
  <c r="V331" i="18"/>
  <c r="T332" i="18"/>
  <c r="U332" i="18"/>
  <c r="V332" i="18"/>
  <c r="T333" i="18"/>
  <c r="U333" i="18"/>
  <c r="V333" i="18"/>
  <c r="T334" i="18"/>
  <c r="U334" i="18"/>
  <c r="V334" i="18"/>
  <c r="T335" i="18"/>
  <c r="U335" i="18"/>
  <c r="V335" i="18"/>
  <c r="T336" i="18"/>
  <c r="U336" i="18"/>
  <c r="V336" i="18"/>
  <c r="T337" i="18"/>
  <c r="U337" i="18"/>
  <c r="V337" i="18"/>
  <c r="T338" i="18"/>
  <c r="U338" i="18"/>
  <c r="V338" i="18"/>
  <c r="T339" i="18"/>
  <c r="U339" i="18"/>
  <c r="V339" i="18"/>
  <c r="T340" i="18"/>
  <c r="U340" i="18"/>
  <c r="V340" i="18"/>
  <c r="T341" i="18"/>
  <c r="U341" i="18"/>
  <c r="V341" i="18"/>
  <c r="T86" i="18"/>
  <c r="U86" i="18"/>
  <c r="V86" i="18"/>
  <c r="T87" i="18"/>
  <c r="U87" i="18"/>
  <c r="V87" i="18"/>
  <c r="T88" i="18"/>
  <c r="U88" i="18"/>
  <c r="V88" i="18"/>
  <c r="T89" i="18"/>
  <c r="U89" i="18"/>
  <c r="V89" i="18"/>
  <c r="T90" i="18"/>
  <c r="U90" i="18"/>
  <c r="V90" i="18"/>
  <c r="T91" i="18"/>
  <c r="U91" i="18"/>
  <c r="V91" i="18"/>
  <c r="T92" i="18"/>
  <c r="U92" i="18"/>
  <c r="V92" i="18"/>
  <c r="T93" i="18"/>
  <c r="U93" i="18"/>
  <c r="V93" i="18"/>
  <c r="T94" i="18"/>
  <c r="U94" i="18"/>
  <c r="V94" i="18"/>
  <c r="T95" i="18"/>
  <c r="U95" i="18"/>
  <c r="V95" i="18"/>
  <c r="T96" i="18"/>
  <c r="U96" i="18"/>
  <c r="V96" i="18"/>
  <c r="T97" i="18"/>
  <c r="U97" i="18"/>
  <c r="V97" i="18"/>
  <c r="T98" i="18"/>
  <c r="U98" i="18"/>
  <c r="V98" i="18"/>
  <c r="T99" i="18"/>
  <c r="U99" i="18"/>
  <c r="V99" i="18"/>
  <c r="T100" i="18"/>
  <c r="U100" i="18"/>
  <c r="V100" i="18"/>
  <c r="T101" i="18"/>
  <c r="U101" i="18"/>
  <c r="V101" i="18"/>
  <c r="T102" i="18"/>
  <c r="U102" i="18"/>
  <c r="V102" i="18"/>
  <c r="T103" i="18"/>
  <c r="U103" i="18"/>
  <c r="V103" i="18"/>
  <c r="T104" i="18"/>
  <c r="U104" i="18"/>
  <c r="V104" i="18"/>
  <c r="T105" i="18"/>
  <c r="U105" i="18"/>
  <c r="V105" i="18"/>
  <c r="T107" i="18"/>
  <c r="U107" i="18"/>
  <c r="V107" i="18"/>
  <c r="T108" i="18"/>
  <c r="U108" i="18"/>
  <c r="V108" i="18"/>
  <c r="T109" i="18"/>
  <c r="U109" i="18"/>
  <c r="V109" i="18"/>
  <c r="T110" i="18"/>
  <c r="U110" i="18"/>
  <c r="V110" i="18"/>
  <c r="T111" i="18"/>
  <c r="U111" i="18"/>
  <c r="V111" i="18"/>
  <c r="T112" i="18"/>
  <c r="U112" i="18"/>
  <c r="V112" i="18"/>
  <c r="T113" i="18"/>
  <c r="U113" i="18"/>
  <c r="V113" i="18"/>
  <c r="T114" i="18"/>
  <c r="U114" i="18"/>
  <c r="V114" i="18"/>
  <c r="T115" i="18"/>
  <c r="U115" i="18"/>
  <c r="V115" i="18"/>
  <c r="T116" i="18"/>
  <c r="U116" i="18"/>
  <c r="V116" i="18"/>
  <c r="T117" i="18"/>
  <c r="U117" i="18"/>
  <c r="V117" i="18"/>
  <c r="T118" i="18"/>
  <c r="U118" i="18"/>
  <c r="V118" i="18"/>
  <c r="T119" i="18"/>
  <c r="U119" i="18"/>
  <c r="V119" i="18"/>
  <c r="T120" i="18"/>
  <c r="U120" i="18"/>
  <c r="V120" i="18"/>
  <c r="T121" i="18"/>
  <c r="U121" i="18"/>
  <c r="V121" i="18"/>
  <c r="T122" i="18"/>
  <c r="U122" i="18"/>
  <c r="V122" i="18"/>
  <c r="T123" i="18"/>
  <c r="U123" i="18"/>
  <c r="V123" i="18"/>
  <c r="T124" i="18"/>
  <c r="U124" i="18"/>
  <c r="V124" i="18"/>
  <c r="T125" i="18"/>
  <c r="U125" i="18"/>
  <c r="V125" i="18"/>
  <c r="T126" i="18"/>
  <c r="U126" i="18"/>
  <c r="V126" i="18"/>
  <c r="T127" i="18"/>
  <c r="U127" i="18"/>
  <c r="V127" i="18"/>
  <c r="T128" i="18"/>
  <c r="U128" i="18"/>
  <c r="V128" i="18"/>
  <c r="T129" i="18"/>
  <c r="U129" i="18"/>
  <c r="V129" i="18"/>
  <c r="T130" i="18"/>
  <c r="U130" i="18"/>
  <c r="V130" i="18"/>
  <c r="T131" i="18"/>
  <c r="U131" i="18"/>
  <c r="V131" i="18"/>
  <c r="T132" i="18"/>
  <c r="U132" i="18"/>
  <c r="V132" i="18"/>
  <c r="T134" i="18"/>
  <c r="U134" i="18"/>
  <c r="V134" i="18"/>
  <c r="T135" i="18"/>
  <c r="U135" i="18"/>
  <c r="V135" i="18"/>
  <c r="T136" i="18"/>
  <c r="U136" i="18"/>
  <c r="V136" i="18"/>
  <c r="T137" i="18"/>
  <c r="U137" i="18"/>
  <c r="V137" i="18"/>
  <c r="T138" i="18"/>
  <c r="U138" i="18"/>
  <c r="V138" i="18"/>
  <c r="T139" i="18"/>
  <c r="U139" i="18"/>
  <c r="V139" i="18"/>
  <c r="T140" i="18"/>
  <c r="U140" i="18"/>
  <c r="V140" i="18"/>
  <c r="T141" i="18"/>
  <c r="U141" i="18"/>
  <c r="V141" i="18"/>
  <c r="T142" i="18"/>
  <c r="U142" i="18"/>
  <c r="V142" i="18"/>
  <c r="T143" i="18"/>
  <c r="U143" i="18"/>
  <c r="V143" i="18"/>
  <c r="T144" i="18"/>
  <c r="U144" i="18"/>
  <c r="V144" i="18"/>
  <c r="T146" i="18"/>
  <c r="U146" i="18"/>
  <c r="V146" i="18"/>
  <c r="T147" i="18"/>
  <c r="U147" i="18"/>
  <c r="V147" i="18"/>
  <c r="T148" i="18"/>
  <c r="U148" i="18"/>
  <c r="V148" i="18"/>
  <c r="T149" i="18"/>
  <c r="U149" i="18"/>
  <c r="V149" i="18"/>
  <c r="T150" i="18"/>
  <c r="U150" i="18"/>
  <c r="V150" i="18"/>
  <c r="T151" i="18"/>
  <c r="U151" i="18"/>
  <c r="V151" i="18"/>
  <c r="T152" i="18"/>
  <c r="U152" i="18"/>
  <c r="V152" i="18"/>
  <c r="T153" i="18"/>
  <c r="U153" i="18"/>
  <c r="V153" i="18"/>
  <c r="T154" i="18"/>
  <c r="U154" i="18"/>
  <c r="V154" i="18"/>
  <c r="T155" i="18"/>
  <c r="U155" i="18"/>
  <c r="V155" i="18"/>
  <c r="T156" i="18"/>
  <c r="U156" i="18"/>
  <c r="V156" i="18"/>
  <c r="T157" i="18"/>
  <c r="U157" i="18"/>
  <c r="V157" i="18"/>
  <c r="T159" i="18"/>
  <c r="U159" i="18"/>
  <c r="V159" i="18"/>
  <c r="T160" i="18"/>
  <c r="U160" i="18"/>
  <c r="V160" i="18"/>
  <c r="T161" i="18"/>
  <c r="U161" i="18"/>
  <c r="V161" i="18"/>
  <c r="T162" i="18"/>
  <c r="U162" i="18"/>
  <c r="V162" i="18"/>
  <c r="T163" i="18"/>
  <c r="U163" i="18"/>
  <c r="V163" i="18"/>
  <c r="T164" i="18"/>
  <c r="U164" i="18"/>
  <c r="V164" i="18"/>
  <c r="T165" i="18"/>
  <c r="U165" i="18"/>
  <c r="V165" i="18"/>
  <c r="T166" i="18"/>
  <c r="U166" i="18"/>
  <c r="V166" i="18"/>
  <c r="T167" i="18"/>
  <c r="U167" i="18"/>
  <c r="V167" i="18"/>
  <c r="T168" i="18"/>
  <c r="U168" i="18"/>
  <c r="V168" i="18"/>
  <c r="T169" i="18"/>
  <c r="U169" i="18"/>
  <c r="V169" i="18"/>
  <c r="T170" i="18"/>
  <c r="U170" i="18"/>
  <c r="V170" i="18"/>
  <c r="T171" i="18"/>
  <c r="U171" i="18"/>
  <c r="V171" i="18"/>
  <c r="T172" i="18"/>
  <c r="U172" i="18"/>
  <c r="V172" i="18"/>
  <c r="T174" i="18"/>
  <c r="U174" i="18"/>
  <c r="V174" i="18"/>
  <c r="T175" i="18"/>
  <c r="U175" i="18"/>
  <c r="V175" i="18"/>
  <c r="T176" i="18"/>
  <c r="U176" i="18"/>
  <c r="V176" i="18"/>
  <c r="T177" i="18"/>
  <c r="U177" i="18"/>
  <c r="V177" i="18"/>
  <c r="T178" i="18"/>
  <c r="U178" i="18"/>
  <c r="V178" i="18"/>
  <c r="T179" i="18"/>
  <c r="U179" i="18"/>
  <c r="V179" i="18"/>
  <c r="T180" i="18"/>
  <c r="U180" i="18"/>
  <c r="V180" i="18"/>
  <c r="T181" i="18"/>
  <c r="U181" i="18"/>
  <c r="V181" i="18"/>
  <c r="T182" i="18"/>
  <c r="U182" i="18"/>
  <c r="V182" i="18"/>
  <c r="T183" i="18"/>
  <c r="U183" i="18"/>
  <c r="V183" i="18"/>
  <c r="T184" i="18"/>
  <c r="U184" i="18"/>
  <c r="V184" i="18"/>
  <c r="T185" i="18"/>
  <c r="U185" i="18"/>
  <c r="V185" i="18"/>
  <c r="T186" i="18"/>
  <c r="U186" i="18"/>
  <c r="V186" i="18"/>
  <c r="T187" i="18"/>
  <c r="U187" i="18"/>
  <c r="V187" i="18"/>
  <c r="T188" i="18"/>
  <c r="U188" i="18"/>
  <c r="V188" i="18"/>
  <c r="T189" i="18"/>
  <c r="U189" i="18"/>
  <c r="V189" i="18"/>
  <c r="T190" i="18"/>
  <c r="U190" i="18"/>
  <c r="V190" i="18"/>
  <c r="T192" i="18"/>
  <c r="U192" i="18"/>
  <c r="V192" i="18"/>
  <c r="T193" i="18"/>
  <c r="U193" i="18"/>
  <c r="V193" i="18"/>
  <c r="T194" i="18"/>
  <c r="U194" i="18"/>
  <c r="V194" i="18"/>
  <c r="T195" i="18"/>
  <c r="U195" i="18"/>
  <c r="V195" i="18"/>
  <c r="T196" i="18"/>
  <c r="U196" i="18"/>
  <c r="V196" i="18"/>
  <c r="T197" i="18"/>
  <c r="U197" i="18"/>
  <c r="V197" i="18"/>
  <c r="T198" i="18"/>
  <c r="U198" i="18"/>
  <c r="V198" i="18"/>
  <c r="T199" i="18"/>
  <c r="U199" i="18"/>
  <c r="V199" i="18"/>
  <c r="T200" i="18"/>
  <c r="U200" i="18"/>
  <c r="V200" i="18"/>
  <c r="T201" i="18"/>
  <c r="U201" i="18"/>
  <c r="V201" i="18"/>
  <c r="T202" i="18"/>
  <c r="U202" i="18"/>
  <c r="V202" i="18"/>
  <c r="T203" i="18"/>
  <c r="U203" i="18"/>
  <c r="V203" i="18"/>
  <c r="T204" i="18"/>
  <c r="U204" i="18"/>
  <c r="V204" i="18"/>
  <c r="T205" i="18"/>
  <c r="U205" i="18"/>
  <c r="V205" i="18"/>
  <c r="T207" i="18"/>
  <c r="U207" i="18"/>
  <c r="V207" i="18"/>
  <c r="T208" i="18"/>
  <c r="U208" i="18"/>
  <c r="V208" i="18"/>
  <c r="T209" i="18"/>
  <c r="U209" i="18"/>
  <c r="V209" i="18"/>
  <c r="T210" i="18"/>
  <c r="U210" i="18"/>
  <c r="V210" i="18"/>
  <c r="T211" i="18"/>
  <c r="U211" i="18"/>
  <c r="V211" i="18"/>
  <c r="T212" i="18"/>
  <c r="U212" i="18"/>
  <c r="V212" i="18"/>
  <c r="T213" i="18"/>
  <c r="U213" i="18"/>
  <c r="V213" i="18"/>
  <c r="T214" i="18"/>
  <c r="U214" i="18"/>
  <c r="V214" i="18"/>
  <c r="T215" i="18"/>
  <c r="U215" i="18"/>
  <c r="V215" i="18"/>
  <c r="T216" i="18"/>
  <c r="U216" i="18"/>
  <c r="V216" i="18"/>
  <c r="T217" i="18"/>
  <c r="U217" i="18"/>
  <c r="V217" i="18"/>
  <c r="T218" i="18"/>
  <c r="U218" i="18"/>
  <c r="V218" i="18"/>
  <c r="T219" i="18"/>
  <c r="U219" i="18"/>
  <c r="V219" i="18"/>
  <c r="T220" i="18"/>
  <c r="U220" i="18"/>
  <c r="V220" i="18"/>
  <c r="T221" i="18"/>
  <c r="U221" i="18"/>
  <c r="V221" i="18"/>
  <c r="T224" i="18"/>
  <c r="U224" i="18"/>
  <c r="V224" i="18"/>
  <c r="T225" i="18"/>
  <c r="U225" i="18"/>
  <c r="V225" i="18"/>
  <c r="T226" i="18"/>
  <c r="U226" i="18"/>
  <c r="V226" i="18"/>
  <c r="T227" i="18"/>
  <c r="U227" i="18"/>
  <c r="V227" i="18"/>
  <c r="T228" i="18"/>
  <c r="U228" i="18"/>
  <c r="V228" i="18"/>
  <c r="T229" i="18"/>
  <c r="U229" i="18"/>
  <c r="V229" i="18"/>
  <c r="T230" i="18"/>
  <c r="U230" i="18"/>
  <c r="V230" i="18"/>
  <c r="T231" i="18"/>
  <c r="U231" i="18"/>
  <c r="V231" i="18"/>
  <c r="T232" i="18"/>
  <c r="U232" i="18"/>
  <c r="V232" i="18"/>
  <c r="T233" i="18"/>
  <c r="U233" i="18"/>
  <c r="V233" i="18"/>
  <c r="T234" i="18"/>
  <c r="U234" i="18"/>
  <c r="V234" i="18"/>
  <c r="T236" i="18"/>
  <c r="U236" i="18"/>
  <c r="V236" i="18"/>
  <c r="T237" i="18"/>
  <c r="U237" i="18"/>
  <c r="V237" i="18"/>
  <c r="T238" i="18"/>
  <c r="U238" i="18"/>
  <c r="V238" i="18"/>
  <c r="T239" i="18"/>
  <c r="U239" i="18"/>
  <c r="V239" i="18"/>
  <c r="T240" i="18"/>
  <c r="U240" i="18"/>
  <c r="V240" i="18"/>
  <c r="T241" i="18"/>
  <c r="U241" i="18"/>
  <c r="V241" i="18"/>
  <c r="T242" i="18"/>
  <c r="U242" i="18"/>
  <c r="V242" i="18"/>
  <c r="T244" i="18"/>
  <c r="U244" i="18"/>
  <c r="V244" i="18"/>
  <c r="T245" i="18"/>
  <c r="U245" i="18"/>
  <c r="V245" i="18"/>
  <c r="T246" i="18"/>
  <c r="U246" i="18"/>
  <c r="V246" i="18"/>
  <c r="T247" i="18"/>
  <c r="U247" i="18"/>
  <c r="V247" i="18"/>
  <c r="T248" i="18"/>
  <c r="U248" i="18"/>
  <c r="V248" i="18"/>
  <c r="T250" i="18"/>
  <c r="U250" i="18"/>
  <c r="V250" i="18"/>
  <c r="T251" i="18"/>
  <c r="U251" i="18"/>
  <c r="V251" i="18"/>
  <c r="T252" i="18"/>
  <c r="U252" i="18"/>
  <c r="V252" i="18"/>
  <c r="T254" i="18"/>
  <c r="U254" i="18"/>
  <c r="V254" i="18"/>
  <c r="T256" i="18"/>
  <c r="U256" i="18"/>
  <c r="V256" i="18"/>
  <c r="T257" i="18"/>
  <c r="U257" i="18"/>
  <c r="V257" i="18"/>
  <c r="T258" i="18"/>
  <c r="U258" i="18"/>
  <c r="V258" i="18"/>
  <c r="T259" i="18"/>
  <c r="U259" i="18"/>
  <c r="V259" i="18"/>
  <c r="T260" i="18"/>
  <c r="U260" i="18"/>
  <c r="V260" i="18"/>
  <c r="T261" i="18"/>
  <c r="U261" i="18"/>
  <c r="V261" i="18"/>
  <c r="T262" i="18"/>
  <c r="U262" i="18"/>
  <c r="V262" i="18"/>
  <c r="T263" i="18"/>
  <c r="U263" i="18"/>
  <c r="V263" i="18"/>
  <c r="T264" i="18"/>
  <c r="U264" i="18"/>
  <c r="V264" i="18"/>
  <c r="T265" i="18"/>
  <c r="U265" i="18"/>
  <c r="V265" i="18"/>
  <c r="T266" i="18"/>
  <c r="U266" i="18"/>
  <c r="V266" i="18"/>
  <c r="T267" i="18"/>
  <c r="U267" i="18"/>
  <c r="V267" i="18"/>
  <c r="T61" i="18"/>
  <c r="U61" i="18"/>
  <c r="V61" i="18"/>
  <c r="T20" i="18"/>
  <c r="U20" i="18"/>
  <c r="V20" i="18"/>
  <c r="T21" i="18"/>
  <c r="U21" i="18"/>
  <c r="V21" i="18"/>
  <c r="T22" i="18"/>
  <c r="U22" i="18"/>
  <c r="V22" i="18"/>
  <c r="T23" i="18"/>
  <c r="U23" i="18"/>
  <c r="V23" i="18"/>
  <c r="T24" i="18"/>
  <c r="U24" i="18"/>
  <c r="V24" i="18"/>
  <c r="T25" i="18"/>
  <c r="U25" i="18"/>
  <c r="V25" i="18"/>
  <c r="T26" i="18"/>
  <c r="U26" i="18"/>
  <c r="V26" i="18"/>
  <c r="T27" i="18"/>
  <c r="U27" i="18"/>
  <c r="V27" i="18"/>
  <c r="T28" i="18"/>
  <c r="U28" i="18"/>
  <c r="V28" i="18"/>
  <c r="T29" i="18"/>
  <c r="U29" i="18"/>
  <c r="V29" i="18"/>
  <c r="T30" i="18"/>
  <c r="U30" i="18"/>
  <c r="V30" i="18"/>
  <c r="T31" i="18"/>
  <c r="U31" i="18"/>
  <c r="V31" i="18"/>
  <c r="T32" i="18"/>
  <c r="U32" i="18"/>
  <c r="V32" i="18"/>
  <c r="T33" i="18"/>
  <c r="U33" i="18"/>
  <c r="V33" i="18"/>
  <c r="T34" i="18"/>
  <c r="U34" i="18"/>
  <c r="V34" i="18"/>
  <c r="T37" i="18"/>
  <c r="U37" i="18"/>
  <c r="V37" i="18"/>
  <c r="T38" i="18"/>
  <c r="U38" i="18"/>
  <c r="V38" i="18"/>
  <c r="T39" i="18"/>
  <c r="U39" i="18"/>
  <c r="V39" i="18"/>
  <c r="T40" i="18"/>
  <c r="U40" i="18"/>
  <c r="V40" i="18"/>
  <c r="T41" i="18"/>
  <c r="U41" i="18"/>
  <c r="V41" i="18"/>
  <c r="T42" i="18"/>
  <c r="U42" i="18"/>
  <c r="V42" i="18"/>
  <c r="T43" i="18"/>
  <c r="U43" i="18"/>
  <c r="V43" i="18"/>
  <c r="T44" i="18"/>
  <c r="U44" i="18"/>
  <c r="V44" i="18"/>
  <c r="T45" i="18"/>
  <c r="U45" i="18"/>
  <c r="V45" i="18"/>
  <c r="T46" i="18"/>
  <c r="U46" i="18"/>
  <c r="V46" i="18"/>
  <c r="T47" i="18"/>
  <c r="U47" i="18"/>
  <c r="V47" i="18"/>
  <c r="T49" i="18"/>
  <c r="U49" i="18"/>
  <c r="V49" i="18"/>
  <c r="T50" i="18"/>
  <c r="U50" i="18"/>
  <c r="V50" i="18"/>
  <c r="T51" i="18"/>
  <c r="U51" i="18"/>
  <c r="V51" i="18"/>
  <c r="T52" i="18"/>
  <c r="U52" i="18"/>
  <c r="V52" i="18"/>
  <c r="T53" i="18"/>
  <c r="U53" i="18"/>
  <c r="V53" i="18"/>
  <c r="T54" i="18"/>
  <c r="U54" i="18"/>
  <c r="V54" i="18"/>
  <c r="T55" i="18"/>
  <c r="U55" i="18"/>
  <c r="V55" i="18"/>
  <c r="T65" i="18"/>
  <c r="U65" i="18"/>
  <c r="V65" i="18"/>
  <c r="T57" i="18"/>
  <c r="U57" i="18"/>
  <c r="V57" i="18"/>
  <c r="T58" i="18"/>
  <c r="U58" i="18"/>
  <c r="V58" i="18"/>
  <c r="T59" i="18"/>
  <c r="U59" i="18"/>
  <c r="V59" i="18"/>
  <c r="T60" i="18"/>
  <c r="U60" i="18"/>
  <c r="V60" i="18"/>
  <c r="T63" i="18"/>
  <c r="U63" i="18"/>
  <c r="V63" i="18"/>
  <c r="T64" i="18"/>
  <c r="U64" i="18"/>
  <c r="V64" i="18"/>
  <c r="T71" i="18"/>
  <c r="U71" i="18"/>
  <c r="V71" i="18"/>
  <c r="T72" i="18"/>
  <c r="U72" i="18"/>
  <c r="V72" i="18"/>
  <c r="T73" i="18"/>
  <c r="U73" i="18"/>
  <c r="V73" i="18"/>
  <c r="T74" i="18"/>
  <c r="U74" i="18"/>
  <c r="V74" i="18"/>
  <c r="T75" i="18"/>
  <c r="U75" i="18"/>
  <c r="V75" i="18"/>
  <c r="T76" i="18"/>
  <c r="U76" i="18"/>
  <c r="V76" i="18"/>
  <c r="T77" i="18"/>
  <c r="U77" i="18"/>
  <c r="V77" i="18"/>
  <c r="T78" i="18"/>
  <c r="U78" i="18"/>
  <c r="V78" i="18"/>
  <c r="T79" i="18"/>
  <c r="U79" i="18"/>
  <c r="V79" i="18"/>
  <c r="T80" i="18"/>
  <c r="U80" i="18"/>
  <c r="V80" i="18"/>
  <c r="T81" i="18"/>
  <c r="U81" i="18"/>
  <c r="V81" i="18"/>
  <c r="T82" i="18"/>
  <c r="U82" i="18"/>
  <c r="V82" i="18"/>
  <c r="F4" i="22" l="1"/>
  <c r="I5" i="22" s="1"/>
  <c r="W7" i="18"/>
  <c r="F69" i="18"/>
  <c r="F64" i="18"/>
  <c r="F65" i="18"/>
  <c r="F66" i="18"/>
  <c r="F67" i="18"/>
  <c r="F68" i="18"/>
  <c r="E9" i="18"/>
  <c r="F63" i="18"/>
  <c r="Q62" i="18" s="1"/>
  <c r="T7" i="18"/>
  <c r="R62" i="18" l="1"/>
  <c r="S62" i="18"/>
  <c r="O62" i="18"/>
  <c r="P62" i="18"/>
  <c r="N62" i="18"/>
  <c r="W62" i="18" l="1"/>
  <c r="G10" i="18"/>
  <c r="E720" i="18" l="1"/>
  <c r="E826" i="18"/>
  <c r="F840" i="18" s="1"/>
  <c r="U840" i="18"/>
  <c r="T840" i="18"/>
  <c r="U839" i="18"/>
  <c r="T839" i="18"/>
  <c r="U838" i="18"/>
  <c r="T838" i="18"/>
  <c r="U837" i="18"/>
  <c r="T837" i="18"/>
  <c r="U836" i="18"/>
  <c r="T836" i="18"/>
  <c r="U835" i="18"/>
  <c r="T835" i="18"/>
  <c r="U834" i="18"/>
  <c r="T834" i="18"/>
  <c r="U833" i="18"/>
  <c r="T833" i="18"/>
  <c r="U832" i="18"/>
  <c r="T832" i="18"/>
  <c r="U831" i="18"/>
  <c r="T831" i="18"/>
  <c r="U830" i="18"/>
  <c r="T830" i="18"/>
  <c r="U829" i="18"/>
  <c r="T829" i="18"/>
  <c r="U828" i="18"/>
  <c r="T828" i="18"/>
  <c r="U827" i="18"/>
  <c r="T827" i="18"/>
  <c r="V825" i="18"/>
  <c r="U825" i="18"/>
  <c r="T825" i="18"/>
  <c r="U824" i="18"/>
  <c r="T824" i="18"/>
  <c r="U823" i="18"/>
  <c r="T823" i="18"/>
  <c r="U822" i="18"/>
  <c r="T822" i="18"/>
  <c r="U821" i="18"/>
  <c r="T821" i="18"/>
  <c r="U820" i="18"/>
  <c r="T820" i="18"/>
  <c r="U819" i="18"/>
  <c r="T819" i="18"/>
  <c r="U818" i="18"/>
  <c r="T818" i="18"/>
  <c r="U817" i="18"/>
  <c r="T817" i="18"/>
  <c r="U816" i="18"/>
  <c r="T816" i="18"/>
  <c r="U815" i="18"/>
  <c r="T815" i="18"/>
  <c r="U814" i="18"/>
  <c r="T814" i="18"/>
  <c r="U813" i="18"/>
  <c r="T813" i="18"/>
  <c r="U812" i="18"/>
  <c r="T812" i="18"/>
  <c r="U811" i="18"/>
  <c r="T811" i="18"/>
  <c r="U810" i="18"/>
  <c r="T810" i="18"/>
  <c r="U809" i="18"/>
  <c r="T809" i="18"/>
  <c r="U807" i="18"/>
  <c r="T807" i="18"/>
  <c r="U806" i="18"/>
  <c r="T806" i="18"/>
  <c r="U805" i="18"/>
  <c r="T805" i="18"/>
  <c r="U804" i="18"/>
  <c r="T804" i="18"/>
  <c r="U803" i="18"/>
  <c r="T803" i="18"/>
  <c r="U802" i="18"/>
  <c r="T802" i="18"/>
  <c r="U801" i="18"/>
  <c r="T801" i="18"/>
  <c r="U800" i="18"/>
  <c r="T800" i="18"/>
  <c r="U799" i="18"/>
  <c r="T799" i="18"/>
  <c r="U798" i="18"/>
  <c r="T798" i="18"/>
  <c r="U797" i="18"/>
  <c r="T797" i="18"/>
  <c r="U796" i="18"/>
  <c r="T796" i="18"/>
  <c r="U795" i="18"/>
  <c r="T795" i="18"/>
  <c r="U794" i="18"/>
  <c r="T794" i="18"/>
  <c r="U792" i="18"/>
  <c r="T792" i="18"/>
  <c r="U791" i="18"/>
  <c r="T791" i="18"/>
  <c r="U790" i="18"/>
  <c r="T790" i="18"/>
  <c r="U789" i="18"/>
  <c r="T789" i="18"/>
  <c r="U788" i="18"/>
  <c r="T788" i="18"/>
  <c r="U787" i="18"/>
  <c r="T787" i="18"/>
  <c r="U786" i="18"/>
  <c r="T786" i="18"/>
  <c r="U785" i="18"/>
  <c r="T785" i="18"/>
  <c r="U784" i="18"/>
  <c r="T784" i="18"/>
  <c r="U783" i="18"/>
  <c r="T783" i="18"/>
  <c r="U782" i="18"/>
  <c r="T782" i="18"/>
  <c r="U781" i="18"/>
  <c r="T781" i="18"/>
  <c r="U779" i="18"/>
  <c r="U778" i="18"/>
  <c r="U777" i="18"/>
  <c r="U776" i="18"/>
  <c r="U775" i="18"/>
  <c r="U774" i="18"/>
  <c r="U773" i="18"/>
  <c r="U772" i="18"/>
  <c r="U771" i="18"/>
  <c r="U770" i="18"/>
  <c r="U769" i="18"/>
  <c r="T779" i="18"/>
  <c r="T778" i="18"/>
  <c r="T777" i="18"/>
  <c r="T776" i="18"/>
  <c r="T775" i="18"/>
  <c r="T774" i="18"/>
  <c r="T773" i="18"/>
  <c r="T772" i="18"/>
  <c r="T771" i="18"/>
  <c r="T770" i="18"/>
  <c r="T769" i="18"/>
  <c r="E808" i="18"/>
  <c r="F821" i="18" s="1"/>
  <c r="E793" i="18"/>
  <c r="F804" i="18" s="1"/>
  <c r="E780" i="18"/>
  <c r="F792" i="18" s="1"/>
  <c r="F774" i="18"/>
  <c r="V840" i="18"/>
  <c r="V839" i="18"/>
  <c r="V838" i="18"/>
  <c r="V837" i="18"/>
  <c r="V836" i="18"/>
  <c r="V835" i="18"/>
  <c r="V834" i="18"/>
  <c r="V833" i="18"/>
  <c r="V832" i="18"/>
  <c r="V831" i="18"/>
  <c r="V830" i="18"/>
  <c r="V829" i="18"/>
  <c r="V828" i="18"/>
  <c r="V827" i="18"/>
  <c r="V824" i="18"/>
  <c r="V823" i="18"/>
  <c r="V822" i="18"/>
  <c r="V821" i="18"/>
  <c r="V820" i="18"/>
  <c r="V819" i="18"/>
  <c r="V818" i="18"/>
  <c r="V817" i="18"/>
  <c r="V816" i="18"/>
  <c r="V815" i="18"/>
  <c r="V814" i="18"/>
  <c r="V813" i="18"/>
  <c r="V812" i="18"/>
  <c r="V811" i="18"/>
  <c r="V810" i="18"/>
  <c r="V809" i="18"/>
  <c r="V807" i="18"/>
  <c r="V806" i="18"/>
  <c r="V805" i="18"/>
  <c r="V804" i="18"/>
  <c r="V803" i="18"/>
  <c r="V802" i="18"/>
  <c r="V801" i="18"/>
  <c r="V800" i="18"/>
  <c r="V799" i="18"/>
  <c r="V798" i="18"/>
  <c r="V797" i="18"/>
  <c r="V796" i="18"/>
  <c r="V795" i="18"/>
  <c r="V794" i="18"/>
  <c r="V792" i="18"/>
  <c r="V791" i="18"/>
  <c r="V790" i="18"/>
  <c r="V789" i="18"/>
  <c r="V788" i="18"/>
  <c r="V787" i="18"/>
  <c r="V786" i="18"/>
  <c r="V785" i="18"/>
  <c r="V784" i="18"/>
  <c r="V783" i="18"/>
  <c r="V782" i="18"/>
  <c r="V781" i="18"/>
  <c r="V779" i="18"/>
  <c r="V778" i="18"/>
  <c r="V777" i="18"/>
  <c r="V776" i="18"/>
  <c r="V775" i="18"/>
  <c r="V774" i="18"/>
  <c r="V773" i="18"/>
  <c r="V772" i="18"/>
  <c r="V771" i="18"/>
  <c r="V770" i="18"/>
  <c r="V769" i="18"/>
  <c r="E741" i="18"/>
  <c r="V767" i="18"/>
  <c r="U767" i="18"/>
  <c r="T767" i="18"/>
  <c r="V766" i="18"/>
  <c r="U766" i="18"/>
  <c r="T766" i="18"/>
  <c r="V765" i="18"/>
  <c r="U765" i="18"/>
  <c r="T765" i="18"/>
  <c r="V764" i="18"/>
  <c r="U764" i="18"/>
  <c r="T764" i="18"/>
  <c r="V763" i="18"/>
  <c r="U763" i="18"/>
  <c r="T763" i="18"/>
  <c r="V762" i="18"/>
  <c r="U762" i="18"/>
  <c r="T762" i="18"/>
  <c r="V761" i="18"/>
  <c r="U761" i="18"/>
  <c r="T761" i="18"/>
  <c r="V760" i="18"/>
  <c r="U760" i="18"/>
  <c r="T760" i="18"/>
  <c r="V759" i="18"/>
  <c r="U759" i="18"/>
  <c r="T759" i="18"/>
  <c r="V758" i="18"/>
  <c r="U758" i="18"/>
  <c r="T758" i="18"/>
  <c r="V757" i="18"/>
  <c r="U757" i="18"/>
  <c r="T757" i="18"/>
  <c r="V756" i="18"/>
  <c r="U756" i="18"/>
  <c r="T756" i="18"/>
  <c r="V755" i="18"/>
  <c r="U755" i="18"/>
  <c r="T755" i="18"/>
  <c r="V754" i="18"/>
  <c r="U754" i="18"/>
  <c r="T754" i="18"/>
  <c r="V753" i="18"/>
  <c r="U753" i="18"/>
  <c r="T753" i="18"/>
  <c r="V752" i="18"/>
  <c r="U752" i="18"/>
  <c r="T752" i="18"/>
  <c r="V751" i="18"/>
  <c r="U751" i="18"/>
  <c r="T751" i="18"/>
  <c r="V750" i="18"/>
  <c r="U750" i="18"/>
  <c r="T750" i="18"/>
  <c r="V749" i="18"/>
  <c r="U749" i="18"/>
  <c r="T749" i="18"/>
  <c r="V748" i="18"/>
  <c r="U748" i="18"/>
  <c r="T748" i="18"/>
  <c r="V747" i="18"/>
  <c r="U747" i="18"/>
  <c r="T747" i="18"/>
  <c r="V746" i="18"/>
  <c r="U746" i="18"/>
  <c r="T746" i="18"/>
  <c r="V745" i="18"/>
  <c r="U745" i="18"/>
  <c r="T745" i="18"/>
  <c r="V744" i="18"/>
  <c r="U744" i="18"/>
  <c r="T744" i="18"/>
  <c r="V743" i="18"/>
  <c r="U743" i="18"/>
  <c r="T743" i="18"/>
  <c r="V742" i="18"/>
  <c r="U742" i="18"/>
  <c r="T742" i="18"/>
  <c r="F724" i="18" l="1"/>
  <c r="F736" i="18"/>
  <c r="F735" i="18"/>
  <c r="F734" i="18"/>
  <c r="F732" i="18"/>
  <c r="F731" i="18"/>
  <c r="F729" i="18"/>
  <c r="F726" i="18"/>
  <c r="F738" i="18"/>
  <c r="F733" i="18"/>
  <c r="F730" i="18"/>
  <c r="F728" i="18"/>
  <c r="F727" i="18"/>
  <c r="F725" i="18"/>
  <c r="F740" i="18"/>
  <c r="F105" i="18" s="1"/>
  <c r="F827" i="18"/>
  <c r="F828" i="18"/>
  <c r="F737" i="18"/>
  <c r="F829" i="18"/>
  <c r="F830" i="18"/>
  <c r="F195" i="18" s="1"/>
  <c r="F831" i="18"/>
  <c r="F196" i="18" s="1"/>
  <c r="F833" i="18"/>
  <c r="F834" i="18"/>
  <c r="F458" i="18" s="1"/>
  <c r="F832" i="18"/>
  <c r="F739" i="18"/>
  <c r="F104" i="18" s="1"/>
  <c r="F722" i="18"/>
  <c r="F838" i="18"/>
  <c r="F835" i="18"/>
  <c r="F459" i="18" s="1"/>
  <c r="F723" i="18"/>
  <c r="F347" i="18" s="1"/>
  <c r="F721" i="18"/>
  <c r="F836" i="18"/>
  <c r="F201" i="18" s="1"/>
  <c r="F837" i="18"/>
  <c r="F202" i="18" s="1"/>
  <c r="F839" i="18"/>
  <c r="F463" i="18" s="1"/>
  <c r="E719" i="18"/>
  <c r="F416" i="18"/>
  <c r="F157" i="18"/>
  <c r="F606" i="18"/>
  <c r="F398" i="18"/>
  <c r="F588" i="18"/>
  <c r="F139" i="18"/>
  <c r="F205" i="18"/>
  <c r="F654" i="18"/>
  <c r="F464" i="18"/>
  <c r="F618" i="18"/>
  <c r="F169" i="18"/>
  <c r="F428" i="18"/>
  <c r="F445" i="18"/>
  <c r="F635" i="18"/>
  <c r="F186" i="18"/>
  <c r="F758" i="18"/>
  <c r="F760" i="18"/>
  <c r="F777" i="18"/>
  <c r="F778" i="18"/>
  <c r="F779" i="18"/>
  <c r="F781" i="18"/>
  <c r="F761" i="18"/>
  <c r="F762" i="18"/>
  <c r="F763" i="18"/>
  <c r="F783" i="18"/>
  <c r="F791" i="18"/>
  <c r="F782" i="18"/>
  <c r="F787" i="18"/>
  <c r="F784" i="18"/>
  <c r="F746" i="18"/>
  <c r="F747" i="18"/>
  <c r="F748" i="18"/>
  <c r="F749" i="18"/>
  <c r="F750" i="18"/>
  <c r="F751" i="18"/>
  <c r="F752" i="18"/>
  <c r="F753" i="18"/>
  <c r="F754" i="18"/>
  <c r="F757" i="18"/>
  <c r="F775" i="18"/>
  <c r="F805" i="18"/>
  <c r="F776" i="18"/>
  <c r="F806" i="18"/>
  <c r="F812" i="18"/>
  <c r="F811" i="18"/>
  <c r="F813" i="18"/>
  <c r="F755" i="18"/>
  <c r="F785" i="18"/>
  <c r="F815" i="18"/>
  <c r="F814" i="18"/>
  <c r="F756" i="18"/>
  <c r="F786" i="18"/>
  <c r="F816" i="18"/>
  <c r="F810" i="18"/>
  <c r="F788" i="18"/>
  <c r="F818" i="18"/>
  <c r="F759" i="18"/>
  <c r="F789" i="18"/>
  <c r="F819" i="18"/>
  <c r="F790" i="18"/>
  <c r="F820" i="18"/>
  <c r="F807" i="18"/>
  <c r="F822" i="18"/>
  <c r="F764" i="18"/>
  <c r="F795" i="18"/>
  <c r="F824" i="18"/>
  <c r="F817" i="18"/>
  <c r="F794" i="18"/>
  <c r="F765" i="18"/>
  <c r="F796" i="18"/>
  <c r="F825" i="18"/>
  <c r="F766" i="18"/>
  <c r="F797" i="18"/>
  <c r="F767" i="18"/>
  <c r="F798" i="18"/>
  <c r="F809" i="18"/>
  <c r="F769" i="18"/>
  <c r="F799" i="18"/>
  <c r="F823" i="18"/>
  <c r="F770" i="18"/>
  <c r="F800" i="18"/>
  <c r="F742" i="18"/>
  <c r="F771" i="18"/>
  <c r="F801" i="18"/>
  <c r="F743" i="18"/>
  <c r="F772" i="18"/>
  <c r="F802" i="18"/>
  <c r="F744" i="18"/>
  <c r="F773" i="18"/>
  <c r="F803" i="18"/>
  <c r="F745" i="18"/>
  <c r="F89" i="18" l="1"/>
  <c r="F348" i="18"/>
  <c r="F538" i="18"/>
  <c r="F360" i="18"/>
  <c r="F101" i="18"/>
  <c r="F550" i="18"/>
  <c r="F359" i="18"/>
  <c r="F100" i="18"/>
  <c r="F549" i="18"/>
  <c r="F358" i="18"/>
  <c r="F99" i="18"/>
  <c r="F548" i="18"/>
  <c r="F546" i="18"/>
  <c r="F356" i="18"/>
  <c r="F97" i="18"/>
  <c r="F545" i="18"/>
  <c r="F96" i="18"/>
  <c r="F355" i="18"/>
  <c r="F353" i="18"/>
  <c r="F94" i="18"/>
  <c r="F543" i="18"/>
  <c r="F540" i="18"/>
  <c r="F91" i="18"/>
  <c r="F350" i="18"/>
  <c r="F103" i="18"/>
  <c r="F362" i="18"/>
  <c r="F552" i="18"/>
  <c r="F357" i="18"/>
  <c r="F547" i="18"/>
  <c r="F98" i="18"/>
  <c r="F95" i="18"/>
  <c r="F544" i="18"/>
  <c r="F354" i="18"/>
  <c r="F93" i="18"/>
  <c r="F542" i="18"/>
  <c r="F352" i="18"/>
  <c r="F92" i="18"/>
  <c r="F541" i="18"/>
  <c r="F351" i="18"/>
  <c r="F90" i="18"/>
  <c r="F349" i="18"/>
  <c r="F539" i="18"/>
  <c r="F451" i="18"/>
  <c r="F192" i="18"/>
  <c r="F641" i="18"/>
  <c r="F193" i="18"/>
  <c r="F642" i="18"/>
  <c r="F452" i="18"/>
  <c r="F551" i="18"/>
  <c r="F102" i="18"/>
  <c r="F361" i="18"/>
  <c r="F194" i="18"/>
  <c r="F643" i="18"/>
  <c r="F453" i="18"/>
  <c r="F198" i="18"/>
  <c r="F647" i="18"/>
  <c r="F457" i="18"/>
  <c r="F87" i="18"/>
  <c r="F346" i="18"/>
  <c r="F536" i="18"/>
  <c r="F645" i="18"/>
  <c r="F460" i="18"/>
  <c r="F455" i="18"/>
  <c r="F648" i="18"/>
  <c r="F199" i="18"/>
  <c r="F86" i="18"/>
  <c r="F364" i="18"/>
  <c r="F554" i="18"/>
  <c r="F454" i="18"/>
  <c r="O826" i="18"/>
  <c r="F644" i="18"/>
  <c r="F204" i="18"/>
  <c r="P720" i="18"/>
  <c r="O720" i="18"/>
  <c r="N720" i="18"/>
  <c r="T720" i="18" s="1"/>
  <c r="F461" i="18"/>
  <c r="F553" i="18"/>
  <c r="F652" i="18"/>
  <c r="F646" i="18"/>
  <c r="F197" i="18"/>
  <c r="F456" i="18"/>
  <c r="F651" i="18"/>
  <c r="F653" i="18"/>
  <c r="F363" i="18"/>
  <c r="F535" i="18"/>
  <c r="F345" i="18"/>
  <c r="F650" i="18"/>
  <c r="F462" i="18"/>
  <c r="F203" i="18"/>
  <c r="F537" i="18"/>
  <c r="F649" i="18"/>
  <c r="F88" i="18"/>
  <c r="N826" i="18"/>
  <c r="F200" i="18"/>
  <c r="F381" i="18"/>
  <c r="F571" i="18"/>
  <c r="F122" i="18"/>
  <c r="F568" i="18"/>
  <c r="F119" i="18"/>
  <c r="F378" i="18"/>
  <c r="F413" i="18"/>
  <c r="F603" i="18"/>
  <c r="F154" i="18"/>
  <c r="F117" i="18"/>
  <c r="F376" i="18"/>
  <c r="F566" i="18"/>
  <c r="F415" i="18"/>
  <c r="F605" i="18"/>
  <c r="F156" i="18"/>
  <c r="F167" i="18"/>
  <c r="F426" i="18"/>
  <c r="F616" i="18"/>
  <c r="F633" i="18"/>
  <c r="F184" i="18"/>
  <c r="F443" i="18"/>
  <c r="F375" i="18"/>
  <c r="F565" i="18"/>
  <c r="F116" i="18"/>
  <c r="F630" i="18"/>
  <c r="F440" i="18"/>
  <c r="F181" i="18"/>
  <c r="F171" i="18"/>
  <c r="F430" i="18"/>
  <c r="F620" i="18"/>
  <c r="F166" i="18"/>
  <c r="F425" i="18"/>
  <c r="F615" i="18"/>
  <c r="F395" i="18"/>
  <c r="F136" i="18"/>
  <c r="F585" i="18"/>
  <c r="F602" i="18"/>
  <c r="F412" i="18"/>
  <c r="F153" i="18"/>
  <c r="F175" i="18"/>
  <c r="F434" i="18"/>
  <c r="F624" i="18"/>
  <c r="F600" i="18"/>
  <c r="F410" i="18"/>
  <c r="F151" i="18"/>
  <c r="F409" i="18"/>
  <c r="F599" i="18"/>
  <c r="F150" i="18"/>
  <c r="F379" i="18"/>
  <c r="F120" i="18"/>
  <c r="F569" i="18"/>
  <c r="F132" i="18"/>
  <c r="F391" i="18"/>
  <c r="F581" i="18"/>
  <c r="F127" i="18"/>
  <c r="F576" i="18"/>
  <c r="F386" i="18"/>
  <c r="F146" i="18"/>
  <c r="F405" i="18"/>
  <c r="F595" i="18"/>
  <c r="F610" i="18"/>
  <c r="F420" i="18"/>
  <c r="F161" i="18"/>
  <c r="F384" i="18"/>
  <c r="F574" i="18"/>
  <c r="F125" i="18"/>
  <c r="O780" i="18"/>
  <c r="F414" i="18"/>
  <c r="F604" i="18"/>
  <c r="F155" i="18"/>
  <c r="F371" i="18"/>
  <c r="F112" i="18"/>
  <c r="F561" i="18"/>
  <c r="F121" i="18"/>
  <c r="F570" i="18"/>
  <c r="F380" i="18"/>
  <c r="F152" i="18"/>
  <c r="F601" i="18"/>
  <c r="F411" i="18"/>
  <c r="F180" i="18"/>
  <c r="F439" i="18"/>
  <c r="F629" i="18"/>
  <c r="F162" i="18"/>
  <c r="F611" i="18"/>
  <c r="F421" i="18"/>
  <c r="F575" i="18"/>
  <c r="F385" i="18"/>
  <c r="F126" i="18"/>
  <c r="F592" i="18"/>
  <c r="F402" i="18"/>
  <c r="F143" i="18"/>
  <c r="F441" i="18"/>
  <c r="F631" i="18"/>
  <c r="F182" i="18"/>
  <c r="F448" i="18"/>
  <c r="F638" i="18"/>
  <c r="F189" i="18"/>
  <c r="F572" i="18"/>
  <c r="F382" i="18"/>
  <c r="F123" i="18"/>
  <c r="F586" i="18"/>
  <c r="F396" i="18"/>
  <c r="F137" i="18"/>
  <c r="F564" i="18"/>
  <c r="F115" i="18"/>
  <c r="F374" i="18"/>
  <c r="F372" i="18"/>
  <c r="F562" i="18"/>
  <c r="F113" i="18"/>
  <c r="F614" i="18"/>
  <c r="F424" i="18"/>
  <c r="F165" i="18"/>
  <c r="F111" i="18"/>
  <c r="F370" i="18"/>
  <c r="F560" i="18"/>
  <c r="F628" i="18"/>
  <c r="F438" i="18"/>
  <c r="F179" i="18"/>
  <c r="F389" i="18"/>
  <c r="F130" i="18"/>
  <c r="F579" i="18"/>
  <c r="F159" i="18"/>
  <c r="F418" i="18"/>
  <c r="F608" i="18"/>
  <c r="F142" i="18"/>
  <c r="F401" i="18"/>
  <c r="F591" i="18"/>
  <c r="F590" i="18"/>
  <c r="F400" i="18"/>
  <c r="F141" i="18"/>
  <c r="F619" i="18"/>
  <c r="F429" i="18"/>
  <c r="F170" i="18"/>
  <c r="F110" i="18"/>
  <c r="F369" i="18"/>
  <c r="F559" i="18"/>
  <c r="F160" i="18"/>
  <c r="F609" i="18"/>
  <c r="F419" i="18"/>
  <c r="F589" i="18"/>
  <c r="F140" i="18"/>
  <c r="F399" i="18"/>
  <c r="F185" i="18"/>
  <c r="F634" i="18"/>
  <c r="F444" i="18"/>
  <c r="F367" i="18"/>
  <c r="F108" i="18"/>
  <c r="F557" i="18"/>
  <c r="F632" i="18"/>
  <c r="F183" i="18"/>
  <c r="F442" i="18"/>
  <c r="F149" i="18"/>
  <c r="F598" i="18"/>
  <c r="F408" i="18"/>
  <c r="F393" i="18"/>
  <c r="F134" i="18"/>
  <c r="F583" i="18"/>
  <c r="F174" i="18"/>
  <c r="F433" i="18"/>
  <c r="F623" i="18"/>
  <c r="F422" i="18"/>
  <c r="F612" i="18"/>
  <c r="F163" i="18"/>
  <c r="F128" i="18"/>
  <c r="F387" i="18"/>
  <c r="F577" i="18"/>
  <c r="F437" i="18"/>
  <c r="F178" i="18"/>
  <c r="F627" i="18"/>
  <c r="F403" i="18"/>
  <c r="F144" i="18"/>
  <c r="F593" i="18"/>
  <c r="F617" i="18"/>
  <c r="F168" i="18"/>
  <c r="F427" i="18"/>
  <c r="F129" i="18"/>
  <c r="F578" i="18"/>
  <c r="F388" i="18"/>
  <c r="F556" i="18"/>
  <c r="F366" i="18"/>
  <c r="F107" i="18"/>
  <c r="F394" i="18"/>
  <c r="F584" i="18"/>
  <c r="F135" i="18"/>
  <c r="F188" i="18"/>
  <c r="F637" i="18"/>
  <c r="F447" i="18"/>
  <c r="F131" i="18"/>
  <c r="F390" i="18"/>
  <c r="F580" i="18"/>
  <c r="F639" i="18"/>
  <c r="F449" i="18"/>
  <c r="F190" i="18"/>
  <c r="F138" i="18"/>
  <c r="F397" i="18"/>
  <c r="F587" i="18"/>
  <c r="F187" i="18"/>
  <c r="F446" i="18"/>
  <c r="F636" i="18"/>
  <c r="T272" i="18"/>
  <c r="F118" i="18"/>
  <c r="F567" i="18"/>
  <c r="F377" i="18"/>
  <c r="F124" i="18"/>
  <c r="F573" i="18"/>
  <c r="F383" i="18"/>
  <c r="F563" i="18"/>
  <c r="F373" i="18"/>
  <c r="F114" i="18"/>
  <c r="F423" i="18"/>
  <c r="F613" i="18"/>
  <c r="F164" i="18"/>
  <c r="F406" i="18"/>
  <c r="F147" i="18"/>
  <c r="F596" i="18"/>
  <c r="F407" i="18"/>
  <c r="F148" i="18"/>
  <c r="F597" i="18"/>
  <c r="F435" i="18"/>
  <c r="F176" i="18"/>
  <c r="F625" i="18"/>
  <c r="F436" i="18"/>
  <c r="F177" i="18"/>
  <c r="F626" i="18"/>
  <c r="F558" i="18"/>
  <c r="F368" i="18"/>
  <c r="F109" i="18"/>
  <c r="F431" i="18"/>
  <c r="F172" i="18"/>
  <c r="F621" i="18"/>
  <c r="N780" i="18"/>
  <c r="P780" i="18"/>
  <c r="P808" i="18"/>
  <c r="O808" i="18"/>
  <c r="N808" i="18"/>
  <c r="N793" i="18"/>
  <c r="P793" i="18"/>
  <c r="O793" i="18"/>
  <c r="P768" i="18"/>
  <c r="O768" i="18"/>
  <c r="N768" i="18"/>
  <c r="P741" i="18"/>
  <c r="O741" i="18"/>
  <c r="N741" i="18"/>
  <c r="Q173" i="18" l="1"/>
  <c r="Q582" i="18"/>
  <c r="Q106" i="18"/>
  <c r="Q640" i="18"/>
  <c r="Q450" i="18"/>
  <c r="Q365" i="18"/>
  <c r="Q85" i="18"/>
  <c r="Q392" i="18"/>
  <c r="Q404" i="18"/>
  <c r="Q417" i="18"/>
  <c r="Q594" i="18"/>
  <c r="Q555" i="18"/>
  <c r="P85" i="18"/>
  <c r="Q158" i="18"/>
  <c r="Q145" i="18"/>
  <c r="Q622" i="18"/>
  <c r="Q344" i="18"/>
  <c r="Q133" i="18"/>
  <c r="Q607" i="18"/>
  <c r="Q191" i="18"/>
  <c r="Q432" i="18"/>
  <c r="Q534" i="18"/>
  <c r="R145" i="18"/>
  <c r="R404" i="18"/>
  <c r="R594" i="18"/>
  <c r="R582" i="18"/>
  <c r="R622" i="18"/>
  <c r="R365" i="18"/>
  <c r="R158" i="18"/>
  <c r="R417" i="18"/>
  <c r="R607" i="18"/>
  <c r="R392" i="18"/>
  <c r="R173" i="18"/>
  <c r="R555" i="18"/>
  <c r="R85" i="18"/>
  <c r="R534" i="18"/>
  <c r="R133" i="18"/>
  <c r="R106" i="18"/>
  <c r="R432" i="18"/>
  <c r="R450" i="18"/>
  <c r="R640" i="18"/>
  <c r="R191" i="18"/>
  <c r="S344" i="18"/>
  <c r="R344" i="18"/>
  <c r="P450" i="18"/>
  <c r="S534" i="18"/>
  <c r="N191" i="18"/>
  <c r="T278" i="18"/>
  <c r="N344" i="18"/>
  <c r="T344" i="18" s="1"/>
  <c r="P344" i="18"/>
  <c r="V344" i="18" s="1"/>
  <c r="O344" i="18"/>
  <c r="N640" i="18"/>
  <c r="P534" i="18"/>
  <c r="O534" i="18"/>
  <c r="N450" i="18"/>
  <c r="O450" i="18"/>
  <c r="S640" i="18"/>
  <c r="S450" i="18"/>
  <c r="S85" i="18"/>
  <c r="O85" i="18"/>
  <c r="N85" i="18"/>
  <c r="V272" i="18"/>
  <c r="N534" i="18"/>
  <c r="S191" i="18"/>
  <c r="P191" i="18"/>
  <c r="O191" i="18"/>
  <c r="U272" i="18"/>
  <c r="P640" i="18"/>
  <c r="V18" i="18"/>
  <c r="O640" i="18"/>
  <c r="P173" i="18"/>
  <c r="S173" i="18"/>
  <c r="O173" i="18"/>
  <c r="N173" i="18"/>
  <c r="V278" i="18"/>
  <c r="O582" i="18"/>
  <c r="S582" i="18"/>
  <c r="N582" i="18"/>
  <c r="P582" i="18"/>
  <c r="O392" i="18"/>
  <c r="P392" i="18"/>
  <c r="N392" i="18"/>
  <c r="S392" i="18"/>
  <c r="N106" i="18"/>
  <c r="O106" i="18"/>
  <c r="P106" i="18"/>
  <c r="S106" i="18"/>
  <c r="P607" i="18"/>
  <c r="N607" i="18"/>
  <c r="O607" i="18"/>
  <c r="S607" i="18"/>
  <c r="O365" i="18"/>
  <c r="P365" i="18"/>
  <c r="N365" i="18"/>
  <c r="S365" i="18"/>
  <c r="O417" i="18"/>
  <c r="S417" i="18"/>
  <c r="N417" i="18"/>
  <c r="P417" i="18"/>
  <c r="P404" i="18"/>
  <c r="S404" i="18"/>
  <c r="N404" i="18"/>
  <c r="O404" i="18"/>
  <c r="T18" i="18"/>
  <c r="N432" i="18"/>
  <c r="O432" i="18"/>
  <c r="P432" i="18"/>
  <c r="S432" i="18"/>
  <c r="V13" i="18"/>
  <c r="P594" i="18"/>
  <c r="S594" i="18"/>
  <c r="N594" i="18"/>
  <c r="O594" i="18"/>
  <c r="O555" i="18"/>
  <c r="P555" i="18"/>
  <c r="N555" i="18"/>
  <c r="S555" i="18"/>
  <c r="S158" i="18"/>
  <c r="N158" i="18"/>
  <c r="O158" i="18"/>
  <c r="P158" i="18"/>
  <c r="U18" i="18"/>
  <c r="P622" i="18"/>
  <c r="N622" i="18"/>
  <c r="O622" i="18"/>
  <c r="S622" i="18"/>
  <c r="N133" i="18"/>
  <c r="O133" i="18"/>
  <c r="S133" i="18"/>
  <c r="P133" i="18"/>
  <c r="U278" i="18"/>
  <c r="U12" i="18"/>
  <c r="N145" i="18"/>
  <c r="O145" i="18"/>
  <c r="P145" i="18"/>
  <c r="S145" i="18"/>
  <c r="T12" i="18"/>
  <c r="V12" i="18"/>
  <c r="V740" i="18"/>
  <c r="U740" i="18"/>
  <c r="T740" i="18"/>
  <c r="V739" i="18"/>
  <c r="U739" i="18"/>
  <c r="T739" i="18"/>
  <c r="V738" i="18"/>
  <c r="U738" i="18"/>
  <c r="T738" i="18"/>
  <c r="V737" i="18"/>
  <c r="U737" i="18"/>
  <c r="T737" i="18"/>
  <c r="V736" i="18"/>
  <c r="U736" i="18"/>
  <c r="T736" i="18"/>
  <c r="V735" i="18"/>
  <c r="U735" i="18"/>
  <c r="T735" i="18"/>
  <c r="V734" i="18"/>
  <c r="U734" i="18"/>
  <c r="T734" i="18"/>
  <c r="V733" i="18"/>
  <c r="U733" i="18"/>
  <c r="T733" i="18"/>
  <c r="V732" i="18"/>
  <c r="U732" i="18"/>
  <c r="T732" i="18"/>
  <c r="V731" i="18"/>
  <c r="U731" i="18"/>
  <c r="T731" i="18"/>
  <c r="V730" i="18"/>
  <c r="U730" i="18"/>
  <c r="T730" i="18"/>
  <c r="V729" i="18"/>
  <c r="U729" i="18"/>
  <c r="T729" i="18"/>
  <c r="V728" i="18"/>
  <c r="U728" i="18"/>
  <c r="T728" i="18"/>
  <c r="V727" i="18"/>
  <c r="U727" i="18"/>
  <c r="T727" i="18"/>
  <c r="V726" i="18"/>
  <c r="U726" i="18"/>
  <c r="T726" i="18"/>
  <c r="V725" i="18"/>
  <c r="U725" i="18"/>
  <c r="T725" i="18"/>
  <c r="V724" i="18"/>
  <c r="U724" i="18"/>
  <c r="T724" i="18"/>
  <c r="V723" i="18"/>
  <c r="U723" i="18"/>
  <c r="T723" i="18"/>
  <c r="V722" i="18"/>
  <c r="U722" i="18"/>
  <c r="T722" i="18"/>
  <c r="V721" i="18"/>
  <c r="U721" i="18"/>
  <c r="T721" i="18"/>
  <c r="W582" i="18" l="1"/>
  <c r="W191" i="18"/>
  <c r="W106" i="18"/>
  <c r="R84" i="18"/>
  <c r="V534" i="18"/>
  <c r="W344" i="18"/>
  <c r="Q84" i="18"/>
  <c r="U640" i="18"/>
  <c r="W173" i="18"/>
  <c r="V640" i="18"/>
  <c r="W392" i="18"/>
  <c r="W640" i="18"/>
  <c r="V450" i="18"/>
  <c r="W158" i="18"/>
  <c r="W417" i="18"/>
  <c r="W607" i="18"/>
  <c r="W555" i="18"/>
  <c r="W85" i="18"/>
  <c r="W133" i="18"/>
  <c r="W432" i="18"/>
  <c r="W450" i="18"/>
  <c r="U344" i="18"/>
  <c r="U534" i="18"/>
  <c r="T534" i="18"/>
  <c r="W145" i="18"/>
  <c r="W404" i="18"/>
  <c r="W594" i="18"/>
  <c r="W622" i="18"/>
  <c r="W365" i="18"/>
  <c r="W534" i="18"/>
  <c r="T640" i="18"/>
  <c r="U450" i="18"/>
  <c r="T450" i="18"/>
  <c r="V275" i="18"/>
  <c r="P84" i="18"/>
  <c r="N84" i="18"/>
  <c r="S84" i="18"/>
  <c r="W84" i="18" s="1"/>
  <c r="T85" i="18"/>
  <c r="U85" i="18"/>
  <c r="O84" i="18"/>
  <c r="V85" i="18"/>
  <c r="U191" i="18"/>
  <c r="T191" i="18"/>
  <c r="V191" i="18"/>
  <c r="U173" i="18"/>
  <c r="V582" i="18"/>
  <c r="U594" i="18"/>
  <c r="T582" i="18"/>
  <c r="T17" i="18"/>
  <c r="V274" i="18"/>
  <c r="T158" i="18"/>
  <c r="U404" i="18"/>
  <c r="T404" i="18"/>
  <c r="U158" i="18"/>
  <c r="V277" i="18"/>
  <c r="T274" i="18"/>
  <c r="U582" i="18"/>
  <c r="U145" i="18"/>
  <c r="V145" i="18"/>
  <c r="U274" i="18"/>
  <c r="U277" i="18"/>
  <c r="U106" i="18"/>
  <c r="U15" i="18"/>
  <c r="T106" i="18"/>
  <c r="V273" i="18"/>
  <c r="V133" i="18"/>
  <c r="V106" i="18"/>
  <c r="U133" i="18"/>
  <c r="T594" i="18"/>
  <c r="T365" i="18"/>
  <c r="T145" i="18"/>
  <c r="V158" i="18"/>
  <c r="V594" i="18"/>
  <c r="U365" i="18"/>
  <c r="T277" i="18"/>
  <c r="U392" i="18"/>
  <c r="T173" i="18"/>
  <c r="U417" i="18"/>
  <c r="T607" i="18"/>
  <c r="U432" i="18"/>
  <c r="U607" i="18"/>
  <c r="U13" i="18"/>
  <c r="T432" i="18"/>
  <c r="V607" i="18"/>
  <c r="T273" i="18"/>
  <c r="T392" i="18"/>
  <c r="T276" i="18"/>
  <c r="V404" i="18"/>
  <c r="T555" i="18"/>
  <c r="T13" i="18"/>
  <c r="V365" i="18"/>
  <c r="U276" i="18"/>
  <c r="U622" i="18"/>
  <c r="V432" i="18"/>
  <c r="U16" i="18"/>
  <c r="V276" i="18"/>
  <c r="V173" i="18"/>
  <c r="T16" i="18"/>
  <c r="V555" i="18"/>
  <c r="V14" i="18"/>
  <c r="U273" i="18"/>
  <c r="T15" i="18"/>
  <c r="T133" i="18"/>
  <c r="T622" i="18"/>
  <c r="V622" i="18"/>
  <c r="V16" i="18"/>
  <c r="U555" i="18"/>
  <c r="V17" i="18"/>
  <c r="V417" i="18"/>
  <c r="U14" i="18"/>
  <c r="T275" i="18"/>
  <c r="V15" i="18"/>
  <c r="V392" i="18"/>
  <c r="U275" i="18"/>
  <c r="U17" i="18"/>
  <c r="T417" i="18"/>
  <c r="T14" i="18"/>
  <c r="V911" i="18"/>
  <c r="U911" i="18"/>
  <c r="T911" i="18"/>
  <c r="V910" i="18"/>
  <c r="U910" i="18"/>
  <c r="T910" i="18"/>
  <c r="V908" i="18"/>
  <c r="U908" i="18"/>
  <c r="T908" i="18"/>
  <c r="V907" i="18"/>
  <c r="U907" i="18"/>
  <c r="T907" i="18"/>
  <c r="V906" i="18"/>
  <c r="U906" i="18"/>
  <c r="T906" i="18"/>
  <c r="V905" i="18"/>
  <c r="U905" i="18"/>
  <c r="T905" i="18"/>
  <c r="V903" i="18"/>
  <c r="U903" i="18"/>
  <c r="T903" i="18"/>
  <c r="V902" i="18"/>
  <c r="U902" i="18"/>
  <c r="T902" i="18"/>
  <c r="V901" i="18"/>
  <c r="U901" i="18"/>
  <c r="T901" i="18"/>
  <c r="V900" i="18"/>
  <c r="U900" i="18"/>
  <c r="T900" i="18"/>
  <c r="V899" i="18"/>
  <c r="U899" i="18"/>
  <c r="T899" i="18"/>
  <c r="V898" i="18"/>
  <c r="U898" i="18"/>
  <c r="T898" i="18"/>
  <c r="V897" i="18"/>
  <c r="U897" i="18"/>
  <c r="T897" i="18"/>
  <c r="V896" i="18"/>
  <c r="U896" i="18"/>
  <c r="T896" i="18"/>
  <c r="V895" i="18"/>
  <c r="U895" i="18"/>
  <c r="T895" i="18"/>
  <c r="V894" i="18"/>
  <c r="U894" i="18"/>
  <c r="T894" i="18"/>
  <c r="V893" i="18"/>
  <c r="U893" i="18"/>
  <c r="T893" i="18"/>
  <c r="V892" i="18"/>
  <c r="U892" i="18"/>
  <c r="T892" i="18"/>
  <c r="V890" i="18"/>
  <c r="U890" i="18"/>
  <c r="T890" i="18"/>
  <c r="V888" i="18"/>
  <c r="U888" i="18"/>
  <c r="T888" i="18"/>
  <c r="V887" i="18"/>
  <c r="U887" i="18"/>
  <c r="T887" i="18"/>
  <c r="V886" i="18"/>
  <c r="U886" i="18"/>
  <c r="T886" i="18"/>
  <c r="V884" i="18"/>
  <c r="U884" i="18"/>
  <c r="T884" i="18"/>
  <c r="V883" i="18"/>
  <c r="U883" i="18"/>
  <c r="T883" i="18"/>
  <c r="V882" i="18"/>
  <c r="U882" i="18"/>
  <c r="T882" i="18"/>
  <c r="V881" i="18"/>
  <c r="U881" i="18"/>
  <c r="T881" i="18"/>
  <c r="V880" i="18"/>
  <c r="U880" i="18"/>
  <c r="T880" i="18"/>
  <c r="V878" i="18"/>
  <c r="U878" i="18"/>
  <c r="T878" i="18"/>
  <c r="V877" i="18"/>
  <c r="U877" i="18"/>
  <c r="T877" i="18"/>
  <c r="V876" i="18"/>
  <c r="U876" i="18"/>
  <c r="T876" i="18"/>
  <c r="V875" i="18"/>
  <c r="U875" i="18"/>
  <c r="T875" i="18"/>
  <c r="V874" i="18"/>
  <c r="U874" i="18"/>
  <c r="T874" i="18"/>
  <c r="V873" i="18"/>
  <c r="U873" i="18"/>
  <c r="T873" i="18"/>
  <c r="V872" i="18"/>
  <c r="U872" i="18"/>
  <c r="T872" i="18"/>
  <c r="V870" i="18"/>
  <c r="U870" i="18"/>
  <c r="T870" i="18"/>
  <c r="V868" i="18"/>
  <c r="U868" i="18"/>
  <c r="T868" i="18"/>
  <c r="V867" i="18"/>
  <c r="U867" i="18"/>
  <c r="T867" i="18"/>
  <c r="V866" i="18"/>
  <c r="U866" i="18"/>
  <c r="T866" i="18"/>
  <c r="V865" i="18"/>
  <c r="U865" i="18"/>
  <c r="T865" i="18"/>
  <c r="V864" i="18"/>
  <c r="U864" i="18"/>
  <c r="T864" i="18"/>
  <c r="V863" i="18"/>
  <c r="U863" i="18"/>
  <c r="T863" i="18"/>
  <c r="V862" i="18"/>
  <c r="U862" i="18"/>
  <c r="T862" i="18"/>
  <c r="V861" i="18"/>
  <c r="U861" i="18"/>
  <c r="T861" i="18"/>
  <c r="V860" i="18"/>
  <c r="U860" i="18"/>
  <c r="T860" i="18"/>
  <c r="V857" i="18"/>
  <c r="U857" i="18"/>
  <c r="T857" i="18"/>
  <c r="V856" i="18"/>
  <c r="U856" i="18"/>
  <c r="T856" i="18"/>
  <c r="V855" i="18"/>
  <c r="U855" i="18"/>
  <c r="T855" i="18"/>
  <c r="V854" i="18"/>
  <c r="U854" i="18"/>
  <c r="T854" i="18"/>
  <c r="V853" i="18"/>
  <c r="U853" i="18"/>
  <c r="T853" i="18"/>
  <c r="V852" i="18"/>
  <c r="U852" i="18"/>
  <c r="T852" i="18"/>
  <c r="V851" i="18"/>
  <c r="U851" i="18"/>
  <c r="T851" i="18"/>
  <c r="V850" i="18"/>
  <c r="U850" i="18"/>
  <c r="T850" i="18"/>
  <c r="V849" i="18"/>
  <c r="U849" i="18"/>
  <c r="T849" i="18"/>
  <c r="V848" i="18"/>
  <c r="U848" i="18"/>
  <c r="T848" i="18"/>
  <c r="V847" i="18"/>
  <c r="U847" i="18"/>
  <c r="T847" i="18"/>
  <c r="V846" i="18"/>
  <c r="U846" i="18"/>
  <c r="T846" i="18"/>
  <c r="V845" i="18"/>
  <c r="U845" i="18"/>
  <c r="T845" i="18"/>
  <c r="V844" i="18"/>
  <c r="U844" i="18"/>
  <c r="T844" i="18"/>
  <c r="V843" i="18"/>
  <c r="U843" i="18"/>
  <c r="T843" i="18"/>
  <c r="V841" i="18"/>
  <c r="U841" i="18"/>
  <c r="T841" i="18"/>
  <c r="V826" i="18"/>
  <c r="V808" i="18"/>
  <c r="V793" i="18"/>
  <c r="V780" i="18"/>
  <c r="V768" i="18"/>
  <c r="V741" i="18"/>
  <c r="V720" i="18"/>
  <c r="V531" i="18"/>
  <c r="U531" i="18"/>
  <c r="T531" i="18"/>
  <c r="V530" i="18"/>
  <c r="U530" i="18"/>
  <c r="T530" i="18"/>
  <c r="V269" i="18"/>
  <c r="U269" i="18"/>
  <c r="T269" i="18"/>
  <c r="E891" i="18"/>
  <c r="S889" i="18"/>
  <c r="P889" i="18"/>
  <c r="V889" i="18" s="1"/>
  <c r="O889" i="18"/>
  <c r="U889" i="18" s="1"/>
  <c r="N889" i="18"/>
  <c r="T889" i="18" s="1"/>
  <c r="E889" i="18"/>
  <c r="F890" i="18" s="1"/>
  <c r="F328" i="18" l="1"/>
  <c r="F254" i="18"/>
  <c r="F704" i="18"/>
  <c r="F514" i="18"/>
  <c r="E859" i="18"/>
  <c r="F869" i="18" s="1"/>
  <c r="E871" i="18"/>
  <c r="E879" i="18"/>
  <c r="E885" i="18"/>
  <c r="G718" i="18"/>
  <c r="R513" i="18" l="1"/>
  <c r="W513" i="18" s="1"/>
  <c r="Q513" i="18"/>
  <c r="R703" i="18"/>
  <c r="W703" i="18" s="1"/>
  <c r="Q703" i="18"/>
  <c r="R253" i="18"/>
  <c r="Q253" i="18"/>
  <c r="R327" i="18"/>
  <c r="W327" i="18" s="1"/>
  <c r="Q327" i="18"/>
  <c r="N513" i="18"/>
  <c r="O513" i="18"/>
  <c r="P513" i="18"/>
  <c r="S513" i="18"/>
  <c r="P703" i="18"/>
  <c r="V703" i="18" s="1"/>
  <c r="O703" i="18"/>
  <c r="U703" i="18" s="1"/>
  <c r="N703" i="18"/>
  <c r="T703" i="18" s="1"/>
  <c r="S703" i="18"/>
  <c r="P253" i="18"/>
  <c r="S253" i="18"/>
  <c r="W253" i="18" s="1"/>
  <c r="N253" i="18"/>
  <c r="O253" i="18"/>
  <c r="O327" i="18"/>
  <c r="N327" i="18"/>
  <c r="S327" i="18"/>
  <c r="P327" i="18"/>
  <c r="E858" i="18"/>
  <c r="F871" i="18" s="1"/>
  <c r="U253" i="18" l="1"/>
  <c r="T253" i="18"/>
  <c r="V327" i="18"/>
  <c r="T327" i="18"/>
  <c r="U327" i="18"/>
  <c r="V513" i="18"/>
  <c r="V253" i="18"/>
  <c r="U513" i="18"/>
  <c r="F309" i="18"/>
  <c r="F235" i="18"/>
  <c r="F495" i="18"/>
  <c r="F685" i="18"/>
  <c r="T513" i="18"/>
  <c r="F859" i="18"/>
  <c r="F888" i="18"/>
  <c r="F887" i="18"/>
  <c r="F886" i="18"/>
  <c r="Q885" i="18" s="1"/>
  <c r="F884" i="18"/>
  <c r="F883" i="18"/>
  <c r="F882" i="18"/>
  <c r="F881" i="18"/>
  <c r="F880" i="18"/>
  <c r="F878" i="18"/>
  <c r="F877" i="18"/>
  <c r="F876" i="18"/>
  <c r="F875" i="18"/>
  <c r="F874" i="18"/>
  <c r="F873" i="18"/>
  <c r="F872" i="18"/>
  <c r="F870" i="18"/>
  <c r="F868" i="18"/>
  <c r="F867" i="18"/>
  <c r="F866" i="18"/>
  <c r="F865" i="18"/>
  <c r="F864" i="18"/>
  <c r="F863" i="18"/>
  <c r="F862" i="18"/>
  <c r="F861" i="18"/>
  <c r="F885" i="18"/>
  <c r="F879" i="18"/>
  <c r="E842" i="18"/>
  <c r="E718" i="18" s="1"/>
  <c r="G869" i="18" s="1"/>
  <c r="F841" i="18"/>
  <c r="F860" i="18"/>
  <c r="Q879" i="18" l="1"/>
  <c r="R879" i="18"/>
  <c r="Q859" i="18"/>
  <c r="R871" i="18"/>
  <c r="Q871" i="18"/>
  <c r="Q858" i="18" s="1"/>
  <c r="R885" i="18"/>
  <c r="R859" i="18"/>
  <c r="W859" i="18" s="1"/>
  <c r="G825" i="18"/>
  <c r="E528" i="18"/>
  <c r="E6" i="18" s="1"/>
  <c r="F240" i="18"/>
  <c r="F500" i="18"/>
  <c r="F314" i="18"/>
  <c r="F690" i="18"/>
  <c r="F698" i="18"/>
  <c r="F508" i="18"/>
  <c r="F248" i="18"/>
  <c r="F322" i="18"/>
  <c r="F501" i="18"/>
  <c r="F241" i="18"/>
  <c r="F691" i="18"/>
  <c r="F315" i="18"/>
  <c r="F695" i="18"/>
  <c r="F505" i="18"/>
  <c r="F319" i="18"/>
  <c r="F245" i="18"/>
  <c r="F510" i="18"/>
  <c r="F250" i="18"/>
  <c r="F324" i="18"/>
  <c r="F700" i="18"/>
  <c r="F251" i="18"/>
  <c r="F701" i="18"/>
  <c r="F511" i="18"/>
  <c r="F325" i="18"/>
  <c r="F243" i="18"/>
  <c r="F317" i="18"/>
  <c r="F503" i="18"/>
  <c r="F693" i="18"/>
  <c r="F242" i="18"/>
  <c r="F502" i="18"/>
  <c r="F692" i="18"/>
  <c r="F316" i="18"/>
  <c r="F504" i="18"/>
  <c r="F244" i="18"/>
  <c r="F694" i="18"/>
  <c r="F318" i="18"/>
  <c r="F507" i="18"/>
  <c r="F697" i="18"/>
  <c r="F321" i="18"/>
  <c r="F247" i="18"/>
  <c r="F674" i="18"/>
  <c r="F224" i="18"/>
  <c r="F484" i="18"/>
  <c r="F298" i="18"/>
  <c r="F512" i="18"/>
  <c r="F326" i="18"/>
  <c r="F702" i="18"/>
  <c r="F252" i="18"/>
  <c r="F323" i="18"/>
  <c r="F249" i="18"/>
  <c r="F699" i="18"/>
  <c r="F509" i="18"/>
  <c r="F689" i="18"/>
  <c r="F499" i="18"/>
  <c r="F313" i="18"/>
  <c r="F239" i="18"/>
  <c r="F246" i="18"/>
  <c r="F696" i="18"/>
  <c r="F320" i="18"/>
  <c r="F506" i="18"/>
  <c r="F465" i="18"/>
  <c r="F655" i="18"/>
  <c r="F279" i="18"/>
  <c r="F223" i="18"/>
  <c r="F483" i="18"/>
  <c r="F297" i="18"/>
  <c r="F673" i="18"/>
  <c r="F228" i="18"/>
  <c r="F488" i="18"/>
  <c r="F678" i="18"/>
  <c r="F302" i="18"/>
  <c r="F230" i="18"/>
  <c r="F304" i="18"/>
  <c r="F490" i="18"/>
  <c r="F680" i="18"/>
  <c r="F688" i="18"/>
  <c r="F312" i="18"/>
  <c r="F498" i="18"/>
  <c r="F238" i="18"/>
  <c r="F485" i="18"/>
  <c r="F675" i="18"/>
  <c r="F299" i="18"/>
  <c r="F225" i="18"/>
  <c r="F486" i="18"/>
  <c r="F676" i="18"/>
  <c r="F226" i="18"/>
  <c r="F300" i="18"/>
  <c r="F487" i="18"/>
  <c r="F677" i="18"/>
  <c r="F301" i="18"/>
  <c r="F227" i="18"/>
  <c r="F229" i="18"/>
  <c r="F303" i="18"/>
  <c r="F679" i="18"/>
  <c r="F489" i="18"/>
  <c r="F681" i="18"/>
  <c r="F491" i="18"/>
  <c r="F231" i="18"/>
  <c r="F305" i="18"/>
  <c r="F232" i="18"/>
  <c r="F306" i="18"/>
  <c r="F492" i="18"/>
  <c r="F682" i="18"/>
  <c r="F493" i="18"/>
  <c r="F683" i="18"/>
  <c r="F307" i="18"/>
  <c r="F233" i="18"/>
  <c r="F684" i="18"/>
  <c r="F494" i="18"/>
  <c r="F234" i="18"/>
  <c r="F308" i="18"/>
  <c r="F310" i="18"/>
  <c r="F686" i="18"/>
  <c r="F496" i="18"/>
  <c r="F236" i="18"/>
  <c r="F311" i="18"/>
  <c r="F497" i="18"/>
  <c r="F237" i="18"/>
  <c r="F687" i="18"/>
  <c r="G834" i="18"/>
  <c r="G771" i="18"/>
  <c r="G783" i="18"/>
  <c r="G831" i="18"/>
  <c r="G835" i="18"/>
  <c r="G811" i="18"/>
  <c r="G819" i="18"/>
  <c r="G812" i="18"/>
  <c r="G788" i="18"/>
  <c r="G800" i="18"/>
  <c r="G797" i="18"/>
  <c r="G789" i="18"/>
  <c r="G782" i="18"/>
  <c r="G770" i="18"/>
  <c r="G837" i="18"/>
  <c r="G817" i="18"/>
  <c r="G795" i="18"/>
  <c r="G779" i="18"/>
  <c r="G776" i="18"/>
  <c r="G809" i="18"/>
  <c r="G805" i="18"/>
  <c r="G827" i="18"/>
  <c r="G838" i="18"/>
  <c r="G775" i="18"/>
  <c r="G822" i="18"/>
  <c r="G828" i="18"/>
  <c r="G815" i="18"/>
  <c r="G807" i="18"/>
  <c r="G804" i="18"/>
  <c r="G792" i="18"/>
  <c r="G773" i="18"/>
  <c r="G833" i="18"/>
  <c r="G824" i="18"/>
  <c r="G821" i="18"/>
  <c r="G814" i="18"/>
  <c r="G799" i="18"/>
  <c r="G784" i="18"/>
  <c r="G832" i="18"/>
  <c r="G813" i="18"/>
  <c r="G778" i="18"/>
  <c r="G818" i="18"/>
  <c r="G796" i="18"/>
  <c r="G781" i="18"/>
  <c r="G785" i="18"/>
  <c r="G840" i="18"/>
  <c r="G774" i="18"/>
  <c r="G806" i="18"/>
  <c r="G787" i="18"/>
  <c r="G772" i="18"/>
  <c r="G769" i="18"/>
  <c r="G820" i="18"/>
  <c r="G786" i="18"/>
  <c r="G830" i="18"/>
  <c r="G829" i="18"/>
  <c r="G790" i="18"/>
  <c r="G803" i="18"/>
  <c r="G802" i="18"/>
  <c r="G839" i="18"/>
  <c r="G801" i="18"/>
  <c r="G777" i="18"/>
  <c r="G791" i="18"/>
  <c r="G836" i="18"/>
  <c r="G794" i="18"/>
  <c r="G810" i="18"/>
  <c r="G823" i="18"/>
  <c r="G798" i="18"/>
  <c r="G816" i="18"/>
  <c r="G721" i="18"/>
  <c r="G750" i="18"/>
  <c r="G767" i="18"/>
  <c r="G760" i="18"/>
  <c r="G753" i="18"/>
  <c r="G746" i="18"/>
  <c r="G759" i="18"/>
  <c r="G757" i="18"/>
  <c r="G748" i="18"/>
  <c r="G752" i="18"/>
  <c r="G765" i="18"/>
  <c r="G751" i="18"/>
  <c r="G747" i="18"/>
  <c r="G763" i="18"/>
  <c r="G749" i="18"/>
  <c r="G762" i="18"/>
  <c r="G764" i="18"/>
  <c r="G745" i="18"/>
  <c r="G766" i="18"/>
  <c r="G758" i="18"/>
  <c r="G743" i="18"/>
  <c r="G756" i="18"/>
  <c r="G761" i="18"/>
  <c r="G754" i="18"/>
  <c r="G742" i="18"/>
  <c r="G755" i="18"/>
  <c r="G744" i="18"/>
  <c r="G740" i="18"/>
  <c r="G738" i="18"/>
  <c r="G734" i="18"/>
  <c r="G732" i="18"/>
  <c r="G729" i="18"/>
  <c r="G727" i="18"/>
  <c r="G726" i="18"/>
  <c r="G723" i="18"/>
  <c r="G737" i="18"/>
  <c r="G739" i="18"/>
  <c r="G736" i="18"/>
  <c r="G733" i="18"/>
  <c r="G730" i="18"/>
  <c r="G728" i="18"/>
  <c r="G725" i="18"/>
  <c r="G722" i="18"/>
  <c r="G731" i="18"/>
  <c r="G724" i="18"/>
  <c r="G735" i="18"/>
  <c r="G905" i="18"/>
  <c r="G890" i="18"/>
  <c r="G873" i="18"/>
  <c r="G843" i="18"/>
  <c r="G902" i="18"/>
  <c r="G842" i="18"/>
  <c r="G844" i="18"/>
  <c r="G903" i="18"/>
  <c r="G872" i="18"/>
  <c r="G841" i="18"/>
  <c r="G870" i="18"/>
  <c r="F719" i="18"/>
  <c r="G859" i="18"/>
  <c r="G871" i="18"/>
  <c r="G848" i="18"/>
  <c r="G911" i="18"/>
  <c r="F847" i="18"/>
  <c r="G853" i="18"/>
  <c r="G884" i="18"/>
  <c r="F851" i="18"/>
  <c r="G886" i="18"/>
  <c r="F853" i="18"/>
  <c r="G861" i="18"/>
  <c r="F857" i="18"/>
  <c r="G780" i="18"/>
  <c r="G866" i="18"/>
  <c r="G898" i="18"/>
  <c r="G845" i="18"/>
  <c r="G876" i="18"/>
  <c r="G847" i="18"/>
  <c r="G877" i="18"/>
  <c r="F844" i="18"/>
  <c r="G849" i="18"/>
  <c r="G880" i="18"/>
  <c r="G851" i="18"/>
  <c r="G852" i="18"/>
  <c r="G883" i="18"/>
  <c r="F850" i="18"/>
  <c r="F852" i="18"/>
  <c r="G858" i="18"/>
  <c r="F855" i="18"/>
  <c r="G894" i="18"/>
  <c r="G863" i="18"/>
  <c r="G896" i="18"/>
  <c r="G768" i="18"/>
  <c r="G793" i="18"/>
  <c r="G867" i="18"/>
  <c r="G899" i="18"/>
  <c r="G874" i="18"/>
  <c r="G875" i="18"/>
  <c r="G906" i="18"/>
  <c r="G846" i="18"/>
  <c r="G908" i="18"/>
  <c r="G878" i="18"/>
  <c r="G910" i="18"/>
  <c r="F846" i="18"/>
  <c r="F858" i="18"/>
  <c r="G882" i="18"/>
  <c r="F849" i="18"/>
  <c r="G855" i="18"/>
  <c r="G856" i="18"/>
  <c r="G887" i="18"/>
  <c r="G888" i="18"/>
  <c r="G893" i="18"/>
  <c r="G895" i="18"/>
  <c r="G741" i="18"/>
  <c r="G864" i="18"/>
  <c r="G897" i="18"/>
  <c r="G808" i="18"/>
  <c r="G868" i="18"/>
  <c r="G900" i="18"/>
  <c r="G907" i="18"/>
  <c r="F845" i="18"/>
  <c r="G879" i="18"/>
  <c r="G850" i="18"/>
  <c r="G881" i="18"/>
  <c r="F848" i="18"/>
  <c r="G854" i="18"/>
  <c r="G885" i="18"/>
  <c r="G857" i="18"/>
  <c r="F854" i="18"/>
  <c r="G860" i="18"/>
  <c r="G892" i="18"/>
  <c r="F856" i="18"/>
  <c r="G862" i="18"/>
  <c r="G720" i="18"/>
  <c r="G865" i="18"/>
  <c r="G826" i="18"/>
  <c r="G901" i="18"/>
  <c r="S871" i="18"/>
  <c r="W871" i="18" s="1"/>
  <c r="O871" i="18"/>
  <c r="U871" i="18" s="1"/>
  <c r="N871" i="18"/>
  <c r="T871" i="18" s="1"/>
  <c r="P871" i="18"/>
  <c r="V871" i="18" s="1"/>
  <c r="S859" i="18"/>
  <c r="N859" i="18"/>
  <c r="T859" i="18" s="1"/>
  <c r="F842" i="18"/>
  <c r="F843" i="18"/>
  <c r="F720" i="18"/>
  <c r="F741" i="18"/>
  <c r="F768" i="18"/>
  <c r="F780" i="18"/>
  <c r="F793" i="18"/>
  <c r="F808" i="18"/>
  <c r="F826" i="18"/>
  <c r="O859" i="18"/>
  <c r="U859" i="18" s="1"/>
  <c r="P859" i="18"/>
  <c r="V859" i="18" s="1"/>
  <c r="Q509" i="18" l="1"/>
  <c r="Q842" i="18"/>
  <c r="Q323" i="18"/>
  <c r="Q699" i="18"/>
  <c r="Q483" i="18"/>
  <c r="Q673" i="18"/>
  <c r="Q249" i="18"/>
  <c r="Q693" i="18"/>
  <c r="Q235" i="18"/>
  <c r="Q503" i="18"/>
  <c r="Q495" i="18"/>
  <c r="R297" i="18"/>
  <c r="Q297" i="18"/>
  <c r="Q317" i="18"/>
  <c r="Q243" i="18"/>
  <c r="Q685" i="18"/>
  <c r="Q223" i="18"/>
  <c r="Q309" i="18"/>
  <c r="Q719" i="18"/>
  <c r="Q718" i="18" s="1"/>
  <c r="R509" i="18"/>
  <c r="R249" i="18"/>
  <c r="R323" i="18"/>
  <c r="R699" i="18"/>
  <c r="W699" i="18" s="1"/>
  <c r="R503" i="18"/>
  <c r="R243" i="18"/>
  <c r="R317" i="18"/>
  <c r="R223" i="18"/>
  <c r="R235" i="18"/>
  <c r="R685" i="18"/>
  <c r="W685" i="18" s="1"/>
  <c r="R309" i="18"/>
  <c r="R842" i="18"/>
  <c r="R719" i="18"/>
  <c r="R693" i="18"/>
  <c r="W693" i="18" s="1"/>
  <c r="R673" i="18"/>
  <c r="W673" i="18" s="1"/>
  <c r="R483" i="18"/>
  <c r="R495" i="18"/>
  <c r="N249" i="18"/>
  <c r="O249" i="18"/>
  <c r="P249" i="18"/>
  <c r="S249" i="18"/>
  <c r="F670" i="18"/>
  <c r="F480" i="18"/>
  <c r="F294" i="18"/>
  <c r="F33" i="18"/>
  <c r="F220" i="18"/>
  <c r="O503" i="18"/>
  <c r="S503" i="18"/>
  <c r="N503" i="18"/>
  <c r="P503" i="18"/>
  <c r="F295" i="18"/>
  <c r="F221" i="18"/>
  <c r="F671" i="18"/>
  <c r="F481" i="18"/>
  <c r="F34" i="18"/>
  <c r="F291" i="18"/>
  <c r="F667" i="18"/>
  <c r="F217" i="18"/>
  <c r="F477" i="18"/>
  <c r="F30" i="18"/>
  <c r="S235" i="18"/>
  <c r="N235" i="18"/>
  <c r="O235" i="18"/>
  <c r="P235" i="18"/>
  <c r="O495" i="18"/>
  <c r="N495" i="18"/>
  <c r="P495" i="18"/>
  <c r="S495" i="18"/>
  <c r="N685" i="18"/>
  <c r="O685" i="18"/>
  <c r="P685" i="18"/>
  <c r="S685" i="18"/>
  <c r="P309" i="18"/>
  <c r="S309" i="18"/>
  <c r="N309" i="18"/>
  <c r="O309" i="18"/>
  <c r="P36" i="18"/>
  <c r="S36" i="18"/>
  <c r="W36" i="18" s="1"/>
  <c r="N36" i="18"/>
  <c r="O36" i="18"/>
  <c r="N693" i="18"/>
  <c r="O693" i="18"/>
  <c r="P693" i="18"/>
  <c r="S693" i="18"/>
  <c r="F21" i="18"/>
  <c r="F468" i="18"/>
  <c r="F658" i="18"/>
  <c r="F282" i="18"/>
  <c r="F208" i="18"/>
  <c r="N48" i="18"/>
  <c r="O48" i="18"/>
  <c r="P48" i="18"/>
  <c r="S48" i="18"/>
  <c r="W48" i="18" s="1"/>
  <c r="F211" i="18"/>
  <c r="F24" i="18"/>
  <c r="F661" i="18"/>
  <c r="F471" i="18"/>
  <c r="F285" i="18"/>
  <c r="O223" i="18"/>
  <c r="P223" i="18"/>
  <c r="S223" i="18"/>
  <c r="N223" i="18"/>
  <c r="F469" i="18"/>
  <c r="F22" i="18"/>
  <c r="F659" i="18"/>
  <c r="F283" i="18"/>
  <c r="F209" i="18"/>
  <c r="O673" i="18"/>
  <c r="P673" i="18"/>
  <c r="S673" i="18"/>
  <c r="N673" i="18"/>
  <c r="P509" i="18"/>
  <c r="S509" i="18"/>
  <c r="N509" i="18"/>
  <c r="O509" i="18"/>
  <c r="F478" i="18"/>
  <c r="F292" i="18"/>
  <c r="F668" i="18"/>
  <c r="F218" i="18"/>
  <c r="F31" i="18"/>
  <c r="F215" i="18"/>
  <c r="F289" i="18"/>
  <c r="F28" i="18"/>
  <c r="F665" i="18"/>
  <c r="F475" i="18"/>
  <c r="F417" i="18"/>
  <c r="F607" i="18"/>
  <c r="F276" i="18"/>
  <c r="N297" i="18"/>
  <c r="S297" i="18"/>
  <c r="O297" i="18"/>
  <c r="P297" i="18"/>
  <c r="F555" i="18"/>
  <c r="F273" i="18"/>
  <c r="F365" i="18"/>
  <c r="F281" i="18"/>
  <c r="F207" i="18"/>
  <c r="F20" i="18"/>
  <c r="F467" i="18"/>
  <c r="F657" i="18"/>
  <c r="F656" i="18"/>
  <c r="F466" i="18"/>
  <c r="G466" i="18" s="1"/>
  <c r="F19" i="18"/>
  <c r="G19" i="18" s="1"/>
  <c r="F206" i="18"/>
  <c r="G206" i="18" s="1"/>
  <c r="F280" i="18"/>
  <c r="G280" i="18" s="1"/>
  <c r="F479" i="18"/>
  <c r="F293" i="18"/>
  <c r="F669" i="18"/>
  <c r="F219" i="18"/>
  <c r="F32" i="18"/>
  <c r="S56" i="18"/>
  <c r="W56" i="18" s="1"/>
  <c r="O56" i="18"/>
  <c r="P56" i="18"/>
  <c r="N56" i="18"/>
  <c r="F450" i="18"/>
  <c r="F640" i="18"/>
  <c r="F278" i="18"/>
  <c r="F404" i="18"/>
  <c r="F594" i="18"/>
  <c r="F275" i="18"/>
  <c r="F343" i="18"/>
  <c r="F271" i="18"/>
  <c r="F11" i="18"/>
  <c r="F84" i="18"/>
  <c r="F533" i="18"/>
  <c r="P317" i="18"/>
  <c r="S317" i="18"/>
  <c r="N317" i="18"/>
  <c r="O317" i="18"/>
  <c r="S243" i="18"/>
  <c r="N243" i="18"/>
  <c r="O243" i="18"/>
  <c r="P243" i="18"/>
  <c r="F672" i="18"/>
  <c r="F222" i="18"/>
  <c r="G222" i="18" s="1"/>
  <c r="G235" i="18" s="1"/>
  <c r="G238" i="18" s="1"/>
  <c r="F482" i="18"/>
  <c r="G482" i="18" s="1"/>
  <c r="G495" i="18" s="1"/>
  <c r="G502" i="18" s="1"/>
  <c r="F296" i="18"/>
  <c r="G296" i="18" s="1"/>
  <c r="G309" i="18" s="1"/>
  <c r="G315" i="18" s="1"/>
  <c r="F35" i="18"/>
  <c r="G35" i="18" s="1"/>
  <c r="G48" i="18" s="1"/>
  <c r="G53" i="18" s="1"/>
  <c r="F470" i="18"/>
  <c r="F284" i="18"/>
  <c r="F210" i="18"/>
  <c r="F23" i="18"/>
  <c r="F660" i="18"/>
  <c r="F432" i="18"/>
  <c r="F622" i="18"/>
  <c r="F277" i="18"/>
  <c r="F216" i="18"/>
  <c r="F476" i="18"/>
  <c r="F666" i="18"/>
  <c r="F290" i="18"/>
  <c r="F29" i="18"/>
  <c r="P699" i="18"/>
  <c r="S699" i="18"/>
  <c r="N699" i="18"/>
  <c r="O699" i="18"/>
  <c r="F473" i="18"/>
  <c r="F213" i="18"/>
  <c r="F26" i="18"/>
  <c r="F663" i="18"/>
  <c r="F287" i="18"/>
  <c r="F212" i="18"/>
  <c r="F662" i="18"/>
  <c r="F472" i="18"/>
  <c r="F286" i="18"/>
  <c r="F25" i="18"/>
  <c r="F582" i="18"/>
  <c r="F392" i="18"/>
  <c r="F274" i="18"/>
  <c r="N483" i="18"/>
  <c r="O483" i="18"/>
  <c r="P483" i="18"/>
  <c r="S483" i="18"/>
  <c r="F344" i="18"/>
  <c r="F272" i="18"/>
  <c r="F534" i="18"/>
  <c r="F214" i="18"/>
  <c r="F474" i="18"/>
  <c r="F664" i="18"/>
  <c r="F27" i="18"/>
  <c r="F288" i="18"/>
  <c r="O323" i="18"/>
  <c r="S323" i="18"/>
  <c r="N323" i="18"/>
  <c r="P323" i="18"/>
  <c r="P719" i="18"/>
  <c r="O719" i="18"/>
  <c r="N719" i="18"/>
  <c r="P909" i="18"/>
  <c r="V909" i="18" s="1"/>
  <c r="P904" i="18"/>
  <c r="V904" i="18" s="1"/>
  <c r="O909" i="18"/>
  <c r="U909" i="18" s="1"/>
  <c r="O904" i="18"/>
  <c r="U904" i="18" s="1"/>
  <c r="E4" i="19"/>
  <c r="E3" i="19"/>
  <c r="W235" i="18" l="1"/>
  <c r="W317" i="18"/>
  <c r="W297" i="18"/>
  <c r="W243" i="18"/>
  <c r="Q280" i="18"/>
  <c r="R206" i="18"/>
  <c r="Q206" i="18"/>
  <c r="R466" i="18"/>
  <c r="Q466" i="18"/>
  <c r="R19" i="18"/>
  <c r="R10" i="18" s="1"/>
  <c r="Q19" i="18"/>
  <c r="Q10" i="18" s="1"/>
  <c r="Q533" i="18"/>
  <c r="W323" i="18"/>
  <c r="W483" i="18"/>
  <c r="R656" i="18"/>
  <c r="W656" i="18" s="1"/>
  <c r="Q656" i="18"/>
  <c r="W495" i="18"/>
  <c r="U509" i="18"/>
  <c r="W309" i="18"/>
  <c r="Q271" i="18"/>
  <c r="Q343" i="18"/>
  <c r="R858" i="18"/>
  <c r="W509" i="18"/>
  <c r="W249" i="18"/>
  <c r="W223" i="18"/>
  <c r="R280" i="18"/>
  <c r="R343" i="18"/>
  <c r="W503" i="18"/>
  <c r="R271" i="18"/>
  <c r="R533" i="18"/>
  <c r="W719" i="18"/>
  <c r="T223" i="18"/>
  <c r="V719" i="18"/>
  <c r="G293" i="18"/>
  <c r="G312" i="18"/>
  <c r="N35" i="18"/>
  <c r="O35" i="18"/>
  <c r="P35" i="18"/>
  <c r="T509" i="18"/>
  <c r="S19" i="18"/>
  <c r="S35" i="18"/>
  <c r="W35" i="18" s="1"/>
  <c r="G498" i="18"/>
  <c r="G23" i="18"/>
  <c r="G209" i="18"/>
  <c r="G219" i="18"/>
  <c r="T56" i="18"/>
  <c r="U317" i="18"/>
  <c r="U699" i="18"/>
  <c r="T317" i="18"/>
  <c r="U36" i="18"/>
  <c r="T323" i="18"/>
  <c r="V323" i="18"/>
  <c r="U243" i="18"/>
  <c r="T243" i="18"/>
  <c r="V243" i="18"/>
  <c r="T309" i="18"/>
  <c r="T673" i="18"/>
  <c r="U62" i="18"/>
  <c r="U56" i="18"/>
  <c r="V56" i="18"/>
  <c r="T699" i="18"/>
  <c r="T235" i="18"/>
  <c r="G62" i="18"/>
  <c r="G36" i="18"/>
  <c r="G46" i="18" s="1"/>
  <c r="T36" i="18"/>
  <c r="G237" i="18"/>
  <c r="G50" i="18"/>
  <c r="G313" i="18"/>
  <c r="G243" i="18"/>
  <c r="G248" i="18" s="1"/>
  <c r="G292" i="18"/>
  <c r="G503" i="18"/>
  <c r="G505" i="18" s="1"/>
  <c r="G310" i="18"/>
  <c r="G49" i="18"/>
  <c r="G240" i="18"/>
  <c r="G54" i="18"/>
  <c r="G25" i="18"/>
  <c r="G30" i="18"/>
  <c r="G497" i="18"/>
  <c r="G316" i="18"/>
  <c r="G51" i="18"/>
  <c r="V685" i="18"/>
  <c r="G311" i="18"/>
  <c r="G236" i="18"/>
  <c r="G55" i="18"/>
  <c r="G317" i="18"/>
  <c r="G322" i="18" s="1"/>
  <c r="G29" i="18"/>
  <c r="G297" i="18"/>
  <c r="G302" i="18" s="1"/>
  <c r="T297" i="18"/>
  <c r="G500" i="18"/>
  <c r="G477" i="18"/>
  <c r="G241" i="18"/>
  <c r="G478" i="18"/>
  <c r="G32" i="18"/>
  <c r="G27" i="18"/>
  <c r="G479" i="18"/>
  <c r="U685" i="18"/>
  <c r="G239" i="18"/>
  <c r="G56" i="18"/>
  <c r="G57" i="18" s="1"/>
  <c r="G66" i="18" s="1"/>
  <c r="G472" i="18"/>
  <c r="G223" i="18"/>
  <c r="G234" i="18" s="1"/>
  <c r="G509" i="18"/>
  <c r="G512" i="18" s="1"/>
  <c r="G323" i="18"/>
  <c r="G324" i="18" s="1"/>
  <c r="G34" i="18"/>
  <c r="G474" i="18"/>
  <c r="U235" i="18"/>
  <c r="V48" i="18"/>
  <c r="G217" i="18"/>
  <c r="G286" i="18"/>
  <c r="G22" i="18"/>
  <c r="V503" i="18"/>
  <c r="G288" i="18"/>
  <c r="G469" i="18"/>
  <c r="U309" i="18"/>
  <c r="G291" i="18"/>
  <c r="T503" i="18"/>
  <c r="G475" i="18"/>
  <c r="V223" i="18"/>
  <c r="G208" i="18"/>
  <c r="G481" i="18"/>
  <c r="V62" i="18"/>
  <c r="G33" i="18"/>
  <c r="G290" i="18"/>
  <c r="G294" i="18"/>
  <c r="G271" i="18"/>
  <c r="G279" i="18" s="1"/>
  <c r="N343" i="18"/>
  <c r="O343" i="18"/>
  <c r="P343" i="18"/>
  <c r="S343" i="18"/>
  <c r="G242" i="18"/>
  <c r="G496" i="18"/>
  <c r="G52" i="18"/>
  <c r="G283" i="18"/>
  <c r="T48" i="18"/>
  <c r="G84" i="18"/>
  <c r="G20" i="18"/>
  <c r="O19" i="18"/>
  <c r="P19" i="18"/>
  <c r="N19" i="18"/>
  <c r="N206" i="18"/>
  <c r="O206" i="18"/>
  <c r="P206" i="18"/>
  <c r="S206" i="18"/>
  <c r="G207" i="18"/>
  <c r="G221" i="18"/>
  <c r="G26" i="18"/>
  <c r="V483" i="18"/>
  <c r="G213" i="18"/>
  <c r="G314" i="18"/>
  <c r="G285" i="18"/>
  <c r="V699" i="18"/>
  <c r="P466" i="18"/>
  <c r="S466" i="18"/>
  <c r="W466" i="18" s="1"/>
  <c r="G467" i="18"/>
  <c r="O466" i="18"/>
  <c r="N466" i="18"/>
  <c r="G220" i="18"/>
  <c r="G216" i="18"/>
  <c r="G281" i="18"/>
  <c r="S280" i="18"/>
  <c r="N280" i="18"/>
  <c r="O280" i="18"/>
  <c r="U280" i="18" s="1"/>
  <c r="P280" i="18"/>
  <c r="V280" i="18" s="1"/>
  <c r="G28" i="18"/>
  <c r="N271" i="18"/>
  <c r="O271" i="18"/>
  <c r="P271" i="18"/>
  <c r="S271" i="18"/>
  <c r="T685" i="18"/>
  <c r="G215" i="18"/>
  <c r="G473" i="18"/>
  <c r="V693" i="18"/>
  <c r="V495" i="18"/>
  <c r="G249" i="18"/>
  <c r="V317" i="18"/>
  <c r="G284" i="18"/>
  <c r="U503" i="18"/>
  <c r="G470" i="18"/>
  <c r="G8" i="18"/>
  <c r="N533" i="18"/>
  <c r="O533" i="18"/>
  <c r="P533" i="18"/>
  <c r="S533" i="18"/>
  <c r="G343" i="18"/>
  <c r="G465" i="18" s="1"/>
  <c r="G501" i="18"/>
  <c r="G471" i="18"/>
  <c r="U693" i="18"/>
  <c r="T495" i="18"/>
  <c r="G483" i="18"/>
  <c r="V249" i="18"/>
  <c r="U323" i="18"/>
  <c r="G11" i="18"/>
  <c r="G61" i="18" s="1"/>
  <c r="G287" i="18"/>
  <c r="T62" i="18"/>
  <c r="G289" i="18"/>
  <c r="G468" i="18"/>
  <c r="G21" i="18"/>
  <c r="G31" i="18"/>
  <c r="T693" i="18"/>
  <c r="U495" i="18"/>
  <c r="G499" i="18"/>
  <c r="U249" i="18"/>
  <c r="V36" i="18"/>
  <c r="G212" i="18"/>
  <c r="G214" i="18"/>
  <c r="V309" i="18"/>
  <c r="G282" i="18"/>
  <c r="V509" i="18"/>
  <c r="G295" i="18"/>
  <c r="U483" i="18"/>
  <c r="V297" i="18"/>
  <c r="G218" i="18"/>
  <c r="V673" i="18"/>
  <c r="G24" i="18"/>
  <c r="T249" i="18"/>
  <c r="U48" i="18"/>
  <c r="G210" i="18"/>
  <c r="O656" i="18"/>
  <c r="N656" i="18"/>
  <c r="P656" i="18"/>
  <c r="S656" i="18"/>
  <c r="G476" i="18"/>
  <c r="U223" i="18"/>
  <c r="G480" i="18"/>
  <c r="T483" i="18"/>
  <c r="U297" i="18"/>
  <c r="U673" i="18"/>
  <c r="G211" i="18"/>
  <c r="V235" i="18"/>
  <c r="E5" i="19"/>
  <c r="S909" i="18"/>
  <c r="F11" i="22" s="1"/>
  <c r="I26" i="22" s="1"/>
  <c r="N909" i="18"/>
  <c r="T909" i="18" s="1"/>
  <c r="S904" i="18"/>
  <c r="F10" i="22" s="1"/>
  <c r="I23" i="22" s="1"/>
  <c r="N904" i="18"/>
  <c r="T904" i="18" s="1"/>
  <c r="W19" i="18" l="1"/>
  <c r="W533" i="18"/>
  <c r="W271" i="18"/>
  <c r="W206" i="18"/>
  <c r="R718" i="18"/>
  <c r="W280" i="18"/>
  <c r="W343" i="18"/>
  <c r="N10" i="18"/>
  <c r="N9" i="18" s="1"/>
  <c r="O10" i="18"/>
  <c r="O9" i="18" s="1"/>
  <c r="P10" i="18"/>
  <c r="P9" i="18" s="1"/>
  <c r="S10" i="18"/>
  <c r="G37" i="18"/>
  <c r="G64" i="18"/>
  <c r="G63" i="18"/>
  <c r="U466" i="18"/>
  <c r="G40" i="18"/>
  <c r="G41" i="18"/>
  <c r="G508" i="18"/>
  <c r="G60" i="18"/>
  <c r="G69" i="18" s="1"/>
  <c r="T466" i="18"/>
  <c r="G59" i="18"/>
  <c r="G68" i="18" s="1"/>
  <c r="T280" i="18"/>
  <c r="G38" i="18"/>
  <c r="G44" i="18"/>
  <c r="G450" i="18"/>
  <c r="G458" i="18" s="1"/>
  <c r="G43" i="18"/>
  <c r="G39" i="18"/>
  <c r="G42" i="18"/>
  <c r="G247" i="18"/>
  <c r="T19" i="18"/>
  <c r="G344" i="18"/>
  <c r="G363" i="18" s="1"/>
  <c r="G507" i="18"/>
  <c r="G45" i="18"/>
  <c r="G47" i="18"/>
  <c r="G506" i="18"/>
  <c r="G504" i="18"/>
  <c r="G245" i="18"/>
  <c r="G246" i="18"/>
  <c r="G65" i="18"/>
  <c r="G392" i="18"/>
  <c r="G396" i="18" s="1"/>
  <c r="G228" i="18"/>
  <c r="G303" i="18"/>
  <c r="G320" i="18"/>
  <c r="G17" i="18"/>
  <c r="G325" i="18"/>
  <c r="G301" i="18"/>
  <c r="G244" i="18"/>
  <c r="G365" i="18"/>
  <c r="G380" i="18" s="1"/>
  <c r="G308" i="18"/>
  <c r="G300" i="18"/>
  <c r="G304" i="18"/>
  <c r="G319" i="18"/>
  <c r="G321" i="18"/>
  <c r="G318" i="18"/>
  <c r="G224" i="18"/>
  <c r="G227" i="18"/>
  <c r="G230" i="18"/>
  <c r="G229" i="18"/>
  <c r="G326" i="18"/>
  <c r="G299" i="18"/>
  <c r="G510" i="18"/>
  <c r="G511" i="18"/>
  <c r="G306" i="18"/>
  <c r="G307" i="18"/>
  <c r="G226" i="18"/>
  <c r="G233" i="18"/>
  <c r="G231" i="18"/>
  <c r="G225" i="18"/>
  <c r="G15" i="18"/>
  <c r="G232" i="18"/>
  <c r="G298" i="18"/>
  <c r="G305" i="18"/>
  <c r="G58" i="18"/>
  <c r="G67" i="18" s="1"/>
  <c r="G16" i="18"/>
  <c r="G272" i="18"/>
  <c r="G13" i="18"/>
  <c r="G275" i="18"/>
  <c r="V271" i="18"/>
  <c r="T271" i="18"/>
  <c r="V11" i="18"/>
  <c r="V656" i="18"/>
  <c r="G273" i="18"/>
  <c r="G145" i="18"/>
  <c r="V206" i="18"/>
  <c r="G106" i="18"/>
  <c r="U343" i="18"/>
  <c r="T656" i="18"/>
  <c r="G250" i="18"/>
  <c r="G251" i="18"/>
  <c r="G252" i="18"/>
  <c r="V466" i="18"/>
  <c r="U206" i="18"/>
  <c r="U84" i="18"/>
  <c r="U271" i="18"/>
  <c r="T343" i="18"/>
  <c r="T8" i="18"/>
  <c r="U11" i="18"/>
  <c r="G276" i="18"/>
  <c r="G133" i="18"/>
  <c r="T206" i="18"/>
  <c r="T84" i="18"/>
  <c r="U8" i="18"/>
  <c r="G274" i="18"/>
  <c r="V533" i="18"/>
  <c r="V84" i="18"/>
  <c r="G278" i="18"/>
  <c r="V343" i="18"/>
  <c r="V8" i="18"/>
  <c r="U656" i="18"/>
  <c r="G158" i="18"/>
  <c r="U533" i="18"/>
  <c r="G484" i="18"/>
  <c r="G493" i="18"/>
  <c r="G491" i="18"/>
  <c r="G494" i="18"/>
  <c r="G488" i="18"/>
  <c r="G486" i="18"/>
  <c r="G490" i="18"/>
  <c r="G489" i="18"/>
  <c r="G492" i="18"/>
  <c r="G485" i="18"/>
  <c r="G487" i="18"/>
  <c r="G191" i="18"/>
  <c r="T11" i="18"/>
  <c r="G85" i="18"/>
  <c r="T533" i="18"/>
  <c r="V19" i="18"/>
  <c r="G14" i="18"/>
  <c r="G12" i="18"/>
  <c r="G417" i="18"/>
  <c r="G404" i="18"/>
  <c r="G277" i="18"/>
  <c r="G173" i="18"/>
  <c r="G18" i="18"/>
  <c r="G432" i="18"/>
  <c r="U19" i="18"/>
  <c r="W10" i="18" l="1"/>
  <c r="U10" i="18"/>
  <c r="V10" i="18"/>
  <c r="T10" i="18"/>
  <c r="G457" i="18"/>
  <c r="G463" i="18"/>
  <c r="G459" i="18"/>
  <c r="G452" i="18"/>
  <c r="G460" i="18"/>
  <c r="G453" i="18"/>
  <c r="G462" i="18"/>
  <c r="G360" i="18"/>
  <c r="G352" i="18"/>
  <c r="G455" i="18"/>
  <c r="G357" i="18"/>
  <c r="G454" i="18"/>
  <c r="G347" i="18"/>
  <c r="G464" i="18"/>
  <c r="G451" i="18"/>
  <c r="G355" i="18"/>
  <c r="G349" i="18"/>
  <c r="G361" i="18"/>
  <c r="G345" i="18"/>
  <c r="G358" i="18"/>
  <c r="G364" i="18"/>
  <c r="G353" i="18"/>
  <c r="G461" i="18"/>
  <c r="G456" i="18"/>
  <c r="G356" i="18"/>
  <c r="G351" i="18"/>
  <c r="G346" i="18"/>
  <c r="G350" i="18"/>
  <c r="G397" i="18"/>
  <c r="G401" i="18"/>
  <c r="G399" i="18"/>
  <c r="G403" i="18"/>
  <c r="G394" i="18"/>
  <c r="G402" i="18"/>
  <c r="G400" i="18"/>
  <c r="G393" i="18"/>
  <c r="G354" i="18"/>
  <c r="G348" i="18"/>
  <c r="G359" i="18"/>
  <c r="G395" i="18"/>
  <c r="G362" i="18"/>
  <c r="G398" i="18"/>
  <c r="G384" i="18"/>
  <c r="G387" i="18"/>
  <c r="G373" i="18"/>
  <c r="G369" i="18"/>
  <c r="G368" i="18"/>
  <c r="G371" i="18"/>
  <c r="G377" i="18"/>
  <c r="G374" i="18"/>
  <c r="G378" i="18"/>
  <c r="G367" i="18"/>
  <c r="G376" i="18"/>
  <c r="G386" i="18"/>
  <c r="G381" i="18"/>
  <c r="G391" i="18"/>
  <c r="G375" i="18"/>
  <c r="G372" i="18"/>
  <c r="G388" i="18"/>
  <c r="G389" i="18"/>
  <c r="G370" i="18"/>
  <c r="G366" i="18"/>
  <c r="G385" i="18"/>
  <c r="G383" i="18"/>
  <c r="G390" i="18"/>
  <c r="G379" i="18"/>
  <c r="G382" i="18"/>
  <c r="G428" i="18"/>
  <c r="G430" i="18"/>
  <c r="G431" i="18"/>
  <c r="G423" i="18"/>
  <c r="G425" i="18"/>
  <c r="G426" i="18"/>
  <c r="G420" i="18"/>
  <c r="G418" i="18"/>
  <c r="G421" i="18"/>
  <c r="G424" i="18"/>
  <c r="G419" i="18"/>
  <c r="G429" i="18"/>
  <c r="G422" i="18"/>
  <c r="G427" i="18"/>
  <c r="G445" i="18"/>
  <c r="G440" i="18"/>
  <c r="G437" i="18"/>
  <c r="G446" i="18"/>
  <c r="G442" i="18"/>
  <c r="G433" i="18"/>
  <c r="G449" i="18"/>
  <c r="G436" i="18"/>
  <c r="G435" i="18"/>
  <c r="G441" i="18"/>
  <c r="G443" i="18"/>
  <c r="G438" i="18"/>
  <c r="G444" i="18"/>
  <c r="G448" i="18"/>
  <c r="G434" i="18"/>
  <c r="G447" i="18"/>
  <c r="G439" i="18"/>
  <c r="G416" i="18"/>
  <c r="G406" i="18"/>
  <c r="G413" i="18"/>
  <c r="G414" i="18"/>
  <c r="G408" i="18"/>
  <c r="G415" i="18"/>
  <c r="G409" i="18"/>
  <c r="G405" i="18"/>
  <c r="G412" i="18"/>
  <c r="G407" i="18"/>
  <c r="G411" i="18"/>
  <c r="G410" i="18"/>
  <c r="G198" i="18"/>
  <c r="G205" i="18"/>
  <c r="G203" i="18"/>
  <c r="G204" i="18"/>
  <c r="G202" i="18"/>
  <c r="G201" i="18"/>
  <c r="G192" i="18"/>
  <c r="G199" i="18"/>
  <c r="G195" i="18"/>
  <c r="G193" i="18"/>
  <c r="G196" i="18"/>
  <c r="G200" i="18"/>
  <c r="G194" i="18"/>
  <c r="G197" i="18"/>
  <c r="G169" i="18"/>
  <c r="G172" i="18"/>
  <c r="G165" i="18"/>
  <c r="G168" i="18"/>
  <c r="G163" i="18"/>
  <c r="G164" i="18"/>
  <c r="G166" i="18"/>
  <c r="G160" i="18"/>
  <c r="G162" i="18"/>
  <c r="G161" i="18"/>
  <c r="G167" i="18"/>
  <c r="G159" i="18"/>
  <c r="G171" i="18"/>
  <c r="G170" i="18"/>
  <c r="G186" i="18"/>
  <c r="G183" i="18"/>
  <c r="G189" i="18"/>
  <c r="G180" i="18"/>
  <c r="G187" i="18"/>
  <c r="G185" i="18"/>
  <c r="G176" i="18"/>
  <c r="G182" i="18"/>
  <c r="G175" i="18"/>
  <c r="G174" i="18"/>
  <c r="G177" i="18"/>
  <c r="G179" i="18"/>
  <c r="G181" i="18"/>
  <c r="G190" i="18"/>
  <c r="G178" i="18"/>
  <c r="G184" i="18"/>
  <c r="G188" i="18"/>
  <c r="G131" i="18"/>
  <c r="G111" i="18"/>
  <c r="G121" i="18"/>
  <c r="G132" i="18"/>
  <c r="G126" i="18"/>
  <c r="G128" i="18"/>
  <c r="G120" i="18"/>
  <c r="G115" i="18"/>
  <c r="G108" i="18"/>
  <c r="G114" i="18"/>
  <c r="G118" i="18"/>
  <c r="G129" i="18"/>
  <c r="G125" i="18"/>
  <c r="G110" i="18"/>
  <c r="G122" i="18"/>
  <c r="G127" i="18"/>
  <c r="G117" i="18"/>
  <c r="G130" i="18"/>
  <c r="G119" i="18"/>
  <c r="G112" i="18"/>
  <c r="G116" i="18"/>
  <c r="G124" i="18"/>
  <c r="G109" i="18"/>
  <c r="G107" i="18"/>
  <c r="G123" i="18"/>
  <c r="G113" i="18"/>
  <c r="G139" i="18"/>
  <c r="G136" i="18"/>
  <c r="G143" i="18"/>
  <c r="G138" i="18"/>
  <c r="G135" i="18"/>
  <c r="G141" i="18"/>
  <c r="G142" i="18"/>
  <c r="G140" i="18"/>
  <c r="G144" i="18"/>
  <c r="G137" i="18"/>
  <c r="G134" i="18"/>
  <c r="G157" i="18"/>
  <c r="G156" i="18"/>
  <c r="G153" i="18"/>
  <c r="G150" i="18"/>
  <c r="G154" i="18"/>
  <c r="G148" i="18"/>
  <c r="G149" i="18"/>
  <c r="G152" i="18"/>
  <c r="G146" i="18"/>
  <c r="G155" i="18"/>
  <c r="G147" i="18"/>
  <c r="G151" i="18"/>
  <c r="G102" i="18"/>
  <c r="G103" i="18"/>
  <c r="G105" i="18"/>
  <c r="G86" i="18"/>
  <c r="G104" i="18"/>
  <c r="G89" i="18"/>
  <c r="G90" i="18"/>
  <c r="G97" i="18"/>
  <c r="G87" i="18"/>
  <c r="G92" i="18"/>
  <c r="G95" i="18"/>
  <c r="G88" i="18"/>
  <c r="G101" i="18"/>
  <c r="G93" i="18"/>
  <c r="G98" i="18"/>
  <c r="G96" i="18"/>
  <c r="G99" i="18"/>
  <c r="G91" i="18"/>
  <c r="G100" i="18"/>
  <c r="G94" i="18"/>
  <c r="G889" i="18"/>
  <c r="F889" i="18"/>
  <c r="F902" i="18"/>
  <c r="F895" i="18"/>
  <c r="F892" i="18"/>
  <c r="F900" i="18"/>
  <c r="F893" i="18"/>
  <c r="F899" i="18"/>
  <c r="F896" i="18"/>
  <c r="F894" i="18"/>
  <c r="F903" i="18"/>
  <c r="F901" i="18"/>
  <c r="F898" i="18"/>
  <c r="F897" i="18"/>
  <c r="G891" i="18"/>
  <c r="Q891" i="18" l="1"/>
  <c r="R891" i="18"/>
  <c r="W891" i="18" s="1"/>
  <c r="F521" i="18"/>
  <c r="F76" i="18"/>
  <c r="F261" i="18"/>
  <c r="F711" i="18"/>
  <c r="F335" i="18"/>
  <c r="F712" i="18"/>
  <c r="F522" i="18"/>
  <c r="F262" i="18"/>
  <c r="F77" i="18"/>
  <c r="F336" i="18"/>
  <c r="F524" i="18"/>
  <c r="F264" i="18"/>
  <c r="F714" i="18"/>
  <c r="F79" i="18"/>
  <c r="F338" i="18"/>
  <c r="F715" i="18"/>
  <c r="F525" i="18"/>
  <c r="F339" i="18"/>
  <c r="F80" i="18"/>
  <c r="F265" i="18"/>
  <c r="F520" i="18"/>
  <c r="F260" i="18"/>
  <c r="F334" i="18"/>
  <c r="F710" i="18"/>
  <c r="F75" i="18"/>
  <c r="F82" i="18"/>
  <c r="F717" i="18"/>
  <c r="F341" i="18"/>
  <c r="F527" i="18"/>
  <c r="F267" i="18"/>
  <c r="F337" i="18"/>
  <c r="F263" i="18"/>
  <c r="F523" i="18"/>
  <c r="F78" i="18"/>
  <c r="F713" i="18"/>
  <c r="F257" i="18"/>
  <c r="F331" i="18"/>
  <c r="F707" i="18"/>
  <c r="F517" i="18"/>
  <c r="F72" i="18"/>
  <c r="F256" i="18"/>
  <c r="F516" i="18"/>
  <c r="F706" i="18"/>
  <c r="F330" i="18"/>
  <c r="F71" i="18"/>
  <c r="F332" i="18"/>
  <c r="F258" i="18"/>
  <c r="F708" i="18"/>
  <c r="F73" i="18"/>
  <c r="F518" i="18"/>
  <c r="F333" i="18"/>
  <c r="F709" i="18"/>
  <c r="F74" i="18"/>
  <c r="F519" i="18"/>
  <c r="F259" i="18"/>
  <c r="F716" i="18"/>
  <c r="F266" i="18"/>
  <c r="F340" i="18"/>
  <c r="F81" i="18"/>
  <c r="F526" i="18"/>
  <c r="F327" i="18"/>
  <c r="F513" i="18"/>
  <c r="F253" i="18"/>
  <c r="F703" i="18"/>
  <c r="S891" i="18"/>
  <c r="P891" i="18"/>
  <c r="V891" i="18" s="1"/>
  <c r="O891" i="18"/>
  <c r="U891" i="18" s="1"/>
  <c r="N891" i="18"/>
  <c r="T891" i="18" s="1"/>
  <c r="Q515" i="18" l="1"/>
  <c r="Q705" i="18"/>
  <c r="R222" i="18"/>
  <c r="Q222" i="18"/>
  <c r="R296" i="18"/>
  <c r="Q296" i="18"/>
  <c r="Q270" i="18" s="1"/>
  <c r="Q268" i="18" s="1"/>
  <c r="Q70" i="18"/>
  <c r="Q255" i="18"/>
  <c r="R672" i="18"/>
  <c r="Q672" i="18"/>
  <c r="Q532" i="18" s="1"/>
  <c r="Q529" i="18" s="1"/>
  <c r="Q528" i="18" s="1"/>
  <c r="G13" i="25" s="1"/>
  <c r="Q329" i="18"/>
  <c r="R482" i="18"/>
  <c r="Q482" i="18"/>
  <c r="Q342" i="18" s="1"/>
  <c r="R255" i="18"/>
  <c r="R515" i="18"/>
  <c r="W515" i="18" s="1"/>
  <c r="R705" i="18"/>
  <c r="W705" i="18" s="1"/>
  <c r="R329" i="18"/>
  <c r="W329" i="18" s="1"/>
  <c r="R70" i="18"/>
  <c r="R270" i="18"/>
  <c r="R342" i="18"/>
  <c r="R532" i="18"/>
  <c r="W672" i="18"/>
  <c r="O70" i="18"/>
  <c r="S70" i="18"/>
  <c r="W70" i="18" s="1"/>
  <c r="N70" i="18"/>
  <c r="T70" i="18" s="1"/>
  <c r="P70" i="18"/>
  <c r="V70" i="18" s="1"/>
  <c r="N705" i="18"/>
  <c r="T705" i="18" s="1"/>
  <c r="O705" i="18"/>
  <c r="U705" i="18" s="1"/>
  <c r="P705" i="18"/>
  <c r="V705" i="18" s="1"/>
  <c r="S705" i="18"/>
  <c r="P672" i="18"/>
  <c r="S672" i="18"/>
  <c r="S532" i="18" s="1"/>
  <c r="N672" i="18"/>
  <c r="O672" i="18"/>
  <c r="G327" i="18"/>
  <c r="G328" i="18" s="1"/>
  <c r="P296" i="18"/>
  <c r="S296" i="18"/>
  <c r="O296" i="18"/>
  <c r="N296" i="18"/>
  <c r="G253" i="18"/>
  <c r="G254" i="18" s="1"/>
  <c r="O222" i="18"/>
  <c r="P222" i="18"/>
  <c r="N222" i="18"/>
  <c r="S222" i="18"/>
  <c r="W222" i="18" s="1"/>
  <c r="G513" i="18"/>
  <c r="G514" i="18" s="1"/>
  <c r="P482" i="18"/>
  <c r="S482" i="18"/>
  <c r="O482" i="18"/>
  <c r="N482" i="18"/>
  <c r="O329" i="18"/>
  <c r="P329" i="18"/>
  <c r="S329" i="18"/>
  <c r="N329" i="18"/>
  <c r="O515" i="18"/>
  <c r="P515" i="18"/>
  <c r="N515" i="18"/>
  <c r="S515" i="18"/>
  <c r="P255" i="18"/>
  <c r="S255" i="18"/>
  <c r="N255" i="18"/>
  <c r="O255" i="18"/>
  <c r="F891" i="18"/>
  <c r="E532" i="18"/>
  <c r="S342" i="18" l="1"/>
  <c r="F8" i="22" s="1"/>
  <c r="I17" i="22" s="1"/>
  <c r="W482" i="18"/>
  <c r="S270" i="18"/>
  <c r="W296" i="18"/>
  <c r="W255" i="18"/>
  <c r="W342" i="18"/>
  <c r="W270" i="18"/>
  <c r="R268" i="18"/>
  <c r="W532" i="18"/>
  <c r="R529" i="18"/>
  <c r="T329" i="18"/>
  <c r="U255" i="18"/>
  <c r="T255" i="18"/>
  <c r="T35" i="18"/>
  <c r="U482" i="18"/>
  <c r="O342" i="18"/>
  <c r="U342" i="18" s="1"/>
  <c r="V7" i="18"/>
  <c r="T482" i="18"/>
  <c r="N342" i="18"/>
  <c r="T342" i="18" s="1"/>
  <c r="U222" i="18"/>
  <c r="O83" i="18"/>
  <c r="U83" i="18" s="1"/>
  <c r="V35" i="18"/>
  <c r="V482" i="18"/>
  <c r="P342" i="18"/>
  <c r="V342" i="18" s="1"/>
  <c r="V222" i="18"/>
  <c r="P83" i="18"/>
  <c r="V83" i="18" s="1"/>
  <c r="U35" i="18"/>
  <c r="V255" i="18"/>
  <c r="T222" i="18"/>
  <c r="N83" i="18"/>
  <c r="T83" i="18" s="1"/>
  <c r="V296" i="18"/>
  <c r="P270" i="18"/>
  <c r="P268" i="18" s="1"/>
  <c r="V515" i="18"/>
  <c r="U515" i="18"/>
  <c r="F515" i="18"/>
  <c r="G515" i="18" s="1"/>
  <c r="F705" i="18"/>
  <c r="F70" i="18"/>
  <c r="F255" i="18"/>
  <c r="G255" i="18" s="1"/>
  <c r="F329" i="18"/>
  <c r="G329" i="18" s="1"/>
  <c r="U7" i="18"/>
  <c r="U70" i="18"/>
  <c r="T672" i="18"/>
  <c r="N532" i="18"/>
  <c r="V672" i="18"/>
  <c r="P532" i="18"/>
  <c r="P529" i="18" s="1"/>
  <c r="U329" i="18"/>
  <c r="T296" i="18"/>
  <c r="N270" i="18"/>
  <c r="U672" i="18"/>
  <c r="O532" i="18"/>
  <c r="O529" i="18" s="1"/>
  <c r="T515" i="18"/>
  <c r="V329" i="18"/>
  <c r="U296" i="18"/>
  <c r="O270" i="18"/>
  <c r="G529" i="18"/>
  <c r="R9" i="18" l="1"/>
  <c r="Q9" i="18"/>
  <c r="Q6" i="18" s="1"/>
  <c r="S9" i="18"/>
  <c r="R528" i="18"/>
  <c r="R6" i="18" s="1"/>
  <c r="C6" i="22" s="1"/>
  <c r="G70" i="18"/>
  <c r="G74" i="18" s="1"/>
  <c r="G332" i="18"/>
  <c r="G331" i="18"/>
  <c r="G337" i="18"/>
  <c r="G330" i="18"/>
  <c r="G334" i="18"/>
  <c r="G340" i="18"/>
  <c r="G341" i="18"/>
  <c r="G338" i="18"/>
  <c r="G336" i="18"/>
  <c r="G333" i="18"/>
  <c r="G339" i="18"/>
  <c r="G335" i="18"/>
  <c r="G264" i="18"/>
  <c r="G263" i="18"/>
  <c r="G261" i="18"/>
  <c r="G258" i="18"/>
  <c r="G260" i="18"/>
  <c r="G256" i="18"/>
  <c r="G257" i="18"/>
  <c r="G262" i="18"/>
  <c r="G259" i="18"/>
  <c r="G267" i="18"/>
  <c r="G266" i="18"/>
  <c r="G265" i="18"/>
  <c r="G526" i="18"/>
  <c r="G522" i="18"/>
  <c r="G521" i="18"/>
  <c r="G527" i="18"/>
  <c r="G523" i="18"/>
  <c r="G517" i="18"/>
  <c r="G520" i="18"/>
  <c r="G516" i="18"/>
  <c r="G519" i="18"/>
  <c r="G518" i="18"/>
  <c r="G524" i="18"/>
  <c r="G525" i="18"/>
  <c r="G532" i="18"/>
  <c r="G705" i="18" s="1"/>
  <c r="G531" i="18"/>
  <c r="G530" i="18"/>
  <c r="G79" i="18" l="1"/>
  <c r="G77" i="18"/>
  <c r="G76" i="18"/>
  <c r="G80" i="18"/>
  <c r="G73" i="18"/>
  <c r="G81" i="18"/>
  <c r="G72" i="18"/>
  <c r="G75" i="18"/>
  <c r="G82" i="18"/>
  <c r="G71" i="18"/>
  <c r="G78" i="18"/>
  <c r="F5" i="22"/>
  <c r="I8" i="22" s="1"/>
  <c r="W9" i="18"/>
  <c r="G713" i="18"/>
  <c r="G712" i="18"/>
  <c r="G709" i="18"/>
  <c r="G708" i="18"/>
  <c r="G710" i="18"/>
  <c r="G706" i="18"/>
  <c r="G714" i="18"/>
  <c r="G715" i="18"/>
  <c r="G707" i="18"/>
  <c r="G717" i="18"/>
  <c r="G711" i="18"/>
  <c r="G716" i="18"/>
  <c r="G533" i="18"/>
  <c r="G656" i="18"/>
  <c r="G672" i="18"/>
  <c r="S885" i="18"/>
  <c r="P885" i="18"/>
  <c r="V885" i="18" s="1"/>
  <c r="O885" i="18"/>
  <c r="U885" i="18" s="1"/>
  <c r="N885" i="18"/>
  <c r="T885" i="18" s="1"/>
  <c r="W885" i="18" l="1"/>
  <c r="S879" i="18"/>
  <c r="G685" i="18"/>
  <c r="G693" i="18"/>
  <c r="G673" i="18"/>
  <c r="G699" i="18"/>
  <c r="G703" i="18"/>
  <c r="G704" i="18" s="1"/>
  <c r="G655" i="18"/>
  <c r="G555" i="18"/>
  <c r="G640" i="18"/>
  <c r="G607" i="18"/>
  <c r="G594" i="18"/>
  <c r="G534" i="18"/>
  <c r="G582" i="18"/>
  <c r="G622" i="18"/>
  <c r="G667" i="18"/>
  <c r="G662" i="18"/>
  <c r="G663" i="18"/>
  <c r="G661" i="18"/>
  <c r="G658" i="18"/>
  <c r="G671" i="18"/>
  <c r="G669" i="18"/>
  <c r="G664" i="18"/>
  <c r="G665" i="18"/>
  <c r="G668" i="18"/>
  <c r="G670" i="18"/>
  <c r="G659" i="18"/>
  <c r="G657" i="18"/>
  <c r="G660" i="18"/>
  <c r="G666" i="18"/>
  <c r="Y1" i="18"/>
  <c r="P879" i="18"/>
  <c r="V879" i="18" s="1"/>
  <c r="O879" i="18"/>
  <c r="U879" i="18" s="1"/>
  <c r="N879" i="18"/>
  <c r="O842" i="18"/>
  <c r="U842" i="18" s="1"/>
  <c r="P842" i="18"/>
  <c r="V842" i="18" s="1"/>
  <c r="S842" i="18"/>
  <c r="W842" i="18" s="1"/>
  <c r="N842" i="18"/>
  <c r="T842" i="18" s="1"/>
  <c r="S858" i="18" l="1"/>
  <c r="W858" i="18" s="1"/>
  <c r="W879" i="18"/>
  <c r="G588" i="18"/>
  <c r="G586" i="18"/>
  <c r="G584" i="18"/>
  <c r="G592" i="18"/>
  <c r="G590" i="18"/>
  <c r="G585" i="18"/>
  <c r="G587" i="18"/>
  <c r="G591" i="18"/>
  <c r="G593" i="18"/>
  <c r="G583" i="18"/>
  <c r="G589" i="18"/>
  <c r="G635" i="18"/>
  <c r="G628" i="18"/>
  <c r="G632" i="18"/>
  <c r="G624" i="18"/>
  <c r="G634" i="18"/>
  <c r="G639" i="18"/>
  <c r="G637" i="18"/>
  <c r="G638" i="18"/>
  <c r="G633" i="18"/>
  <c r="G631" i="18"/>
  <c r="G630" i="18"/>
  <c r="G623" i="18"/>
  <c r="G625" i="18"/>
  <c r="G627" i="18"/>
  <c r="G636" i="18"/>
  <c r="G626" i="18"/>
  <c r="G629" i="18"/>
  <c r="G536" i="18"/>
  <c r="G551" i="18"/>
  <c r="G545" i="18"/>
  <c r="G553" i="18"/>
  <c r="G538" i="18"/>
  <c r="G546" i="18"/>
  <c r="G540" i="18"/>
  <c r="G539" i="18"/>
  <c r="G544" i="18"/>
  <c r="G550" i="18"/>
  <c r="G537" i="18"/>
  <c r="G547" i="18"/>
  <c r="G554" i="18"/>
  <c r="G542" i="18"/>
  <c r="G552" i="18"/>
  <c r="G548" i="18"/>
  <c r="G541" i="18"/>
  <c r="G549" i="18"/>
  <c r="G543" i="18"/>
  <c r="G535" i="18"/>
  <c r="G677" i="18"/>
  <c r="G683" i="18"/>
  <c r="G678" i="18"/>
  <c r="G674" i="18"/>
  <c r="G681" i="18"/>
  <c r="G680" i="18"/>
  <c r="G675" i="18"/>
  <c r="G676" i="18"/>
  <c r="G682" i="18"/>
  <c r="G679" i="18"/>
  <c r="G684" i="18"/>
  <c r="G618" i="18"/>
  <c r="G613" i="18"/>
  <c r="G620" i="18"/>
  <c r="G614" i="18"/>
  <c r="G611" i="18"/>
  <c r="G619" i="18"/>
  <c r="G612" i="18"/>
  <c r="G609" i="18"/>
  <c r="G621" i="18"/>
  <c r="G608" i="18"/>
  <c r="G610" i="18"/>
  <c r="G616" i="18"/>
  <c r="G617" i="18"/>
  <c r="G615" i="18"/>
  <c r="G645" i="18"/>
  <c r="G646" i="18"/>
  <c r="G647" i="18"/>
  <c r="G643" i="18"/>
  <c r="G642" i="18"/>
  <c r="G641" i="18"/>
  <c r="G649" i="18"/>
  <c r="G654" i="18"/>
  <c r="G650" i="18"/>
  <c r="G653" i="18"/>
  <c r="G651" i="18"/>
  <c r="G644" i="18"/>
  <c r="G648" i="18"/>
  <c r="G652" i="18"/>
  <c r="G564" i="18"/>
  <c r="G578" i="18"/>
  <c r="G580" i="18"/>
  <c r="G576" i="18"/>
  <c r="G573" i="18"/>
  <c r="G575" i="18"/>
  <c r="G579" i="18"/>
  <c r="G571" i="18"/>
  <c r="G574" i="18"/>
  <c r="G557" i="18"/>
  <c r="G558" i="18"/>
  <c r="G556" i="18"/>
  <c r="G566" i="18"/>
  <c r="G567" i="18"/>
  <c r="G559" i="18"/>
  <c r="G568" i="18"/>
  <c r="G565" i="18"/>
  <c r="G581" i="18"/>
  <c r="G563" i="18"/>
  <c r="G561" i="18"/>
  <c r="G577" i="18"/>
  <c r="G569" i="18"/>
  <c r="G572" i="18"/>
  <c r="G570" i="18"/>
  <c r="G560" i="18"/>
  <c r="G562" i="18"/>
  <c r="G701" i="18"/>
  <c r="G702" i="18"/>
  <c r="G700" i="18"/>
  <c r="G694" i="18"/>
  <c r="G695" i="18"/>
  <c r="G697" i="18"/>
  <c r="G698" i="18"/>
  <c r="G696" i="18"/>
  <c r="G606" i="18"/>
  <c r="G598" i="18"/>
  <c r="G600" i="18"/>
  <c r="G599" i="18"/>
  <c r="G603" i="18"/>
  <c r="G597" i="18"/>
  <c r="G596" i="18"/>
  <c r="G605" i="18"/>
  <c r="G602" i="18"/>
  <c r="G601" i="18"/>
  <c r="G604" i="18"/>
  <c r="G595" i="18"/>
  <c r="G689" i="18"/>
  <c r="G691" i="18"/>
  <c r="G686" i="18"/>
  <c r="G692" i="18"/>
  <c r="G690" i="18"/>
  <c r="G687" i="18"/>
  <c r="G688" i="18"/>
  <c r="W718" i="18"/>
  <c r="N858" i="18"/>
  <c r="T858" i="18" s="1"/>
  <c r="T879" i="18"/>
  <c r="V9" i="18"/>
  <c r="U9" i="18"/>
  <c r="T9" i="18"/>
  <c r="O858" i="18"/>
  <c r="U858" i="18" s="1"/>
  <c r="P858" i="18"/>
  <c r="N268" i="18"/>
  <c r="P718" i="18" l="1"/>
  <c r="V718" i="18" s="1"/>
  <c r="V858" i="18"/>
  <c r="U270" i="18"/>
  <c r="D114" i="9"/>
  <c r="D113" i="9"/>
  <c r="D112" i="9"/>
  <c r="D111" i="9"/>
  <c r="D109" i="9"/>
  <c r="D108" i="9"/>
  <c r="D107" i="9"/>
  <c r="D106" i="9"/>
  <c r="D105" i="9"/>
  <c r="D104" i="9"/>
  <c r="D103" i="9"/>
  <c r="C100" i="9"/>
  <c r="C99" i="9"/>
  <c r="C98" i="9" s="1"/>
  <c r="C97" i="9" s="1"/>
  <c r="C96" i="9" s="1"/>
  <c r="A95" i="9"/>
  <c r="A93" i="9"/>
  <c r="A91" i="9"/>
  <c r="A89" i="9"/>
  <c r="A87" i="9"/>
  <c r="C85" i="9"/>
  <c r="A84" i="9"/>
  <c r="A82" i="9"/>
  <c r="A80" i="9"/>
  <c r="A78" i="9"/>
  <c r="A76" i="9"/>
  <c r="C74" i="9"/>
  <c r="A73" i="9"/>
  <c r="A71" i="9"/>
  <c r="A69" i="9"/>
  <c r="A67" i="9"/>
  <c r="A65" i="9"/>
  <c r="C63" i="9"/>
  <c r="D62" i="9"/>
  <c r="D63" i="9" s="1"/>
  <c r="A40" i="9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D38" i="9"/>
  <c r="D58" i="9" s="1"/>
  <c r="C38" i="9"/>
  <c r="C33" i="9"/>
  <c r="C29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C22" i="9"/>
  <c r="D21" i="9"/>
  <c r="D29" i="9" s="1"/>
  <c r="D31" i="9" s="1"/>
  <c r="D10" i="9"/>
  <c r="C10" i="9"/>
  <c r="D114" i="8"/>
  <c r="D113" i="8"/>
  <c r="D112" i="8"/>
  <c r="D111" i="8"/>
  <c r="D109" i="8"/>
  <c r="D108" i="8"/>
  <c r="D107" i="8"/>
  <c r="D106" i="8"/>
  <c r="D105" i="8"/>
  <c r="D104" i="8"/>
  <c r="D103" i="8"/>
  <c r="C100" i="8"/>
  <c r="C99" i="8" s="1"/>
  <c r="C98" i="8" s="1"/>
  <c r="C97" i="8" s="1"/>
  <c r="C96" i="8" s="1"/>
  <c r="A95" i="8"/>
  <c r="A93" i="8"/>
  <c r="A91" i="8"/>
  <c r="A89" i="8"/>
  <c r="A87" i="8"/>
  <c r="C85" i="8"/>
  <c r="A84" i="8"/>
  <c r="A82" i="8"/>
  <c r="A80" i="8"/>
  <c r="A78" i="8"/>
  <c r="A76" i="8"/>
  <c r="C74" i="8"/>
  <c r="A73" i="8"/>
  <c r="A71" i="8"/>
  <c r="A69" i="8"/>
  <c r="A67" i="8"/>
  <c r="A65" i="8"/>
  <c r="C63" i="8"/>
  <c r="D62" i="8"/>
  <c r="D63" i="8" s="1"/>
  <c r="A40" i="8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D38" i="8"/>
  <c r="D58" i="8" s="1"/>
  <c r="C38" i="8"/>
  <c r="C33" i="8"/>
  <c r="C29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C22" i="8"/>
  <c r="D21" i="8"/>
  <c r="D29" i="8" s="1"/>
  <c r="D31" i="8" s="1"/>
  <c r="D10" i="8"/>
  <c r="C10" i="8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114" i="7"/>
  <c r="D113" i="7"/>
  <c r="D112" i="7"/>
  <c r="D111" i="7"/>
  <c r="D109" i="7"/>
  <c r="D108" i="7"/>
  <c r="D107" i="7"/>
  <c r="D106" i="7"/>
  <c r="D105" i="7"/>
  <c r="D104" i="7"/>
  <c r="D103" i="7"/>
  <c r="C100" i="7"/>
  <c r="C99" i="7" s="1"/>
  <c r="C98" i="7" s="1"/>
  <c r="C97" i="7" s="1"/>
  <c r="C96" i="7" s="1"/>
  <c r="A95" i="7"/>
  <c r="A93" i="7"/>
  <c r="A91" i="7"/>
  <c r="A89" i="7"/>
  <c r="A87" i="7"/>
  <c r="C85" i="7"/>
  <c r="A84" i="7"/>
  <c r="A82" i="7"/>
  <c r="A80" i="7"/>
  <c r="A78" i="7"/>
  <c r="A76" i="7"/>
  <c r="C74" i="7"/>
  <c r="A73" i="7"/>
  <c r="A71" i="7"/>
  <c r="A69" i="7"/>
  <c r="A67" i="7"/>
  <c r="A65" i="7"/>
  <c r="C63" i="7"/>
  <c r="D62" i="7"/>
  <c r="D63" i="7" s="1"/>
  <c r="A40" i="7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D38" i="7"/>
  <c r="C38" i="7"/>
  <c r="C33" i="7"/>
  <c r="C29" i="7"/>
  <c r="C22" i="7"/>
  <c r="D21" i="7"/>
  <c r="D22" i="7" s="1"/>
  <c r="D27" i="7" s="1"/>
  <c r="D10" i="7"/>
  <c r="C10" i="7"/>
  <c r="P528" i="18" l="1"/>
  <c r="P6" i="18" s="1"/>
  <c r="V270" i="18"/>
  <c r="T270" i="18"/>
  <c r="N529" i="18"/>
  <c r="O268" i="18"/>
  <c r="D54" i="7"/>
  <c r="D61" i="7"/>
  <c r="D56" i="7"/>
  <c r="D55" i="7"/>
  <c r="D52" i="7"/>
  <c r="D51" i="7"/>
  <c r="D50" i="7"/>
  <c r="D49" i="7"/>
  <c r="D46" i="7"/>
  <c r="D45" i="7"/>
  <c r="D44" i="7"/>
  <c r="D43" i="7"/>
  <c r="D39" i="7"/>
  <c r="D22" i="8"/>
  <c r="D27" i="8" s="1"/>
  <c r="D47" i="7"/>
  <c r="D48" i="7"/>
  <c r="D39" i="9"/>
  <c r="D40" i="9"/>
  <c r="D41" i="9"/>
  <c r="D50" i="9"/>
  <c r="D51" i="9"/>
  <c r="D52" i="9"/>
  <c r="D49" i="9"/>
  <c r="D58" i="7"/>
  <c r="D53" i="9"/>
  <c r="D59" i="7"/>
  <c r="D59" i="9"/>
  <c r="D60" i="7"/>
  <c r="D60" i="9"/>
  <c r="D22" i="9"/>
  <c r="D33" i="9" s="1"/>
  <c r="E21" i="9" s="1"/>
  <c r="D42" i="9"/>
  <c r="D43" i="9"/>
  <c r="D40" i="7"/>
  <c r="D61" i="9"/>
  <c r="D41" i="7"/>
  <c r="D42" i="7"/>
  <c r="D84" i="9"/>
  <c r="D71" i="9"/>
  <c r="D93" i="9"/>
  <c r="D91" i="9"/>
  <c r="D65" i="9"/>
  <c r="D77" i="9"/>
  <c r="D76" i="9"/>
  <c r="D75" i="9"/>
  <c r="D74" i="9"/>
  <c r="D85" i="9" s="1"/>
  <c r="D96" i="9" s="1"/>
  <c r="D97" i="9" s="1"/>
  <c r="D98" i="9" s="1"/>
  <c r="D99" i="9" s="1"/>
  <c r="D100" i="9" s="1"/>
  <c r="D101" i="9" s="1"/>
  <c r="D102" i="9" s="1"/>
  <c r="D83" i="9"/>
  <c r="D70" i="9"/>
  <c r="D81" i="9"/>
  <c r="D80" i="9"/>
  <c r="D64" i="9"/>
  <c r="D89" i="9"/>
  <c r="D88" i="9"/>
  <c r="D86" i="9"/>
  <c r="D72" i="9"/>
  <c r="D95" i="9"/>
  <c r="D82" i="9"/>
  <c r="D69" i="9"/>
  <c r="D94" i="9"/>
  <c r="D68" i="9"/>
  <c r="D67" i="9"/>
  <c r="D78" i="9"/>
  <c r="D90" i="9"/>
  <c r="D87" i="9"/>
  <c r="D92" i="9"/>
  <c r="D79" i="9"/>
  <c r="D66" i="9"/>
  <c r="D73" i="9"/>
  <c r="D32" i="9"/>
  <c r="D44" i="9"/>
  <c r="D47" i="9"/>
  <c r="D57" i="9"/>
  <c r="D30" i="9"/>
  <c r="D54" i="9"/>
  <c r="D46" i="9"/>
  <c r="D20" i="9"/>
  <c r="D45" i="9"/>
  <c r="D55" i="9"/>
  <c r="D56" i="9"/>
  <c r="D48" i="9"/>
  <c r="D83" i="8"/>
  <c r="D70" i="8"/>
  <c r="D81" i="8"/>
  <c r="D93" i="8"/>
  <c r="D80" i="8"/>
  <c r="D67" i="8"/>
  <c r="D91" i="8"/>
  <c r="D90" i="8"/>
  <c r="D77" i="8"/>
  <c r="D64" i="8"/>
  <c r="D89" i="8"/>
  <c r="D76" i="8"/>
  <c r="D74" i="8"/>
  <c r="D85" i="8" s="1"/>
  <c r="D96" i="8" s="1"/>
  <c r="D97" i="8" s="1"/>
  <c r="D98" i="8" s="1"/>
  <c r="D99" i="8" s="1"/>
  <c r="D100" i="8" s="1"/>
  <c r="D101" i="8" s="1"/>
  <c r="D102" i="8" s="1"/>
  <c r="D86" i="8"/>
  <c r="D95" i="8"/>
  <c r="D82" i="8"/>
  <c r="D69" i="8"/>
  <c r="D94" i="8"/>
  <c r="D68" i="8"/>
  <c r="D75" i="8"/>
  <c r="D88" i="8"/>
  <c r="D92" i="8"/>
  <c r="D79" i="8"/>
  <c r="D66" i="8"/>
  <c r="D78" i="8"/>
  <c r="D65" i="8"/>
  <c r="D71" i="8"/>
  <c r="D73" i="8"/>
  <c r="D72" i="8"/>
  <c r="D87" i="8"/>
  <c r="D84" i="8"/>
  <c r="D52" i="8"/>
  <c r="D41" i="8"/>
  <c r="D49" i="8"/>
  <c r="D51" i="8"/>
  <c r="D30" i="8"/>
  <c r="D44" i="8"/>
  <c r="D54" i="8"/>
  <c r="D32" i="8"/>
  <c r="D45" i="8"/>
  <c r="D55" i="8"/>
  <c r="D60" i="8"/>
  <c r="D61" i="8"/>
  <c r="D39" i="8"/>
  <c r="D59" i="8"/>
  <c r="D50" i="8"/>
  <c r="D46" i="8"/>
  <c r="D56" i="8"/>
  <c r="D47" i="8"/>
  <c r="D57" i="8"/>
  <c r="D40" i="8"/>
  <c r="D42" i="8"/>
  <c r="D43" i="8"/>
  <c r="D53" i="8"/>
  <c r="D20" i="8"/>
  <c r="D48" i="8"/>
  <c r="D57" i="7"/>
  <c r="D20" i="7"/>
  <c r="D19" i="7" s="1"/>
  <c r="D53" i="7"/>
  <c r="D29" i="7"/>
  <c r="D84" i="7"/>
  <c r="D71" i="7"/>
  <c r="D93" i="7"/>
  <c r="D80" i="7"/>
  <c r="D67" i="7"/>
  <c r="D79" i="7"/>
  <c r="D64" i="7"/>
  <c r="D72" i="7"/>
  <c r="D91" i="7"/>
  <c r="D78" i="7"/>
  <c r="D65" i="7"/>
  <c r="D90" i="7"/>
  <c r="D75" i="7"/>
  <c r="D74" i="7"/>
  <c r="D85" i="7" s="1"/>
  <c r="D96" i="7" s="1"/>
  <c r="D97" i="7" s="1"/>
  <c r="D98" i="7" s="1"/>
  <c r="D99" i="7" s="1"/>
  <c r="D100" i="7" s="1"/>
  <c r="D101" i="7" s="1"/>
  <c r="D102" i="7" s="1"/>
  <c r="D86" i="7"/>
  <c r="D83" i="7"/>
  <c r="D70" i="7"/>
  <c r="D95" i="7"/>
  <c r="D82" i="7"/>
  <c r="D69" i="7"/>
  <c r="D94" i="7"/>
  <c r="D81" i="7"/>
  <c r="D68" i="7"/>
  <c r="D92" i="7"/>
  <c r="D66" i="7"/>
  <c r="D77" i="7"/>
  <c r="D76" i="7"/>
  <c r="D88" i="7"/>
  <c r="D73" i="7"/>
  <c r="D89" i="7"/>
  <c r="D87" i="7"/>
  <c r="D28" i="7"/>
  <c r="D24" i="7"/>
  <c r="D26" i="7"/>
  <c r="D23" i="7"/>
  <c r="D25" i="7"/>
  <c r="D25" i="8" l="1"/>
  <c r="D33" i="8"/>
  <c r="D24" i="8"/>
  <c r="D25" i="9"/>
  <c r="D23" i="8"/>
  <c r="D26" i="9"/>
  <c r="D26" i="8"/>
  <c r="D28" i="8"/>
  <c r="D28" i="9"/>
  <c r="D23" i="9"/>
  <c r="E20" i="9"/>
  <c r="E19" i="9" s="1"/>
  <c r="D30" i="7"/>
  <c r="D27" i="9"/>
  <c r="D24" i="9"/>
  <c r="T21" i="9"/>
  <c r="T20" i="9" s="1"/>
  <c r="T19" i="9" s="1"/>
  <c r="H21" i="9"/>
  <c r="H20" i="9" s="1"/>
  <c r="H19" i="9" s="1"/>
  <c r="V21" i="9"/>
  <c r="V20" i="9" s="1"/>
  <c r="V19" i="9" s="1"/>
  <c r="R21" i="9"/>
  <c r="R20" i="9" s="1"/>
  <c r="R19" i="9" s="1"/>
  <c r="P21" i="9"/>
  <c r="P20" i="9" s="1"/>
  <c r="P19" i="9" s="1"/>
  <c r="J21" i="9"/>
  <c r="J20" i="9" s="1"/>
  <c r="J19" i="9" s="1"/>
  <c r="N21" i="9"/>
  <c r="N20" i="9" s="1"/>
  <c r="N19" i="9" s="1"/>
  <c r="D35" i="9"/>
  <c r="D37" i="9"/>
  <c r="D36" i="9"/>
  <c r="D34" i="9"/>
  <c r="F21" i="9"/>
  <c r="F20" i="9" s="1"/>
  <c r="F19" i="9" s="1"/>
  <c r="S21" i="9"/>
  <c r="S20" i="9" s="1"/>
  <c r="S19" i="9" s="1"/>
  <c r="Q21" i="9"/>
  <c r="Q20" i="9" s="1"/>
  <c r="Q19" i="9" s="1"/>
  <c r="W21" i="9"/>
  <c r="W20" i="9" s="1"/>
  <c r="W19" i="9" s="1"/>
  <c r="L21" i="9"/>
  <c r="L20" i="9" s="1"/>
  <c r="L19" i="9" s="1"/>
  <c r="U21" i="9"/>
  <c r="U20" i="9" s="1"/>
  <c r="U19" i="9" s="1"/>
  <c r="G21" i="9"/>
  <c r="G20" i="9" s="1"/>
  <c r="G19" i="9" s="1"/>
  <c r="X21" i="9"/>
  <c r="X20" i="9" s="1"/>
  <c r="X19" i="9" s="1"/>
  <c r="O21" i="9"/>
  <c r="O20" i="9" s="1"/>
  <c r="O19" i="9" s="1"/>
  <c r="M21" i="9"/>
  <c r="M20" i="9" s="1"/>
  <c r="M19" i="9" s="1"/>
  <c r="I21" i="9"/>
  <c r="I20" i="9" s="1"/>
  <c r="I19" i="9" s="1"/>
  <c r="D19" i="9"/>
  <c r="K21" i="9"/>
  <c r="K20" i="9" s="1"/>
  <c r="K19" i="9" s="1"/>
  <c r="D19" i="8"/>
  <c r="D32" i="7"/>
  <c r="D31" i="7"/>
  <c r="D33" i="7"/>
  <c r="D34" i="7" s="1"/>
  <c r="R21" i="8" l="1"/>
  <c r="R20" i="8" s="1"/>
  <c r="R19" i="8" s="1"/>
  <c r="O21" i="8"/>
  <c r="O20" i="8" s="1"/>
  <c r="O19" i="8" s="1"/>
  <c r="J21" i="8"/>
  <c r="J20" i="8" s="1"/>
  <c r="J19" i="8" s="1"/>
  <c r="L21" i="8"/>
  <c r="L20" i="8" s="1"/>
  <c r="L19" i="8" s="1"/>
  <c r="F21" i="8"/>
  <c r="F20" i="8" s="1"/>
  <c r="F19" i="8" s="1"/>
  <c r="I21" i="8"/>
  <c r="I20" i="8" s="1"/>
  <c r="I19" i="8" s="1"/>
  <c r="D37" i="8"/>
  <c r="D35" i="8"/>
  <c r="D36" i="8"/>
  <c r="M21" i="8"/>
  <c r="M20" i="8" s="1"/>
  <c r="M19" i="8" s="1"/>
  <c r="N21" i="8"/>
  <c r="N20" i="8" s="1"/>
  <c r="N19" i="8" s="1"/>
  <c r="K21" i="8"/>
  <c r="K20" i="8" s="1"/>
  <c r="K19" i="8" s="1"/>
  <c r="E21" i="8"/>
  <c r="E20" i="8" s="1"/>
  <c r="E19" i="8" s="1"/>
  <c r="G21" i="8"/>
  <c r="G20" i="8" s="1"/>
  <c r="G19" i="8" s="1"/>
  <c r="P21" i="8"/>
  <c r="P20" i="8" s="1"/>
  <c r="P19" i="8" s="1"/>
  <c r="T21" i="8"/>
  <c r="T20" i="8" s="1"/>
  <c r="T19" i="8" s="1"/>
  <c r="S21" i="8"/>
  <c r="S20" i="8" s="1"/>
  <c r="S19" i="8" s="1"/>
  <c r="W21" i="8"/>
  <c r="W20" i="8" s="1"/>
  <c r="W19" i="8" s="1"/>
  <c r="Q21" i="8"/>
  <c r="Q20" i="8" s="1"/>
  <c r="Q19" i="8" s="1"/>
  <c r="U21" i="8"/>
  <c r="U20" i="8" s="1"/>
  <c r="U19" i="8" s="1"/>
  <c r="D34" i="8"/>
  <c r="V21" i="8"/>
  <c r="V20" i="8" s="1"/>
  <c r="V19" i="8" s="1"/>
  <c r="H21" i="8"/>
  <c r="H20" i="8" s="1"/>
  <c r="H19" i="8" s="1"/>
  <c r="X21" i="8"/>
  <c r="X20" i="8" s="1"/>
  <c r="X19" i="8" s="1"/>
  <c r="D37" i="7"/>
  <c r="K21" i="7"/>
  <c r="K20" i="7" s="1"/>
  <c r="K19" i="7" s="1"/>
  <c r="M21" i="7"/>
  <c r="M20" i="7" s="1"/>
  <c r="M19" i="7" s="1"/>
  <c r="N21" i="7"/>
  <c r="N20" i="7" s="1"/>
  <c r="N19" i="7" s="1"/>
  <c r="F21" i="7"/>
  <c r="F20" i="7" s="1"/>
  <c r="F19" i="7" s="1"/>
  <c r="J21" i="7"/>
  <c r="J20" i="7" s="1"/>
  <c r="J19" i="7" s="1"/>
  <c r="S21" i="7"/>
  <c r="S20" i="7" s="1"/>
  <c r="S19" i="7" s="1"/>
  <c r="P21" i="7"/>
  <c r="P20" i="7" s="1"/>
  <c r="P19" i="7" s="1"/>
  <c r="E21" i="7"/>
  <c r="E20" i="7" s="1"/>
  <c r="E19" i="7" s="1"/>
  <c r="O21" i="7"/>
  <c r="O20" i="7" s="1"/>
  <c r="O19" i="7" s="1"/>
  <c r="U21" i="7"/>
  <c r="U20" i="7" s="1"/>
  <c r="U19" i="7" s="1"/>
  <c r="T21" i="7"/>
  <c r="T20" i="7" s="1"/>
  <c r="T19" i="7" s="1"/>
  <c r="Q21" i="7"/>
  <c r="Q20" i="7" s="1"/>
  <c r="Q19" i="7" s="1"/>
  <c r="W21" i="7"/>
  <c r="W20" i="7" s="1"/>
  <c r="W19" i="7" s="1"/>
  <c r="R21" i="7"/>
  <c r="R20" i="7" s="1"/>
  <c r="R19" i="7" s="1"/>
  <c r="X21" i="7"/>
  <c r="X20" i="7" s="1"/>
  <c r="X19" i="7" s="1"/>
  <c r="I21" i="7"/>
  <c r="I20" i="7" s="1"/>
  <c r="I19" i="7" s="1"/>
  <c r="V21" i="7"/>
  <c r="V20" i="7" s="1"/>
  <c r="V19" i="7" s="1"/>
  <c r="H21" i="7"/>
  <c r="H20" i="7" s="1"/>
  <c r="H19" i="7" s="1"/>
  <c r="L21" i="7"/>
  <c r="L20" i="7" s="1"/>
  <c r="L19" i="7" s="1"/>
  <c r="G21" i="7"/>
  <c r="G20" i="7" s="1"/>
  <c r="G19" i="7" s="1"/>
  <c r="D36" i="7"/>
  <c r="D35" i="7"/>
  <c r="X30" i="1"/>
  <c r="Y30" i="1" s="1"/>
  <c r="AH93" i="2" l="1"/>
  <c r="AI93" i="2" s="1"/>
  <c r="AH92" i="2"/>
  <c r="AI92" i="2" s="1"/>
  <c r="AH91" i="2"/>
  <c r="AI91" i="2" s="1"/>
  <c r="AH90" i="2"/>
  <c r="AI90" i="2" s="1"/>
  <c r="AH89" i="2"/>
  <c r="AI89" i="2" s="1"/>
  <c r="AH88" i="2"/>
  <c r="AI88" i="2" s="1"/>
  <c r="AH87" i="2"/>
  <c r="AI87" i="2" s="1"/>
  <c r="AH86" i="2"/>
  <c r="AI86" i="2" s="1"/>
  <c r="AH85" i="2"/>
  <c r="AI85" i="2" s="1"/>
  <c r="AH84" i="2"/>
  <c r="AI84" i="2" s="1"/>
  <c r="AH83" i="2"/>
  <c r="AI83" i="2" s="1"/>
  <c r="AH82" i="2"/>
  <c r="AI82" i="2" s="1"/>
  <c r="AH81" i="2"/>
  <c r="AI81" i="2" s="1"/>
  <c r="AH80" i="2"/>
  <c r="AI80" i="2" s="1"/>
  <c r="AH79" i="2"/>
  <c r="AI79" i="2" s="1"/>
  <c r="AH78" i="2"/>
  <c r="AI78" i="2" s="1"/>
  <c r="AH77" i="2"/>
  <c r="AI77" i="2" s="1"/>
  <c r="AH76" i="2"/>
  <c r="AI76" i="2" s="1"/>
  <c r="AH75" i="2"/>
  <c r="AI75" i="2" s="1"/>
  <c r="AH74" i="2"/>
  <c r="AI74" i="2" s="1"/>
  <c r="AH73" i="2"/>
  <c r="AI73" i="2" s="1"/>
  <c r="AH72" i="2"/>
  <c r="AI72" i="2" s="1"/>
  <c r="AH71" i="2"/>
  <c r="AI71" i="2" s="1"/>
  <c r="AH70" i="2"/>
  <c r="AI70" i="2" s="1"/>
  <c r="AH69" i="2"/>
  <c r="AI69" i="2" s="1"/>
  <c r="AH68" i="2"/>
  <c r="AI68" i="2" s="1"/>
  <c r="AH67" i="2"/>
  <c r="AI67" i="2" s="1"/>
  <c r="AH66" i="2"/>
  <c r="AI66" i="2" s="1"/>
  <c r="AH65" i="2"/>
  <c r="AI65" i="2" s="1"/>
  <c r="AH64" i="2"/>
  <c r="AI64" i="2" s="1"/>
  <c r="AH63" i="2"/>
  <c r="AI63" i="2" s="1"/>
  <c r="AH62" i="2"/>
  <c r="AI62" i="2" s="1"/>
  <c r="AH61" i="2"/>
  <c r="AI61" i="2" s="1"/>
  <c r="AH60" i="2"/>
  <c r="AI60" i="2" s="1"/>
  <c r="AH59" i="2"/>
  <c r="AI59" i="2" s="1"/>
  <c r="AH58" i="2"/>
  <c r="AI58" i="2" s="1"/>
  <c r="AH57" i="2"/>
  <c r="AI57" i="2" s="1"/>
  <c r="AH56" i="2"/>
  <c r="AI56" i="2" s="1"/>
  <c r="AH55" i="2"/>
  <c r="AI55" i="2" s="1"/>
  <c r="AH54" i="2"/>
  <c r="AI54" i="2" s="1"/>
  <c r="AH53" i="2"/>
  <c r="AI53" i="2" s="1"/>
  <c r="AH52" i="2"/>
  <c r="AI52" i="2" s="1"/>
  <c r="AH51" i="2"/>
  <c r="AI51" i="2" s="1"/>
  <c r="AH50" i="2"/>
  <c r="AI50" i="2" s="1"/>
  <c r="AH49" i="2"/>
  <c r="AI49" i="2" s="1"/>
  <c r="AH48" i="2"/>
  <c r="AI48" i="2" s="1"/>
  <c r="AH47" i="2"/>
  <c r="AI47" i="2" s="1"/>
  <c r="AH46" i="2"/>
  <c r="AI46" i="2" s="1"/>
  <c r="AH45" i="2"/>
  <c r="AI45" i="2" s="1"/>
  <c r="AH44" i="2"/>
  <c r="AI44" i="2" s="1"/>
  <c r="AH43" i="2"/>
  <c r="AI43" i="2" s="1"/>
  <c r="AH42" i="2"/>
  <c r="AI42" i="2" s="1"/>
  <c r="AH41" i="2"/>
  <c r="AI41" i="2" s="1"/>
  <c r="AH40" i="2"/>
  <c r="AI40" i="2" s="1"/>
  <c r="AH39" i="2"/>
  <c r="AI39" i="2" s="1"/>
  <c r="AH38" i="2"/>
  <c r="AI38" i="2" s="1"/>
  <c r="AH37" i="2"/>
  <c r="AI37" i="2" s="1"/>
  <c r="AH36" i="2"/>
  <c r="AI36" i="2" s="1"/>
  <c r="AH35" i="2"/>
  <c r="AI35" i="2" s="1"/>
  <c r="AH34" i="2"/>
  <c r="AI34" i="2" s="1"/>
  <c r="AH33" i="2"/>
  <c r="AI33" i="2" s="1"/>
  <c r="AH32" i="2"/>
  <c r="AI32" i="2" s="1"/>
  <c r="AH31" i="2"/>
  <c r="AI31" i="2" s="1"/>
  <c r="AH30" i="2"/>
  <c r="AI30" i="2" s="1"/>
  <c r="AH29" i="2"/>
  <c r="AI29" i="2" s="1"/>
  <c r="AH28" i="2"/>
  <c r="AI28" i="2" s="1"/>
  <c r="AH27" i="2"/>
  <c r="AI27" i="2" s="1"/>
  <c r="AH26" i="2"/>
  <c r="AI26" i="2" s="1"/>
  <c r="AH25" i="2"/>
  <c r="AI25" i="2" s="1"/>
  <c r="AH24" i="2"/>
  <c r="AI24" i="2" s="1"/>
  <c r="AH23" i="2"/>
  <c r="AI23" i="2" s="1"/>
  <c r="AI22" i="2"/>
  <c r="AI21" i="2"/>
  <c r="AI20" i="2"/>
  <c r="AI19" i="2"/>
  <c r="AH18" i="2"/>
  <c r="AI18" i="2" s="1"/>
  <c r="AI17" i="2"/>
  <c r="AI16" i="2"/>
  <c r="X32" i="1"/>
  <c r="Y32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71" i="1"/>
  <c r="Y71" i="1" s="1"/>
  <c r="X28" i="1"/>
  <c r="Y28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83" i="1"/>
  <c r="Y83" i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24" i="1"/>
  <c r="Y24" i="1" s="1"/>
  <c r="X25" i="1"/>
  <c r="Y25" i="1" s="1"/>
  <c r="X26" i="1"/>
  <c r="Y26" i="1" s="1"/>
  <c r="X27" i="1"/>
  <c r="Y27" i="1" s="1"/>
  <c r="X29" i="1"/>
  <c r="Y29" i="1" s="1"/>
  <c r="X31" i="1"/>
  <c r="Y31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Y13" i="1"/>
  <c r="X14" i="1"/>
  <c r="Y14" i="1" s="1"/>
  <c r="Y15" i="1"/>
  <c r="Y16" i="1"/>
  <c r="Y17" i="1"/>
  <c r="Y18" i="1"/>
  <c r="X19" i="1"/>
  <c r="Y19" i="1" s="1"/>
  <c r="X20" i="1"/>
  <c r="X21" i="1"/>
  <c r="Y21" i="1" s="1"/>
  <c r="X22" i="1"/>
  <c r="Y22" i="1" s="1"/>
  <c r="X23" i="1"/>
  <c r="Y23" i="1" s="1"/>
  <c r="Y12" i="1"/>
  <c r="AI15" i="2" l="1"/>
  <c r="AH15" i="2"/>
  <c r="X11" i="1"/>
  <c r="Y20" i="1"/>
  <c r="Y11" i="1" s="1"/>
  <c r="S529" i="18" l="1"/>
  <c r="W529" i="18" s="1"/>
  <c r="V532" i="18"/>
  <c r="U532" i="18"/>
  <c r="T532" i="18"/>
  <c r="S268" i="18"/>
  <c r="F7" i="22" l="1"/>
  <c r="I14" i="22" s="1"/>
  <c r="W268" i="18"/>
  <c r="V268" i="18"/>
  <c r="T268" i="18"/>
  <c r="U268" i="18"/>
  <c r="V529" i="18"/>
  <c r="U529" i="18"/>
  <c r="T529" i="18"/>
  <c r="F9" i="22" l="1"/>
  <c r="I20" i="22" s="1"/>
  <c r="W528" i="18"/>
  <c r="V528" i="18"/>
  <c r="Y2" i="18"/>
  <c r="B6" i="22" l="1"/>
  <c r="W6" i="18"/>
  <c r="V6" i="18"/>
  <c r="U808" i="18"/>
  <c r="U793" i="18"/>
  <c r="U741" i="18"/>
  <c r="U780" i="18"/>
  <c r="U768" i="18"/>
  <c r="T808" i="18"/>
  <c r="U720" i="18" l="1"/>
  <c r="U826" i="18"/>
  <c r="T741" i="18"/>
  <c r="T768" i="18"/>
  <c r="T793" i="18"/>
  <c r="T780" i="18"/>
  <c r="T826" i="18" l="1"/>
  <c r="U719" i="18" l="1"/>
  <c r="O718" i="18"/>
  <c r="U718" i="18" l="1"/>
  <c r="O528" i="18"/>
  <c r="N718" i="18"/>
  <c r="T719" i="18"/>
  <c r="N528" i="18" l="1"/>
  <c r="T718" i="18"/>
  <c r="O6" i="18"/>
  <c r="U6" i="18" s="1"/>
  <c r="U528" i="18"/>
  <c r="N6" i="18" l="1"/>
  <c r="T6" i="18" s="1"/>
  <c r="T528" i="18"/>
</calcChain>
</file>

<file path=xl/sharedStrings.xml><?xml version="1.0" encoding="utf-8"?>
<sst xmlns="http://schemas.openxmlformats.org/spreadsheetml/2006/main" count="9623" uniqueCount="1393">
  <si>
    <t>ТЭЗҮ Зураг төсл</t>
  </si>
  <si>
    <t>ТӨСЛИЙН ГҮЙЦЭТГЭЛ</t>
  </si>
  <si>
    <t>Барилга угсралт</t>
  </si>
  <si>
    <t>Д/Д</t>
  </si>
  <si>
    <t>Багцын дугаар</t>
  </si>
  <si>
    <t>Ажлын нэр</t>
  </si>
  <si>
    <t>Урьдчилсан төсөвт өртөг</t>
  </si>
  <si>
    <t>Хэсэгт эзлэх</t>
  </si>
  <si>
    <t>Төсөлд эзлэх хувь</t>
  </si>
  <si>
    <t>Төлөвлөгөөт хугацаа
Гэрээ хавсралт 5</t>
  </si>
  <si>
    <t>Төлөвлөгөөт хугацаа
Гэрээ-Газар чөлөөлөлт хуулийн маргаан хассан
Хавсралт 5</t>
  </si>
  <si>
    <t>Бодит төлөвлөгөөт хугацаа
Гүйцэтгэгч</t>
  </si>
  <si>
    <t>Төлөвлөгөөт хувь
Гэрээ Хавсралт 5</t>
  </si>
  <si>
    <t>Төлөвлөгөөт хувь
Гэрээ-Газар чөлөөлөлт хуулийн маргаан хассан
Хавсралт 5</t>
  </si>
  <si>
    <t>Төлөвлөгөөт хувь
Гүйцэтгэгч</t>
  </si>
  <si>
    <t>Гүйцэтгэлийн хувь</t>
  </si>
  <si>
    <t>Төлөвлөгөө биелэлт
Гэрээ</t>
  </si>
  <si>
    <t>Төлөвлөгөө биелэлт
Гэрээ-Газар чөлөөлөлт хуулийн маргаан хассан</t>
  </si>
  <si>
    <t>Төлөвлөгөө биелэлт-
Гүйцэтгэгч</t>
  </si>
  <si>
    <t>Эхлэх</t>
  </si>
  <si>
    <t>Дуусах</t>
  </si>
  <si>
    <t>ТӨСЛИЙН НИЙТ ГҮЙЦЭТГЭЛ</t>
  </si>
  <si>
    <t xml:space="preserve">ТЭЗҮ </t>
  </si>
  <si>
    <t>1.1</t>
  </si>
  <si>
    <t>БАГЦ 1-6
БАГЦ 8-17</t>
  </si>
  <si>
    <t>"Сэлбэ дэд төв" орчмын гэр хорооллыг дахин төлөвлөн орон сууцжуулах төслийн ТЭЗҮ, барилгажилтын төсөл, олон улсын зөвлөх үйлчилгээ, зураг төслийг боловсруулах ажил</t>
  </si>
  <si>
    <t>Ажлын зураг төсөл</t>
  </si>
  <si>
    <t>БАГЦ 1-6
БАГЦ 10-17</t>
  </si>
  <si>
    <t>"Сэлбэ дэд төв" орчмын гэр хорооллыг дахин төлөвлөн орон сууцжуулах төслийн ТЭЗҮ, барилгажилтын төсөл, олон улсын зөвлөх үйлчилгээ, зураг төслийг боловсруулах ажил (Барилгажилты төсөл Хувилбар 2) нэмэлт ажил</t>
  </si>
  <si>
    <t>2.1.1</t>
  </si>
  <si>
    <t>Багц- 1-4</t>
  </si>
  <si>
    <t xml:space="preserve"> Орон сууцны хороолол барилга угсралт</t>
  </si>
  <si>
    <t>Багц-1</t>
  </si>
  <si>
    <t>Орон сууцны хороолол барилга угсралт</t>
  </si>
  <si>
    <t>2.1.2</t>
  </si>
  <si>
    <t>Багц-2</t>
  </si>
  <si>
    <t>2.1.3</t>
  </si>
  <si>
    <t>Багц-3.1</t>
  </si>
  <si>
    <t>2.1.4</t>
  </si>
  <si>
    <t>Багц-3.2</t>
  </si>
  <si>
    <t>2.1.5</t>
  </si>
  <si>
    <t>Багц-3.3</t>
  </si>
  <si>
    <t>2.1.6</t>
  </si>
  <si>
    <t>Багц-4.1</t>
  </si>
  <si>
    <t>2.1.7</t>
  </si>
  <si>
    <t>Багц-4.2</t>
  </si>
  <si>
    <t>Багц-16, 17</t>
  </si>
  <si>
    <t>ГАДНА ТОХИЖИЛТ, ӨНДӨРЖИЛТ</t>
  </si>
  <si>
    <t>2.2.1</t>
  </si>
  <si>
    <t>БАГЦ-16.1</t>
  </si>
  <si>
    <t>Өндөржилтийн ажил БАГЦ 1</t>
  </si>
  <si>
    <t>2.2.2</t>
  </si>
  <si>
    <t>БАГЦ-16.2</t>
  </si>
  <si>
    <t>Өндөржилтийн ажил БАГЦ 2</t>
  </si>
  <si>
    <t>2.2.3</t>
  </si>
  <si>
    <t>БАГЦ-16.3</t>
  </si>
  <si>
    <t>Өндөржилтийн ажил БАГЦ 3.1</t>
  </si>
  <si>
    <t>2.2.4</t>
  </si>
  <si>
    <t>БАГЦ-16.4</t>
  </si>
  <si>
    <t>Өндөржилтийн ажил БАГЦ 3.2</t>
  </si>
  <si>
    <t>2.2.5</t>
  </si>
  <si>
    <t>БАГЦ-16.5</t>
  </si>
  <si>
    <t>Өндөржилтийн ажил БАГЦ 3.3</t>
  </si>
  <si>
    <t>2.2.6</t>
  </si>
  <si>
    <t>БАГЦ-16.6</t>
  </si>
  <si>
    <t>Өндөржилтийн ажил БАГЦ 4.1</t>
  </si>
  <si>
    <t>2.2.7</t>
  </si>
  <si>
    <t>БАГЦ-16.7</t>
  </si>
  <si>
    <t>Өндөржилтийн ажил БАГЦ  4.2</t>
  </si>
  <si>
    <t>2.2.8</t>
  </si>
  <si>
    <t>БАГЦ-16.8</t>
  </si>
  <si>
    <t>Өндөржилтийн ажил Олон нийтийн бүсийн ГИШС</t>
  </si>
  <si>
    <t>2.2.9</t>
  </si>
  <si>
    <t>БАГЦ-17.1</t>
  </si>
  <si>
    <t>Гадна тохижилтийн ажил БАГЦ 1</t>
  </si>
  <si>
    <t>2.2.10</t>
  </si>
  <si>
    <t>БАГЦ-17.2</t>
  </si>
  <si>
    <t>Гадна тохижилтийн ажил БАГЦ 2</t>
  </si>
  <si>
    <t>2.2.11</t>
  </si>
  <si>
    <t>БАГЦ-17.3</t>
  </si>
  <si>
    <t>Гадна тохижилтийн ажил БАГЦ 3.1</t>
  </si>
  <si>
    <t>2.2.12</t>
  </si>
  <si>
    <t>БАГЦ-17.4</t>
  </si>
  <si>
    <t>Гадна тохижилтийн ажил БАГЦ 3.2</t>
  </si>
  <si>
    <t>2.2.13</t>
  </si>
  <si>
    <t>БАГЦ-17.5</t>
  </si>
  <si>
    <t>Гадна тохижилтийн ажил БАГЦ 3.3</t>
  </si>
  <si>
    <t>2.2.14</t>
  </si>
  <si>
    <t>БАГЦ-17.6</t>
  </si>
  <si>
    <t>Гадна тохижилтийн ажил БАГЦ 4.1</t>
  </si>
  <si>
    <t>2.2.15</t>
  </si>
  <si>
    <t>БАГЦ-17.7</t>
  </si>
  <si>
    <t>Гадна тохижилтийн ажил БАГЦ  4.2</t>
  </si>
  <si>
    <t>Багц- 5,6 9-15</t>
  </si>
  <si>
    <t xml:space="preserve">ИНЖЕНЕРИЙН ДЭД БҮТЭЦ </t>
  </si>
  <si>
    <t>2.3.1</t>
  </si>
  <si>
    <t>Багц 6</t>
  </si>
  <si>
    <t>Гадна цахилгаан, холбоо дохиолол</t>
  </si>
  <si>
    <t>2.3.1.1</t>
  </si>
  <si>
    <t>Багц-6.1</t>
  </si>
  <si>
    <t>Багц 1 Гадна цахилгаан, холбоо дохиолол</t>
  </si>
  <si>
    <t>2.3.1.2</t>
  </si>
  <si>
    <t>Багц-6.2</t>
  </si>
  <si>
    <t>Багц 2 Гадна цахилгаан, холбоо дохиолол</t>
  </si>
  <si>
    <t>2.3.1.3</t>
  </si>
  <si>
    <t>Багц-6.3</t>
  </si>
  <si>
    <t>Багц 3 Гадна цахилгаан, холбоо дохиолол</t>
  </si>
  <si>
    <t>2.3.1.4</t>
  </si>
  <si>
    <t>Багц-6.4</t>
  </si>
  <si>
    <t>Багц 4 Гадна цахилгаан, холбоо дохиолол</t>
  </si>
  <si>
    <t>2.3.1.5</t>
  </si>
  <si>
    <t>Багц-6.5</t>
  </si>
  <si>
    <t>"Сэлбэ дэд төв"-ийн барилгажилтын төслийн ХТП, РП-ний тоноглол, барилга угсралтын ажил (A хэсэг)</t>
  </si>
  <si>
    <t>2.3.1.6</t>
  </si>
  <si>
    <t>Багц-6.6</t>
  </si>
  <si>
    <t>"Сэлбэ дэд төв"-ийн барилгажилтын төслийн ХТП, РП-ний тоноглол, барилга угсралтын ажил (B хэсэг)</t>
  </si>
  <si>
    <t>2.3.1.7</t>
  </si>
  <si>
    <t>Багц-6.7</t>
  </si>
  <si>
    <t>"Сэлбэ дэд төв"-ийн барилгажилтын төслийн ХТП, РП-ний тоноглол, барилга угсралтын ажил (C хэсэг)</t>
  </si>
  <si>
    <t>2.3.1.8</t>
  </si>
  <si>
    <t>Багц-6.8</t>
  </si>
  <si>
    <t>"Сэлбэ дэд төв"-ийн барилгажилтын төслийн ХТП, РП-ний тоноглол, барилга угсралтын ажил (D хэсэг)</t>
  </si>
  <si>
    <t>2.3.1.9</t>
  </si>
  <si>
    <t>БАГЦ-6.1, 6.2</t>
  </si>
  <si>
    <t>Төгөл дэд станц өргөтгөх 6.1, 6.2 зам сүвлэх ажил</t>
  </si>
  <si>
    <t>2.3.1.10</t>
  </si>
  <si>
    <t>БАГЦ-6.9</t>
  </si>
  <si>
    <t>Нэгдсэн хяналтын систем -Удирдлагын төв</t>
  </si>
  <si>
    <t>2.3.1.11</t>
  </si>
  <si>
    <t>БАГЦ-6.10</t>
  </si>
  <si>
    <t>Цахилгаан дамжуулах агаарын шугам шилжүүлэх, 10 кВ-ын ЦДАШ-ын трасс шилжүүлэх ажил</t>
  </si>
  <si>
    <t>2.3.2</t>
  </si>
  <si>
    <t>Багц 5, 9,11,14</t>
  </si>
  <si>
    <t>Гадна дулаан, ус хангамж, ариутгах татуурга</t>
  </si>
  <si>
    <t>2.3.2.1</t>
  </si>
  <si>
    <t>Багц-5.1</t>
  </si>
  <si>
    <t>Багц 1 Гадна дулаан, ус хангамж, ариутгах татуурга</t>
  </si>
  <si>
    <t>2.3.2.2</t>
  </si>
  <si>
    <t>Багц-5.2</t>
  </si>
  <si>
    <t>Багц 2 Гадна дулаан, ус хангамж, ариутгах татуурга</t>
  </si>
  <si>
    <t>2.3.2.3</t>
  </si>
  <si>
    <t>Багц-5.3</t>
  </si>
  <si>
    <t>Багц 3 Гадна дулаан, ус хангамж, ариутгах татуурга</t>
  </si>
  <si>
    <t>2.3.2.4</t>
  </si>
  <si>
    <t>Багц-5.4</t>
  </si>
  <si>
    <t>Багц 4 Гадна дулаан, ус хангамж, ариутгах татуурга</t>
  </si>
  <si>
    <t>2.3.2.5</t>
  </si>
  <si>
    <t>БАГЦ-14</t>
  </si>
  <si>
    <t>Нэвтрэх суваг</t>
  </si>
  <si>
    <t>2.3.2.6</t>
  </si>
  <si>
    <t>БАГЦ -9</t>
  </si>
  <si>
    <t>Дамбадаржаа 1-р контур барилга угсралт</t>
  </si>
  <si>
    <t>2.3.2.7</t>
  </si>
  <si>
    <t>БАГЦ-11</t>
  </si>
  <si>
    <t>Гадна ус хангамж цагирган системийн ажил</t>
  </si>
  <si>
    <t>2.3.3</t>
  </si>
  <si>
    <t>Багц 10,12,13,15</t>
  </si>
  <si>
    <t>Инженерийн дэд бүтэц, эх үүсвэрийн шугам сүлжээний өргөтгөл</t>
  </si>
  <si>
    <t>2.3.3.2</t>
  </si>
  <si>
    <t>Багц-10</t>
  </si>
  <si>
    <t>Гадна усан хангамж эх үүсвэрийн ажил</t>
  </si>
  <si>
    <t>2.3.3.3</t>
  </si>
  <si>
    <t>Багц-12</t>
  </si>
  <si>
    <t>Гадна ариутгах татуурга / Ф600 ширмэн хоолой/</t>
  </si>
  <si>
    <t>2.3.3.4</t>
  </si>
  <si>
    <t>Багц-13</t>
  </si>
  <si>
    <t>2000 м3 Усан сангийн байгууламж</t>
  </si>
  <si>
    <t>2.3.3.5</t>
  </si>
  <si>
    <t>Багц-15</t>
  </si>
  <si>
    <t>Насосны барилгын өргөтгөл</t>
  </si>
  <si>
    <t>БАГЦ 1- 4</t>
  </si>
  <si>
    <t>Суурийн холболтын ажил</t>
  </si>
  <si>
    <t>Багц 7-9, 18</t>
  </si>
  <si>
    <t>Инженерийн бэлтгэл арга хэмжээний дэд бүтэц</t>
  </si>
  <si>
    <t>2.3.4.1</t>
  </si>
  <si>
    <t>БАГЦ-7.1</t>
  </si>
  <si>
    <t>Хөрсний ус зайлуулах, доошлуулах байгууламж</t>
  </si>
  <si>
    <t>2.3.4.2</t>
  </si>
  <si>
    <t>БАГЦ-7.2</t>
  </si>
  <si>
    <t>Үерийн болон гадаргуугийн ус зайлуулах системийн ажил</t>
  </si>
  <si>
    <t>2.3.3.1</t>
  </si>
  <si>
    <t>Багц-8</t>
  </si>
  <si>
    <t>110кв дэд станц, ЦДАШ</t>
  </si>
  <si>
    <t>Багц-9.1</t>
  </si>
  <si>
    <t>Дамбадаржаа 63 мВт-ийн станцын өргөтгөлийн ТЭЗҮ, техникийн зураг төсөл боловсруулах</t>
  </si>
  <si>
    <t>Багц-9.2</t>
  </si>
  <si>
    <t>Дамбадаржаа дулааны станцаас өргөтгөх 1 дүгээр хэлхээний зураг төсөл</t>
  </si>
  <si>
    <t>Багц 18</t>
  </si>
  <si>
    <t xml:space="preserve">Төслийн иж бүрэн авто замын зураг төсөл </t>
  </si>
  <si>
    <t>Багц 1–6, 8–17</t>
  </si>
  <si>
    <t>«Сэлбэ ухаалаг хот» эдийн засгийн тусгай бүс болохтой холбогдуулан ТЭЗҮ, барилгажилтын төслийг шинэчлэх</t>
  </si>
  <si>
    <t>2.4</t>
  </si>
  <si>
    <t>Багц 19,20</t>
  </si>
  <si>
    <t>НИЙГМИЙН ДЭД БҮТЭЦ (Нийслэл төсөв)</t>
  </si>
  <si>
    <t>2.4.1</t>
  </si>
  <si>
    <t>БАГЦ - 19.1</t>
  </si>
  <si>
    <t>960 хүүхдийн сургууль</t>
  </si>
  <si>
    <t>2.4.2</t>
  </si>
  <si>
    <t>БАГЦ - 19.2</t>
  </si>
  <si>
    <t>1,560 хүүхдийн сургууль</t>
  </si>
  <si>
    <t>2.4.3</t>
  </si>
  <si>
    <t>БАГЦ - 19.3</t>
  </si>
  <si>
    <t>1,260 хүүхдийн сургууль</t>
  </si>
  <si>
    <t>2.4.4</t>
  </si>
  <si>
    <t>БАГЦ - 20.1</t>
  </si>
  <si>
    <t>240 хүүхдийн цэцэрлэг</t>
  </si>
  <si>
    <t>2.4.5</t>
  </si>
  <si>
    <t>БАГЦ - 20.2</t>
  </si>
  <si>
    <t>2.4.6</t>
  </si>
  <si>
    <t>БАГЦ - 20.3</t>
  </si>
  <si>
    <t>2.4.7</t>
  </si>
  <si>
    <t>БАГЦ - 20.4</t>
  </si>
  <si>
    <t>2.4.8</t>
  </si>
  <si>
    <t>БАГЦ - 20.5</t>
  </si>
  <si>
    <t>2.4.9</t>
  </si>
  <si>
    <t>БАГЦ - 20.6</t>
  </si>
  <si>
    <t>Цагдаагийн байр</t>
  </si>
  <si>
    <t>2.4.10</t>
  </si>
  <si>
    <t>БАГЦ - 20.7</t>
  </si>
  <si>
    <t>Өрхийн эмнэлэг</t>
  </si>
  <si>
    <t>2.4.11</t>
  </si>
  <si>
    <t>БАГЦ - 20.8</t>
  </si>
  <si>
    <t>Сэлбэ цамхаг</t>
  </si>
  <si>
    <t>2.4.12</t>
  </si>
  <si>
    <t>БАГЦ - 20.9</t>
  </si>
  <si>
    <t>Сэлбэ эко ривэр фронт</t>
  </si>
  <si>
    <t>Газар чөлөөлөлт</t>
  </si>
  <si>
    <t>3.1</t>
  </si>
  <si>
    <t>3.1.1</t>
  </si>
  <si>
    <t>3.1.1.1</t>
  </si>
  <si>
    <t>5/1</t>
  </si>
  <si>
    <t>9 давхар 71 айлын орон сууцны барилга</t>
  </si>
  <si>
    <t>3.1.1.2</t>
  </si>
  <si>
    <t>5/2</t>
  </si>
  <si>
    <t>3.1.1.3</t>
  </si>
  <si>
    <t>5/3</t>
  </si>
  <si>
    <t>3.1.1.4</t>
  </si>
  <si>
    <t>5/4</t>
  </si>
  <si>
    <t>3.1.1.5</t>
  </si>
  <si>
    <t>5/5</t>
  </si>
  <si>
    <t>3.1.1.6</t>
  </si>
  <si>
    <t>5/6</t>
  </si>
  <si>
    <t>3.1.1.7</t>
  </si>
  <si>
    <t>5/7</t>
  </si>
  <si>
    <t>3.1.1.8</t>
  </si>
  <si>
    <t>5/8</t>
  </si>
  <si>
    <t>3.1.1.9</t>
  </si>
  <si>
    <t>5/9</t>
  </si>
  <si>
    <t>3.1.1.10</t>
  </si>
  <si>
    <t>5/10</t>
  </si>
  <si>
    <t>3.1.1.11</t>
  </si>
  <si>
    <t>5/11</t>
  </si>
  <si>
    <t>3.1.1.12</t>
  </si>
  <si>
    <t>5/12</t>
  </si>
  <si>
    <t>3.1.1.13</t>
  </si>
  <si>
    <t>29/1</t>
  </si>
  <si>
    <t>12 давхар 117 айлын орон сууцны барилга</t>
  </si>
  <si>
    <t>3.1.1.14</t>
  </si>
  <si>
    <t>29/2</t>
  </si>
  <si>
    <t>3.1.1.15</t>
  </si>
  <si>
    <t>29/3</t>
  </si>
  <si>
    <t>3.1.1.16</t>
  </si>
  <si>
    <t>29/4</t>
  </si>
  <si>
    <t>3.1.1.17</t>
  </si>
  <si>
    <t>29/5</t>
  </si>
  <si>
    <t>3.1.1.18</t>
  </si>
  <si>
    <t>29/6</t>
  </si>
  <si>
    <t>3.1.1.19</t>
  </si>
  <si>
    <t>29/7</t>
  </si>
  <si>
    <t>3.1.1.20</t>
  </si>
  <si>
    <t>29/8</t>
  </si>
  <si>
    <t>3.1.2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</si>
  <si>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</si>
  <si>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</si>
  <si>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</si>
  <si>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</si>
  <si>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</si>
  <si>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</si>
  <si>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</si>
  <si>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</si>
  <si>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3.1.2.9</t>
  </si>
  <si>
    <t>3.1.2.10</t>
  </si>
  <si>
    <t>3.1.2.11</t>
  </si>
  <si>
    <t>3.1.2.12</t>
  </si>
  <si>
    <t>3.1.2.13</t>
  </si>
  <si>
    <t>5/13</t>
  </si>
  <si>
    <t>3.1.2.14</t>
  </si>
  <si>
    <t>5/14</t>
  </si>
  <si>
    <t>3.1.2.15</t>
  </si>
  <si>
    <t>5/15</t>
  </si>
  <si>
    <t>3.1.2.16</t>
  </si>
  <si>
    <t>5/16</t>
  </si>
  <si>
    <t>3.1.2.17</t>
  </si>
  <si>
    <t>5/17</t>
  </si>
  <si>
    <t>3.1.2.18</t>
  </si>
  <si>
    <t>5/18</t>
  </si>
  <si>
    <t>3.1.2.19</t>
  </si>
  <si>
    <t>5/19</t>
  </si>
  <si>
    <t>3.1.2.20</t>
  </si>
  <si>
    <t>5/20</t>
  </si>
  <si>
    <t>3.1.2.21</t>
  </si>
  <si>
    <t>5/21</t>
  </si>
  <si>
    <t>3.1.2.22</t>
  </si>
  <si>
    <t>5/22</t>
  </si>
  <si>
    <t>3.1.2.23</t>
  </si>
  <si>
    <t>3.1.2.24</t>
  </si>
  <si>
    <t>3.1.2.25</t>
  </si>
  <si>
    <t>3.1.2.26</t>
  </si>
  <si>
    <t>3.1.3</t>
  </si>
  <si>
    <t>3.1.3.1</t>
  </si>
  <si>
    <t>3.1.3.2</t>
  </si>
  <si>
    <t>3.1.3.3</t>
  </si>
  <si>
    <t>3.1.3.4</t>
  </si>
  <si>
    <t>3.1.3.5</t>
  </si>
  <si>
    <t>3.1.3.6</t>
  </si>
  <si>
    <t>3.1.3.7</t>
  </si>
  <si>
    <t>3.1.3.8</t>
  </si>
  <si>
    <t>3.1.3.9</t>
  </si>
  <si>
    <t>3.1.3.10</t>
  </si>
  <si>
    <t>3.1.3.11</t>
  </si>
  <si>
    <t>3.1.4</t>
  </si>
  <si>
    <t>3.1.4.1</t>
  </si>
  <si>
    <t>3.1.4.2</t>
  </si>
  <si>
    <t>3.1.4.3</t>
  </si>
  <si>
    <t>3.1.4.4</t>
  </si>
  <si>
    <t>3.1.4.5</t>
  </si>
  <si>
    <t>3.1.4.6</t>
  </si>
  <si>
    <t>3.1.4.7</t>
  </si>
  <si>
    <t>3.1.4.8</t>
  </si>
  <si>
    <t>3.1.4.9</t>
  </si>
  <si>
    <t>3.1.4.10</t>
  </si>
  <si>
    <t>3.1.4.11</t>
  </si>
  <si>
    <t>3.1.4.12</t>
  </si>
  <si>
    <t>3.1.5</t>
  </si>
  <si>
    <t>3.1.5.1</t>
  </si>
  <si>
    <t>3.1.5.2</t>
  </si>
  <si>
    <t>3.1.5.3</t>
  </si>
  <si>
    <t>3.1.5.4</t>
  </si>
  <si>
    <t>3.1.5.5</t>
  </si>
  <si>
    <t>3.1.5.6</t>
  </si>
  <si>
    <t>3.1.5.7</t>
  </si>
  <si>
    <t>3.1.5.8</t>
  </si>
  <si>
    <t>3.1.5.9</t>
  </si>
  <si>
    <t>3.1.5.10</t>
  </si>
  <si>
    <t>3.1.5.11</t>
  </si>
  <si>
    <t>3.1.5.12</t>
  </si>
  <si>
    <t>3.1.5.13</t>
  </si>
  <si>
    <t>3.1.5.14</t>
  </si>
  <si>
    <t>3.1.6</t>
  </si>
  <si>
    <t>3.1.6.1</t>
  </si>
  <si>
    <t>3.1.6.2</t>
  </si>
  <si>
    <t>3.1.6.3</t>
  </si>
  <si>
    <t>3.1.6.4</t>
  </si>
  <si>
    <t>3.1.6.5</t>
  </si>
  <si>
    <t>3.1.6.6</t>
  </si>
  <si>
    <t>3.1.6.7</t>
  </si>
  <si>
    <t>3.1.6.8</t>
  </si>
  <si>
    <t>3.1.6.9</t>
  </si>
  <si>
    <t>3.1.6.10</t>
  </si>
  <si>
    <t>3.1.6.11</t>
  </si>
  <si>
    <t>3.1.6.12</t>
  </si>
  <si>
    <t>3.1.6.13</t>
  </si>
  <si>
    <t>3.1.6.14</t>
  </si>
  <si>
    <t>3.1.6.15</t>
  </si>
  <si>
    <t>3.1.6.16</t>
  </si>
  <si>
    <t>3.1.6.17</t>
  </si>
  <si>
    <t>Бүгд</t>
  </si>
  <si>
    <t>Өндөржилтөөс гарах газар шорооны ажил</t>
  </si>
  <si>
    <t>3.1.7</t>
  </si>
  <si>
    <t>3.1.7.1</t>
  </si>
  <si>
    <t>3.1.7.2</t>
  </si>
  <si>
    <t>3.1.7.3</t>
  </si>
  <si>
    <t>3.1.7.4</t>
  </si>
  <si>
    <t>3.1.7.5</t>
  </si>
  <si>
    <t>3.1.7.6</t>
  </si>
  <si>
    <t>3.1.7.7</t>
  </si>
  <si>
    <t>6/1</t>
  </si>
  <si>
    <t>3.1.7.8</t>
  </si>
  <si>
    <t>6/2</t>
  </si>
  <si>
    <t>3.1.7.9</t>
  </si>
  <si>
    <t>6/3</t>
  </si>
  <si>
    <t>3.1.7.10</t>
  </si>
  <si>
    <t>6/4</t>
  </si>
  <si>
    <t>3.1.7.11</t>
  </si>
  <si>
    <t>6/5</t>
  </si>
  <si>
    <t>3.1.7.12</t>
  </si>
  <si>
    <t>6/6</t>
  </si>
  <si>
    <t>3.1.7.13</t>
  </si>
  <si>
    <t>6/7</t>
  </si>
  <si>
    <t>3.1.7.14</t>
  </si>
  <si>
    <t>6/8</t>
  </si>
  <si>
    <t>3.2</t>
  </si>
  <si>
    <t>Багц-16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</si>
  <si>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</si>
  <si>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</si>
  <si>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</si>
  <si>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</si>
  <si>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</si>
  <si>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</si>
  <si>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</si>
  <si>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</si>
  <si>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</si>
  <si>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</si>
  <si>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</si>
  <si>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</si>
  <si>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</si>
  <si>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</si>
  <si>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</si>
  <si>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3.3</t>
  </si>
  <si>
    <t>3.3.1</t>
  </si>
  <si>
    <t>3.3.1.1</t>
  </si>
  <si>
    <t>3.3.1.2</t>
  </si>
  <si>
    <t>3.3.1.3</t>
  </si>
  <si>
    <t>3.3.1.4</t>
  </si>
  <si>
    <t>3.3.1.5</t>
  </si>
  <si>
    <t>3.3.1.6</t>
  </si>
  <si>
    <t>3.3.1.7</t>
  </si>
  <si>
    <t>3.3.1.8</t>
  </si>
  <si>
    <t>3.3.1.9</t>
  </si>
  <si>
    <t>3.3.1.10</t>
  </si>
  <si>
    <t>3.3.1.11</t>
  </si>
  <si>
    <t>3.3.2</t>
  </si>
  <si>
    <t>3.3.2.1</t>
  </si>
  <si>
    <t>3.3.2.2</t>
  </si>
  <si>
    <t>3.3.2.3</t>
  </si>
  <si>
    <t>3.3.2.4</t>
  </si>
  <si>
    <t>3.3.2.5</t>
  </si>
  <si>
    <t>3.3.2.6</t>
  </si>
  <si>
    <t>3.3.2.7</t>
  </si>
  <si>
    <t>3.3.3</t>
  </si>
  <si>
    <t>3.3.3.1</t>
  </si>
  <si>
    <t>3.3.3.2</t>
  </si>
  <si>
    <t>3.3.3.3</t>
  </si>
  <si>
    <t>3.3.3.4</t>
  </si>
  <si>
    <t>3.3.3.5</t>
  </si>
  <si>
    <t>3.3.4</t>
  </si>
  <si>
    <t>3.3.4.1</t>
  </si>
  <si>
    <t>3.3.4.2</t>
  </si>
  <si>
    <t>3.3.4.3</t>
  </si>
  <si>
    <t xml:space="preserve">Сэлбэ голын үерийн ус хуримтлуулах усан сангийн ажил </t>
  </si>
  <si>
    <t>3.3.5</t>
  </si>
  <si>
    <t>Авто зам, дугуйн зам, явган зам</t>
  </si>
  <si>
    <t>3.3.5.1</t>
  </si>
  <si>
    <t>Авто зам /дугуй,явган,ногоон зурвас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</si>
  <si>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</si>
  <si>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</si>
  <si>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</si>
  <si>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</si>
  <si>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</si>
  <si>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</si>
  <si>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</si>
  <si>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</si>
  <si>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</si>
  <si>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</si>
  <si>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</si>
  <si>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3.4.11</t>
  </si>
  <si>
    <t>3.4.12</t>
  </si>
  <si>
    <t>Зөвшөөрөл</t>
  </si>
  <si>
    <t>Газар ашиглах, эзэмших зөвшөөрөл</t>
  </si>
  <si>
    <t xml:space="preserve">Барилга эхлүүлэх зөвшөөрөл </t>
  </si>
  <si>
    <t>3.2.1.1</t>
  </si>
  <si>
    <t>3.2.1.2</t>
  </si>
  <si>
    <t>3.2.1.3</t>
  </si>
  <si>
    <t>3.2.1.4</t>
  </si>
  <si>
    <t>3.2.1.5</t>
  </si>
  <si>
    <t>3.2.1.6</t>
  </si>
  <si>
    <t>3.2.1.7</t>
  </si>
  <si>
    <t>3.2.1.8</t>
  </si>
  <si>
    <t>3.2.2.1</t>
  </si>
  <si>
    <t>3.2.2.2</t>
  </si>
  <si>
    <t>3.2.2.3</t>
  </si>
  <si>
    <t>3.2.2.4</t>
  </si>
  <si>
    <t>3.2.2.5</t>
  </si>
  <si>
    <t>3.2.2.6</t>
  </si>
  <si>
    <t>3.2.2.7</t>
  </si>
  <si>
    <t>3.2.2.8</t>
  </si>
  <si>
    <t>3.2.2.9</t>
  </si>
  <si>
    <t>3.2.2.10</t>
  </si>
  <si>
    <t>3.2.2.11</t>
  </si>
  <si>
    <t>3.2.2.12</t>
  </si>
  <si>
    <t>3.2.2.13</t>
  </si>
  <si>
    <t>3.2.2.14</t>
  </si>
  <si>
    <t>3.2.2.15</t>
  </si>
  <si>
    <t>3.2.3.1</t>
  </si>
  <si>
    <t>3.2.3.1.1</t>
  </si>
  <si>
    <t>3.2.3.1.2</t>
  </si>
  <si>
    <t>3.2.3.1.3</t>
  </si>
  <si>
    <t>3.2.3.1.4</t>
  </si>
  <si>
    <t>3.2.3.1.5</t>
  </si>
  <si>
    <t>3.2.3.1.6</t>
  </si>
  <si>
    <t>3.2.3.1.7</t>
  </si>
  <si>
    <t>3.2.3.1.8</t>
  </si>
  <si>
    <t>3.2.3.1.9</t>
  </si>
  <si>
    <t>3.2.3.1.10</t>
  </si>
  <si>
    <t>3.2.3.1.11</t>
  </si>
  <si>
    <t>3.2.3.2</t>
  </si>
  <si>
    <t>3.2.3.2.1</t>
  </si>
  <si>
    <t>3.2.3.2.2</t>
  </si>
  <si>
    <t>3.2.3.2.3</t>
  </si>
  <si>
    <t>3.2.3.2.4</t>
  </si>
  <si>
    <t>3.2.3.2.5</t>
  </si>
  <si>
    <t>3.2.3.2.6</t>
  </si>
  <si>
    <t>3.2.3.2.7</t>
  </si>
  <si>
    <t>3.2.3.3</t>
  </si>
  <si>
    <t>3.2.3.3.1</t>
  </si>
  <si>
    <t>3.2.3.3.2</t>
  </si>
  <si>
    <t>3.2.3.3.3</t>
  </si>
  <si>
    <t>3.2.3.3.4</t>
  </si>
  <si>
    <t>3.2.3.3.5</t>
  </si>
  <si>
    <t>3.2.3.4</t>
  </si>
  <si>
    <t>3.2.3.4.1</t>
  </si>
  <si>
    <t>3.2.3.4.2</t>
  </si>
  <si>
    <t>3.2.3.4.3</t>
  </si>
  <si>
    <t>3.2.3.5</t>
  </si>
  <si>
    <t>3.2.3.5.1</t>
  </si>
  <si>
    <t>3.2.4.1</t>
  </si>
  <si>
    <t>3.2.4.2</t>
  </si>
  <si>
    <t>3.2.4.3</t>
  </si>
  <si>
    <t>3.2.4.4</t>
  </si>
  <si>
    <t>3.2.4.5</t>
  </si>
  <si>
    <t>3.2.4.6</t>
  </si>
  <si>
    <t>3.2.4.7</t>
  </si>
  <si>
    <t>3.2.4.8</t>
  </si>
  <si>
    <t>3.2.4.9</t>
  </si>
  <si>
    <t>3.2.4.10</t>
  </si>
  <si>
    <t>3.2.4.11</t>
  </si>
  <si>
    <t>3.2.4.12</t>
  </si>
  <si>
    <t>Сонгон шалгаруулалт</t>
  </si>
  <si>
    <t>4.1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</si>
  <si>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</si>
  <si>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</si>
  <si>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</si>
  <si>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</si>
  <si>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</si>
  <si>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</si>
  <si>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</si>
  <si>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</si>
  <si>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</si>
  <si>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</si>
  <si>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</si>
  <si>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</si>
  <si>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</si>
  <si>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</si>
  <si>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</si>
  <si>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</si>
  <si>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</si>
  <si>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4.1.1.17</t>
  </si>
  <si>
    <t>4.1.1.18</t>
  </si>
  <si>
    <t>4.1.1.19</t>
  </si>
  <si>
    <t>4.1.1.20</t>
  </si>
  <si>
    <t>4.1.2</t>
  </si>
  <si>
    <t>4.1.2.1</t>
  </si>
  <si>
    <t>4.1.2.2</t>
  </si>
  <si>
    <t>4.1.2.3</t>
  </si>
  <si>
    <t>4.1.2.4</t>
  </si>
  <si>
    <t>4.1.2.5</t>
  </si>
  <si>
    <t>4.1.2.6</t>
  </si>
  <si>
    <t>4.1.2.7</t>
  </si>
  <si>
    <t>4.1.2.8</t>
  </si>
  <si>
    <t>4.1.2.9</t>
  </si>
  <si>
    <t>4.1.2.10</t>
  </si>
  <si>
    <t>4.1.2.11</t>
  </si>
  <si>
    <t>4.1.2.12</t>
  </si>
  <si>
    <t>4.1.2.13</t>
  </si>
  <si>
    <t>4.1.2.14</t>
  </si>
  <si>
    <t>4.1.2.15</t>
  </si>
  <si>
    <t>4.1.2.16</t>
  </si>
  <si>
    <t>4.1.2.17</t>
  </si>
  <si>
    <t>4.1.2.18</t>
  </si>
  <si>
    <t>4.1.2.19</t>
  </si>
  <si>
    <t>4.1.2.20</t>
  </si>
  <si>
    <t>4.1.2.21</t>
  </si>
  <si>
    <t>4.1.2.22</t>
  </si>
  <si>
    <t>4.1.2.23</t>
  </si>
  <si>
    <t>4.1.2.24</t>
  </si>
  <si>
    <t>4.1.2.25</t>
  </si>
  <si>
    <t>4.1.2.26</t>
  </si>
  <si>
    <t>4.1.3</t>
  </si>
  <si>
    <t>4.1.3.1</t>
  </si>
  <si>
    <t>4.1.3.2</t>
  </si>
  <si>
    <t>4.1.3.3</t>
  </si>
  <si>
    <t>4.1.3.4</t>
  </si>
  <si>
    <t>4.1.3.5</t>
  </si>
  <si>
    <t>4.1.3.6</t>
  </si>
  <si>
    <t>4.1.3.7</t>
  </si>
  <si>
    <t>4.1.3.8</t>
  </si>
  <si>
    <t>4.1.3.9</t>
  </si>
  <si>
    <t>4.1.3.10</t>
  </si>
  <si>
    <t>4.1.3.11</t>
  </si>
  <si>
    <t>4.1.4</t>
  </si>
  <si>
    <t>4.1.4.1</t>
  </si>
  <si>
    <t>4.1.4.2</t>
  </si>
  <si>
    <t>4.1.4.3</t>
  </si>
  <si>
    <t>4.1.4.4</t>
  </si>
  <si>
    <t>4.1.4.5</t>
  </si>
  <si>
    <t>4.1.4.6</t>
  </si>
  <si>
    <t>4.1.4.7</t>
  </si>
  <si>
    <t>4.1.4.8</t>
  </si>
  <si>
    <t>4.1.4.9</t>
  </si>
  <si>
    <t>4.1.4.10</t>
  </si>
  <si>
    <t>4.1.4.11</t>
  </si>
  <si>
    <t>4.1.4.12</t>
  </si>
  <si>
    <t>4.1.5</t>
  </si>
  <si>
    <t>4.1.5.1</t>
  </si>
  <si>
    <t>4.1.5.2</t>
  </si>
  <si>
    <t>4.1.5.3</t>
  </si>
  <si>
    <t>4.1.5.4</t>
  </si>
  <si>
    <t>4.1.5.5</t>
  </si>
  <si>
    <t>4.1.5.6</t>
  </si>
  <si>
    <t>4.1.5.7</t>
  </si>
  <si>
    <t>4.1.5.8</t>
  </si>
  <si>
    <t>4.1.5.9</t>
  </si>
  <si>
    <t>4.1.5.10</t>
  </si>
  <si>
    <t>4.1.5.11</t>
  </si>
  <si>
    <t>4.1.5.12</t>
  </si>
  <si>
    <t>4.1.5.13</t>
  </si>
  <si>
    <t>4.1.5.14</t>
  </si>
  <si>
    <t>4.1.6</t>
  </si>
  <si>
    <t>4.1.6.1</t>
  </si>
  <si>
    <t>4.1.6.2</t>
  </si>
  <si>
    <t>4.1.6.3</t>
  </si>
  <si>
    <t>4.1.6.4</t>
  </si>
  <si>
    <t>4.1.6.5</t>
  </si>
  <si>
    <t>4.1.6.6</t>
  </si>
  <si>
    <t>4.1.6.7</t>
  </si>
  <si>
    <t>4.1.6.8</t>
  </si>
  <si>
    <t>4.1.6.9</t>
  </si>
  <si>
    <t>4.1.6.10</t>
  </si>
  <si>
    <t>4.1.6.11</t>
  </si>
  <si>
    <t>4.1.6.12</t>
  </si>
  <si>
    <t>4.1.6.13</t>
  </si>
  <si>
    <t>4.1.6.14</t>
  </si>
  <si>
    <t>4.1.6.15</t>
  </si>
  <si>
    <t>4.1.6.16</t>
  </si>
  <si>
    <t>4.1.6.17</t>
  </si>
  <si>
    <t>4.1.7</t>
  </si>
  <si>
    <t>4.1.7.1</t>
  </si>
  <si>
    <t>4.1.7.2</t>
  </si>
  <si>
    <t>4.1.7.3</t>
  </si>
  <si>
    <t>4.1.7.4</t>
  </si>
  <si>
    <t>4.1.7.5</t>
  </si>
  <si>
    <t>4.1.7.6</t>
  </si>
  <si>
    <t>4.1.7.7</t>
  </si>
  <si>
    <t>4.1.7.8</t>
  </si>
  <si>
    <t>4.1.7.9</t>
  </si>
  <si>
    <t>4.1.7.10</t>
  </si>
  <si>
    <t>4.1.7.11</t>
  </si>
  <si>
    <t>4.1.7.12</t>
  </si>
  <si>
    <t>4.1.7.13</t>
  </si>
  <si>
    <t>4.1.7.14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</si>
  <si>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</si>
  <si>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</si>
  <si>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</si>
  <si>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</si>
  <si>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</si>
  <si>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</si>
  <si>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</si>
  <si>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</si>
  <si>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</si>
  <si>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</si>
  <si>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</si>
  <si>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</si>
  <si>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</si>
  <si>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</si>
  <si>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</si>
  <si>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</si>
  <si>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</si>
  <si>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4.3</t>
  </si>
  <si>
    <t>4.3.1</t>
  </si>
  <si>
    <t>4.3.1.1</t>
  </si>
  <si>
    <t>4.3.1.2</t>
  </si>
  <si>
    <t>4.3.1.3</t>
  </si>
  <si>
    <t>4.3.1.4</t>
  </si>
  <si>
    <t>4.3.1.5</t>
  </si>
  <si>
    <t>4.3.1.6</t>
  </si>
  <si>
    <t>4.3.1.7</t>
  </si>
  <si>
    <t>4.3.1.8</t>
  </si>
  <si>
    <t>4.3.1.9</t>
  </si>
  <si>
    <t>4.3.1.10</t>
  </si>
  <si>
    <t>4.3.1.11</t>
  </si>
  <si>
    <t>4.3.2</t>
  </si>
  <si>
    <t>4.3.2.1</t>
  </si>
  <si>
    <t>4.3.2.2</t>
  </si>
  <si>
    <t>4.3.2.3</t>
  </si>
  <si>
    <t>4.3.2.4</t>
  </si>
  <si>
    <t>4.3.2.5</t>
  </si>
  <si>
    <t>4.3.2.6</t>
  </si>
  <si>
    <t>4.3.2.7</t>
  </si>
  <si>
    <t>4.3.3</t>
  </si>
  <si>
    <t>4.3.3.1</t>
  </si>
  <si>
    <t>4.3.3.2</t>
  </si>
  <si>
    <t>4.3.3.3</t>
  </si>
  <si>
    <t>4.3.3.4</t>
  </si>
  <si>
    <t>4.3.3.5</t>
  </si>
  <si>
    <t>4.3.4</t>
  </si>
  <si>
    <t>4.3.4.1</t>
  </si>
  <si>
    <t>4.3.4.2</t>
  </si>
  <si>
    <t>4.3.4.3</t>
  </si>
  <si>
    <t>4.3.5</t>
  </si>
  <si>
    <t>4.3.5.1</t>
  </si>
  <si>
    <t>4.4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</si>
  <si>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</si>
  <si>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</si>
  <si>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</si>
  <si>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</si>
  <si>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</si>
  <si>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</si>
  <si>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</si>
  <si>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</si>
  <si>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</si>
  <si>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</si>
  <si>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</si>
  <si>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</si>
  <si>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Бэлтгэл ажил</t>
  </si>
  <si>
    <t>5.1.1</t>
  </si>
  <si>
    <t>5.1.2</t>
  </si>
  <si>
    <t>Буулгалт, цэвэрлэгээ</t>
  </si>
  <si>
    <t>5.1.3</t>
  </si>
  <si>
    <t xml:space="preserve">  Талбайн бэлтгэл ажил</t>
  </si>
  <si>
    <t>5.1.3.1</t>
  </si>
  <si>
    <t>5.1.3.1.1</t>
  </si>
  <si>
    <t>5.1.3.1.1.1</t>
  </si>
  <si>
    <t>5.1.3.1.1.2</t>
  </si>
  <si>
    <t>5.1.3.1.1.3</t>
  </si>
  <si>
    <t>5.1.3.1.1.4</t>
  </si>
  <si>
    <t>5.1.3.1.1.5</t>
  </si>
  <si>
    <t>5.1.3.1.1.6</t>
  </si>
  <si>
    <t>5.1.3.1.1.7</t>
  </si>
  <si>
    <t>5.1.3.1.1.8</t>
  </si>
  <si>
    <t>5.1.3.1.1.9</t>
  </si>
  <si>
    <t>5.1.3.1.1.10</t>
  </si>
  <si>
    <t>5.1.3.1.1.11</t>
  </si>
  <si>
    <t>5.1.3.1.1.12</t>
  </si>
  <si>
    <t>5.1.3.1.1.13</t>
  </si>
  <si>
    <t>5.1.3.1.1.14</t>
  </si>
  <si>
    <t>5.1.3.1.1.15</t>
  </si>
  <si>
    <t>5.1.3.1.1.16</t>
  </si>
  <si>
    <t>5.1.3.1.1.17</t>
  </si>
  <si>
    <t>5.1.3.1.1.18</t>
  </si>
  <si>
    <t>5.1.3.1.1.19</t>
  </si>
  <si>
    <t>5.1.3.1.1.20</t>
  </si>
  <si>
    <t>5.1.3.1.2</t>
  </si>
  <si>
    <t>5.1.3.1.2.1</t>
  </si>
  <si>
    <t>5.1.3.1.2.2</t>
  </si>
  <si>
    <t>5.1.3.1.2.3</t>
  </si>
  <si>
    <t>5.1.3.1.2.4</t>
  </si>
  <si>
    <t>5.1.3.1.2.5</t>
  </si>
  <si>
    <t>5.1.3.1.2.6</t>
  </si>
  <si>
    <t>5.1.3.1.2.7</t>
  </si>
  <si>
    <t>5.1.3.1.2.8</t>
  </si>
  <si>
    <t>5.1.3.1.2.9</t>
  </si>
  <si>
    <t>5.1.3.1.2.10</t>
  </si>
  <si>
    <t>5.1.3.1.2.11</t>
  </si>
  <si>
    <t>5.1.3.1.2.12</t>
  </si>
  <si>
    <t>5.1.3.1.2.13</t>
  </si>
  <si>
    <t>5.1.3.1.2.14</t>
  </si>
  <si>
    <t>5.1.3.1.2.15</t>
  </si>
  <si>
    <t>5.1.3.1.2.16</t>
  </si>
  <si>
    <t>5.1.3.1.2.17</t>
  </si>
  <si>
    <t>5.1.3.1.2.18</t>
  </si>
  <si>
    <t>5.1.3.1.2.19</t>
  </si>
  <si>
    <t>5.1.3.1.2.20</t>
  </si>
  <si>
    <t>5.1.3.1.2.21</t>
  </si>
  <si>
    <t>5.1.3.1.2.22</t>
  </si>
  <si>
    <t>5.1.3.1.2.23</t>
  </si>
  <si>
    <t>5.1.3.1.2.24</t>
  </si>
  <si>
    <t>5.1.3.1.2.25</t>
  </si>
  <si>
    <t>5.1.3.1.2.26</t>
  </si>
  <si>
    <t>5.1.3.1.3</t>
  </si>
  <si>
    <t>5.1.3.1.3.1</t>
  </si>
  <si>
    <t>5.1.3.1.3.2</t>
  </si>
  <si>
    <t>5.1.3.1.3.3</t>
  </si>
  <si>
    <t>5.1.3.1.3.4</t>
  </si>
  <si>
    <t>5.1.3.1.3.5</t>
  </si>
  <si>
    <t>5.1.3.1.3.6</t>
  </si>
  <si>
    <t>5.1.3.1.3.7</t>
  </si>
  <si>
    <t>5.1.3.1.3.8</t>
  </si>
  <si>
    <t>5.1.3.1.3.9</t>
  </si>
  <si>
    <t>5.1.3.1.3.10</t>
  </si>
  <si>
    <t>5.1.3.1.3.11</t>
  </si>
  <si>
    <t>5.1.3.1.4</t>
  </si>
  <si>
    <t>5.1.3.1.4.1</t>
  </si>
  <si>
    <t>5.1.3.1.4.2</t>
  </si>
  <si>
    <t>5.1.3.1.4.3</t>
  </si>
  <si>
    <t>5.1.3.1.4.4</t>
  </si>
  <si>
    <t>5.1.3.1.4.5</t>
  </si>
  <si>
    <t>5.1.3.1.4.6</t>
  </si>
  <si>
    <t>5.1.3.1.4.7</t>
  </si>
  <si>
    <t>5.1.3.1.4.8</t>
  </si>
  <si>
    <t>5.1.3.1.4.9</t>
  </si>
  <si>
    <t>5.1.3.1.4.10</t>
  </si>
  <si>
    <t>5.1.3.1.4.11</t>
  </si>
  <si>
    <t>5.1.3.1.4.12</t>
  </si>
  <si>
    <t>5.1.3.1.5</t>
  </si>
  <si>
    <t>5.1.3.1.5.1</t>
  </si>
  <si>
    <t>5.1.3.1.5.2</t>
  </si>
  <si>
    <t>5.1.3.1.5.3</t>
  </si>
  <si>
    <t>5.1.3.1.5.4</t>
  </si>
  <si>
    <t>5.1.3.1.5.5</t>
  </si>
  <si>
    <t>5.1.3.1.5.6</t>
  </si>
  <si>
    <t>5.1.3.1.5.7</t>
  </si>
  <si>
    <t>5.1.3.1.5.8</t>
  </si>
  <si>
    <t>5.1.3.1.5.9</t>
  </si>
  <si>
    <t>5.1.3.1.5.10</t>
  </si>
  <si>
    <t>5.1.3.1.5.11</t>
  </si>
  <si>
    <t>5.1.3.1.5.12</t>
  </si>
  <si>
    <t>5.1.3.1.5.13</t>
  </si>
  <si>
    <t>5.1.3.1.5.14</t>
  </si>
  <si>
    <t>5.1.3.1.6</t>
  </si>
  <si>
    <t>5.1.3.1.6.1</t>
  </si>
  <si>
    <t>5.1.3.1.6.2</t>
  </si>
  <si>
    <t>5.1.3.1.6.3</t>
  </si>
  <si>
    <t>5.1.3.1.6.4</t>
  </si>
  <si>
    <t>5.1.3.1.6.5</t>
  </si>
  <si>
    <t>5.1.3.1.6.6</t>
  </si>
  <si>
    <t>5.1.3.1.6.7</t>
  </si>
  <si>
    <t>5.1.3.1.6.8</t>
  </si>
  <si>
    <t>5.1.3.1.6.9</t>
  </si>
  <si>
    <t>5.1.3.1.6.10</t>
  </si>
  <si>
    <t>5.1.3.1.6.11</t>
  </si>
  <si>
    <t>5.1.3.1.6.12</t>
  </si>
  <si>
    <t>5.1.3.1.6.13</t>
  </si>
  <si>
    <t>5.1.3.1.6.14</t>
  </si>
  <si>
    <t>5.1.3.1.6.15</t>
  </si>
  <si>
    <t>5.1.3.1.6.16</t>
  </si>
  <si>
    <t>5.1.3.1.6.17</t>
  </si>
  <si>
    <t>5.1.3.1.7</t>
  </si>
  <si>
    <t>5.1.3.1.7.1</t>
  </si>
  <si>
    <t>5.1.3.1.7.2</t>
  </si>
  <si>
    <t>5.1.3.1.7.3</t>
  </si>
  <si>
    <t>5.1.3.1.7.4</t>
  </si>
  <si>
    <t>5.1.3.1.7.5</t>
  </si>
  <si>
    <t>5.1.3.1.7.6</t>
  </si>
  <si>
    <t>5.1.3.1.7.7</t>
  </si>
  <si>
    <t>5.1.3.1.7.8</t>
  </si>
  <si>
    <t>5.1.3.1.7.9</t>
  </si>
  <si>
    <t>5.1.3.1.7.10</t>
  </si>
  <si>
    <t>5.1.3.1.7.11</t>
  </si>
  <si>
    <t>5.1.3.1.7.12</t>
  </si>
  <si>
    <t>5.1.3.1.7.13</t>
  </si>
  <si>
    <t>5.1.3.1.7.14</t>
  </si>
  <si>
    <t>5.1.3.1.8</t>
  </si>
  <si>
    <t>5.1.3.2</t>
  </si>
  <si>
    <t>5.1.3.2.1</t>
  </si>
  <si>
    <t>5.1.3.2.2</t>
  </si>
  <si>
    <t>5.1.3.2.3</t>
  </si>
  <si>
    <t>5.1.3.2.4</t>
  </si>
  <si>
    <t>5.1.3.2.5</t>
  </si>
  <si>
    <t>5.1.3.2.6</t>
  </si>
  <si>
    <t>5.1.3.2.7</t>
  </si>
  <si>
    <t>5.1.3.2.8</t>
  </si>
  <si>
    <t>5.1.3.2.9</t>
  </si>
  <si>
    <t>5.1.3.2.10</t>
  </si>
  <si>
    <t>5.1.3.2.11</t>
  </si>
  <si>
    <t>5.1.3.2.12</t>
  </si>
  <si>
    <t>5.1.3.2.13</t>
  </si>
  <si>
    <t>5.1.3.2.14</t>
  </si>
  <si>
    <t>5.1.3.2.15</t>
  </si>
  <si>
    <t>5.1.3.3</t>
  </si>
  <si>
    <t>5.1.3.3.1</t>
  </si>
  <si>
    <t>5.1.3.3.1.1</t>
  </si>
  <si>
    <t>5.1.3.3.1.2</t>
  </si>
  <si>
    <t>5.1.3.3.1.3</t>
  </si>
  <si>
    <t>5.1.3.3.1.4</t>
  </si>
  <si>
    <t>5.1.3.3.1.5</t>
  </si>
  <si>
    <t>5.1.3.3.1.6</t>
  </si>
  <si>
    <t>5.1.3.3.1.7</t>
  </si>
  <si>
    <t>5.1.3.3.1.8</t>
  </si>
  <si>
    <t>5.1.3.3.1.9</t>
  </si>
  <si>
    <t>5.1.3.3.1.10</t>
  </si>
  <si>
    <t>5.1.3.3.1.11</t>
  </si>
  <si>
    <t>5.1.3.3.2</t>
  </si>
  <si>
    <t>5.1.3.3.2.1</t>
  </si>
  <si>
    <t>5.1.3.3.2.2</t>
  </si>
  <si>
    <t>5.1.3.3.2.3</t>
  </si>
  <si>
    <t>5.1.3.3.2.4</t>
  </si>
  <si>
    <t>5.1.3.3.2.5</t>
  </si>
  <si>
    <t>5.1.3.3.2.6</t>
  </si>
  <si>
    <t>5.1.3.3.2.7</t>
  </si>
  <si>
    <t>5.1.3.3.3</t>
  </si>
  <si>
    <t>5.1.3.3.3.1</t>
  </si>
  <si>
    <t>5.1.3.3.3.2</t>
  </si>
  <si>
    <t>5.1.3.3.3.3</t>
  </si>
  <si>
    <t>5.1.3.3.3.4</t>
  </si>
  <si>
    <t>5.1.3.3.3.5</t>
  </si>
  <si>
    <t>5.1.3.3.4</t>
  </si>
  <si>
    <t>5.1.3.3.4.1</t>
  </si>
  <si>
    <t>5.1.3.3.4.2</t>
  </si>
  <si>
    <t>5.1.3.3.4.3</t>
  </si>
  <si>
    <t>5.1.3.3.5</t>
  </si>
  <si>
    <t>5.1.3.3.5.1</t>
  </si>
  <si>
    <t>5.1.3.4</t>
  </si>
  <si>
    <t>5.1.3.4.1</t>
  </si>
  <si>
    <t>5.1.3.4.2</t>
  </si>
  <si>
    <t>5.1.3.4.3</t>
  </si>
  <si>
    <t>5.1.3.4.4</t>
  </si>
  <si>
    <t>5.1.3.4.5</t>
  </si>
  <si>
    <t>5.1.3.4.6</t>
  </si>
  <si>
    <t>5.1.3.4.7</t>
  </si>
  <si>
    <t>5.1.3.4.8</t>
  </si>
  <si>
    <t>5.1.3.4.9</t>
  </si>
  <si>
    <t>5.1.3.4.10</t>
  </si>
  <si>
    <t>5.1.3.4.11</t>
  </si>
  <si>
    <t>5.1.3.4.12</t>
  </si>
  <si>
    <t>Барилга угсралт ажил</t>
  </si>
  <si>
    <t>5.2.1</t>
  </si>
  <si>
    <t>5.2.1.1</t>
  </si>
  <si>
    <t>5.2.1.1.1</t>
  </si>
  <si>
    <t>5.2.1.1.2</t>
  </si>
  <si>
    <t>5.2.1.1.3</t>
  </si>
  <si>
    <t>5.2.1.1.4</t>
  </si>
  <si>
    <t>5.2.1.1.5</t>
  </si>
  <si>
    <t>5.2.1.1.6</t>
  </si>
  <si>
    <t>5.2.1.1.7</t>
  </si>
  <si>
    <t>5.2.1.1.8</t>
  </si>
  <si>
    <t>5.2.1.1.9</t>
  </si>
  <si>
    <t>5.2.1.1.10</t>
  </si>
  <si>
    <t>5.2.1.1.11</t>
  </si>
  <si>
    <t>5.2.1.1.12</t>
  </si>
  <si>
    <t>5.2.1.1.13</t>
  </si>
  <si>
    <t>5.2.1.1.14</t>
  </si>
  <si>
    <t>5.2.1.1.15</t>
  </si>
  <si>
    <t>5.2.1.1.16</t>
  </si>
  <si>
    <t>5.2.1.1.17</t>
  </si>
  <si>
    <t>5.2.1.1.18</t>
  </si>
  <si>
    <t>5.2.1.1.19</t>
  </si>
  <si>
    <t>5.2.1.1.20</t>
  </si>
  <si>
    <t>5.2.1.2</t>
  </si>
  <si>
    <t>5.2.1.1.21</t>
  </si>
  <si>
    <t>5.2.1.1.22</t>
  </si>
  <si>
    <t>5.2.1.1.23</t>
  </si>
  <si>
    <t>5.2.1.1.24</t>
  </si>
  <si>
    <t>5.2.1.1.25</t>
  </si>
  <si>
    <t>5.2.1.1.26</t>
  </si>
  <si>
    <t>5.2.1.3</t>
  </si>
  <si>
    <t>5.2.1.4</t>
  </si>
  <si>
    <t>5.2.1.5</t>
  </si>
  <si>
    <t>5.2.1.6</t>
  </si>
  <si>
    <t>5.2.1.7</t>
  </si>
  <si>
    <t>12 давхар 71 айлын орон сууцны барилга</t>
  </si>
  <si>
    <t>5.2.1.8</t>
  </si>
  <si>
    <t>5.2.2</t>
  </si>
  <si>
    <t>5.2.2.3.1</t>
  </si>
  <si>
    <t>5.2.2.3.2</t>
  </si>
  <si>
    <t>5.2.2.3.3</t>
  </si>
  <si>
    <t>5.2.2.3.4</t>
  </si>
  <si>
    <t>5.2.2.3.5</t>
  </si>
  <si>
    <t>5.2.2.3.6</t>
  </si>
  <si>
    <t>5.2.2.3.7</t>
  </si>
  <si>
    <t>5.2.2.3.8</t>
  </si>
  <si>
    <t>5.2.2.3.9</t>
  </si>
  <si>
    <t>5.2.2.3.10</t>
  </si>
  <si>
    <t>5.2.2.3.11</t>
  </si>
  <si>
    <t>5.2.2.3.12</t>
  </si>
  <si>
    <t>5.2.2.3.13</t>
  </si>
  <si>
    <t>5.2.2.3.14</t>
  </si>
  <si>
    <t>5.2.2.3.15</t>
  </si>
  <si>
    <t>5.2.3</t>
  </si>
  <si>
    <t>5.2.3.1</t>
  </si>
  <si>
    <t>5.2.3.1.1</t>
  </si>
  <si>
    <t>5.2.3.1.2</t>
  </si>
  <si>
    <t>5.2.3.1.3</t>
  </si>
  <si>
    <t>5.2.3.1.4</t>
  </si>
  <si>
    <t>5.2.3.1.5</t>
  </si>
  <si>
    <t>5.2.3.1.6</t>
  </si>
  <si>
    <t>5.2.3.1.7</t>
  </si>
  <si>
    <t>5.2.3.1.8</t>
  </si>
  <si>
    <t>5.2.3.1.9</t>
  </si>
  <si>
    <t>5.2.3.1.10</t>
  </si>
  <si>
    <t>5.2.3.1.11</t>
  </si>
  <si>
    <t>5.2.3.2</t>
  </si>
  <si>
    <t>5.2.3.2.1</t>
  </si>
  <si>
    <t>5.2.3.2.2</t>
  </si>
  <si>
    <t>5.2.3.2.3</t>
  </si>
  <si>
    <t>5.2.3.2.4</t>
  </si>
  <si>
    <t>5.2.3.2.5</t>
  </si>
  <si>
    <t>5.2.3.2.6</t>
  </si>
  <si>
    <t>5.2.3.2.7</t>
  </si>
  <si>
    <t>5.2.3.3</t>
  </si>
  <si>
    <t>5.2.3.5</t>
  </si>
  <si>
    <t>5.2.3.6</t>
  </si>
  <si>
    <t>5.2.3.8</t>
  </si>
  <si>
    <t>Хороолол доторх гол болон туслах авто замын иж бүрэн зураг төсөл, барилга угсралтын ажил</t>
  </si>
  <si>
    <t>5.2.4</t>
  </si>
  <si>
    <t>5.2.4.1</t>
  </si>
  <si>
    <t>5.2.4.2</t>
  </si>
  <si>
    <t>5.2.4.3</t>
  </si>
  <si>
    <t>5.2.4.4</t>
  </si>
  <si>
    <t>5.2.4.5</t>
  </si>
  <si>
    <t>5.2.4.6</t>
  </si>
  <si>
    <t>5.2.4.7</t>
  </si>
  <si>
    <t>5.2.4.8</t>
  </si>
  <si>
    <t>5.2.4.9</t>
  </si>
  <si>
    <t>5.2.4.10</t>
  </si>
  <si>
    <t>5.2.4.11</t>
  </si>
  <si>
    <t>5.2.4.12</t>
  </si>
  <si>
    <t>Төслийг хүлээлгэн өгөх</t>
  </si>
  <si>
    <t xml:space="preserve">Туршилт тохируулга </t>
  </si>
  <si>
    <t>Техникийн комисс</t>
  </si>
  <si>
    <t>Улсын комисс</t>
  </si>
  <si>
    <t>Ажил хүлээлцэх</t>
  </si>
  <si>
    <t>Төслийн зүгшрүүлэлт</t>
  </si>
  <si>
    <t>Үйл ажиллагааны зүгшрүүлэлтийн төлөвлөгөө</t>
  </si>
  <si>
    <t>Үйл ажиллагааны бэлтгэл</t>
  </si>
  <si>
    <t>Гэрээ/Хавсралт 5</t>
  </si>
  <si>
    <t>Гүйцэтгэгч</t>
  </si>
  <si>
    <t>ОСНАУГ/Газар чөлөөлөлт/ хуулийн маргаан/Өндөржилт нөлөөлөл</t>
  </si>
  <si>
    <t>2026 он</t>
  </si>
  <si>
    <t>2027 он</t>
  </si>
  <si>
    <t>2028 он</t>
  </si>
  <si>
    <t>Төлөвлөгөөт эхлэх</t>
  </si>
  <si>
    <t>Төлөвлөгөөт дуусах</t>
  </si>
  <si>
    <t>Бодит Эхлэх</t>
  </si>
  <si>
    <t>Бодит дуусах</t>
  </si>
  <si>
    <t>2026 он 8-р сар</t>
  </si>
  <si>
    <t>2026 он 9-р сар</t>
  </si>
  <si>
    <t>2026 он 10-р сар</t>
  </si>
  <si>
    <t>2026 он 11-р сар</t>
  </si>
  <si>
    <t>2026 он 12-р сар</t>
  </si>
  <si>
    <t>2027 он 1-р сар</t>
  </si>
  <si>
    <t>2027 он 2-р сар</t>
  </si>
  <si>
    <t>2027 он 3-р сар</t>
  </si>
  <si>
    <t>2027 он 4-р сар</t>
  </si>
  <si>
    <t>2027 он 5-р сар</t>
  </si>
  <si>
    <t>2027 он 6-р сар</t>
  </si>
  <si>
    <t>2027 он 12-р сар</t>
  </si>
  <si>
    <t>2027 он 8-р сар</t>
  </si>
  <si>
    <t>2027 он 9-р сар</t>
  </si>
  <si>
    <t>2027 он 10-р сар</t>
  </si>
  <si>
    <t>2027 он 11-р сар</t>
  </si>
  <si>
    <t>2028 оны 1-р сар</t>
  </si>
  <si>
    <t>2028 оны 2-р сар</t>
  </si>
  <si>
    <t>2028 оны 3-р сар</t>
  </si>
  <si>
    <t>2028 оны 4-р сар</t>
  </si>
  <si>
    <t>2028 оны 5-р сар</t>
  </si>
  <si>
    <t>2028 оны 6-р сар</t>
  </si>
  <si>
    <t>2028 оны 7-р сар</t>
  </si>
  <si>
    <t>2028 оны 8-р сар</t>
  </si>
  <si>
    <t>2028 оны 9-р сар</t>
  </si>
  <si>
    <t>2028 оны 10-р сар</t>
  </si>
  <si>
    <t>2028 оны 11-р сар</t>
  </si>
  <si>
    <t>2028 оны 12-р сар</t>
  </si>
  <si>
    <t>11/30/207</t>
  </si>
  <si>
    <t>Төлөвлөгөөт хувь
Next week</t>
  </si>
  <si>
    <t>Төлөвлөгөөт хувь
Өмнө долоо хоног</t>
  </si>
  <si>
    <t>Төлөвлөгөө биелэлт
Weekly</t>
  </si>
  <si>
    <t>БАРИЛГА УГСРАЛТ - ОРОН СУУЦНЫ БАГЦУУДЫН ДҮГНЭЛТ</t>
  </si>
  <si>
    <t>Эх сурвалж: Level 4 (Төмөр бетон рамын ажил - давхар бүрийн цутгалтын бодит гүйцэтгэл; Багц-3.2 нь Талбайн мэдээллийн самбараар шинэчлэгдсэн). Давхрын гүйцэтгэл 0%-аас их бол тухайн давхрын цутгалтыг 'эхэлсэн' гэж, 100% бол 'цутгасан' гэж тооцсон. Бүх давхарт ижил хувь орсон блокийг давхрын задаргаагүй гэж тусад нь ангилав. Огноо: 2026-10-05</t>
  </si>
  <si>
    <t>1. БҮХ БАГЦУУДЫН ЕРӨНХИЙ ГҮЙЦЭТГЭЛ</t>
  </si>
  <si>
    <t>Багц</t>
  </si>
  <si>
    <t>Нийт блок</t>
  </si>
  <si>
    <t>Техник давхар дууссан блок</t>
  </si>
  <si>
    <t>Угсралт эхэлсэн блок (давхраар болон блокийн хувиар)</t>
  </si>
  <si>
    <t>Угсралт эхлээгүй блок</t>
  </si>
  <si>
    <t>Эхлээгүй блокууд (дугаар)</t>
  </si>
  <si>
    <t>Төлөвлөгөөний биелэлт (Next week)</t>
  </si>
  <si>
    <t>Дэлгэрэнгүй</t>
  </si>
  <si>
    <t>17-р мөрөөс</t>
  </si>
  <si>
    <t>54-р мөрөөс</t>
  </si>
  <si>
    <t>92-р мөрөөс</t>
  </si>
  <si>
    <t>114-р мөрөөс</t>
  </si>
  <si>
    <t>140-р мөрөөс</t>
  </si>
  <si>
    <t>167-р мөрөөс</t>
  </si>
  <si>
    <t>194-р мөрөөс</t>
  </si>
  <si>
    <t>Барилга угсралт (нийт)</t>
  </si>
  <si>
    <t>-</t>
  </si>
  <si>
    <t>ДАВХРУУДЫН НЭГТГЭЛ: Төслийн блокууд хэдэн давхарт явж байгаа (блокийн тоогоор)</t>
  </si>
  <si>
    <t>Блок бүрийн давхар = цутгалт эхэлсэн хамгийн дээд давхар. 'Техник давхар дууссан' гэдэгт каркас бүрэн дууссан блок орно.</t>
  </si>
  <si>
    <t>1) 12 давхар барилга (1-12F)</t>
  </si>
  <si>
    <t>Давхар (блок хүрсэн шат)</t>
  </si>
  <si>
    <t>Угсралт эхлээгүй</t>
  </si>
  <si>
    <t>Зөвхөн зоорь/суурь (давхар цутгалт эхлээгүй)</t>
  </si>
  <si>
    <t>1F-д явж байгаа</t>
  </si>
  <si>
    <t>2F-д явж байгаа</t>
  </si>
  <si>
    <t>3F-д явж байгаа</t>
  </si>
  <si>
    <t>4F-д явж байгаа</t>
  </si>
  <si>
    <t>5F-д явж байгаа</t>
  </si>
  <si>
    <t>6F-д явж байгаа</t>
  </si>
  <si>
    <t>7F-д явж байгаа</t>
  </si>
  <si>
    <t>8F-д явж байгаа</t>
  </si>
  <si>
    <t>9F-д явж байгаа</t>
  </si>
  <si>
    <t>10F-д явж байгаа</t>
  </si>
  <si>
    <t>11F-д явж байгаа</t>
  </si>
  <si>
    <t>12F-д явж байгаа</t>
  </si>
  <si>
    <t>Техник давхар хүртэл дууссан</t>
  </si>
  <si>
    <t>Давхрын задаргаагүй (блокийн хувиар)</t>
  </si>
  <si>
    <t>2) 9 давхар барилга (1-9F)</t>
  </si>
  <si>
    <t>2. Багц-1 : Блокуудын угсралт хэдэн давхарт явж байгаа</t>
  </si>
  <si>
    <t>Төлөв</t>
  </si>
  <si>
    <t>Блокын тоо</t>
  </si>
  <si>
    <t>Үүнээс 9 давхар</t>
  </si>
  <si>
    <t>Үүнээс 12 давхар</t>
  </si>
  <si>
    <t>Эзлэх хувь</t>
  </si>
  <si>
    <t>11F хүртэл цутгасан</t>
  </si>
  <si>
    <t>10F хүртэл цутгасан</t>
  </si>
  <si>
    <t>9F хүртэл цутгасан</t>
  </si>
  <si>
    <t>6F хүртэл цутгасан</t>
  </si>
  <si>
    <t>1F хүртэл цутгасан</t>
  </si>
  <si>
    <t>Эхлээгүй</t>
  </si>
  <si>
    <t>Нийт</t>
  </si>
  <si>
    <t>Багц-1 : блок тус бүрийн байдал</t>
  </si>
  <si>
    <t>Блок</t>
  </si>
  <si>
    <t>Барилгын төрөл</t>
  </si>
  <si>
    <t>Нийт давхар</t>
  </si>
  <si>
    <t>Цутгалт эхэлсэн давхар</t>
  </si>
  <si>
    <t>Цутгаж дууссан давхар</t>
  </si>
  <si>
    <t>Техник давхар</t>
  </si>
  <si>
    <t>Одоогийн төлөв</t>
  </si>
  <si>
    <t>Одоо цутгаж буй давхрын явц</t>
  </si>
  <si>
    <t>Үлдсэн давхар</t>
  </si>
  <si>
    <t>9 давхар</t>
  </si>
  <si>
    <t>Дууссан</t>
  </si>
  <si>
    <t>Хийгдээгүй</t>
  </si>
  <si>
    <t>12 давхар</t>
  </si>
  <si>
    <t>3. Багц-2 : Блокуудын угсралт хэдэн давхарт явж байгаа</t>
  </si>
  <si>
    <t>Багц-2 : блок тус бүрийн байдал</t>
  </si>
  <si>
    <t>4. Багц-3.1 : Блокуудын угсралт хэдэн давхарт явж байгаа</t>
  </si>
  <si>
    <t>Багц-3.1 : блок тус бүрийн байдал</t>
  </si>
  <si>
    <t>5. Багц-3.2 : Блокуудын угсралт хэдэн давхарт явж байгаа</t>
  </si>
  <si>
    <t>4F хүртэл цутгасан</t>
  </si>
  <si>
    <t>Багц-3.2 : блок тус бүрийн байдал</t>
  </si>
  <si>
    <t>6. Багц-3.3 : Блокуудын угсралт хэдэн давхарт явж байгаа</t>
  </si>
  <si>
    <t>Блокийн нийт хувиар (давхрын задаргаагүй)</t>
  </si>
  <si>
    <t>Багц-3.3 : блок тус бүрийн байдал</t>
  </si>
  <si>
    <t>Блок - 63%</t>
  </si>
  <si>
    <t>Блок - 76%</t>
  </si>
  <si>
    <t>Блок - 98%</t>
  </si>
  <si>
    <t>7. Багц-4.1 : Блокуудын угсралт хэдэн давхарт явж байгаа</t>
  </si>
  <si>
    <t>Багц-4.1 : блок тус бүрийн байдал</t>
  </si>
  <si>
    <t>Блок - 99%</t>
  </si>
  <si>
    <t>Блок - 39%</t>
  </si>
  <si>
    <t>Блок - 58%</t>
  </si>
  <si>
    <t>8. Багц-4.2 : Блокуудын угсралт хэдэн давхарт явж байгаа</t>
  </si>
  <si>
    <t>Багц-4.2 : блок тус бүрийн байдал</t>
  </si>
  <si>
    <t>Блок - 20%</t>
  </si>
  <si>
    <t>Блок - 10%</t>
  </si>
  <si>
    <t>Блок - 48%</t>
  </si>
  <si>
    <t>БАГЦ 1 БАРИЛГА УГСРАЛТЫН ГҮЙЦЭТГЭЛ</t>
  </si>
  <si>
    <t>Байгууллага</t>
  </si>
  <si>
    <t xml:space="preserve">"Сэлбэ хорин минутын хот корпорац"ХХК </t>
  </si>
  <si>
    <t>Шифр</t>
  </si>
  <si>
    <t xml:space="preserve">Харьяалах газар </t>
  </si>
  <si>
    <t>БАГЦ-1</t>
  </si>
  <si>
    <t>Хувилбар, №</t>
  </si>
  <si>
    <t>Баримт бичгийн нэр</t>
  </si>
  <si>
    <t xml:space="preserve">Талбайн мэдээлэл </t>
  </si>
  <si>
    <t>Батлагдсан огноо</t>
  </si>
  <si>
    <t>№</t>
  </si>
  <si>
    <t>Ажил</t>
  </si>
  <si>
    <t>Хувийн жин</t>
  </si>
  <si>
    <t>Ажил гүйцэтгэл (12 барилга)</t>
  </si>
  <si>
    <t>Хийгдсэн гүйцэтгэл</t>
  </si>
  <si>
    <t xml:space="preserve">Дутуу                гүйцэтгэл </t>
  </si>
  <si>
    <t xml:space="preserve">71 айл 9 давхар </t>
  </si>
  <si>
    <t xml:space="preserve">117 айл 12 давхар </t>
  </si>
  <si>
    <t xml:space="preserve">5/1 барилга </t>
  </si>
  <si>
    <t xml:space="preserve">5/2 барилга </t>
  </si>
  <si>
    <t xml:space="preserve">5/3 барилга </t>
  </si>
  <si>
    <t xml:space="preserve">5/4 барилга </t>
  </si>
  <si>
    <t xml:space="preserve">5/5 барилга </t>
  </si>
  <si>
    <t xml:space="preserve">5/6 барилга </t>
  </si>
  <si>
    <t xml:space="preserve">5/7 барилга </t>
  </si>
  <si>
    <t xml:space="preserve">5/8 барилга </t>
  </si>
  <si>
    <t xml:space="preserve">5/9 барилга </t>
  </si>
  <si>
    <t xml:space="preserve">5/10 барилга </t>
  </si>
  <si>
    <t xml:space="preserve">5/11 барилга </t>
  </si>
  <si>
    <t xml:space="preserve">5/12 барилга </t>
  </si>
  <si>
    <t xml:space="preserve">29/1 барилга </t>
  </si>
  <si>
    <t xml:space="preserve">29/2 барилга </t>
  </si>
  <si>
    <t xml:space="preserve">29/3 барилга </t>
  </si>
  <si>
    <t xml:space="preserve">29/4 барилга </t>
  </si>
  <si>
    <t xml:space="preserve">29/5 барилга </t>
  </si>
  <si>
    <t xml:space="preserve">29/6 барилга </t>
  </si>
  <si>
    <t xml:space="preserve">29/7 барилга </t>
  </si>
  <si>
    <t xml:space="preserve">29/8 барилга </t>
  </si>
  <si>
    <t>A. Бэлтгэл ажил</t>
  </si>
  <si>
    <t xml:space="preserve">Талбайн түр хашаа барих  </t>
  </si>
  <si>
    <t xml:space="preserve">Талбайн гэрэлтүүлэг </t>
  </si>
  <si>
    <t>Талбайн камер</t>
  </si>
  <si>
    <t xml:space="preserve">Харуул хамгаалалт </t>
  </si>
  <si>
    <t xml:space="preserve">Түр цахилгаан хангамж </t>
  </si>
  <si>
    <t xml:space="preserve">Түр барилга байгууламж </t>
  </si>
  <si>
    <t>Түр зам засах /Тэгшилгээ/</t>
  </si>
  <si>
    <t>Кран угсрах</t>
  </si>
  <si>
    <t>Б. БАРИЛГА УГСРАЛТЫН АЖИЛ</t>
  </si>
  <si>
    <t>Б1</t>
  </si>
  <si>
    <t>БАРИЛГЫН АЖИЛ</t>
  </si>
  <si>
    <t>ГАЗАР ШОРООНЫ АЖИЛ</t>
  </si>
  <si>
    <t>Суурь ухлагын ажил</t>
  </si>
  <si>
    <t>Улаан шугамыг шалгаж,тэг тэнхлэг тавих</t>
  </si>
  <si>
    <t>Суурийн нүх ухах</t>
  </si>
  <si>
    <t xml:space="preserve">Суурь нээсэн хөрсний дүгнэлт үйлдэх </t>
  </si>
  <si>
    <t xml:space="preserve">Гар тэгшилгээ </t>
  </si>
  <si>
    <t xml:space="preserve">Буурь хөрсний нягтруулалт </t>
  </si>
  <si>
    <t xml:space="preserve">Буурь хөрсний нягтруулалтын тест </t>
  </si>
  <si>
    <t>Суурь буцаан булалтын ажил</t>
  </si>
  <si>
    <t>Бульдозероор суурийн хажуугаар хөрсөөр булах</t>
  </si>
  <si>
    <t>Суурийн шороог гараар булах</t>
  </si>
  <si>
    <t>Нягтруулах</t>
  </si>
  <si>
    <t>Бусад газар шорооны ажил</t>
  </si>
  <si>
    <t xml:space="preserve">Шалан доор шороо хийж нягтруулах </t>
  </si>
  <si>
    <t>Гадна довжоон доор шороо хийж нягтруулах ([k1=0.9])</t>
  </si>
  <si>
    <t>Бетон хаяавчин доор шороо хийж нягтруулах ([k1=0.9])</t>
  </si>
  <si>
    <t xml:space="preserve"> Хүнхээлээс ус татах </t>
  </si>
  <si>
    <t>СУУРИЙН АЖИЛ</t>
  </si>
  <si>
    <t>Ус чийг тусгаарлагч дэвсэх /Плёнка/</t>
  </si>
  <si>
    <t>Хэв хашмал угсрах /150 мм/</t>
  </si>
  <si>
    <t xml:space="preserve">Бэлтгэл бетон цутгах /150мм/ W10- Ус тусгаарлагч нэмэлт                                             </t>
  </si>
  <si>
    <t xml:space="preserve">Хавтан суурийн хэмжээ тавих </t>
  </si>
  <si>
    <t>Хавтан суурийн арматурчлах</t>
  </si>
  <si>
    <t>Сууриас ханын гаргалгаа арматур арматурчилах</t>
  </si>
  <si>
    <t>Нил суурийн бетон цутгалт хийх</t>
  </si>
  <si>
    <t>Краны суурь цутгах</t>
  </si>
  <si>
    <r>
      <t xml:space="preserve">Ус чийг тусгаарлагч зөөлөвч угсрах </t>
    </r>
    <r>
      <rPr>
        <b/>
        <sz val="11"/>
        <color theme="1"/>
        <rFont val="Arial"/>
        <family val="2"/>
      </rPr>
      <t xml:space="preserve">/Waterstop/ </t>
    </r>
  </si>
  <si>
    <t>Бетон шалны тэгшилгээ хийх В10 ([k1=0.8], [k2=0.7])</t>
  </si>
  <si>
    <t>Зоорийн бетон хана дотор талаас нь шавардах ([k1=0.8])</t>
  </si>
  <si>
    <t>Зоорийн ханын гадаргууд ус тусгаарлагчийг битум түрхлэгээр 2 үе хийх ([k1=0.8])</t>
  </si>
  <si>
    <t>Ус тусгаарлагч туузаар наах</t>
  </si>
  <si>
    <t>Зоорийн хана XPS d=50mm хөөсөнцөрөөр дулаалах ([k1=0.9])</t>
  </si>
  <si>
    <t>Зоорийн хана полистрол бетон хавтангаар дулаалах ([k1=0.85])</t>
  </si>
  <si>
    <t>Зоорийн ханын гадаргууд ус тусгаарлагчийг битум түрхлэгээр 2 үе хийх ([k1=0.9])</t>
  </si>
  <si>
    <t>Зоорийн ханын ус тусгаарлалт геоплантер хийх б-8мм ([k1=0.6], [k2=0.6])</t>
  </si>
  <si>
    <t>Бохир усны сувгийн бетон цутгах б-0.1м, В10 ([k1=0.8])</t>
  </si>
  <si>
    <t>150-200 мм хүртэл зузаантай сувгийн бетон хана цутгах ([k1=2])</t>
  </si>
  <si>
    <t>Гараашийн шаланд төмөр сараалж хийж угсрах</t>
  </si>
  <si>
    <t>Сараалж тосон будгаар 2 удаа будах</t>
  </si>
  <si>
    <t>Зоорийн таазанд шүршдэг хөөсөөр дуу тусгаарлалт хийх</t>
  </si>
  <si>
    <t>Зоорийн таазыг шүршдэг чулуун эмульсээр будах</t>
  </si>
  <si>
    <t>ТӨМӨР БЕТОН РАМЫН АЖИЛ</t>
  </si>
  <si>
    <t>1-р давхар цутгалт</t>
  </si>
  <si>
    <t>3м хүртэл өндөр 300мм хүртэл зузаан төмөр бетон хана цутгах В25
 ([k1=0.9])</t>
  </si>
  <si>
    <t>Ханын арматурчлал хийх</t>
  </si>
  <si>
    <t>Төмөр бетон хүчилт цутгах В25
 ([k1=0.9])</t>
  </si>
  <si>
    <t>Хучилтын арматурчлал хийх</t>
  </si>
  <si>
    <t>Парпетны төмөр бетон хана цутгах В25
 ([k1=0.9])</t>
  </si>
  <si>
    <t>Парпетны төмөр бетон хана арматурчлал хийх</t>
  </si>
  <si>
    <t>Шатны дам нуруу цутгах В25
 ([k1=0.8])</t>
  </si>
  <si>
    <t>Шатны дам нуруу арматурчлах</t>
  </si>
  <si>
    <t>Шатны төмөр бетон гишгүүр чигжиж цутгах В25
 ([k1=0.8], [k2=0.8])</t>
  </si>
  <si>
    <t>Шатны төмөр бетон гишгүүр чигжиж арматурчлах</t>
  </si>
  <si>
    <t>2-р давхар цутгалт</t>
  </si>
  <si>
    <t>3-р давхар цутгалт</t>
  </si>
  <si>
    <t>4-р давхар цутгалт</t>
  </si>
  <si>
    <t>5-р давхар цутгалт</t>
  </si>
  <si>
    <t>6-р давхар цутгалт</t>
  </si>
  <si>
    <t>7-р давхар цутгалт</t>
  </si>
  <si>
    <t>8-р давхар цутгалт</t>
  </si>
  <si>
    <t>9-р давхар цутгалт</t>
  </si>
  <si>
    <t>Техникийн давхар цутгалт</t>
  </si>
  <si>
    <t>ХАНА, ХАМАР ХАНЫН АЖИЛ</t>
  </si>
  <si>
    <t>ХААЛГА, ЦОНХНЫ АЖИЛ</t>
  </si>
  <si>
    <t>ДОТОР ЗАСЛЫН АЖИЛ</t>
  </si>
  <si>
    <t>ГАДНА ЗАСЛЫН АЖИЛ</t>
  </si>
  <si>
    <t>ДЭЭВРИЙН АЖИЛ</t>
  </si>
  <si>
    <t>ШАЛНЫ АЖИЛ</t>
  </si>
  <si>
    <t>БУСАД АЖИЛ</t>
  </si>
  <si>
    <t>ЛИФТНИЙ АЖИЛ</t>
  </si>
  <si>
    <t>Б2</t>
  </si>
  <si>
    <t>ХАЛААЛТ АГААР СЭЛГЭЛТ АЖИЛ</t>
  </si>
  <si>
    <t>Б3</t>
  </si>
  <si>
    <t>ЦЭВЭР БОХИР УСНЫ АЖИЛ</t>
  </si>
  <si>
    <t>Б4</t>
  </si>
  <si>
    <t>ЦАХИЛГААН, ГЭРЭЛТҮҮЛЭГ</t>
  </si>
  <si>
    <t>Б5</t>
  </si>
  <si>
    <t>ХОЛБОО ДОХИОЛОЛ</t>
  </si>
  <si>
    <t xml:space="preserve">Барилга угсралтын мэдээллийн самбар </t>
  </si>
  <si>
    <t>2025-001</t>
  </si>
  <si>
    <t>2025.09.04</t>
  </si>
  <si>
    <t xml:space="preserve">Үе шатны ажил </t>
  </si>
  <si>
    <t xml:space="preserve">Хийгдэх ажил </t>
  </si>
  <si>
    <t>Ажил гүйцэтгэл (20 барилга)</t>
  </si>
  <si>
    <t>Б. Барилга угсралтын ажлын жагсаалт</t>
  </si>
  <si>
    <t xml:space="preserve">Бэлтгэл ажил </t>
  </si>
  <si>
    <t xml:space="preserve">Газар шорооны ажил </t>
  </si>
  <si>
    <t xml:space="preserve">Бэлтгэл бетон </t>
  </si>
  <si>
    <t xml:space="preserve">Бэлтгэл бетон гүйцэтгэсэн  /150мм/ W6- Ус тусгаарлагч нэмэлт                                             </t>
  </si>
  <si>
    <t xml:space="preserve">Суурь </t>
  </si>
  <si>
    <t xml:space="preserve">Хавтан суурийн арматурын ажил гүйцэтгэсэн /70 см/ </t>
  </si>
  <si>
    <t xml:space="preserve">Нил суурийн бетон цутгалтын ажил гүйцэтгэсэн /70 см/ </t>
  </si>
  <si>
    <t>Краны суурь</t>
  </si>
  <si>
    <t xml:space="preserve">Зоорийн давхар </t>
  </si>
  <si>
    <r>
      <t xml:space="preserve">Ус чийг тусгаарлагч зөөлөвч хадах  </t>
    </r>
    <r>
      <rPr>
        <b/>
        <sz val="11"/>
        <color theme="1"/>
        <rFont val="Arial"/>
        <family val="2"/>
      </rPr>
      <t xml:space="preserve">/Waterstop/ W12 </t>
    </r>
  </si>
  <si>
    <t xml:space="preserve">Ханын арматур гүйцэтгэсэн 
 ±0.00 түвшинөөс -3.60 түвшинд </t>
  </si>
  <si>
    <t xml:space="preserve">Хучилтын арматур гүйцэтгэсэн 
 ±0.00 түвшинөөс -3.60 түвшинд </t>
  </si>
  <si>
    <t xml:space="preserve">Хучилтын төмөр бетон цутгалт гүйцэтгэсэн 
 ±0.00 түвшинөөс -3.80 түвшинд </t>
  </si>
  <si>
    <t xml:space="preserve">1 давхар </t>
  </si>
  <si>
    <t>(1 давхар ) Ханын арматур гүйцэтгэсэн 
 ±0.00 түвшинөөс +3.10 түвшинд (Х1-Х7;Y1-Y4)</t>
  </si>
  <si>
    <t>(1 давхар) Хучилтын арматур гүйцэтгэсэн 
 ±0.00 түвшинөөс +3.10 түвшинд (Х1-Х7;Y1-Y4)</t>
  </si>
  <si>
    <t>(1 давхар ) Ханын төмөр бетон цутгалт гүйцэтгэсэн 
+3.10  түвшинөөс -3.30 түвшинд (Х1-Х7;Y1-Y4)</t>
  </si>
  <si>
    <t xml:space="preserve">2 давхар </t>
  </si>
  <si>
    <t>(2 давхар ) Ханын арматур гүйцэтгэсэн 
 +3.10  түвшинөөс +6.10 түвшинд (Х1-Х7;Y1-Y4)</t>
  </si>
  <si>
    <t>(2 давхар) Хучилтын арматур гүйцэтгэсэн 
 +3.10 түвшинөөс +6.10 түвшинд (Х1-Х7;Y1-Y4)</t>
  </si>
  <si>
    <t>(2 давхар ) Ханын төмөр бетон цутгалт гүйцэтгэсэн 
+6.10  түвшинөөс +6.30 түвшинд (Х1-Х7;Y1-Y4)</t>
  </si>
  <si>
    <t>(2 давхар ) Хучилтын төмөр бетон цутгалт гүйцэтгэсэн 
 +6.10  түвшинөөс +6.30түвшинд (Х1-Х7;Y1-Y4)</t>
  </si>
  <si>
    <t xml:space="preserve">3 давхар </t>
  </si>
  <si>
    <t>(3 давхар ) Ханын арматур гүйцэтгэсэн 
 +6.30 түвшинөөс +9.10 түвшинд (Х1-Х7;Y1-Y4)</t>
  </si>
  <si>
    <t>(3 давхар) Хучилтын арматур гүйцэтгэсэн 
+6.30түвшинөөс +9.10 түвшинд (Х1-Х7;Y1-Y4)</t>
  </si>
  <si>
    <t>(3 давхар ) Ханын төмөр бетон цутгалт гүйцэтгэсэн 
+6.30 түвшинөөс+9.30 түвшинд (Х1-Х7;Y1-Y4)</t>
  </si>
  <si>
    <t>(3 давхар ) Хучилтын төмөр бетон цутгалт гүйцэтгэсэн 
 +6.30түвшинөөс +9.30 түвшинд (Х1-Х7;Y1-Y4)</t>
  </si>
  <si>
    <t xml:space="preserve">4 давхар </t>
  </si>
  <si>
    <t>(4 давхар ) Ханын арматур гүйцэтгэсэн 
 +9.30 түвшинөөс +12.10 түвшинд (Х1-Х7;Y1-Y4)</t>
  </si>
  <si>
    <t>(4 давхар) Хучилтын арматур гүйцэтгэсэн 
 +9.30 түвшинөөс +12.10 түвшинд (Х1-Х7;Y1-Y4)</t>
  </si>
  <si>
    <t>(4 давхар ) Ханын төмөр бетон цутгалт гүйцэтгэсэн 
+12.10 түвшинөөс+12.30 түвшинд (Х1-Х7;Y1-Y4)</t>
  </si>
  <si>
    <t>(4 давхар ) Хучилтын төмөр бетон цутгалт гүйцэтгэсэн 
 +12.10 түвшинөөс +12.30 түвшинд (Х1-Х7;Y1-Y4)</t>
  </si>
  <si>
    <t xml:space="preserve">5 давхар </t>
  </si>
  <si>
    <t>(5 давхар ) Ханын арматур гүйцэтгэсэн 
 +12.30 түвшинөөс +15.10 түвшинд (Х1-Х7;Y1-Y4)</t>
  </si>
  <si>
    <t>(5давхар) Хучилтын арматур гүйцэтгэсэн 
+12.30түвшинөөс 15.10 түвшинд (Х1-Х7;Y1-Y4)</t>
  </si>
  <si>
    <t>(5 давхар ) Ханын төмөр бетон цутгалт гүйцэтгэсэн 
+15.10 түвшинөөс+15.30 түвшинд (Х1-Х7;Y1-Y4)</t>
  </si>
  <si>
    <t>(5 давхар ) Хучилтын төмөр бетон цутгалт гүйцэтгэсэн 
+15.10 түвшинөөс+15.30 түвшинд (Х1-Х7;Y1-Y4)</t>
  </si>
  <si>
    <t xml:space="preserve">6 давхар </t>
  </si>
  <si>
    <t>(6 давхар ) Ханын арматур гүйцэтгэсэн 
 +15.30 түвшинөөс +18.10 түвшинд (Х1-Х7;Y1-Y4)</t>
  </si>
  <si>
    <t>(6 давхар) Хучилтын арматур гүйцэтгэсэн 
+15.30түвшинөөс 18.10 түвшинд (Х1-Х7;Y1-Y4)</t>
  </si>
  <si>
    <t>(6 давхар ) Ханын төмөр бетон цутгалт гүйцэтгэсэн 
+18.10 түвшинөөс+18.30 түвшинд (Х1-Х7;Y1-Y4)</t>
  </si>
  <si>
    <t>(6 давхар ) Хучилтын төмөр бетон цутгалт гүйцэтгэсэн 
+18.10 түвшинөөс+18.30 түвшинд (Х1-Х7;Y1-Y4)</t>
  </si>
  <si>
    <t xml:space="preserve">7 давхар </t>
  </si>
  <si>
    <t>(7 давхар ) Ханын арматур гүйцэтгэсэн 
 +18.30 түвшинөөс +21.10 түвшинд (Х1-Х7;Y1-Y4)</t>
  </si>
  <si>
    <t>(7 давхар) Хучилтын арматур гүйцэтгэсэн 
+18.30түвшинөөс 21.10 түвшинд (Х1-Х7;Y1-Y4)</t>
  </si>
  <si>
    <t>(7 давхар ) Ханын төмөр бетон цутгалт гүйцэтгэсэн 
+21.10 түвшинөөс+21.30 түвшинд (Х1-Х7;Y1-Y4)</t>
  </si>
  <si>
    <t>(7 давхар ) Хучилтын төмөр бетон цутгалт гүйцэтгэсэн 
+21.10 түвшинөөс+21.30 түвшинд (Х1-Х7;Y1-Y4)</t>
  </si>
  <si>
    <t xml:space="preserve">8 давхар </t>
  </si>
  <si>
    <t>(8 давхар ) Ханын арматур гүйцэтгэсэн 
 +21.30 түвшинөөс +24.10 түвшинд (Х1-Х7;Y1-Y4)</t>
  </si>
  <si>
    <t>(8 давхар) Хучилтын арматур гүйцэтгэсэн 
+21.30түвшинөөс 24.10 түвшинд (Х1-Х7;Y1-Y4)</t>
  </si>
  <si>
    <t>(8 давхар ) Ханын төмөр бетон цутгалт гүйцэтгэсэн 
+24.10 түвшинөөс+24.30 түвшинд (Х1-Х7;Y1-Y4)</t>
  </si>
  <si>
    <t>(8 давхар ) Хучилтын төмөр бетон цутгалт гүйцэтгэсэн 
+24.10 түвшинөөс+24.30 түвшинд (Х1-Х7;Y1-Y4)</t>
  </si>
  <si>
    <t xml:space="preserve">9 давхар </t>
  </si>
  <si>
    <t>(9 давхар ) Ханын арматур гүйцэтгэсэн 
 +24.30 түвшинөөс +27.10 түвшинд (Х1-Х7;Y1-Y4)</t>
  </si>
  <si>
    <t>(9 давхар) Хучилтын арматур гүйцэтгэсэн 
+24.30түвшинөөс 27.10 түвшинд (Х1-Х7;Y1-Y4)</t>
  </si>
  <si>
    <t>(9 давхар ) Ханын төмөр бетон цутгалт гүйцэтгэсэн 
+27.10 түвшинөөс+27.30 түвшинд (Х1-Х7;Y1-Y4)</t>
  </si>
  <si>
    <t>(9 давхар ) Хучилтын төмөр бетон цутгалт гүйцэтгэсэн 
+27.10 түвшинөөс+27.30 түвшинд (Х1-Х7;Y1-Y4)</t>
  </si>
  <si>
    <t xml:space="preserve">10 давхар </t>
  </si>
  <si>
    <t>(10 давхар ) Ханын арматур гүйцэтгэсэн 
 +24.30 түвшинөөс +27.10 түвшинд (Х1-Х7;Y1-Y4)</t>
  </si>
  <si>
    <t>(10давхар) Хучилтын арматур гүйцэтгэсэн 
+24.30түвшинөөс 27.10 түвшинд (Х1-Х7;Y1-Y4)</t>
  </si>
  <si>
    <t>(10 давхар ) Ханын төмөр бетон цутгалт гүйцэтгэсэн 
+27.10 түвшинөөс+27.30 түвшинд (Х1-Х7;Y1-Y4)</t>
  </si>
  <si>
    <t>(10 давхар ) Хучилтын төмөр бетон цутгалт гүйцэтгэсэн 
+27.10 түвшинөөс+27.30 түвшинд (Х1-Х7;Y1-Y4)</t>
  </si>
  <si>
    <t xml:space="preserve">11 давхар </t>
  </si>
  <si>
    <t>(11 давхар ) Ханын арматур гүйцэтгэсэн 
 +24.30 түвшинөөс +27.10 түвшинд (Х1-Х7;Y1-Y4)</t>
  </si>
  <si>
    <t>(11 давхар) Хучилтын арматур гүйцэтгэсэн 
+24.30түвшинөөс 27.10 түвшинд (Х1-Х7;Y1-Y4)</t>
  </si>
  <si>
    <t>(11  давхар ) Ханын төмөр бетон цутгалт гүйцэтгэсэн 
+27.10 түвшинөөс+27.30 түвшинд (Х1-Х7;Y1-Y4)</t>
  </si>
  <si>
    <t>(11 давхар ) Хучилтын төмөр бетон цутгалт гүйцэтгэсэн 
+27.10 түвшинөөс+27.30 түвшинд (Х1-Х7;Y1-Y4)</t>
  </si>
  <si>
    <t xml:space="preserve">12 давхар </t>
  </si>
  <si>
    <t>(12 давхар ) Ханын арматур гүйцэтгэсэн 
 +24.30 түвшинөөс +27.10 түвшинд (Х1-Х7;Y1-Y4)</t>
  </si>
  <si>
    <t>(12 давхар) Хучилтын арматур гүйцэтгэсэн 
+24.30түвшинөөс 27.10 түвшинд (Х1-Х7;Y1-Y4)</t>
  </si>
  <si>
    <t>(12 давхар ) Ханын төмөр бетон цутгалт гүйцэтгэсэн 
+27.10 түвшинөөс+27.30 түвшинд (Х1-Х7;Y1-Y4)</t>
  </si>
  <si>
    <t>(12 давхар ) Хучилтын төмөр бетон цутгалт гүйцэтгэсэн 
+27.10 түвшинөөс+27.30 түвшинд (Х1-Х7;Y1-Y4)</t>
  </si>
  <si>
    <t xml:space="preserve">Техникийн давхар </t>
  </si>
  <si>
    <t>(Техникийн давхар) Ханын арматур гүйцэтгэсэн 
 +27.30 түвшинөөс +31.76 түвшинд (Х2-Х3;Y2-Y3)</t>
  </si>
  <si>
    <t>(Техникийн давхар)  Хучилтын арматур гүйцэтгэсэн 
+24.30түвшинөөс +31.76 түвшинд (Х2-Х3;Y2-Y3)</t>
  </si>
  <si>
    <t>(Техникийн давхар) Ханын төмөр бетон цутгалт гүйцэтгэсэн 
+31.76 түвшинөөс +31.96түвшинд (Х2-Х3;Y2-Y3)</t>
  </si>
  <si>
    <t>(Техникийн давхар)  Хучилтын төмөр бетон цутгалт гүйцэтгэсэн 
+31.76 түвшинөөс +31.96түвшинд (Х2-Х3;Y2-Y3)</t>
  </si>
  <si>
    <t xml:space="preserve">Парпед </t>
  </si>
  <si>
    <t>(Парпед) Ханын төмөр бетон цутгалт гүйцэтгэсэн 
+27.30 түвшинөөс +28.30 түвшинд (Х1-Х7;Y1-Y4)</t>
  </si>
  <si>
    <t>(Парпед)  Хучилтын төмөр бетон цутгалт гүйцэтгэсэн 
+27.30 түвшинөөс +28.30 түвшинд (Х1-Х7;Y1-Y4)</t>
  </si>
  <si>
    <t>(Парпед) Ханын төмөр бетон цутгалт гүйцэтгэсэн 
+31.96 түвшинөөс +32.96түвшинд (Х2-Х3;Y2-Y3)</t>
  </si>
  <si>
    <t>(Парпед)  Хучилтын төмөр бетон цутгалт гүйцэтгэсэн 
+31.96 түвшинөөс +32.96түвшинд (Х2-Х3;Y2-Y3)</t>
  </si>
  <si>
    <t>Захиалагч байгууллага:</t>
  </si>
  <si>
    <r>
      <rPr>
        <b/>
        <sz val="11"/>
        <color theme="1"/>
        <rFont val="Arial"/>
        <family val="2"/>
      </rPr>
      <t>Обьектийн байршил:</t>
    </r>
    <r>
      <rPr>
        <sz val="11"/>
        <color theme="1"/>
        <rFont val="Arial"/>
        <family val="2"/>
      </rPr>
      <t xml:space="preserve"> Төв аймаг, Сэргэлэн сум, Хөшигтийн хөндий</t>
    </r>
  </si>
  <si>
    <t>Төслийн нэр: NUBIA-ABC</t>
  </si>
  <si>
    <t xml:space="preserve">"Барилга, байгууламжийг байнгын ашиглалтад оруулах дүрэм"-ийн 5 дугаар хавсралт </t>
  </si>
  <si>
    <t>БАГЦ-2</t>
  </si>
  <si>
    <t xml:space="preserve">Ажил гүйцэтгэл (26 барилга ) </t>
  </si>
  <si>
    <t>5/11 барилга</t>
  </si>
  <si>
    <t xml:space="preserve">5/13 барилга </t>
  </si>
  <si>
    <t>5/14 барилга</t>
  </si>
  <si>
    <t xml:space="preserve">5/15 барилга </t>
  </si>
  <si>
    <t xml:space="preserve">5/16 барилга </t>
  </si>
  <si>
    <t>5/17 барилга</t>
  </si>
  <si>
    <t>5/18 барилга</t>
  </si>
  <si>
    <t>5/19 барилга</t>
  </si>
  <si>
    <t>5/20 барилга</t>
  </si>
  <si>
    <t>5/21 барилга</t>
  </si>
  <si>
    <t>5/22 барилга</t>
  </si>
  <si>
    <t>5/23 барилга</t>
  </si>
  <si>
    <t>5/24 барилга</t>
  </si>
  <si>
    <t>5/25 барилга</t>
  </si>
  <si>
    <t>5/26 барилга</t>
  </si>
  <si>
    <t>Нийт төслийн төлөвлөгөөт гүйцэтгэлийн ачаалал — S-Curve (2026.09 сар)</t>
  </si>
  <si>
    <t>Графикийн туслах өгөгдөл (автоматаар тооцоологдоно)</t>
  </si>
  <si>
    <t>Хугацаа</t>
  </si>
  <si>
    <t>Тайлант үеийн гүйцэтгэлийн хувь</t>
  </si>
  <si>
    <t>Төлөвлөгөөт гүйцэтгэлийн хувь</t>
  </si>
  <si>
    <t>Ажлын төрөл</t>
  </si>
  <si>
    <t>Bar X (дэвсгэр)</t>
  </si>
  <si>
    <t>Bar X (гүйцэтгэл)</t>
  </si>
  <si>
    <t>Bar Y</t>
  </si>
  <si>
    <t>Хугацааны шугам X</t>
  </si>
  <si>
    <t>Хугацааны шугам Y</t>
  </si>
  <si>
    <t>Шошго X</t>
  </si>
  <si>
    <t>Шошго Y</t>
  </si>
  <si>
    <t>S-Curve X</t>
  </si>
  <si>
    <t>2025 он</t>
  </si>
  <si>
    <t>2026 он 9 сар</t>
  </si>
  <si>
    <t>2027 он улирал IV</t>
  </si>
  <si>
    <t>Ногоон нүд = "Төсөл төлөвлөгөө биелэлт" хуудаснаас автоматаар холбогдсон (Гүйцэтгэл = R, Төлөвлөгөө Weekly = 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</si>
</sst>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0000000000000%"/>
    <numFmt numFmtId="166" formatCode="0.000%"/>
    <numFmt numFmtId="167" formatCode="_(* #,##0_);_(* \(#,##0\);_(* &quot;-&quot;??_);_(@_)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-0.49998474074526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ptos Narrow"/>
      <family val="2"/>
      <scheme val="minor"/>
    </font>
    <font>
      <b/>
      <i/>
      <sz val="14"/>
      <color theme="5" tint="-0.499984740745262"/>
      <name val="Arial"/>
      <family val="2"/>
    </font>
    <font>
      <b/>
      <sz val="16"/>
      <color theme="1"/>
      <name val="Arial"/>
      <family val="2"/>
    </font>
    <font>
      <b/>
      <sz val="11"/>
      <color theme="5" tint="-0.499984740745262"/>
      <name val="Arial"/>
      <family val="2"/>
    </font>
    <font>
      <b/>
      <sz val="11"/>
      <color theme="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8"/>
      <name val="Aptos Narrow"/>
      <family val="2"/>
      <scheme val="minor"/>
    </font>
    <font>
      <b/>
      <sz val="10"/>
      <color theme="5" tint="-0.499984740745262"/>
      <name val="Arial"/>
      <family val="2"/>
    </font>
    <font>
      <b/>
      <sz val="10"/>
      <color theme="0" tint="-4.9989318521683403E-2"/>
      <name val="Arial"/>
      <family val="2"/>
    </font>
    <font>
      <sz val="10"/>
      <color theme="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4"/>
      <color rgb="FF2C528C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969BA0"/>
      <name val="Aptos Narrow"/>
      <family val="2"/>
      <scheme val="minor"/>
    </font>
    <font>
      <sz val="11"/>
      <color rgb="FF969BA0"/>
      <name val="Aptos Narrow"/>
      <family val="2"/>
      <scheme val="minor"/>
    </font>
    <font>
      <b/>
      <sz val="11"/>
      <color rgb="FF969BA0"/>
      <name val="Aptos Narrow"/>
      <family val="2"/>
      <scheme val="minor"/>
    </font>
    <font>
      <i/>
      <sz val="9"/>
      <color rgb="FF548235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0"/>
      <color rgb="FF666666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C283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F3A5B"/>
        <bgColor indexed="64"/>
      </patternFill>
    </fill>
    <fill>
      <patternFill patternType="solid">
        <fgColor rgb="FFDDEBF7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vertical="center" wrapText="1"/>
    </xf>
    <xf numFmtId="49" fontId="3" fillId="3" borderId="20" xfId="0" applyNumberFormat="1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 wrapText="1"/>
    </xf>
    <xf numFmtId="10" fontId="13" fillId="3" borderId="19" xfId="1" applyNumberFormat="1" applyFont="1" applyFill="1" applyBorder="1" applyAlignment="1">
      <alignment horizontal="center" vertical="center"/>
    </xf>
    <xf numFmtId="0" fontId="11" fillId="4" borderId="39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2" fillId="4" borderId="27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10" fontId="13" fillId="3" borderId="13" xfId="1" applyNumberFormat="1" applyFont="1" applyFill="1" applyBorder="1" applyAlignment="1">
      <alignment horizontal="center" vertical="center"/>
    </xf>
    <xf numFmtId="9" fontId="15" fillId="3" borderId="15" xfId="1" applyFont="1" applyFill="1" applyBorder="1" applyAlignment="1">
      <alignment horizontal="center" vertical="center"/>
    </xf>
    <xf numFmtId="9" fontId="15" fillId="3" borderId="20" xfId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3" borderId="8" xfId="0" applyFont="1" applyFill="1" applyBorder="1" applyAlignment="1">
      <alignment vertical="center" wrapText="1"/>
    </xf>
    <xf numFmtId="10" fontId="13" fillId="3" borderId="42" xfId="0" applyNumberFormat="1" applyFont="1" applyFill="1" applyBorder="1" applyAlignment="1">
      <alignment horizontal="center" vertical="center"/>
    </xf>
    <xf numFmtId="10" fontId="13" fillId="3" borderId="43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49" fontId="3" fillId="3" borderId="18" xfId="0" applyNumberFormat="1" applyFont="1" applyFill="1" applyBorder="1" applyAlignment="1">
      <alignment horizontal="left" vertical="center" wrapText="1"/>
    </xf>
    <xf numFmtId="0" fontId="3" fillId="3" borderId="44" xfId="0" applyFont="1" applyFill="1" applyBorder="1" applyAlignment="1">
      <alignment horizontal="center" vertical="center" wrapText="1"/>
    </xf>
    <xf numFmtId="10" fontId="13" fillId="3" borderId="44" xfId="1" applyNumberFormat="1" applyFont="1" applyFill="1" applyBorder="1" applyAlignment="1">
      <alignment horizontal="center" vertical="center"/>
    </xf>
    <xf numFmtId="9" fontId="15" fillId="3" borderId="45" xfId="1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vertical="center" wrapText="1"/>
    </xf>
    <xf numFmtId="0" fontId="3" fillId="3" borderId="47" xfId="0" applyFont="1" applyFill="1" applyBorder="1" applyAlignment="1">
      <alignment horizontal="left" vertical="center" wrapText="1"/>
    </xf>
    <xf numFmtId="10" fontId="13" fillId="3" borderId="49" xfId="1" applyNumberFormat="1" applyFont="1" applyFill="1" applyBorder="1" applyAlignment="1">
      <alignment horizontal="center" vertical="center"/>
    </xf>
    <xf numFmtId="9" fontId="15" fillId="3" borderId="50" xfId="1" applyFont="1" applyFill="1" applyBorder="1" applyAlignment="1">
      <alignment horizontal="center" vertical="center"/>
    </xf>
    <xf numFmtId="9" fontId="15" fillId="3" borderId="51" xfId="1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vertical="center" wrapText="1"/>
    </xf>
    <xf numFmtId="0" fontId="3" fillId="3" borderId="53" xfId="0" applyFont="1" applyFill="1" applyBorder="1" applyAlignment="1">
      <alignment horizontal="left" vertical="center" wrapText="1"/>
    </xf>
    <xf numFmtId="10" fontId="13" fillId="3" borderId="55" xfId="1" applyNumberFormat="1" applyFont="1" applyFill="1" applyBorder="1" applyAlignment="1">
      <alignment horizontal="center" vertical="center"/>
    </xf>
    <xf numFmtId="9" fontId="15" fillId="3" borderId="56" xfId="1" applyFont="1" applyFill="1" applyBorder="1" applyAlignment="1">
      <alignment horizontal="center" vertical="center"/>
    </xf>
    <xf numFmtId="49" fontId="3" fillId="3" borderId="53" xfId="0" applyNumberFormat="1" applyFont="1" applyFill="1" applyBorder="1" applyAlignment="1">
      <alignment horizontal="left" vertical="center" wrapText="1"/>
    </xf>
    <xf numFmtId="49" fontId="3" fillId="3" borderId="47" xfId="0" applyNumberFormat="1" applyFont="1" applyFill="1" applyBorder="1" applyAlignment="1">
      <alignment horizontal="left" vertical="center" wrapText="1"/>
    </xf>
    <xf numFmtId="9" fontId="15" fillId="3" borderId="38" xfId="1" applyFont="1" applyFill="1" applyBorder="1" applyAlignment="1">
      <alignment horizontal="center" vertical="center"/>
    </xf>
    <xf numFmtId="9" fontId="15" fillId="3" borderId="57" xfId="1" applyFont="1" applyFill="1" applyBorder="1" applyAlignment="1">
      <alignment horizontal="center" vertical="center"/>
    </xf>
    <xf numFmtId="10" fontId="13" fillId="3" borderId="58" xfId="1" applyNumberFormat="1" applyFont="1" applyFill="1" applyBorder="1" applyAlignment="1">
      <alignment horizontal="center" vertical="center"/>
    </xf>
    <xf numFmtId="10" fontId="13" fillId="3" borderId="59" xfId="1" applyNumberFormat="1" applyFont="1" applyFill="1" applyBorder="1" applyAlignment="1">
      <alignment horizontal="center" vertical="center"/>
    </xf>
    <xf numFmtId="49" fontId="3" fillId="3" borderId="45" xfId="0" applyNumberFormat="1" applyFont="1" applyFill="1" applyBorder="1" applyAlignment="1">
      <alignment horizontal="left" vertical="center" wrapText="1"/>
    </xf>
    <xf numFmtId="10" fontId="13" fillId="3" borderId="60" xfId="1" applyNumberFormat="1" applyFont="1" applyFill="1" applyBorder="1" applyAlignment="1">
      <alignment horizontal="center" vertical="center"/>
    </xf>
    <xf numFmtId="9" fontId="15" fillId="3" borderId="61" xfId="1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horizontal="left" vertical="center"/>
    </xf>
    <xf numFmtId="0" fontId="3" fillId="3" borderId="61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9" fillId="0" borderId="0" xfId="2" applyFont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9" fontId="4" fillId="3" borderId="9" xfId="0" applyNumberFormat="1" applyFont="1" applyFill="1" applyBorder="1" applyAlignment="1">
      <alignment horizontal="center" vertical="center"/>
    </xf>
    <xf numFmtId="9" fontId="3" fillId="4" borderId="23" xfId="1" applyFont="1" applyFill="1" applyBorder="1" applyAlignment="1">
      <alignment horizontal="center" vertical="center"/>
    </xf>
    <xf numFmtId="9" fontId="3" fillId="4" borderId="14" xfId="1" applyFont="1" applyFill="1" applyBorder="1" applyAlignment="1">
      <alignment horizontal="center" vertical="center"/>
    </xf>
    <xf numFmtId="9" fontId="3" fillId="4" borderId="15" xfId="1" applyFont="1" applyFill="1" applyBorder="1" applyAlignment="1">
      <alignment horizontal="center" vertical="center"/>
    </xf>
    <xf numFmtId="9" fontId="3" fillId="4" borderId="7" xfId="1" applyFont="1" applyFill="1" applyBorder="1" applyAlignment="1">
      <alignment horizontal="center" vertical="center"/>
    </xf>
    <xf numFmtId="9" fontId="3" fillId="4" borderId="2" xfId="1" applyFont="1" applyFill="1" applyBorder="1" applyAlignment="1">
      <alignment horizontal="center" vertical="center"/>
    </xf>
    <xf numFmtId="9" fontId="3" fillId="4" borderId="20" xfId="1" applyFont="1" applyFill="1" applyBorder="1" applyAlignment="1">
      <alignment horizontal="center" vertical="center"/>
    </xf>
    <xf numFmtId="9" fontId="3" fillId="4" borderId="54" xfId="1" applyFont="1" applyFill="1" applyBorder="1" applyAlignment="1">
      <alignment horizontal="center" vertical="center"/>
    </xf>
    <xf numFmtId="9" fontId="3" fillId="4" borderId="52" xfId="1" applyFont="1" applyFill="1" applyBorder="1" applyAlignment="1">
      <alignment horizontal="center" vertical="center"/>
    </xf>
    <xf numFmtId="9" fontId="3" fillId="4" borderId="53" xfId="1" applyFont="1" applyFill="1" applyBorder="1" applyAlignment="1">
      <alignment horizontal="center" vertical="center"/>
    </xf>
    <xf numFmtId="9" fontId="3" fillId="4" borderId="48" xfId="1" applyFont="1" applyFill="1" applyBorder="1" applyAlignment="1">
      <alignment horizontal="center" vertical="center"/>
    </xf>
    <xf numFmtId="9" fontId="3" fillId="4" borderId="46" xfId="1" applyFont="1" applyFill="1" applyBorder="1" applyAlignment="1">
      <alignment horizontal="center" vertical="center"/>
    </xf>
    <xf numFmtId="9" fontId="3" fillId="4" borderId="47" xfId="1" applyFont="1" applyFill="1" applyBorder="1" applyAlignment="1">
      <alignment horizontal="center" vertical="center"/>
    </xf>
    <xf numFmtId="9" fontId="3" fillId="4" borderId="4" xfId="1" applyFont="1" applyFill="1" applyBorder="1" applyAlignment="1">
      <alignment horizontal="center" vertical="center"/>
    </xf>
    <xf numFmtId="9" fontId="3" fillId="4" borderId="8" xfId="1" applyFont="1" applyFill="1" applyBorder="1" applyAlignment="1">
      <alignment horizontal="center" vertical="center"/>
    </xf>
    <xf numFmtId="9" fontId="3" fillId="4" borderId="45" xfId="1" applyFont="1" applyFill="1" applyBorder="1" applyAlignment="1">
      <alignment horizontal="center" vertical="center"/>
    </xf>
    <xf numFmtId="9" fontId="3" fillId="4" borderId="24" xfId="1" applyFont="1" applyFill="1" applyBorder="1" applyAlignment="1">
      <alignment horizontal="center" vertical="center"/>
    </xf>
    <xf numFmtId="9" fontId="3" fillId="4" borderId="17" xfId="1" applyFont="1" applyFill="1" applyBorder="1" applyAlignment="1">
      <alignment horizontal="center" vertical="center"/>
    </xf>
    <xf numFmtId="9" fontId="3" fillId="4" borderId="18" xfId="1" applyFont="1" applyFill="1" applyBorder="1" applyAlignment="1">
      <alignment horizontal="center" vertical="center"/>
    </xf>
    <xf numFmtId="9" fontId="3" fillId="5" borderId="14" xfId="1" applyFont="1" applyFill="1" applyBorder="1" applyAlignment="1">
      <alignment horizontal="center" vertical="center"/>
    </xf>
    <xf numFmtId="9" fontId="3" fillId="5" borderId="15" xfId="1" applyFont="1" applyFill="1" applyBorder="1" applyAlignment="1">
      <alignment horizontal="center" vertical="center"/>
    </xf>
    <xf numFmtId="9" fontId="3" fillId="5" borderId="2" xfId="1" applyFont="1" applyFill="1" applyBorder="1" applyAlignment="1">
      <alignment horizontal="center" vertical="center"/>
    </xf>
    <xf numFmtId="9" fontId="3" fillId="5" borderId="20" xfId="1" applyFont="1" applyFill="1" applyBorder="1" applyAlignment="1">
      <alignment horizontal="center" vertical="center"/>
    </xf>
    <xf numFmtId="9" fontId="3" fillId="5" borderId="52" xfId="1" applyFont="1" applyFill="1" applyBorder="1" applyAlignment="1">
      <alignment horizontal="center" vertical="center"/>
    </xf>
    <xf numFmtId="9" fontId="3" fillId="5" borderId="53" xfId="1" applyFont="1" applyFill="1" applyBorder="1" applyAlignment="1">
      <alignment horizontal="center" vertical="center"/>
    </xf>
    <xf numFmtId="9" fontId="3" fillId="5" borderId="46" xfId="1" applyFont="1" applyFill="1" applyBorder="1" applyAlignment="1">
      <alignment horizontal="center" vertical="center"/>
    </xf>
    <xf numFmtId="9" fontId="3" fillId="5" borderId="47" xfId="1" applyFont="1" applyFill="1" applyBorder="1" applyAlignment="1">
      <alignment horizontal="center" vertical="center"/>
    </xf>
    <xf numFmtId="9" fontId="3" fillId="5" borderId="8" xfId="1" applyFont="1" applyFill="1" applyBorder="1" applyAlignment="1">
      <alignment horizontal="center" vertical="center"/>
    </xf>
    <xf numFmtId="9" fontId="3" fillId="5" borderId="45" xfId="1" applyFont="1" applyFill="1" applyBorder="1" applyAlignment="1">
      <alignment horizontal="center" vertical="center"/>
    </xf>
    <xf numFmtId="9" fontId="3" fillId="5" borderId="17" xfId="1" applyFont="1" applyFill="1" applyBorder="1" applyAlignment="1">
      <alignment horizontal="center" vertical="center"/>
    </xf>
    <xf numFmtId="9" fontId="3" fillId="5" borderId="18" xfId="1" applyFont="1" applyFill="1" applyBorder="1" applyAlignment="1">
      <alignment horizontal="center" vertical="center"/>
    </xf>
    <xf numFmtId="16" fontId="4" fillId="6" borderId="16" xfId="0" applyNumberFormat="1" applyFont="1" applyFill="1" applyBorder="1" applyAlignment="1">
      <alignment horizontal="center" vertical="center" wrapText="1"/>
    </xf>
    <xf numFmtId="16" fontId="4" fillId="6" borderId="17" xfId="0" applyNumberFormat="1" applyFont="1" applyFill="1" applyBorder="1" applyAlignment="1">
      <alignment horizontal="center" vertical="center" wrapText="1"/>
    </xf>
    <xf numFmtId="16" fontId="4" fillId="6" borderId="34" xfId="0" applyNumberFormat="1" applyFont="1" applyFill="1" applyBorder="1" applyAlignment="1">
      <alignment horizontal="center" vertical="center" wrapText="1"/>
    </xf>
    <xf numFmtId="16" fontId="4" fillId="6" borderId="18" xfId="0" applyNumberFormat="1" applyFont="1" applyFill="1" applyBorder="1" applyAlignment="1">
      <alignment horizontal="center" vertical="center" wrapText="1"/>
    </xf>
    <xf numFmtId="9" fontId="3" fillId="6" borderId="23" xfId="1" applyFont="1" applyFill="1" applyBorder="1" applyAlignment="1">
      <alignment horizontal="center" vertical="center"/>
    </xf>
    <xf numFmtId="9" fontId="3" fillId="6" borderId="14" xfId="1" applyFont="1" applyFill="1" applyBorder="1" applyAlignment="1">
      <alignment horizontal="center" vertical="center"/>
    </xf>
    <xf numFmtId="9" fontId="3" fillId="6" borderId="15" xfId="1" applyFont="1" applyFill="1" applyBorder="1" applyAlignment="1">
      <alignment horizontal="center" vertical="center"/>
    </xf>
    <xf numFmtId="9" fontId="3" fillId="6" borderId="7" xfId="1" applyFont="1" applyFill="1" applyBorder="1" applyAlignment="1">
      <alignment horizontal="center" vertical="center"/>
    </xf>
    <xf numFmtId="9" fontId="3" fillId="6" borderId="2" xfId="1" applyFont="1" applyFill="1" applyBorder="1" applyAlignment="1">
      <alignment horizontal="center" vertical="center"/>
    </xf>
    <xf numFmtId="9" fontId="3" fillId="6" borderId="20" xfId="1" applyFont="1" applyFill="1" applyBorder="1" applyAlignment="1">
      <alignment horizontal="center" vertical="center"/>
    </xf>
    <xf numFmtId="9" fontId="3" fillId="6" borderId="54" xfId="1" applyFont="1" applyFill="1" applyBorder="1" applyAlignment="1">
      <alignment horizontal="center" vertical="center"/>
    </xf>
    <xf numFmtId="9" fontId="3" fillId="6" borderId="52" xfId="1" applyFont="1" applyFill="1" applyBorder="1" applyAlignment="1">
      <alignment horizontal="center" vertical="center"/>
    </xf>
    <xf numFmtId="9" fontId="3" fillId="6" borderId="53" xfId="1" applyFont="1" applyFill="1" applyBorder="1" applyAlignment="1">
      <alignment horizontal="center" vertical="center"/>
    </xf>
    <xf numFmtId="9" fontId="3" fillId="6" borderId="48" xfId="1" applyFont="1" applyFill="1" applyBorder="1" applyAlignment="1">
      <alignment horizontal="center" vertical="center"/>
    </xf>
    <xf numFmtId="9" fontId="3" fillId="6" borderId="46" xfId="1" applyFont="1" applyFill="1" applyBorder="1" applyAlignment="1">
      <alignment horizontal="center" vertical="center"/>
    </xf>
    <xf numFmtId="9" fontId="3" fillId="6" borderId="47" xfId="1" applyFont="1" applyFill="1" applyBorder="1" applyAlignment="1">
      <alignment horizontal="center" vertical="center"/>
    </xf>
    <xf numFmtId="9" fontId="3" fillId="6" borderId="4" xfId="1" applyFont="1" applyFill="1" applyBorder="1" applyAlignment="1">
      <alignment horizontal="center" vertical="center"/>
    </xf>
    <xf numFmtId="9" fontId="3" fillId="6" borderId="8" xfId="1" applyFont="1" applyFill="1" applyBorder="1" applyAlignment="1">
      <alignment horizontal="center" vertical="center"/>
    </xf>
    <xf numFmtId="9" fontId="3" fillId="6" borderId="45" xfId="1" applyFont="1" applyFill="1" applyBorder="1" applyAlignment="1">
      <alignment horizontal="center" vertical="center"/>
    </xf>
    <xf numFmtId="9" fontId="3" fillId="6" borderId="24" xfId="1" applyFont="1" applyFill="1" applyBorder="1" applyAlignment="1">
      <alignment horizontal="center" vertical="center"/>
    </xf>
    <xf numFmtId="9" fontId="3" fillId="6" borderId="17" xfId="1" applyFont="1" applyFill="1" applyBorder="1" applyAlignment="1">
      <alignment horizontal="center" vertical="center"/>
    </xf>
    <xf numFmtId="9" fontId="3" fillId="6" borderId="18" xfId="1" applyFont="1" applyFill="1" applyBorder="1" applyAlignment="1">
      <alignment horizontal="center" vertical="center"/>
    </xf>
    <xf numFmtId="16" fontId="4" fillId="7" borderId="24" xfId="0" applyNumberFormat="1" applyFont="1" applyFill="1" applyBorder="1" applyAlignment="1">
      <alignment horizontal="center" vertical="center" wrapText="1"/>
    </xf>
    <xf numFmtId="16" fontId="4" fillId="7" borderId="17" xfId="0" applyNumberFormat="1" applyFont="1" applyFill="1" applyBorder="1" applyAlignment="1">
      <alignment horizontal="center" vertical="center" wrapText="1"/>
    </xf>
    <xf numFmtId="9" fontId="3" fillId="7" borderId="14" xfId="1" applyFont="1" applyFill="1" applyBorder="1" applyAlignment="1">
      <alignment horizontal="center" vertical="center"/>
    </xf>
    <xf numFmtId="9" fontId="3" fillId="7" borderId="2" xfId="1" applyFont="1" applyFill="1" applyBorder="1" applyAlignment="1">
      <alignment horizontal="center" vertical="center"/>
    </xf>
    <xf numFmtId="9" fontId="3" fillId="7" borderId="52" xfId="1" applyFont="1" applyFill="1" applyBorder="1" applyAlignment="1">
      <alignment horizontal="center" vertical="center"/>
    </xf>
    <xf numFmtId="9" fontId="3" fillId="7" borderId="46" xfId="1" applyFont="1" applyFill="1" applyBorder="1" applyAlignment="1">
      <alignment horizontal="center" vertical="center"/>
    </xf>
    <xf numFmtId="9" fontId="3" fillId="7" borderId="8" xfId="1" applyFont="1" applyFill="1" applyBorder="1" applyAlignment="1">
      <alignment horizontal="center" vertical="center"/>
    </xf>
    <xf numFmtId="9" fontId="3" fillId="7" borderId="17" xfId="1" applyFont="1" applyFill="1" applyBorder="1" applyAlignment="1">
      <alignment horizontal="center" vertical="center"/>
    </xf>
    <xf numFmtId="16" fontId="4" fillId="4" borderId="24" xfId="0" applyNumberFormat="1" applyFont="1" applyFill="1" applyBorder="1" applyAlignment="1">
      <alignment horizontal="center" vertical="top" wrapText="1"/>
    </xf>
    <xf numFmtId="16" fontId="4" fillId="4" borderId="17" xfId="0" applyNumberFormat="1" applyFont="1" applyFill="1" applyBorder="1" applyAlignment="1">
      <alignment horizontal="center" vertical="top" wrapText="1"/>
    </xf>
    <xf numFmtId="16" fontId="4" fillId="4" borderId="34" xfId="0" applyNumberFormat="1" applyFont="1" applyFill="1" applyBorder="1" applyAlignment="1">
      <alignment horizontal="center" vertical="top" wrapText="1"/>
    </xf>
    <xf numFmtId="16" fontId="4" fillId="4" borderId="18" xfId="0" applyNumberFormat="1" applyFont="1" applyFill="1" applyBorder="1" applyAlignment="1">
      <alignment horizontal="center" vertical="top" wrapText="1"/>
    </xf>
    <xf numFmtId="16" fontId="4" fillId="5" borderId="17" xfId="0" applyNumberFormat="1" applyFont="1" applyFill="1" applyBorder="1" applyAlignment="1">
      <alignment horizontal="center" vertical="top" wrapText="1"/>
    </xf>
    <xf numFmtId="16" fontId="4" fillId="5" borderId="34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10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1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16" fontId="4" fillId="4" borderId="16" xfId="0" applyNumberFormat="1" applyFont="1" applyFill="1" applyBorder="1" applyAlignment="1">
      <alignment horizontal="center" vertical="top" wrapText="1"/>
    </xf>
    <xf numFmtId="16" fontId="4" fillId="5" borderId="16" xfId="0" applyNumberFormat="1" applyFont="1" applyFill="1" applyBorder="1" applyAlignment="1">
      <alignment horizontal="center" vertical="top" wrapText="1"/>
    </xf>
    <xf numFmtId="9" fontId="0" fillId="0" borderId="0" xfId="1" applyFont="1" applyAlignment="1">
      <alignment wrapText="1"/>
    </xf>
    <xf numFmtId="164" fontId="10" fillId="0" borderId="12" xfId="1" applyNumberFormat="1" applyFont="1" applyBorder="1" applyAlignment="1">
      <alignment horizontal="center" vertical="center" wrapText="1"/>
    </xf>
    <xf numFmtId="164" fontId="10" fillId="0" borderId="0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left" vertical="center" wrapText="1"/>
    </xf>
    <xf numFmtId="164" fontId="3" fillId="3" borderId="2" xfId="1" applyNumberFormat="1" applyFont="1" applyFill="1" applyBorder="1" applyAlignment="1">
      <alignment horizontal="left" vertical="center" wrapText="1"/>
    </xf>
    <xf numFmtId="164" fontId="12" fillId="4" borderId="2" xfId="1" applyNumberFormat="1" applyFont="1" applyFill="1" applyBorder="1" applyAlignment="1">
      <alignment horizontal="left" vertical="center" wrapText="1"/>
    </xf>
    <xf numFmtId="164" fontId="11" fillId="4" borderId="2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wrapText="1"/>
    </xf>
    <xf numFmtId="10" fontId="10" fillId="0" borderId="12" xfId="1" applyNumberFormat="1" applyFont="1" applyBorder="1" applyAlignment="1">
      <alignment horizontal="center" vertical="center" wrapText="1"/>
    </xf>
    <xf numFmtId="10" fontId="10" fillId="0" borderId="0" xfId="1" applyNumberFormat="1" applyFont="1" applyBorder="1" applyAlignment="1">
      <alignment horizontal="center" vertical="center" wrapText="1"/>
    </xf>
    <xf numFmtId="10" fontId="0" fillId="0" borderId="0" xfId="1" applyNumberFormat="1" applyFont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164" fontId="3" fillId="0" borderId="2" xfId="1" applyNumberFormat="1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vertical="center" wrapText="1"/>
    </xf>
    <xf numFmtId="0" fontId="12" fillId="4" borderId="73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12" fillId="4" borderId="7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2" fillId="4" borderId="19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/>
    </xf>
    <xf numFmtId="0" fontId="12" fillId="4" borderId="17" xfId="0" applyFont="1" applyFill="1" applyBorder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 wrapText="1"/>
    </xf>
    <xf numFmtId="0" fontId="12" fillId="4" borderId="74" xfId="0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69" xfId="0" applyFont="1" applyFill="1" applyBorder="1" applyAlignment="1">
      <alignment horizontal="left" vertical="center" wrapText="1"/>
    </xf>
    <xf numFmtId="0" fontId="12" fillId="4" borderId="30" xfId="0" applyFont="1" applyFill="1" applyBorder="1" applyAlignment="1">
      <alignment horizontal="left" vertical="center" wrapText="1"/>
    </xf>
    <xf numFmtId="0" fontId="11" fillId="4" borderId="69" xfId="0" applyFont="1" applyFill="1" applyBorder="1" applyAlignment="1">
      <alignment vertical="center"/>
    </xf>
    <xf numFmtId="9" fontId="11" fillId="4" borderId="20" xfId="1" applyFont="1" applyFill="1" applyBorder="1" applyAlignment="1">
      <alignment vertical="center"/>
    </xf>
    <xf numFmtId="9" fontId="3" fillId="0" borderId="20" xfId="1" applyFont="1" applyBorder="1" applyAlignment="1">
      <alignment horizontal="left" vertical="center" wrapText="1"/>
    </xf>
    <xf numFmtId="9" fontId="3" fillId="3" borderId="20" xfId="1" applyFont="1" applyFill="1" applyBorder="1" applyAlignment="1">
      <alignment horizontal="left" vertical="center" wrapText="1"/>
    </xf>
    <xf numFmtId="0" fontId="11" fillId="4" borderId="19" xfId="0" applyFont="1" applyFill="1" applyBorder="1" applyAlignment="1">
      <alignment vertical="center"/>
    </xf>
    <xf numFmtId="164" fontId="11" fillId="4" borderId="20" xfId="1" applyNumberFormat="1" applyFont="1" applyFill="1" applyBorder="1" applyAlignment="1">
      <alignment vertical="center"/>
    </xf>
    <xf numFmtId="164" fontId="3" fillId="3" borderId="20" xfId="1" applyNumberFormat="1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2" fontId="11" fillId="4" borderId="19" xfId="0" applyNumberFormat="1" applyFont="1" applyFill="1" applyBorder="1" applyAlignment="1">
      <alignment vertical="center"/>
    </xf>
    <xf numFmtId="0" fontId="11" fillId="4" borderId="16" xfId="0" applyFont="1" applyFill="1" applyBorder="1" applyAlignment="1">
      <alignment vertical="center"/>
    </xf>
    <xf numFmtId="0" fontId="11" fillId="4" borderId="17" xfId="0" applyFont="1" applyFill="1" applyBorder="1" applyAlignment="1">
      <alignment vertical="center"/>
    </xf>
    <xf numFmtId="164" fontId="11" fillId="4" borderId="17" xfId="1" applyNumberFormat="1" applyFont="1" applyFill="1" applyBorder="1" applyAlignment="1">
      <alignment vertical="center"/>
    </xf>
    <xf numFmtId="164" fontId="11" fillId="4" borderId="18" xfId="1" applyNumberFormat="1" applyFont="1" applyFill="1" applyBorder="1" applyAlignment="1">
      <alignment vertical="center"/>
    </xf>
    <xf numFmtId="44" fontId="0" fillId="0" borderId="0" xfId="3" applyFont="1" applyAlignment="1">
      <alignment wrapText="1"/>
    </xf>
    <xf numFmtId="165" fontId="0" fillId="0" borderId="0" xfId="1" applyNumberFormat="1" applyFont="1" applyAlignment="1">
      <alignment wrapText="1"/>
    </xf>
    <xf numFmtId="9" fontId="0" fillId="0" borderId="19" xfId="1" applyFont="1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 wrapText="1"/>
    </xf>
    <xf numFmtId="9" fontId="0" fillId="0" borderId="20" xfId="1" applyFont="1" applyBorder="1" applyAlignment="1">
      <alignment horizontal="center" vertical="center" wrapText="1"/>
    </xf>
    <xf numFmtId="9" fontId="12" fillId="4" borderId="2" xfId="1" applyFont="1" applyFill="1" applyBorder="1" applyAlignment="1">
      <alignment horizontal="center" vertical="center" wrapText="1"/>
    </xf>
    <xf numFmtId="9" fontId="12" fillId="4" borderId="20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0" fontId="12" fillId="4" borderId="19" xfId="1" applyNumberFormat="1" applyFont="1" applyFill="1" applyBorder="1" applyAlignment="1">
      <alignment horizontal="center" vertical="center" wrapText="1"/>
    </xf>
    <xf numFmtId="10" fontId="0" fillId="0" borderId="19" xfId="1" applyNumberFormat="1" applyFont="1" applyBorder="1" applyAlignment="1">
      <alignment horizontal="center" vertical="center" wrapText="1"/>
    </xf>
    <xf numFmtId="16" fontId="4" fillId="5" borderId="24" xfId="0" applyNumberFormat="1" applyFont="1" applyFill="1" applyBorder="1" applyAlignment="1">
      <alignment horizontal="center" vertical="top" wrapText="1"/>
    </xf>
    <xf numFmtId="0" fontId="12" fillId="3" borderId="19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2" fillId="3" borderId="18" xfId="0" applyFont="1" applyFill="1" applyBorder="1" applyAlignment="1">
      <alignment horizontal="left" vertical="center" wrapText="1"/>
    </xf>
    <xf numFmtId="9" fontId="0" fillId="0" borderId="16" xfId="1" applyFont="1" applyBorder="1" applyAlignment="1">
      <alignment horizontal="center" vertical="center" wrapText="1"/>
    </xf>
    <xf numFmtId="9" fontId="0" fillId="0" borderId="17" xfId="1" applyFont="1" applyBorder="1" applyAlignment="1">
      <alignment horizontal="center" vertical="center" wrapText="1"/>
    </xf>
    <xf numFmtId="9" fontId="0" fillId="0" borderId="18" xfId="1" applyFont="1" applyBorder="1" applyAlignment="1">
      <alignment horizontal="center" vertical="center" wrapText="1"/>
    </xf>
    <xf numFmtId="16" fontId="4" fillId="5" borderId="18" xfId="0" applyNumberFormat="1" applyFont="1" applyFill="1" applyBorder="1" applyAlignment="1">
      <alignment horizontal="center" vertical="top" wrapText="1"/>
    </xf>
    <xf numFmtId="10" fontId="0" fillId="0" borderId="0" xfId="1" applyNumberFormat="1" applyFont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5" fillId="12" borderId="76" xfId="0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0" fontId="15" fillId="12" borderId="76" xfId="0" applyNumberFormat="1" applyFont="1" applyFill="1" applyBorder="1" applyAlignment="1">
      <alignment vertical="center" wrapText="1"/>
    </xf>
    <xf numFmtId="10" fontId="10" fillId="0" borderId="0" xfId="1" applyNumberFormat="1" applyFont="1" applyAlignment="1">
      <alignment vertical="center" wrapText="1"/>
    </xf>
    <xf numFmtId="10" fontId="17" fillId="8" borderId="75" xfId="1" applyNumberFormat="1" applyFont="1" applyFill="1" applyBorder="1" applyAlignment="1">
      <alignment horizontal="center" vertical="center"/>
    </xf>
    <xf numFmtId="9" fontId="17" fillId="8" borderId="75" xfId="1" applyFont="1" applyFill="1" applyBorder="1" applyAlignment="1">
      <alignment horizontal="center" vertical="center" wrapText="1"/>
    </xf>
    <xf numFmtId="10" fontId="17" fillId="11" borderId="75" xfId="1" applyNumberFormat="1" applyFont="1" applyFill="1" applyBorder="1" applyAlignment="1">
      <alignment horizontal="center" vertical="center"/>
    </xf>
    <xf numFmtId="9" fontId="17" fillId="11" borderId="75" xfId="1" applyFont="1" applyFill="1" applyBorder="1" applyAlignment="1">
      <alignment horizontal="center" vertical="center" wrapText="1"/>
    </xf>
    <xf numFmtId="0" fontId="17" fillId="8" borderId="75" xfId="0" applyFont="1" applyFill="1" applyBorder="1" applyAlignment="1">
      <alignment horizontal="center" vertical="center" wrapText="1"/>
    </xf>
    <xf numFmtId="164" fontId="17" fillId="8" borderId="75" xfId="1" applyNumberFormat="1" applyFont="1" applyFill="1" applyBorder="1" applyAlignment="1">
      <alignment horizontal="center" vertical="center"/>
    </xf>
    <xf numFmtId="0" fontId="17" fillId="3" borderId="75" xfId="0" applyFont="1" applyFill="1" applyBorder="1" applyAlignment="1">
      <alignment horizontal="center" vertical="center" wrapText="1"/>
    </xf>
    <xf numFmtId="10" fontId="17" fillId="3" borderId="75" xfId="1" applyNumberFormat="1" applyFont="1" applyFill="1" applyBorder="1" applyAlignment="1">
      <alignment horizontal="center" vertical="center"/>
    </xf>
    <xf numFmtId="9" fontId="17" fillId="3" borderId="75" xfId="1" applyFont="1" applyFill="1" applyBorder="1" applyAlignment="1">
      <alignment horizontal="center" vertical="center" wrapText="1"/>
    </xf>
    <xf numFmtId="10" fontId="17" fillId="13" borderId="75" xfId="1" applyNumberFormat="1" applyFont="1" applyFill="1" applyBorder="1" applyAlignment="1">
      <alignment horizontal="center" vertical="center"/>
    </xf>
    <xf numFmtId="9" fontId="17" fillId="13" borderId="75" xfId="1" applyFont="1" applyFill="1" applyBorder="1" applyAlignment="1">
      <alignment horizontal="center" vertical="center" wrapText="1"/>
    </xf>
    <xf numFmtId="10" fontId="17" fillId="9" borderId="75" xfId="1" applyNumberFormat="1" applyFont="1" applyFill="1" applyBorder="1" applyAlignment="1">
      <alignment horizontal="center" vertical="center"/>
    </xf>
    <xf numFmtId="9" fontId="17" fillId="9" borderId="75" xfId="1" applyFont="1" applyFill="1" applyBorder="1" applyAlignment="1">
      <alignment horizontal="center" vertical="center" wrapText="1"/>
    </xf>
    <xf numFmtId="0" fontId="17" fillId="11" borderId="7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7" fillId="9" borderId="7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2" fillId="0" borderId="0" xfId="4" applyNumberFormat="1" applyFont="1" applyAlignment="1">
      <alignment horizontal="center" vertical="center" wrapText="1"/>
    </xf>
    <xf numFmtId="167" fontId="17" fillId="8" borderId="75" xfId="4" applyNumberFormat="1" applyFont="1" applyFill="1" applyBorder="1" applyAlignment="1">
      <alignment horizontal="center" vertical="center" wrapText="1"/>
    </xf>
    <xf numFmtId="167" fontId="17" fillId="11" borderId="75" xfId="4" applyNumberFormat="1" applyFont="1" applyFill="1" applyBorder="1" applyAlignment="1">
      <alignment horizontal="center" vertical="center" wrapText="1"/>
    </xf>
    <xf numFmtId="167" fontId="17" fillId="3" borderId="75" xfId="4" applyNumberFormat="1" applyFont="1" applyFill="1" applyBorder="1" applyAlignment="1">
      <alignment horizontal="center" vertical="center" wrapText="1"/>
    </xf>
    <xf numFmtId="167" fontId="17" fillId="9" borderId="75" xfId="4" applyNumberFormat="1" applyFont="1" applyFill="1" applyBorder="1" applyAlignment="1">
      <alignment horizontal="center" vertical="center" wrapText="1"/>
    </xf>
    <xf numFmtId="167" fontId="0" fillId="0" borderId="0" xfId="4" applyNumberFormat="1" applyFont="1" applyAlignment="1">
      <alignment horizontal="center" vertical="center" wrapText="1"/>
    </xf>
    <xf numFmtId="0" fontId="17" fillId="8" borderId="75" xfId="0" applyFont="1" applyFill="1" applyBorder="1" applyAlignment="1">
      <alignment horizontal="center" vertical="center"/>
    </xf>
    <xf numFmtId="14" fontId="17" fillId="3" borderId="75" xfId="0" quotePrefix="1" applyNumberFormat="1" applyFont="1" applyFill="1" applyBorder="1" applyAlignment="1">
      <alignment horizontal="center" vertical="center"/>
    </xf>
    <xf numFmtId="0" fontId="17" fillId="13" borderId="75" xfId="0" applyFont="1" applyFill="1" applyBorder="1" applyAlignment="1">
      <alignment horizontal="center" vertical="center"/>
    </xf>
    <xf numFmtId="0" fontId="17" fillId="13" borderId="75" xfId="0" applyFont="1" applyFill="1" applyBorder="1" applyAlignment="1">
      <alignment horizontal="center" vertical="center" wrapText="1"/>
    </xf>
    <xf numFmtId="167" fontId="17" fillId="13" borderId="75" xfId="4" applyNumberFormat="1" applyFont="1" applyFill="1" applyBorder="1" applyAlignment="1">
      <alignment horizontal="center" vertical="center" wrapText="1"/>
    </xf>
    <xf numFmtId="164" fontId="17" fillId="13" borderId="75" xfId="1" applyNumberFormat="1" applyFont="1" applyFill="1" applyBorder="1" applyAlignment="1">
      <alignment horizontal="center" vertical="center" wrapText="1"/>
    </xf>
    <xf numFmtId="10" fontId="17" fillId="8" borderId="75" xfId="1" applyNumberFormat="1" applyFont="1" applyFill="1" applyBorder="1" applyAlignment="1">
      <alignment horizontal="center" vertical="center" wrapText="1"/>
    </xf>
    <xf numFmtId="0" fontId="17" fillId="9" borderId="75" xfId="0" applyFont="1" applyFill="1" applyBorder="1" applyAlignment="1">
      <alignment horizontal="center" vertical="center"/>
    </xf>
    <xf numFmtId="0" fontId="17" fillId="8" borderId="37" xfId="0" applyFont="1" applyFill="1" applyBorder="1" applyAlignment="1">
      <alignment horizontal="center" vertical="center"/>
    </xf>
    <xf numFmtId="9" fontId="17" fillId="8" borderId="80" xfId="1" applyFont="1" applyFill="1" applyBorder="1" applyAlignment="1">
      <alignment horizontal="center" vertical="center" wrapText="1"/>
    </xf>
    <xf numFmtId="9" fontId="17" fillId="11" borderId="80" xfId="1" applyFont="1" applyFill="1" applyBorder="1" applyAlignment="1">
      <alignment horizontal="center" vertical="center" wrapText="1"/>
    </xf>
    <xf numFmtId="14" fontId="17" fillId="3" borderId="37" xfId="0" quotePrefix="1" applyNumberFormat="1" applyFont="1" applyFill="1" applyBorder="1" applyAlignment="1">
      <alignment horizontal="center" vertical="center"/>
    </xf>
    <xf numFmtId="9" fontId="17" fillId="3" borderId="80" xfId="1" applyFont="1" applyFill="1" applyBorder="1" applyAlignment="1">
      <alignment horizontal="center" vertical="center" wrapText="1"/>
    </xf>
    <xf numFmtId="0" fontId="17" fillId="13" borderId="37" xfId="0" applyFont="1" applyFill="1" applyBorder="1" applyAlignment="1">
      <alignment horizontal="center" vertical="center"/>
    </xf>
    <xf numFmtId="164" fontId="17" fillId="13" borderId="80" xfId="1" applyNumberFormat="1" applyFont="1" applyFill="1" applyBorder="1" applyAlignment="1">
      <alignment horizontal="center" vertical="center" wrapText="1"/>
    </xf>
    <xf numFmtId="0" fontId="17" fillId="9" borderId="37" xfId="0" applyFont="1" applyFill="1" applyBorder="1" applyAlignment="1">
      <alignment horizontal="center" vertical="center"/>
    </xf>
    <xf numFmtId="9" fontId="17" fillId="9" borderId="80" xfId="1" applyFont="1" applyFill="1" applyBorder="1" applyAlignment="1">
      <alignment horizontal="center" vertical="center" wrapText="1"/>
    </xf>
    <xf numFmtId="0" fontId="17" fillId="8" borderId="81" xfId="0" applyFont="1" applyFill="1" applyBorder="1" applyAlignment="1">
      <alignment horizontal="center" vertical="center"/>
    </xf>
    <xf numFmtId="0" fontId="17" fillId="8" borderId="82" xfId="0" applyFont="1" applyFill="1" applyBorder="1" applyAlignment="1">
      <alignment horizontal="center" vertical="center"/>
    </xf>
    <xf numFmtId="0" fontId="17" fillId="8" borderId="82" xfId="0" applyFont="1" applyFill="1" applyBorder="1" applyAlignment="1">
      <alignment horizontal="center" vertical="center" wrapText="1"/>
    </xf>
    <xf numFmtId="167" fontId="17" fillId="8" borderId="82" xfId="4" applyNumberFormat="1" applyFont="1" applyFill="1" applyBorder="1" applyAlignment="1">
      <alignment horizontal="center" vertical="center" wrapText="1"/>
    </xf>
    <xf numFmtId="10" fontId="17" fillId="8" borderId="82" xfId="1" applyNumberFormat="1" applyFont="1" applyFill="1" applyBorder="1" applyAlignment="1">
      <alignment horizontal="center" vertical="center"/>
    </xf>
    <xf numFmtId="164" fontId="17" fillId="8" borderId="82" xfId="1" applyNumberFormat="1" applyFont="1" applyFill="1" applyBorder="1" applyAlignment="1">
      <alignment horizontal="center" vertical="center"/>
    </xf>
    <xf numFmtId="9" fontId="17" fillId="8" borderId="82" xfId="1" applyFont="1" applyFill="1" applyBorder="1" applyAlignment="1">
      <alignment horizontal="center" vertical="center" wrapText="1"/>
    </xf>
    <xf numFmtId="9" fontId="17" fillId="8" borderId="83" xfId="1" applyFont="1" applyFill="1" applyBorder="1" applyAlignment="1">
      <alignment horizontal="center" vertical="center" wrapText="1"/>
    </xf>
    <xf numFmtId="166" fontId="17" fillId="3" borderId="75" xfId="1" applyNumberFormat="1" applyFont="1" applyFill="1" applyBorder="1" applyAlignment="1">
      <alignment horizontal="center" vertical="center"/>
    </xf>
    <xf numFmtId="10" fontId="17" fillId="11" borderId="75" xfId="1" applyNumberFormat="1" applyFont="1" applyFill="1" applyBorder="1" applyAlignment="1">
      <alignment horizontal="center" vertical="center" wrapText="1"/>
    </xf>
    <xf numFmtId="10" fontId="17" fillId="8" borderId="82" xfId="1" applyNumberFormat="1" applyFont="1" applyFill="1" applyBorder="1" applyAlignment="1">
      <alignment horizontal="center" vertical="center" wrapText="1"/>
    </xf>
    <xf numFmtId="10" fontId="17" fillId="3" borderId="75" xfId="1" applyNumberFormat="1" applyFont="1" applyFill="1" applyBorder="1" applyAlignment="1">
      <alignment horizontal="center" vertical="center" wrapText="1"/>
    </xf>
    <xf numFmtId="10" fontId="17" fillId="13" borderId="75" xfId="1" applyNumberFormat="1" applyFont="1" applyFill="1" applyBorder="1" applyAlignment="1">
      <alignment horizontal="center" vertical="center" wrapText="1"/>
    </xf>
    <xf numFmtId="10" fontId="17" fillId="9" borderId="75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67" fontId="19" fillId="14" borderId="88" xfId="4" applyNumberFormat="1" applyFont="1" applyFill="1" applyBorder="1" applyAlignment="1">
      <alignment horizontal="center" vertical="top" wrapText="1"/>
    </xf>
    <xf numFmtId="0" fontId="19" fillId="14" borderId="88" xfId="0" applyFont="1" applyFill="1" applyBorder="1" applyAlignment="1">
      <alignment horizontal="center" vertical="top" wrapText="1"/>
    </xf>
    <xf numFmtId="10" fontId="19" fillId="14" borderId="88" xfId="1" applyNumberFormat="1" applyFont="1" applyFill="1" applyBorder="1" applyAlignment="1">
      <alignment horizontal="center" vertical="top" wrapText="1"/>
    </xf>
    <xf numFmtId="14" fontId="17" fillId="3" borderId="77" xfId="0" quotePrefix="1" applyNumberFormat="1" applyFont="1" applyFill="1" applyBorder="1" applyAlignment="1">
      <alignment horizontal="center" vertical="center"/>
    </xf>
    <xf numFmtId="0" fontId="17" fillId="3" borderId="77" xfId="0" applyFont="1" applyFill="1" applyBorder="1" applyAlignment="1">
      <alignment horizontal="center" vertical="center" wrapText="1"/>
    </xf>
    <xf numFmtId="167" fontId="17" fillId="3" borderId="77" xfId="4" applyNumberFormat="1" applyFont="1" applyFill="1" applyBorder="1" applyAlignment="1">
      <alignment horizontal="center" vertical="center" wrapText="1"/>
    </xf>
    <xf numFmtId="10" fontId="17" fillId="3" borderId="77" xfId="1" applyNumberFormat="1" applyFont="1" applyFill="1" applyBorder="1" applyAlignment="1">
      <alignment horizontal="center" vertical="center"/>
    </xf>
    <xf numFmtId="166" fontId="17" fillId="3" borderId="77" xfId="1" applyNumberFormat="1" applyFont="1" applyFill="1" applyBorder="1" applyAlignment="1">
      <alignment horizontal="center" vertical="center"/>
    </xf>
    <xf numFmtId="9" fontId="17" fillId="3" borderId="77" xfId="1" applyFont="1" applyFill="1" applyBorder="1" applyAlignment="1">
      <alignment horizontal="center" vertical="center" wrapText="1"/>
    </xf>
    <xf numFmtId="10" fontId="17" fillId="3" borderId="77" xfId="1" applyNumberFormat="1" applyFont="1" applyFill="1" applyBorder="1" applyAlignment="1">
      <alignment horizontal="center" vertical="center" wrapText="1"/>
    </xf>
    <xf numFmtId="9" fontId="17" fillId="3" borderId="84" xfId="1" applyFont="1" applyFill="1" applyBorder="1" applyAlignment="1">
      <alignment horizontal="center" vertical="center" wrapText="1"/>
    </xf>
    <xf numFmtId="9" fontId="17" fillId="4" borderId="82" xfId="1" applyFont="1" applyFill="1" applyBorder="1" applyAlignment="1">
      <alignment horizontal="center" vertical="center" wrapText="1"/>
    </xf>
    <xf numFmtId="49" fontId="17" fillId="3" borderId="75" xfId="0" quotePrefix="1" applyNumberFormat="1" applyFont="1" applyFill="1" applyBorder="1" applyAlignment="1">
      <alignment horizontal="center" vertical="center"/>
    </xf>
    <xf numFmtId="14" fontId="17" fillId="11" borderId="37" xfId="0" quotePrefix="1" applyNumberFormat="1" applyFont="1" applyFill="1" applyBorder="1" applyAlignment="1">
      <alignment horizontal="center" vertical="center"/>
    </xf>
    <xf numFmtId="14" fontId="17" fillId="11" borderId="75" xfId="0" quotePrefix="1" applyNumberFormat="1" applyFont="1" applyFill="1" applyBorder="1" applyAlignment="1">
      <alignment horizontal="center" vertical="center"/>
    </xf>
    <xf numFmtId="166" fontId="17" fillId="11" borderId="75" xfId="1" applyNumberFormat="1" applyFont="1" applyFill="1" applyBorder="1" applyAlignment="1">
      <alignment horizontal="center" vertical="center"/>
    </xf>
    <xf numFmtId="0" fontId="19" fillId="16" borderId="88" xfId="0" applyFont="1" applyFill="1" applyBorder="1" applyAlignment="1">
      <alignment horizontal="center" vertical="top" wrapText="1"/>
    </xf>
    <xf numFmtId="167" fontId="19" fillId="16" borderId="88" xfId="4" applyNumberFormat="1" applyFont="1" applyFill="1" applyBorder="1" applyAlignment="1">
      <alignment horizontal="center" vertical="top" wrapText="1"/>
    </xf>
    <xf numFmtId="10" fontId="19" fillId="16" borderId="88" xfId="1" applyNumberFormat="1" applyFont="1" applyFill="1" applyBorder="1" applyAlignment="1">
      <alignment horizontal="center" vertical="top" wrapText="1"/>
    </xf>
    <xf numFmtId="14" fontId="19" fillId="16" borderId="88" xfId="1" applyNumberFormat="1" applyFont="1" applyFill="1" applyBorder="1" applyAlignment="1">
      <alignment horizontal="center" vertical="top" wrapText="1"/>
    </xf>
    <xf numFmtId="14" fontId="17" fillId="11" borderId="75" xfId="1" applyNumberFormat="1" applyFont="1" applyFill="1" applyBorder="1" applyAlignment="1">
      <alignment horizontal="center" vertical="center"/>
    </xf>
    <xf numFmtId="14" fontId="17" fillId="3" borderId="75" xfId="1" applyNumberFormat="1" applyFont="1" applyFill="1" applyBorder="1" applyAlignment="1">
      <alignment horizontal="center" vertical="center"/>
    </xf>
    <xf numFmtId="0" fontId="19" fillId="16" borderId="88" xfId="0" quotePrefix="1" applyFont="1" applyFill="1" applyBorder="1" applyAlignment="1">
      <alignment horizontal="center" vertical="top" wrapText="1"/>
    </xf>
    <xf numFmtId="0" fontId="17" fillId="9" borderId="37" xfId="0" quotePrefix="1" applyFont="1" applyFill="1" applyBorder="1" applyAlignment="1">
      <alignment horizontal="center" vertical="center"/>
    </xf>
    <xf numFmtId="43" fontId="19" fillId="16" borderId="88" xfId="4" applyFont="1" applyFill="1" applyBorder="1" applyAlignment="1">
      <alignment horizontal="center" vertical="center" wrapText="1"/>
    </xf>
    <xf numFmtId="0" fontId="19" fillId="16" borderId="88" xfId="0" quotePrefix="1" applyFont="1" applyFill="1" applyBorder="1" applyAlignment="1">
      <alignment horizontal="center" vertical="center" wrapText="1"/>
    </xf>
    <xf numFmtId="0" fontId="19" fillId="16" borderId="88" xfId="0" applyFont="1" applyFill="1" applyBorder="1" applyAlignment="1">
      <alignment horizontal="center" vertical="center" wrapText="1"/>
    </xf>
    <xf numFmtId="10" fontId="19" fillId="16" borderId="88" xfId="1" applyNumberFormat="1" applyFont="1" applyFill="1" applyBorder="1" applyAlignment="1">
      <alignment horizontal="center" vertical="center" wrapText="1"/>
    </xf>
    <xf numFmtId="14" fontId="19" fillId="16" borderId="88" xfId="1" applyNumberFormat="1" applyFont="1" applyFill="1" applyBorder="1" applyAlignment="1">
      <alignment horizontal="center" vertical="center" wrapText="1"/>
    </xf>
    <xf numFmtId="167" fontId="18" fillId="17" borderId="86" xfId="4" applyNumberFormat="1" applyFont="1" applyFill="1" applyBorder="1" applyAlignment="1">
      <alignment horizontal="center" vertical="center"/>
    </xf>
    <xf numFmtId="10" fontId="18" fillId="17" borderId="86" xfId="1" applyNumberFormat="1" applyFont="1" applyFill="1" applyBorder="1" applyAlignment="1">
      <alignment horizontal="center" vertical="center"/>
    </xf>
    <xf numFmtId="9" fontId="18" fillId="17" borderId="86" xfId="1" applyFont="1" applyFill="1" applyBorder="1" applyAlignment="1">
      <alignment horizontal="center" vertical="center"/>
    </xf>
    <xf numFmtId="10" fontId="18" fillId="17" borderId="86" xfId="1" applyNumberFormat="1" applyFont="1" applyFill="1" applyBorder="1" applyAlignment="1">
      <alignment horizontal="center" vertical="center" wrapText="1"/>
    </xf>
    <xf numFmtId="10" fontId="18" fillId="17" borderId="87" xfId="1" applyNumberFormat="1" applyFont="1" applyFill="1" applyBorder="1" applyAlignment="1">
      <alignment horizontal="center" vertical="center" wrapText="1"/>
    </xf>
    <xf numFmtId="0" fontId="18" fillId="17" borderId="35" xfId="0" applyFont="1" applyFill="1" applyBorder="1" applyAlignment="1">
      <alignment horizontal="center" vertical="center"/>
    </xf>
    <xf numFmtId="0" fontId="18" fillId="17" borderId="78" xfId="0" applyFont="1" applyFill="1" applyBorder="1" applyAlignment="1">
      <alignment horizontal="center" vertical="center"/>
    </xf>
    <xf numFmtId="0" fontId="18" fillId="17" borderId="78" xfId="0" applyFont="1" applyFill="1" applyBorder="1" applyAlignment="1">
      <alignment horizontal="center" vertical="center" wrapText="1"/>
    </xf>
    <xf numFmtId="167" fontId="18" fillId="17" borderId="78" xfId="4" applyNumberFormat="1" applyFont="1" applyFill="1" applyBorder="1" applyAlignment="1">
      <alignment horizontal="center" vertical="center" wrapText="1"/>
    </xf>
    <xf numFmtId="10" fontId="18" fillId="17" borderId="78" xfId="1" applyNumberFormat="1" applyFont="1" applyFill="1" applyBorder="1" applyAlignment="1">
      <alignment horizontal="center" vertical="center"/>
    </xf>
    <xf numFmtId="9" fontId="18" fillId="17" borderId="78" xfId="1" applyFont="1" applyFill="1" applyBorder="1" applyAlignment="1">
      <alignment horizontal="center" vertical="center"/>
    </xf>
    <xf numFmtId="9" fontId="18" fillId="17" borderId="78" xfId="1" applyFont="1" applyFill="1" applyBorder="1" applyAlignment="1">
      <alignment horizontal="center" vertical="center" wrapText="1"/>
    </xf>
    <xf numFmtId="10" fontId="18" fillId="17" borderId="78" xfId="1" applyNumberFormat="1" applyFont="1" applyFill="1" applyBorder="1" applyAlignment="1">
      <alignment horizontal="center" vertical="center" wrapText="1"/>
    </xf>
    <xf numFmtId="10" fontId="18" fillId="17" borderId="79" xfId="1" applyNumberFormat="1" applyFont="1" applyFill="1" applyBorder="1" applyAlignment="1">
      <alignment horizontal="center" vertical="center" wrapText="1"/>
    </xf>
    <xf numFmtId="14" fontId="17" fillId="9" borderId="75" xfId="1" applyNumberFormat="1" applyFont="1" applyFill="1" applyBorder="1" applyAlignment="1">
      <alignment horizontal="center" vertical="center"/>
    </xf>
    <xf numFmtId="14" fontId="17" fillId="3" borderId="77" xfId="1" applyNumberFormat="1" applyFont="1" applyFill="1" applyBorder="1" applyAlignment="1">
      <alignment horizontal="center" vertical="center"/>
    </xf>
    <xf numFmtId="0" fontId="19" fillId="10" borderId="88" xfId="0" quotePrefix="1" applyFont="1" applyFill="1" applyBorder="1" applyAlignment="1">
      <alignment horizontal="center" vertical="top" wrapText="1"/>
    </xf>
    <xf numFmtId="0" fontId="19" fillId="10" borderId="88" xfId="0" applyFont="1" applyFill="1" applyBorder="1" applyAlignment="1">
      <alignment horizontal="center" vertical="top" wrapText="1"/>
    </xf>
    <xf numFmtId="167" fontId="19" fillId="10" borderId="88" xfId="4" applyNumberFormat="1" applyFont="1" applyFill="1" applyBorder="1" applyAlignment="1">
      <alignment horizontal="center" vertical="top" wrapText="1"/>
    </xf>
    <xf numFmtId="10" fontId="19" fillId="10" borderId="88" xfId="1" applyNumberFormat="1" applyFont="1" applyFill="1" applyBorder="1" applyAlignment="1">
      <alignment horizontal="center" vertical="top" wrapText="1"/>
    </xf>
    <xf numFmtId="14" fontId="19" fillId="10" borderId="88" xfId="1" applyNumberFormat="1" applyFont="1" applyFill="1" applyBorder="1" applyAlignment="1">
      <alignment horizontal="center" vertical="top" wrapText="1"/>
    </xf>
    <xf numFmtId="43" fontId="17" fillId="3" borderId="75" xfId="4" applyFont="1" applyFill="1" applyBorder="1" applyAlignment="1">
      <alignment horizontal="center" vertical="center" wrapText="1"/>
    </xf>
    <xf numFmtId="0" fontId="19" fillId="10" borderId="88" xfId="0" quotePrefix="1" applyFont="1" applyFill="1" applyBorder="1" applyAlignment="1">
      <alignment horizontal="center" vertical="center" wrapText="1"/>
    </xf>
    <xf numFmtId="0" fontId="19" fillId="10" borderId="88" xfId="0" applyFont="1" applyFill="1" applyBorder="1" applyAlignment="1">
      <alignment horizontal="center" vertical="center" wrapText="1"/>
    </xf>
    <xf numFmtId="167" fontId="19" fillId="10" borderId="88" xfId="4" applyNumberFormat="1" applyFont="1" applyFill="1" applyBorder="1" applyAlignment="1">
      <alignment horizontal="center" vertical="center" wrapText="1"/>
    </xf>
    <xf numFmtId="10" fontId="19" fillId="10" borderId="88" xfId="1" applyNumberFormat="1" applyFont="1" applyFill="1" applyBorder="1" applyAlignment="1">
      <alignment horizontal="center" vertical="center" wrapText="1"/>
    </xf>
    <xf numFmtId="14" fontId="19" fillId="10" borderId="88" xfId="1" applyNumberFormat="1" applyFont="1" applyFill="1" applyBorder="1" applyAlignment="1">
      <alignment horizontal="center" vertical="center" wrapText="1"/>
    </xf>
    <xf numFmtId="167" fontId="17" fillId="18" borderId="75" xfId="4" applyNumberFormat="1" applyFont="1" applyFill="1" applyBorder="1" applyAlignment="1">
      <alignment horizontal="center" vertical="center" wrapText="1"/>
    </xf>
    <xf numFmtId="10" fontId="17" fillId="18" borderId="75" xfId="1" applyNumberFormat="1" applyFont="1" applyFill="1" applyBorder="1" applyAlignment="1">
      <alignment horizontal="center" vertical="center"/>
    </xf>
    <xf numFmtId="10" fontId="17" fillId="18" borderId="75" xfId="1" applyNumberFormat="1" applyFont="1" applyFill="1" applyBorder="1" applyAlignment="1">
      <alignment horizontal="center" vertical="center" wrapText="1"/>
    </xf>
    <xf numFmtId="10" fontId="20" fillId="18" borderId="88" xfId="1" applyNumberFormat="1" applyFont="1" applyFill="1" applyBorder="1" applyAlignment="1">
      <alignment horizontal="center" vertical="top" wrapText="1"/>
    </xf>
    <xf numFmtId="14" fontId="17" fillId="18" borderId="75" xfId="1" applyNumberFormat="1" applyFont="1" applyFill="1" applyBorder="1" applyAlignment="1">
      <alignment horizontal="center" vertical="center"/>
    </xf>
    <xf numFmtId="166" fontId="17" fillId="18" borderId="75" xfId="1" applyNumberFormat="1" applyFont="1" applyFill="1" applyBorder="1" applyAlignment="1">
      <alignment horizontal="center" vertical="center"/>
    </xf>
    <xf numFmtId="0" fontId="17" fillId="18" borderId="75" xfId="0" applyFont="1" applyFill="1" applyBorder="1" applyAlignment="1">
      <alignment horizontal="center" vertical="center" wrapText="1"/>
    </xf>
    <xf numFmtId="14" fontId="17" fillId="3" borderId="75" xfId="0" quotePrefix="1" applyNumberFormat="1" applyFont="1" applyFill="1" applyBorder="1" applyAlignment="1">
      <alignment horizontal="center" vertical="center" wrapText="1"/>
    </xf>
    <xf numFmtId="0" fontId="10" fillId="8" borderId="89" xfId="0" applyFont="1" applyFill="1" applyBorder="1" applyAlignment="1">
      <alignment horizontal="center" vertical="center" wrapText="1"/>
    </xf>
    <xf numFmtId="0" fontId="21" fillId="0" borderId="0" xfId="0" applyFont="1"/>
    <xf numFmtId="0" fontId="22" fillId="19" borderId="75" xfId="0" applyFont="1" applyFill="1" applyBorder="1" applyAlignment="1">
      <alignment wrapText="1"/>
    </xf>
    <xf numFmtId="0" fontId="0" fillId="0" borderId="75" xfId="0" applyBorder="1"/>
    <xf numFmtId="10" fontId="0" fillId="0" borderId="75" xfId="0" applyNumberFormat="1" applyBorder="1"/>
    <xf numFmtId="0" fontId="23" fillId="0" borderId="0" xfId="0" applyFont="1"/>
    <xf numFmtId="0" fontId="24" fillId="0" borderId="0" xfId="0" applyFont="1"/>
    <xf numFmtId="0" fontId="25" fillId="0" borderId="0" xfId="0" applyFont="1"/>
    <xf numFmtId="10" fontId="0" fillId="20" borderId="75" xfId="0" applyNumberFormat="1" applyFill="1" applyBorder="1"/>
    <xf numFmtId="0" fontId="26" fillId="0" borderId="0" xfId="0" applyFont="1"/>
    <xf numFmtId="0" fontId="0" fillId="20" borderId="75" xfId="0" applyFill="1" applyBorder="1"/>
    <xf numFmtId="43" fontId="17" fillId="18" borderId="75" xfId="4" applyFont="1" applyFill="1" applyBorder="1" applyAlignment="1">
      <alignment horizontal="center" vertical="center" wrapText="1"/>
    </xf>
    <xf numFmtId="14" fontId="19" fillId="14" borderId="88" xfId="1" applyNumberFormat="1" applyFont="1" applyFill="1" applyBorder="1" applyAlignment="1">
      <alignment horizontal="center" vertical="top" wrapText="1"/>
    </xf>
    <xf numFmtId="14" fontId="2" fillId="0" borderId="0" xfId="0" applyNumberFormat="1" applyFont="1" applyAlignment="1">
      <alignment vertical="center" wrapText="1"/>
    </xf>
    <xf numFmtId="14" fontId="17" fillId="4" borderId="82" xfId="1" applyNumberFormat="1" applyFont="1" applyFill="1" applyBorder="1" applyAlignment="1">
      <alignment horizontal="center" vertical="center" wrapText="1"/>
    </xf>
    <xf numFmtId="14" fontId="18" fillId="17" borderId="86" xfId="1" applyNumberFormat="1" applyFont="1" applyFill="1" applyBorder="1" applyAlignment="1">
      <alignment horizontal="center" vertical="center"/>
    </xf>
    <xf numFmtId="14" fontId="18" fillId="17" borderId="78" xfId="1" applyNumberFormat="1" applyFont="1" applyFill="1" applyBorder="1" applyAlignment="1">
      <alignment horizontal="center" vertical="center"/>
    </xf>
    <xf numFmtId="14" fontId="17" fillId="8" borderId="75" xfId="1" applyNumberFormat="1" applyFont="1" applyFill="1" applyBorder="1" applyAlignment="1">
      <alignment horizontal="center" vertical="center"/>
    </xf>
    <xf numFmtId="14" fontId="17" fillId="13" borderId="75" xfId="1" applyNumberFormat="1" applyFont="1" applyFill="1" applyBorder="1" applyAlignment="1">
      <alignment horizontal="center" vertical="center"/>
    </xf>
    <xf numFmtId="14" fontId="17" fillId="8" borderId="82" xfId="1" applyNumberFormat="1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 wrapText="1"/>
    </xf>
    <xf numFmtId="14" fontId="17" fillId="4" borderId="96" xfId="1" applyNumberFormat="1" applyFont="1" applyFill="1" applyBorder="1" applyAlignment="1">
      <alignment horizontal="center" vertical="center" wrapText="1"/>
    </xf>
    <xf numFmtId="10" fontId="27" fillId="21" borderId="98" xfId="1" applyNumberFormat="1" applyFont="1" applyFill="1" applyBorder="1" applyAlignment="1">
      <alignment horizontal="center" vertical="center" wrapText="1"/>
    </xf>
    <xf numFmtId="10" fontId="27" fillId="21" borderId="92" xfId="1" applyNumberFormat="1" applyFont="1" applyFill="1" applyBorder="1" applyAlignment="1">
      <alignment horizontal="center" vertical="center" wrapText="1"/>
    </xf>
    <xf numFmtId="10" fontId="18" fillId="17" borderId="95" xfId="1" applyNumberFormat="1" applyFont="1" applyFill="1" applyBorder="1" applyAlignment="1">
      <alignment horizontal="center" vertical="center" wrapText="1"/>
    </xf>
    <xf numFmtId="10" fontId="18" fillId="17" borderId="90" xfId="1" applyNumberFormat="1" applyFont="1" applyFill="1" applyBorder="1" applyAlignment="1">
      <alignment horizontal="center" vertical="center" wrapText="1"/>
    </xf>
    <xf numFmtId="10" fontId="19" fillId="16" borderId="101" xfId="1" applyNumberFormat="1" applyFont="1" applyFill="1" applyBorder="1" applyAlignment="1">
      <alignment horizontal="center" vertical="center" wrapText="1"/>
    </xf>
    <xf numFmtId="10" fontId="19" fillId="10" borderId="101" xfId="1" applyNumberFormat="1" applyFont="1" applyFill="1" applyBorder="1" applyAlignment="1">
      <alignment horizontal="center" vertical="top" wrapText="1"/>
    </xf>
    <xf numFmtId="10" fontId="17" fillId="11" borderId="102" xfId="1" applyNumberFormat="1" applyFont="1" applyFill="1" applyBorder="1" applyAlignment="1">
      <alignment horizontal="center" vertical="center" wrapText="1"/>
    </xf>
    <xf numFmtId="10" fontId="20" fillId="18" borderId="101" xfId="1" applyNumberFormat="1" applyFont="1" applyFill="1" applyBorder="1" applyAlignment="1">
      <alignment horizontal="center" vertical="top" wrapText="1"/>
    </xf>
    <xf numFmtId="10" fontId="17" fillId="3" borderId="102" xfId="1" applyNumberFormat="1" applyFont="1" applyFill="1" applyBorder="1" applyAlignment="1">
      <alignment horizontal="center" vertical="center" wrapText="1"/>
    </xf>
    <xf numFmtId="10" fontId="17" fillId="18" borderId="102" xfId="1" applyNumberFormat="1" applyFont="1" applyFill="1" applyBorder="1" applyAlignment="1">
      <alignment horizontal="center" vertical="center" wrapText="1"/>
    </xf>
    <xf numFmtId="10" fontId="19" fillId="10" borderId="101" xfId="1" applyNumberFormat="1" applyFont="1" applyFill="1" applyBorder="1" applyAlignment="1">
      <alignment horizontal="center" vertical="center" wrapText="1"/>
    </xf>
    <xf numFmtId="10" fontId="17" fillId="9" borderId="102" xfId="1" applyNumberFormat="1" applyFont="1" applyFill="1" applyBorder="1" applyAlignment="1">
      <alignment horizontal="center" vertical="center" wrapText="1"/>
    </xf>
    <xf numFmtId="10" fontId="19" fillId="16" borderId="101" xfId="1" applyNumberFormat="1" applyFont="1" applyFill="1" applyBorder="1" applyAlignment="1">
      <alignment horizontal="center" vertical="top" wrapText="1"/>
    </xf>
    <xf numFmtId="10" fontId="17" fillId="3" borderId="103" xfId="1" applyNumberFormat="1" applyFont="1" applyFill="1" applyBorder="1" applyAlignment="1">
      <alignment horizontal="center" vertical="center" wrapText="1"/>
    </xf>
    <xf numFmtId="10" fontId="17" fillId="8" borderId="102" xfId="1" applyNumberFormat="1" applyFont="1" applyFill="1" applyBorder="1" applyAlignment="1">
      <alignment horizontal="center" vertical="center" wrapText="1"/>
    </xf>
    <xf numFmtId="10" fontId="19" fillId="14" borderId="101" xfId="1" applyNumberFormat="1" applyFont="1" applyFill="1" applyBorder="1" applyAlignment="1">
      <alignment horizontal="center" vertical="top" wrapText="1"/>
    </xf>
    <xf numFmtId="10" fontId="17" fillId="13" borderId="102" xfId="1" applyNumberFormat="1" applyFont="1" applyFill="1" applyBorder="1" applyAlignment="1">
      <alignment horizontal="center" vertical="center" wrapText="1"/>
    </xf>
    <xf numFmtId="10" fontId="17" fillId="8" borderId="104" xfId="1" applyNumberFormat="1" applyFont="1" applyFill="1" applyBorder="1" applyAlignment="1">
      <alignment horizontal="center" vertical="center" wrapText="1"/>
    </xf>
    <xf numFmtId="10" fontId="17" fillId="8" borderId="77" xfId="1" applyNumberFormat="1" applyFont="1" applyFill="1" applyBorder="1" applyAlignment="1">
      <alignment horizontal="center" vertical="center" wrapText="1"/>
    </xf>
    <xf numFmtId="10" fontId="27" fillId="21" borderId="105" xfId="1" applyNumberFormat="1" applyFont="1" applyFill="1" applyBorder="1" applyAlignment="1">
      <alignment horizontal="center" vertical="center" wrapText="1"/>
    </xf>
    <xf numFmtId="10" fontId="27" fillId="21" borderId="106" xfId="1" applyNumberFormat="1" applyFont="1" applyFill="1" applyBorder="1" applyAlignment="1">
      <alignment horizontal="center" vertical="center" wrapText="1"/>
    </xf>
    <xf numFmtId="10" fontId="18" fillId="17" borderId="85" xfId="1" applyNumberFormat="1" applyFont="1" applyFill="1" applyBorder="1" applyAlignment="1">
      <alignment horizontal="center" vertical="center" wrapText="1"/>
    </xf>
    <xf numFmtId="10" fontId="18" fillId="17" borderId="35" xfId="1" applyNumberFormat="1" applyFont="1" applyFill="1" applyBorder="1" applyAlignment="1">
      <alignment horizontal="center" vertical="center" wrapText="1"/>
    </xf>
    <xf numFmtId="10" fontId="19" fillId="16" borderId="107" xfId="1" applyNumberFormat="1" applyFont="1" applyFill="1" applyBorder="1" applyAlignment="1">
      <alignment horizontal="center" vertical="center" wrapText="1"/>
    </xf>
    <xf numFmtId="10" fontId="19" fillId="16" borderId="108" xfId="1" applyNumberFormat="1" applyFont="1" applyFill="1" applyBorder="1" applyAlignment="1">
      <alignment horizontal="center" vertical="center" wrapText="1"/>
    </xf>
    <xf numFmtId="10" fontId="19" fillId="10" borderId="107" xfId="1" applyNumberFormat="1" applyFont="1" applyFill="1" applyBorder="1" applyAlignment="1">
      <alignment horizontal="center" vertical="top" wrapText="1"/>
    </xf>
    <xf numFmtId="10" fontId="19" fillId="10" borderId="108" xfId="1" applyNumberFormat="1" applyFont="1" applyFill="1" applyBorder="1" applyAlignment="1">
      <alignment horizontal="center" vertical="top" wrapText="1"/>
    </xf>
    <xf numFmtId="10" fontId="17" fillId="11" borderId="37" xfId="1" applyNumberFormat="1" applyFont="1" applyFill="1" applyBorder="1" applyAlignment="1">
      <alignment horizontal="center" vertical="center" wrapText="1"/>
    </xf>
    <xf numFmtId="10" fontId="17" fillId="11" borderId="80" xfId="1" applyNumberFormat="1" applyFont="1" applyFill="1" applyBorder="1" applyAlignment="1">
      <alignment horizontal="center" vertical="center" wrapText="1"/>
    </xf>
    <xf numFmtId="10" fontId="20" fillId="18" borderId="107" xfId="1" applyNumberFormat="1" applyFont="1" applyFill="1" applyBorder="1" applyAlignment="1">
      <alignment horizontal="center" vertical="top" wrapText="1"/>
    </xf>
    <xf numFmtId="10" fontId="20" fillId="18" borderId="108" xfId="1" applyNumberFormat="1" applyFont="1" applyFill="1" applyBorder="1" applyAlignment="1">
      <alignment horizontal="center" vertical="top" wrapText="1"/>
    </xf>
    <xf numFmtId="10" fontId="17" fillId="3" borderId="37" xfId="1" applyNumberFormat="1" applyFont="1" applyFill="1" applyBorder="1" applyAlignment="1">
      <alignment horizontal="center" vertical="center" wrapText="1"/>
    </xf>
    <xf numFmtId="10" fontId="17" fillId="3" borderId="80" xfId="1" applyNumberFormat="1" applyFont="1" applyFill="1" applyBorder="1" applyAlignment="1">
      <alignment horizontal="center" vertical="center" wrapText="1"/>
    </xf>
    <xf numFmtId="10" fontId="17" fillId="18" borderId="37" xfId="1" applyNumberFormat="1" applyFont="1" applyFill="1" applyBorder="1" applyAlignment="1">
      <alignment horizontal="center" vertical="center" wrapText="1"/>
    </xf>
    <xf numFmtId="10" fontId="17" fillId="18" borderId="80" xfId="1" applyNumberFormat="1" applyFont="1" applyFill="1" applyBorder="1" applyAlignment="1">
      <alignment horizontal="center" vertical="center" wrapText="1"/>
    </xf>
    <xf numFmtId="10" fontId="19" fillId="10" borderId="107" xfId="1" applyNumberFormat="1" applyFont="1" applyFill="1" applyBorder="1" applyAlignment="1">
      <alignment horizontal="center" vertical="center" wrapText="1"/>
    </xf>
    <xf numFmtId="10" fontId="19" fillId="10" borderId="108" xfId="1" applyNumberFormat="1" applyFont="1" applyFill="1" applyBorder="1" applyAlignment="1">
      <alignment horizontal="center" vertical="center" wrapText="1"/>
    </xf>
    <xf numFmtId="10" fontId="17" fillId="9" borderId="37" xfId="1" applyNumberFormat="1" applyFont="1" applyFill="1" applyBorder="1" applyAlignment="1">
      <alignment horizontal="center" vertical="center" wrapText="1"/>
    </xf>
    <xf numFmtId="10" fontId="17" fillId="9" borderId="80" xfId="1" applyNumberFormat="1" applyFont="1" applyFill="1" applyBorder="1" applyAlignment="1">
      <alignment horizontal="center" vertical="center" wrapText="1"/>
    </xf>
    <xf numFmtId="10" fontId="19" fillId="16" borderId="107" xfId="1" applyNumberFormat="1" applyFont="1" applyFill="1" applyBorder="1" applyAlignment="1">
      <alignment horizontal="center" vertical="top" wrapText="1"/>
    </xf>
    <xf numFmtId="10" fontId="19" fillId="16" borderId="108" xfId="1" applyNumberFormat="1" applyFont="1" applyFill="1" applyBorder="1" applyAlignment="1">
      <alignment horizontal="center" vertical="top" wrapText="1"/>
    </xf>
    <xf numFmtId="10" fontId="17" fillId="3" borderId="109" xfId="1" applyNumberFormat="1" applyFont="1" applyFill="1" applyBorder="1" applyAlignment="1">
      <alignment horizontal="center" vertical="center" wrapText="1"/>
    </xf>
    <xf numFmtId="10" fontId="17" fillId="3" borderId="84" xfId="1" applyNumberFormat="1" applyFont="1" applyFill="1" applyBorder="1" applyAlignment="1">
      <alignment horizontal="center" vertical="center" wrapText="1"/>
    </xf>
    <xf numFmtId="10" fontId="17" fillId="8" borderId="37" xfId="1" applyNumberFormat="1" applyFont="1" applyFill="1" applyBorder="1" applyAlignment="1">
      <alignment horizontal="center" vertical="center" wrapText="1"/>
    </xf>
    <xf numFmtId="10" fontId="17" fillId="8" borderId="80" xfId="1" applyNumberFormat="1" applyFont="1" applyFill="1" applyBorder="1" applyAlignment="1">
      <alignment horizontal="center" vertical="center" wrapText="1"/>
    </xf>
    <xf numFmtId="10" fontId="19" fillId="14" borderId="107" xfId="1" applyNumberFormat="1" applyFont="1" applyFill="1" applyBorder="1" applyAlignment="1">
      <alignment horizontal="center" vertical="top" wrapText="1"/>
    </xf>
    <xf numFmtId="10" fontId="19" fillId="14" borderId="108" xfId="1" applyNumberFormat="1" applyFont="1" applyFill="1" applyBorder="1" applyAlignment="1">
      <alignment horizontal="center" vertical="top" wrapText="1"/>
    </xf>
    <xf numFmtId="10" fontId="17" fillId="13" borderId="37" xfId="1" applyNumberFormat="1" applyFont="1" applyFill="1" applyBorder="1" applyAlignment="1">
      <alignment horizontal="center" vertical="center" wrapText="1"/>
    </xf>
    <xf numFmtId="10" fontId="17" fillId="13" borderId="80" xfId="1" applyNumberFormat="1" applyFont="1" applyFill="1" applyBorder="1" applyAlignment="1">
      <alignment horizontal="center" vertical="center" wrapText="1"/>
    </xf>
    <xf numFmtId="10" fontId="17" fillId="8" borderId="81" xfId="1" applyNumberFormat="1" applyFont="1" applyFill="1" applyBorder="1" applyAlignment="1">
      <alignment horizontal="center" vertical="center" wrapText="1"/>
    </xf>
    <xf numFmtId="10" fontId="17" fillId="8" borderId="83" xfId="1" applyNumberFormat="1" applyFont="1" applyFill="1" applyBorder="1" applyAlignment="1">
      <alignment horizontal="center" vertical="center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4" fillId="0" borderId="0" xfId="0" applyFont="1"/>
    <xf numFmtId="0" fontId="31" fillId="22" borderId="110" xfId="0" applyFont="1" applyFill="1" applyBorder="1" applyAlignment="1">
      <alignment horizontal="center" vertical="center" wrapText="1"/>
    </xf>
    <xf numFmtId="0" fontId="28" fillId="0" borderId="110" xfId="0" applyFont="1" applyBorder="1"/>
    <xf numFmtId="49" fontId="28" fillId="0" borderId="110" xfId="0" applyNumberFormat="1" applyFont="1" applyBorder="1"/>
    <xf numFmtId="0" fontId="30" fillId="23" borderId="110" xfId="0" applyFont="1" applyFill="1" applyBorder="1"/>
    <xf numFmtId="0" fontId="28" fillId="0" borderId="110" xfId="0" applyFont="1" applyBorder="1" applyAlignment="1">
      <alignment horizontal="center"/>
    </xf>
    <xf numFmtId="9" fontId="28" fillId="0" borderId="110" xfId="0" applyNumberFormat="1" applyFont="1" applyBorder="1" applyAlignment="1">
      <alignment horizontal="center"/>
    </xf>
    <xf numFmtId="0" fontId="30" fillId="23" borderId="110" xfId="0" applyFont="1" applyFill="1" applyBorder="1" applyAlignment="1">
      <alignment horizontal="center"/>
    </xf>
    <xf numFmtId="9" fontId="30" fillId="23" borderId="110" xfId="0" applyNumberFormat="1" applyFont="1" applyFill="1" applyBorder="1" applyAlignment="1">
      <alignment horizontal="center"/>
    </xf>
    <xf numFmtId="164" fontId="28" fillId="0" borderId="110" xfId="0" applyNumberFormat="1" applyFont="1" applyBorder="1" applyAlignment="1">
      <alignment horizontal="center"/>
    </xf>
    <xf numFmtId="164" fontId="30" fillId="23" borderId="110" xfId="0" applyNumberFormat="1" applyFont="1" applyFill="1" applyBorder="1" applyAlignment="1">
      <alignment horizontal="center"/>
    </xf>
    <xf numFmtId="1" fontId="28" fillId="0" borderId="110" xfId="0" applyNumberFormat="1" applyFont="1" applyBorder="1" applyAlignment="1">
      <alignment horizontal="center"/>
    </xf>
    <xf numFmtId="1" fontId="30" fillId="23" borderId="110" xfId="0" applyNumberFormat="1" applyFont="1" applyFill="1" applyBorder="1" applyAlignment="1">
      <alignment horizontal="center"/>
    </xf>
    <xf numFmtId="0" fontId="28" fillId="0" borderId="110" xfId="0" applyFont="1" applyBorder="1" applyAlignment="1">
      <alignment horizontal="center" wrapText="1"/>
    </xf>
    <xf numFmtId="0" fontId="30" fillId="23" borderId="110" xfId="0" applyFont="1" applyFill="1" applyBorder="1" applyAlignment="1">
      <alignment horizontal="center" wrapText="1"/>
    </xf>
    <xf numFmtId="0" fontId="30" fillId="0" borderId="110" xfId="0" applyFont="1" applyBorder="1" applyAlignment="1">
      <alignment horizontal="center"/>
    </xf>
    <xf numFmtId="0" fontId="18" fillId="17" borderId="85" xfId="0" applyFont="1" applyFill="1" applyBorder="1" applyAlignment="1">
      <alignment horizontal="center" vertical="center"/>
    </xf>
    <xf numFmtId="0" fontId="18" fillId="17" borderId="86" xfId="0" applyFont="1" applyFill="1" applyBorder="1" applyAlignment="1">
      <alignment horizontal="center" vertical="center"/>
    </xf>
    <xf numFmtId="9" fontId="17" fillId="4" borderId="78" xfId="1" applyFont="1" applyFill="1" applyBorder="1" applyAlignment="1">
      <alignment horizontal="center" vertical="center" wrapText="1"/>
    </xf>
    <xf numFmtId="9" fontId="17" fillId="4" borderId="82" xfId="1" applyFont="1" applyFill="1" applyBorder="1" applyAlignment="1">
      <alignment horizontal="center" vertical="center" wrapText="1"/>
    </xf>
    <xf numFmtId="10" fontId="17" fillId="4" borderId="78" xfId="1" applyNumberFormat="1" applyFont="1" applyFill="1" applyBorder="1" applyAlignment="1">
      <alignment horizontal="center" vertical="center" wrapText="1"/>
    </xf>
    <xf numFmtId="10" fontId="17" fillId="4" borderId="82" xfId="1" applyNumberFormat="1" applyFont="1" applyFill="1" applyBorder="1" applyAlignment="1">
      <alignment horizontal="center" vertical="center" wrapText="1"/>
    </xf>
    <xf numFmtId="9" fontId="17" fillId="4" borderId="79" xfId="1" applyFont="1" applyFill="1" applyBorder="1" applyAlignment="1">
      <alignment horizontal="center" vertical="center" wrapText="1"/>
    </xf>
    <xf numFmtId="9" fontId="17" fillId="4" borderId="83" xfId="1" applyFont="1" applyFill="1" applyBorder="1" applyAlignment="1">
      <alignment horizontal="center" vertical="center" wrapText="1"/>
    </xf>
    <xf numFmtId="14" fontId="17" fillId="4" borderId="93" xfId="1" applyNumberFormat="1" applyFont="1" applyFill="1" applyBorder="1" applyAlignment="1">
      <alignment horizontal="center" vertical="center" wrapText="1"/>
    </xf>
    <xf numFmtId="14" fontId="17" fillId="4" borderId="94" xfId="1" applyNumberFormat="1" applyFont="1" applyFill="1" applyBorder="1" applyAlignment="1">
      <alignment horizontal="center" vertical="center" wrapText="1"/>
    </xf>
    <xf numFmtId="14" fontId="17" fillId="4" borderId="95" xfId="1" applyNumberFormat="1" applyFont="1" applyFill="1" applyBorder="1" applyAlignment="1">
      <alignment horizontal="center" vertical="center" wrapText="1"/>
    </xf>
    <xf numFmtId="14" fontId="17" fillId="4" borderId="96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7" fillId="4" borderId="35" xfId="0" applyFont="1" applyFill="1" applyBorder="1" applyAlignment="1">
      <alignment horizontal="center" vertical="center"/>
    </xf>
    <xf numFmtId="0" fontId="17" fillId="4" borderId="81" xfId="0" applyFont="1" applyFill="1" applyBorder="1" applyAlignment="1">
      <alignment horizontal="center" vertical="center"/>
    </xf>
    <xf numFmtId="0" fontId="17" fillId="4" borderId="78" xfId="0" applyFont="1" applyFill="1" applyBorder="1" applyAlignment="1">
      <alignment horizontal="center" vertical="center" wrapText="1"/>
    </xf>
    <xf numFmtId="0" fontId="17" fillId="4" borderId="82" xfId="0" applyFont="1" applyFill="1" applyBorder="1" applyAlignment="1">
      <alignment horizontal="center" vertical="center" wrapText="1"/>
    </xf>
    <xf numFmtId="10" fontId="17" fillId="15" borderId="78" xfId="1" applyNumberFormat="1" applyFont="1" applyFill="1" applyBorder="1" applyAlignment="1">
      <alignment horizontal="center" vertical="center" wrapText="1"/>
    </xf>
    <xf numFmtId="10" fontId="17" fillId="15" borderId="82" xfId="1" applyNumberFormat="1" applyFont="1" applyFill="1" applyBorder="1" applyAlignment="1">
      <alignment horizontal="center" vertical="center" wrapText="1"/>
    </xf>
    <xf numFmtId="167" fontId="17" fillId="4" borderId="78" xfId="4" applyNumberFormat="1" applyFont="1" applyFill="1" applyBorder="1" applyAlignment="1">
      <alignment horizontal="center" vertical="center" wrapText="1"/>
    </xf>
    <xf numFmtId="167" fontId="17" fillId="4" borderId="82" xfId="4" applyNumberFormat="1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89" xfId="0" applyFont="1" applyFill="1" applyBorder="1" applyAlignment="1">
      <alignment horizontal="center" vertical="center" wrapText="1"/>
    </xf>
    <xf numFmtId="9" fontId="17" fillId="4" borderId="90" xfId="1" applyFont="1" applyFill="1" applyBorder="1" applyAlignment="1">
      <alignment horizontal="center" vertical="center" wrapText="1"/>
    </xf>
    <xf numFmtId="9" fontId="17" fillId="4" borderId="91" xfId="1" applyFont="1" applyFill="1" applyBorder="1" applyAlignment="1">
      <alignment horizontal="center" vertical="center" wrapText="1"/>
    </xf>
    <xf numFmtId="10" fontId="27" fillId="21" borderId="99" xfId="1" applyNumberFormat="1" applyFont="1" applyFill="1" applyBorder="1" applyAlignment="1">
      <alignment horizontal="center" vertical="center" wrapText="1"/>
    </xf>
    <xf numFmtId="10" fontId="27" fillId="21" borderId="97" xfId="1" applyNumberFormat="1" applyFont="1" applyFill="1" applyBorder="1" applyAlignment="1">
      <alignment horizontal="center" vertical="center" wrapText="1"/>
    </xf>
    <xf numFmtId="10" fontId="27" fillId="21" borderId="100" xfId="1" applyNumberFormat="1" applyFont="1" applyFill="1" applyBorder="1" applyAlignment="1">
      <alignment horizontal="center" vertical="center" wrapText="1"/>
    </xf>
    <xf numFmtId="14" fontId="17" fillId="4" borderId="97" xfId="1" applyNumberFormat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10" fillId="8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9" fontId="4" fillId="3" borderId="71" xfId="1" applyFont="1" applyFill="1" applyBorder="1" applyAlignment="1">
      <alignment horizontal="center" vertical="center" wrapText="1"/>
    </xf>
    <xf numFmtId="9" fontId="4" fillId="3" borderId="36" xfId="1" applyFont="1" applyFill="1" applyBorder="1" applyAlignment="1">
      <alignment horizontal="center" vertical="center" wrapText="1"/>
    </xf>
    <xf numFmtId="9" fontId="4" fillId="3" borderId="65" xfId="1" applyFont="1" applyFill="1" applyBorder="1" applyAlignment="1">
      <alignment horizontal="center" vertical="center" wrapText="1"/>
    </xf>
    <xf numFmtId="9" fontId="4" fillId="3" borderId="31" xfId="1" applyFont="1" applyFill="1" applyBorder="1" applyAlignment="1">
      <alignment horizontal="center" vertical="center" wrapText="1"/>
    </xf>
    <xf numFmtId="9" fontId="4" fillId="3" borderId="72" xfId="1" applyFont="1" applyFill="1" applyBorder="1" applyAlignment="1">
      <alignment horizontal="center" vertical="center" wrapText="1"/>
    </xf>
    <xf numFmtId="9" fontId="4" fillId="3" borderId="70" xfId="1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3" borderId="26" xfId="0" applyFont="1" applyFill="1" applyBorder="1" applyAlignment="1">
      <alignment horizontal="left" vertical="center" wrapText="1"/>
    </xf>
    <xf numFmtId="0" fontId="4" fillId="3" borderId="27" xfId="0" applyFont="1" applyFill="1" applyBorder="1" applyAlignment="1">
      <alignment horizontal="left" vertical="center" wrapText="1"/>
    </xf>
    <xf numFmtId="0" fontId="4" fillId="3" borderId="29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9" fontId="3" fillId="3" borderId="6" xfId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9" fontId="3" fillId="3" borderId="40" xfId="1" applyFont="1" applyFill="1" applyBorder="1" applyAlignment="1">
      <alignment horizontal="center" vertical="center"/>
    </xf>
    <xf numFmtId="9" fontId="3" fillId="6" borderId="62" xfId="1" applyFont="1" applyFill="1" applyBorder="1" applyAlignment="1">
      <alignment horizontal="center" vertical="center"/>
    </xf>
    <xf numFmtId="9" fontId="3" fillId="6" borderId="63" xfId="1" applyFont="1" applyFill="1" applyBorder="1" applyAlignment="1">
      <alignment horizontal="center" vertical="center"/>
    </xf>
    <xf numFmtId="9" fontId="3" fillId="6" borderId="64" xfId="1" applyFont="1" applyFill="1" applyBorder="1" applyAlignment="1">
      <alignment horizontal="center" vertical="center"/>
    </xf>
    <xf numFmtId="9" fontId="3" fillId="6" borderId="65" xfId="1" applyFont="1" applyFill="1" applyBorder="1" applyAlignment="1">
      <alignment horizontal="center" vertical="center"/>
    </xf>
    <xf numFmtId="9" fontId="3" fillId="6" borderId="0" xfId="1" applyFont="1" applyFill="1" applyBorder="1" applyAlignment="1">
      <alignment horizontal="center" vertical="center"/>
    </xf>
    <xf numFmtId="9" fontId="3" fillId="6" borderId="31" xfId="1" applyFont="1" applyFill="1" applyBorder="1" applyAlignment="1">
      <alignment horizontal="center" vertical="center"/>
    </xf>
    <xf numFmtId="9" fontId="3" fillId="6" borderId="66" xfId="1" applyFont="1" applyFill="1" applyBorder="1" applyAlignment="1">
      <alignment horizontal="center" vertical="center"/>
    </xf>
    <xf numFmtId="9" fontId="3" fillId="6" borderId="67" xfId="1" applyFont="1" applyFill="1" applyBorder="1" applyAlignment="1">
      <alignment horizontal="center" vertical="center"/>
    </xf>
    <xf numFmtId="9" fontId="3" fillId="6" borderId="68" xfId="1" applyFont="1" applyFill="1" applyBorder="1" applyAlignment="1">
      <alignment horizontal="center" vertical="center"/>
    </xf>
    <xf numFmtId="9" fontId="3" fillId="3" borderId="3" xfId="1" applyFont="1" applyFill="1" applyBorder="1" applyAlignment="1">
      <alignment horizontal="center" vertical="center"/>
    </xf>
  </cellXfs>
  <cellStyles count="5">
    <cellStyle name="Comma" xfId="4" builtinId="3"/>
    <cellStyle name="Currency" xfId="3" builtinId="4"/>
    <cellStyle name="Normal" xfId="0" builtinId="0"/>
    <cellStyle name="Normal 2" xfId="2" xr:uid="{C43BA3FE-F301-4512-B9E3-9D3BB3EBE444}"/>
    <cellStyle name="Percent" xfId="1" builtinId="5"/>
  </cellStyles>
  <dxfs count="0"/>
  <tableStyles count="0" defaultTableStyle="TableStyleMedium2" defaultPivotStyle="PivotStyleLight16"/>
  <colors>
    <mruColors>
      <color rgb="FFE6DCDC"/>
      <color rgb="FFDCF9FA"/>
      <color rgb="FFE0DCDC"/>
      <color rgb="FFD5D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>
                <a:solidFill>
                  <a:srgbClr val="0C2838"/>
                </a:solidFill>
              </a:defRPr>
            </a:pPr>
            <a:r>
              <a:rPr lang="mn-MN"/>
              <a:t>Төслийн нийт гүйцэтгэл ба ажлын төрлөөрх гүйцэтгэл (</a:t>
            </a:r>
            <a:r>
              <a:rPr lang="en-US"/>
              <a:t>S-Curve)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Ажлын төрөл</c:v>
          </c:tx>
          <c:spPr>
            <a:ln w="177800">
              <a:solidFill>
                <a:srgbClr val="E9ECF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'S-Curve'!$E$4</c:f>
                  <c:strCache>
                    <c:ptCount val="1"/>
                    <c:pt idx="0">
                      <c:v>ТЭЗҮ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{729B1F87-7F9E-48C2-84C9-A172EAB94C72}</c15:txfldGUID>
                      <c15:f>'S-Curve'!$E$4</c15:f>
                      <c15:dlblFieldTableCache>
                        <c:ptCount val="1"/>
                        <c:pt idx="0">
                          <c:v>ТЭЗҮ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A1E2-4C51-A039-7E434FDAD518}"/>
                </c:ext>
              </c:extLst>
            </c:dLbl>
            <c:dLbl>
              <c:idx val="1"/>
              <c:tx>
                <c:strRef>
                  <c:f>'S-Curve'!$F$4</c:f>
                  <c:strCache>
                    <c:ptCount val="1"/>
                    <c:pt idx="0">
                      <c:v>100.00%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{576E8E2A-C90E-4186-ABC7-F9DC433A94C9}</c15:txfldGUID>
                      <c15:f>'S-Curve'!$F$4</c15:f>
                      <c15:dlblFieldTableCache>
                        <c:ptCount val="1"/>
                        <c:pt idx="0">
                          <c:v>100.00%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A1E2-4C51-A039-7E434FDAD518}"/>
                </c:ext>
              </c:extLst>
            </c:dLbl>
            <c:dLbl>
              <c:idx val="3"/>
              <c:tx>
                <c:strRef>
                  <c:f>'S-Curve'!$E$5</c:f>
                  <c:strCache>
                    <c:ptCount val="1"/>
                    <c:pt idx="0">
                      <c:v>Ажлын зураг төсөл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{6FF8707A-5244-4291-880C-2F43CF2EB390}</c15:txfldGUID>
                      <c15:f>'S-Curve'!$E$5</c15:f>
                      <c15:dlblFieldTableCache>
                        <c:ptCount val="1"/>
                        <c:pt idx="0">
                          <c:v>Ажлын зураг төсөл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1E2-4C51-A039-7E434FDAD518}"/>
                </c:ext>
              </c:extLst>
            </c:dLbl>
            <c:dLbl>
              <c:idx val="4"/>
              <c:tx>
                <c:strRef>
                  <c:f>'S-Curve'!$F$5</c:f>
                  <c:strCache>
                    <c:ptCount val="1"/>
                    <c:pt idx="0">
                      <c:v>92.02%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{947E6E9B-C17F-4BAD-8EFE-7E2ECB748B3F}</c15:txfldGUID>
                      <c15:f>'S-Curve'!$F$5</c15:f>
                      <c15:dlblFieldTableCache>
                        <c:ptCount val="1"/>
                        <c:pt idx="0">
                          <c:v>92.02%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A1E2-4C51-A039-7E434FDAD518}"/>
                </c:ext>
              </c:extLst>
            </c:dLbl>
            <c:dLbl>
              <c:idx val="6"/>
              <c:tx>
                <c:strRef>
                  <c:f>'S-Curve'!$E$6</c:f>
                  <c:strCache>
                    <c:ptCount val="1"/>
                    <c:pt idx="0">
                      <c:v>Газар чөлөөлөлт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{3ADC76ED-B477-4692-97C8-054ED191C906}</c15:txfldGUID>
                      <c15:f>'S-Curve'!$E$6</c15:f>
                      <c15:dlblFieldTableCache>
                        <c:ptCount val="1"/>
                        <c:pt idx="0">
                          <c:v>Газар чөлөөлөлт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1E2-4C51-A039-7E434FDAD518}"/>
                </c:ext>
              </c:extLst>
            </c:dLbl>
            <c:dLbl>
              <c:idx val="7"/>
              <c:tx>
                <c:strRef>
                  <c:f>'S-Curve'!$F$6</c:f>
                  <c:strCache>
                    <c:ptCount val="1"/>
                    <c:pt idx="0">
                      <c:v>93.00%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{EC205E16-BD0F-4CED-A333-887E0D9ED4D7}</c15:txfldGUID>
                      <c15:f>'S-Curve'!$F$6</c15:f>
                      <c15:dlblFieldTableCache>
                        <c:ptCount val="1"/>
                        <c:pt idx="0">
                          <c:v>93.00%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A1E2-4C51-A039-7E434FDAD518}"/>
                </c:ext>
              </c:extLst>
            </c:dLbl>
            <c:dLbl>
              <c:idx val="9"/>
              <c:tx>
                <c:strRef>
                  <c:f>'S-Curve'!$E$7</c:f>
                  <c:strCache>
                    <c:ptCount val="1"/>
                    <c:pt idx="0">
                      <c:v>Зөвшөөрөл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{DB5EAF24-ED5E-4537-BFCC-4693C9DD75C0}</c15:txfldGUID>
                      <c15:f>'S-Curve'!$E$7</c15:f>
                      <c15:dlblFieldTableCache>
                        <c:ptCount val="1"/>
                        <c:pt idx="0">
                          <c:v>Зөвшөөрөл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1E2-4C51-A039-7E434FDAD518}"/>
                </c:ext>
              </c:extLst>
            </c:dLbl>
            <c:dLbl>
              <c:idx val="10"/>
              <c:tx>
                <c:strRef>
                  <c:f>'S-Curve'!$F$7</c:f>
                  <c:strCache>
                    <c:ptCount val="1"/>
                    <c:pt idx="0">
                      <c:v>86.74%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{72FB38E1-21CD-4553-A1B8-191630B03D20}</c15:txfldGUID>
                      <c15:f>'S-Curve'!$F$7</c15:f>
                      <c15:dlblFieldTableCache>
                        <c:ptCount val="1"/>
                        <c:pt idx="0">
                          <c:v>86.74%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A1E2-4C51-A039-7E434FDAD518}"/>
                </c:ext>
              </c:extLst>
            </c:dLbl>
            <c:dLbl>
              <c:idx val="12"/>
              <c:tx>
                <c:strRef>
                  <c:f>'S-Curve'!$E$8</c:f>
                  <c:strCache>
                    <c:ptCount val="1"/>
                    <c:pt idx="0">
                      <c:v>Сонгон шалгаруулалт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{791F0FDD-0AA5-4E75-B7FE-7E430FACD457}</c15:txfldGUID>
                      <c15:f>'S-Curve'!$E$8</c15:f>
                      <c15:dlblFieldTableCache>
                        <c:ptCount val="1"/>
                        <c:pt idx="0">
                          <c:v>Сонгон шалгаруулалт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1E2-4C51-A039-7E434FDAD518}"/>
                </c:ext>
              </c:extLst>
            </c:dLbl>
            <c:dLbl>
              <c:idx val="13"/>
              <c:tx>
                <c:strRef>
                  <c:f>'S-Curve'!$F$8</c:f>
                  <c:strCache>
                    <c:ptCount val="1"/>
                    <c:pt idx="0">
                      <c:v>86.99%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{96F06BFB-7E04-44E0-BE35-45C155212AE7}</c15:txfldGUID>
                      <c15:f>'S-Curve'!$F$8</c15:f>
                      <c15:dlblFieldTableCache>
                        <c:ptCount val="1"/>
                        <c:pt idx="0">
                          <c:v>86.99%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A1E2-4C51-A039-7E434FDAD518}"/>
                </c:ext>
              </c:extLst>
            </c:dLbl>
            <c:dLbl>
              <c:idx val="15"/>
              <c:tx>
                <c:strRef>
                  <c:f>'S-Curve'!$E$9</c:f>
                  <c:strCache>
                    <c:ptCount val="1"/>
                    <c:pt idx="0">
                      <c:v>Барилга угсралт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{5BFCDD28-A64C-438B-B012-05D79ED7BD60}</c15:txfldGUID>
                      <c15:f>'S-Curve'!$E$9</c15:f>
                      <c15:dlblFieldTableCache>
                        <c:ptCount val="1"/>
                        <c:pt idx="0">
                          <c:v>Барилга угсралт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1E2-4C51-A039-7E434FDAD518}"/>
                </c:ext>
              </c:extLst>
            </c:dLbl>
            <c:dLbl>
              <c:idx val="16"/>
              <c:tx>
                <c:strRef>
                  <c:f>'S-Curve'!$F$9</c:f>
                  <c:strCache>
                    <c:ptCount val="1"/>
                    <c:pt idx="0">
                      <c:v>26.09%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{E545789B-8F44-4811-A3FC-E4F849881175}</c15:txfldGUID>
                      <c15:f>'S-Curve'!$F$9</c15:f>
                      <c15:dlblFieldTableCache>
                        <c:ptCount val="1"/>
                        <c:pt idx="0">
                          <c:v>26.09%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A1E2-4C51-A039-7E434FDAD518}"/>
                </c:ext>
              </c:extLst>
            </c:dLbl>
            <c:dLbl>
              <c:idx val="18"/>
              <c:tx>
                <c:strRef>
                  <c:f>'S-Curve'!$E$10</c:f>
                  <c:strCache>
                    <c:ptCount val="1"/>
                    <c:pt idx="0">
                      <c:v>Төслийг хүлээлгэн өгөх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{E159D3F3-545E-43EE-B5FA-932FE3F52080}</c15:txfldGUID>
                      <c15:f>'S-Curve'!$E$10</c15:f>
                      <c15:dlblFieldTableCache>
                        <c:ptCount val="1"/>
                        <c:pt idx="0">
                          <c:v>Төслийг хүлээлгэн өгөх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1E2-4C51-A039-7E434FDAD518}"/>
                </c:ext>
              </c:extLst>
            </c:dLbl>
            <c:dLbl>
              <c:idx val="19"/>
              <c:tx>
                <c:strRef>
                  <c:f>'S-Curve'!$F$10</c:f>
                  <c:strCache>
                    <c:ptCount val="1"/>
                    <c:pt idx="0">
                      <c:v>0.00%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{91784F18-0436-4054-9DA3-5A1F4A6B6EEC}</c15:txfldGUID>
                      <c15:f>'S-Curve'!$F$10</c15:f>
                      <c15:dlblFieldTableCache>
                        <c:ptCount val="1"/>
                        <c:pt idx="0">
                          <c:v>0.00%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A1E2-4C51-A039-7E434FDAD518}"/>
                </c:ext>
              </c:extLst>
            </c:dLbl>
            <c:dLbl>
              <c:idx val="21"/>
              <c:tx>
                <c:strRef>
                  <c:f>'S-Curve'!$E$11</c:f>
                  <c:strCache>
                    <c:ptCount val="1"/>
                    <c:pt idx="0">
                      <c:v>Төслийн зүгшрүүлэлт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0C2838"/>
                      </a:solidFill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{10953B22-AB02-47BD-BCA4-5526D8FD3653}</c15:txfldGUID>
                      <c15:f>'S-Curve'!$E$11</c15:f>
                      <c15:dlblFieldTableCache>
                        <c:ptCount val="1"/>
                        <c:pt idx="0">
                          <c:v>Төслийн зүгшрүүлэлт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A1E2-4C51-A039-7E434FDAD518}"/>
                </c:ext>
              </c:extLst>
            </c:dLbl>
            <c:dLbl>
              <c:idx val="22"/>
              <c:tx>
                <c:strRef>
                  <c:f>'S-Curve'!$F$11</c:f>
                  <c:strCache>
                    <c:ptCount val="1"/>
                    <c:pt idx="0">
                      <c:v>0.00%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C52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{745F0527-1B1B-4C45-9794-FE8628892487}</c15:txfldGUID>
                      <c15:f>'S-Curve'!$F$11</c15:f>
                      <c15:dlblFieldTableCache>
                        <c:ptCount val="1"/>
                        <c:pt idx="0">
                          <c:v>0.00%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A1E2-4C51-A039-7E434FDAD5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'S-Curve'!$H$4:$H$26</c:f>
              <c:numCache>
                <c:formatCode>General</c:formatCode>
                <c:ptCount val="23"/>
                <c:pt idx="0">
                  <c:v>0</c:v>
                </c:pt>
                <c:pt idx="1">
                  <c:v>5.5</c:v>
                </c:pt>
                <c:pt idx="3">
                  <c:v>0</c:v>
                </c:pt>
                <c:pt idx="4">
                  <c:v>5.5</c:v>
                </c:pt>
                <c:pt idx="6">
                  <c:v>0</c:v>
                </c:pt>
                <c:pt idx="7">
                  <c:v>5.5</c:v>
                </c:pt>
                <c:pt idx="9">
                  <c:v>0</c:v>
                </c:pt>
                <c:pt idx="10">
                  <c:v>5.5</c:v>
                </c:pt>
                <c:pt idx="12">
                  <c:v>0</c:v>
                </c:pt>
                <c:pt idx="13">
                  <c:v>5.5</c:v>
                </c:pt>
                <c:pt idx="15">
                  <c:v>0</c:v>
                </c:pt>
                <c:pt idx="16">
                  <c:v>5.5</c:v>
                </c:pt>
                <c:pt idx="18">
                  <c:v>0</c:v>
                </c:pt>
                <c:pt idx="19">
                  <c:v>5.5</c:v>
                </c:pt>
                <c:pt idx="21">
                  <c:v>0</c:v>
                </c:pt>
                <c:pt idx="22">
                  <c:v>5.5</c:v>
                </c:pt>
              </c:numCache>
            </c:numRef>
          </c:xVal>
          <c:yVal>
            <c:numRef>
              <c:f>'S-Curve'!$J$4:$J$26</c:f>
              <c:numCache>
                <c:formatCode>General</c:formatCode>
                <c:ptCount val="23"/>
                <c:pt idx="0">
                  <c:v>0.96</c:v>
                </c:pt>
                <c:pt idx="1">
                  <c:v>0.96</c:v>
                </c:pt>
                <c:pt idx="3">
                  <c:v>0.83499999999999996</c:v>
                </c:pt>
                <c:pt idx="4">
                  <c:v>0.83499999999999996</c:v>
                </c:pt>
                <c:pt idx="6">
                  <c:v>0.71</c:v>
                </c:pt>
                <c:pt idx="7">
                  <c:v>0.71</c:v>
                </c:pt>
                <c:pt idx="9">
                  <c:v>0.58499999999999996</c:v>
                </c:pt>
                <c:pt idx="10">
                  <c:v>0.58499999999999996</c:v>
                </c:pt>
                <c:pt idx="12">
                  <c:v>0.45999999999999996</c:v>
                </c:pt>
                <c:pt idx="13">
                  <c:v>0.45999999999999996</c:v>
                </c:pt>
                <c:pt idx="15">
                  <c:v>0.33499999999999996</c:v>
                </c:pt>
                <c:pt idx="16">
                  <c:v>0.33499999999999996</c:v>
                </c:pt>
                <c:pt idx="18">
                  <c:v>0.20999999999999996</c:v>
                </c:pt>
                <c:pt idx="19">
                  <c:v>0.20999999999999996</c:v>
                </c:pt>
                <c:pt idx="21">
                  <c:v>8.4999999999999964E-2</c:v>
                </c:pt>
                <c:pt idx="22">
                  <c:v>8.4999999999999964E-2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2-4C51-A039-7E434FDAD518}"/>
            </c:ext>
          </c:extLst>
        </c:ser>
        <c:ser>
          <c:idx val="1"/>
          <c:order val="1"/>
          <c:tx>
            <c:v>Гүйцэтгэлийн хувь</c:v>
          </c:tx>
          <c:spPr>
            <a:ln w="177800">
              <a:solidFill>
                <a:srgbClr val="2C528C"/>
              </a:solidFill>
            </a:ln>
          </c:spPr>
          <c:marker>
            <c:symbol val="none"/>
          </c:marker>
          <c:xVal>
            <c:numRef>
              <c:f>'S-Curve'!$I$4:$I$26</c:f>
              <c:numCache>
                <c:formatCode>General</c:formatCode>
                <c:ptCount val="23"/>
                <c:pt idx="0">
                  <c:v>0</c:v>
                </c:pt>
                <c:pt idx="1">
                  <c:v>5.5</c:v>
                </c:pt>
                <c:pt idx="3">
                  <c:v>0</c:v>
                </c:pt>
                <c:pt idx="4">
                  <c:v>5.0612898097062571</c:v>
                </c:pt>
                <c:pt idx="6">
                  <c:v>0</c:v>
                </c:pt>
                <c:pt idx="7">
                  <c:v>5.1150000000000002</c:v>
                </c:pt>
                <c:pt idx="9">
                  <c:v>0</c:v>
                </c:pt>
                <c:pt idx="10">
                  <c:v>4.7709047905575854</c:v>
                </c:pt>
                <c:pt idx="12">
                  <c:v>0</c:v>
                </c:pt>
                <c:pt idx="13">
                  <c:v>4.7846007873169585</c:v>
                </c:pt>
                <c:pt idx="15">
                  <c:v>0</c:v>
                </c:pt>
                <c:pt idx="16">
                  <c:v>1.4349579174621439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'S-Curve'!$J$4:$J$26</c:f>
              <c:numCache>
                <c:formatCode>General</c:formatCode>
                <c:ptCount val="23"/>
                <c:pt idx="0">
                  <c:v>0.96</c:v>
                </c:pt>
                <c:pt idx="1">
                  <c:v>0.96</c:v>
                </c:pt>
                <c:pt idx="3">
                  <c:v>0.83499999999999996</c:v>
                </c:pt>
                <c:pt idx="4">
                  <c:v>0.83499999999999996</c:v>
                </c:pt>
                <c:pt idx="6">
                  <c:v>0.71</c:v>
                </c:pt>
                <c:pt idx="7">
                  <c:v>0.71</c:v>
                </c:pt>
                <c:pt idx="9">
                  <c:v>0.58499999999999996</c:v>
                </c:pt>
                <c:pt idx="10">
                  <c:v>0.58499999999999996</c:v>
                </c:pt>
                <c:pt idx="12">
                  <c:v>0.45999999999999996</c:v>
                </c:pt>
                <c:pt idx="13">
                  <c:v>0.45999999999999996</c:v>
                </c:pt>
                <c:pt idx="15">
                  <c:v>0.33499999999999996</c:v>
                </c:pt>
                <c:pt idx="16">
                  <c:v>0.33499999999999996</c:v>
                </c:pt>
                <c:pt idx="18">
                  <c:v>0.20999999999999996</c:v>
                </c:pt>
                <c:pt idx="19">
                  <c:v>0.20999999999999996</c:v>
                </c:pt>
                <c:pt idx="21">
                  <c:v>8.4999999999999964E-2</c:v>
                </c:pt>
                <c:pt idx="22">
                  <c:v>8.4999999999999964E-2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2-4C51-A039-7E434FDAD518}"/>
            </c:ext>
          </c:extLst>
        </c:ser>
        <c:ser>
          <c:idx val="2"/>
          <c:order val="2"/>
          <c:tx>
            <c:v>Хугацааны шугам</c:v>
          </c:tx>
          <c:spPr>
            <a:ln w="9525" cap="rnd">
              <a:solidFill>
                <a:srgbClr val="BFBFBF"/>
              </a:solidFill>
              <a:prstDash val="dot"/>
            </a:ln>
          </c:spPr>
          <c:marker>
            <c:symbol val="none"/>
          </c:marker>
          <c:xVal>
            <c:numRef>
              <c:f>'S-Curve'!$L$4:$L$18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3</c:v>
                </c:pt>
                <c:pt idx="7">
                  <c:v>3</c:v>
                </c:pt>
                <c:pt idx="9">
                  <c:v>4</c:v>
                </c:pt>
                <c:pt idx="10">
                  <c:v>4</c:v>
                </c:pt>
                <c:pt idx="12">
                  <c:v>5</c:v>
                </c:pt>
                <c:pt idx="13">
                  <c:v>5</c:v>
                </c:pt>
              </c:numCache>
            </c:numRef>
          </c:xVal>
          <c:yVal>
            <c:numRef>
              <c:f>'S-Curve'!$M$4:$M$18</c:f>
              <c:numCache>
                <c:formatCode>General</c:formatCode>
                <c:ptCount val="15"/>
                <c:pt idx="0">
                  <c:v>0</c:v>
                </c:pt>
                <c:pt idx="1">
                  <c:v>1.03</c:v>
                </c:pt>
                <c:pt idx="3">
                  <c:v>0</c:v>
                </c:pt>
                <c:pt idx="4">
                  <c:v>1.03</c:v>
                </c:pt>
                <c:pt idx="6">
                  <c:v>0</c:v>
                </c:pt>
                <c:pt idx="7">
                  <c:v>1.03</c:v>
                </c:pt>
                <c:pt idx="9">
                  <c:v>0</c:v>
                </c:pt>
                <c:pt idx="10">
                  <c:v>1.03</c:v>
                </c:pt>
                <c:pt idx="12">
                  <c:v>0</c:v>
                </c:pt>
                <c:pt idx="13">
                  <c:v>1.03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E2-4C51-A039-7E434FDAD518}"/>
            </c:ext>
          </c:extLst>
        </c:ser>
        <c:ser>
          <c:idx val="3"/>
          <c:order val="3"/>
          <c:tx>
            <c:v>Хугацаа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0F9ED5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'S-Curve'!$A$4</c:f>
                  <c:strCache>
                    <c:ptCount val="1"/>
                    <c:pt idx="0">
                      <c:v>2025 он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{1AAFF89F-AC79-466B-9FDC-A467EAA12221}</c15:txfldGUID>
                      <c15:f>'S-Curve'!$A$4</c15:f>
                      <c15:dlblFieldTableCache>
                        <c:ptCount val="1"/>
                        <c:pt idx="0">
                          <c:v>2025 он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A1E2-4C51-A039-7E434FDAD518}"/>
                </c:ext>
              </c:extLst>
            </c:dLbl>
            <c:dLbl>
              <c:idx val="1"/>
              <c:tx>
                <c:strRef>
                  <c:f>'S-Curve'!$A$5</c:f>
                  <c:strCache>
                    <c:ptCount val="1"/>
                    <c:pt idx="0">
                      <c:v>2026 он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{3CA7992E-35BB-46F9-AD03-74C9D939753E}</c15:txfldGUID>
                      <c15:f>'S-Curve'!$A$5</c15:f>
                      <c15:dlblFieldTableCache>
                        <c:ptCount val="1"/>
                        <c:pt idx="0">
                          <c:v>2026 он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A1E2-4C51-A039-7E434FDAD518}"/>
                </c:ext>
              </c:extLst>
            </c:dLbl>
            <c:dLbl>
              <c:idx val="2"/>
              <c:tx>
                <c:strRef>
                  <c:f>'S-Curve'!$A$6</c:f>
                  <c:strCache>
                    <c:ptCount val="1"/>
                    <c:pt idx="0">
                      <c:v>2026 он 9 сар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{091E58A9-2228-4CD4-AEA9-A5C490128B9A}</c15:txfldGUID>
                      <c15:f>'S-Curve'!$A$6</c15:f>
                      <c15:dlblFieldTableCache>
                        <c:ptCount val="1"/>
                        <c:pt idx="0">
                          <c:v>2026 он 9 сар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A1E2-4C51-A039-7E434FDAD518}"/>
                </c:ext>
              </c:extLst>
            </c:dLbl>
            <c:dLbl>
              <c:idx val="3"/>
              <c:tx>
                <c:strRef>
                  <c:f>'S-Curve'!$A$7</c:f>
                  <c:strCache>
                    <c:ptCount val="1"/>
                    <c:pt idx="0">
                      <c:v>2027 он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{376EAC87-7988-42CE-8301-78461D0029A4}</c15:txfldGUID>
                      <c15:f>'S-Curve'!$A$7</c15:f>
                      <c15:dlblFieldTableCache>
                        <c:ptCount val="1"/>
                        <c:pt idx="0">
                          <c:v>2027 он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A1E2-4C51-A039-7E434FDAD518}"/>
                </c:ext>
              </c:extLst>
            </c:dLbl>
            <c:dLbl>
              <c:idx val="4"/>
              <c:tx>
                <c:strRef>
                  <c:f>'S-Curve'!$A$8</c:f>
                  <c:strCache>
                    <c:ptCount val="1"/>
                    <c:pt idx="0">
                      <c:v>2027 он улирал IV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{81EE6142-559C-4948-9664-494EF8136410}</c15:txfldGUID>
                      <c15:f>'S-Curve'!$A$8</c15:f>
                      <c15:dlblFieldTableCache>
                        <c:ptCount val="1"/>
                        <c:pt idx="0">
                          <c:v>2027 он улирал IV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A1E2-4C51-A039-7E434FDAD5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'S-Curve'!$O$4:$O$8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'S-Curve'!$P$4:$P$8</c:f>
              <c:numCache>
                <c:formatCode>General</c:formatCode>
                <c:ptCount val="5"/>
                <c:pt idx="0">
                  <c:v>1.08</c:v>
                </c:pt>
                <c:pt idx="1">
                  <c:v>1.08</c:v>
                </c:pt>
                <c:pt idx="2">
                  <c:v>1.08</c:v>
                </c:pt>
                <c:pt idx="3">
                  <c:v>1.08</c:v>
                </c:pt>
                <c:pt idx="4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E2-4C51-A039-7E434FDAD518}"/>
            </c:ext>
          </c:extLst>
        </c:ser>
        <c:ser>
          <c:idx val="4"/>
          <c:order val="4"/>
          <c:tx>
            <c:v>Тайлант үеийн гүйцэтгэлийн хувь</c:v>
          </c:tx>
          <c:spPr>
            <a:ln w="38100">
              <a:solidFill>
                <a:srgbClr val="50C878"/>
              </a:solidFill>
            </a:ln>
          </c:spPr>
          <c:marker>
            <c:symbol val="circle"/>
            <c:size val="9"/>
            <c:spPr>
              <a:solidFill>
                <a:srgbClr val="FFFFFF"/>
              </a:solidFill>
              <a:ln w="38100">
                <a:solidFill>
                  <a:srgbClr val="50C878"/>
                </a:solidFill>
                <a:prstDash val="solid"/>
              </a:ln>
            </c:spPr>
          </c:marker>
          <c:dLbls>
            <c:numFmt formatCode="0.00%" sourceLinked="0"/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ED7D31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'S-Curve'!$R$4:$R$8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'S-Curve'!$B$4:$B$8</c:f>
              <c:numCache>
                <c:formatCode>0.00%</c:formatCode>
                <c:ptCount val="5"/>
                <c:pt idx="0">
                  <c:v>4.99E-2</c:v>
                </c:pt>
                <c:pt idx="1">
                  <c:v>0.2</c:v>
                </c:pt>
                <c:pt idx="2">
                  <c:v>0.39340923482626633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E2-4C51-A039-7E434FDAD518}"/>
            </c:ext>
          </c:extLst>
        </c:ser>
        <c:ser>
          <c:idx val="5"/>
          <c:order val="5"/>
          <c:tx>
            <c:v>Төлөвлөгөөт гүйцэтгэлийн хувь</c:v>
          </c:tx>
          <c:spPr>
            <a:ln w="38100">
              <a:solidFill>
                <a:srgbClr val="ED7D31"/>
              </a:solidFill>
              <a:prstDash val="dash"/>
            </a:ln>
          </c:spPr>
          <c:marker>
            <c:symbol val="circle"/>
            <c:size val="9"/>
            <c:spPr>
              <a:solidFill>
                <a:srgbClr val="FFFFFF"/>
              </a:solidFill>
              <a:ln w="38100">
                <a:solidFill>
                  <a:srgbClr val="ED7D31"/>
                </a:solidFill>
                <a:prstDash val="dash"/>
              </a:ln>
            </c:spPr>
          </c:marker>
          <c:dLbls>
            <c:dLbl>
              <c:idx val="2"/>
              <c:numFmt formatCode="0.00%" sourceLinked="0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ED7D31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1E2-4C51-A039-7E434FDAD518}"/>
                </c:ext>
              </c:extLst>
            </c:dLbl>
            <c:numFmt formatCode="0%" sourceLinked="0"/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ED7D31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'S-Curve'!$R$4:$R$8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'S-Curve'!$C$4:$C$8</c:f>
              <c:numCache>
                <c:formatCode>0.00%</c:formatCode>
                <c:ptCount val="5"/>
                <c:pt idx="2">
                  <c:v>0.39221357485051589</c:v>
                </c:pt>
                <c:pt idx="3">
                  <c:v>0.65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E2-4C51-A039-7E434FDAD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28175"/>
        <c:axId val="1869107472"/>
      </c:scatterChart>
      <c:valAx>
        <c:axId val="147028175"/>
        <c:scaling>
          <c:orientation val="minMax"/>
          <c:max val="6.25"/>
          <c:min val="-2.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869107472"/>
        <c:crosses val="autoZero"/>
        <c:crossBetween val="midCat"/>
      </c:valAx>
      <c:valAx>
        <c:axId val="1869107472"/>
        <c:scaling>
          <c:orientation val="minMax"/>
          <c:max val="1.1299999999999999"/>
          <c:min val="0"/>
        </c:scaling>
        <c:delete val="0"/>
        <c:axPos val="r"/>
        <c:numFmt formatCode="[&lt;=1]0%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solidFill>
                  <a:srgbClr val="8C8C8C"/>
                </a:solidFill>
              </a:defRPr>
            </a:pPr>
            <a:endParaRPr lang="en-US"/>
          </a:p>
        </c:txPr>
        <c:crossAx val="147028175"/>
        <c:crosses val="max"/>
        <c:crossBetween val="midCat"/>
        <c:majorUnit val="0.1"/>
      </c:valAx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D9D9D9"/>
      </a:solidFill>
    </a:ln>
  </c:spPr>
  <c:txPr>
    <a:bodyPr/>
    <a:lstStyle/>
    <a:p>
      <a:pPr>
        <a:defRPr sz="900">
          <a:solidFill>
            <a:srgbClr val="595959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27215</xdr:rowOff>
    </xdr:from>
    <xdr:to>
      <xdr:col>2</xdr:col>
      <xdr:colOff>1038225</xdr:colOff>
      <xdr:row>4</xdr:row>
      <xdr:rowOff>178251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ABE19-430A-4985-8A22-0282181B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5275" y="27215"/>
          <a:ext cx="1047750" cy="885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5</xdr:row>
      <xdr:rowOff>27215</xdr:rowOff>
    </xdr:from>
    <xdr:to>
      <xdr:col>1</xdr:col>
      <xdr:colOff>1038225</xdr:colOff>
      <xdr:row>9</xdr:row>
      <xdr:rowOff>100853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E6EA4-483D-4812-AE3D-35C2CC4E1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5275" y="27215"/>
          <a:ext cx="1045509" cy="9140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24</xdr:col>
      <xdr:colOff>340179</xdr:colOff>
      <xdr:row>45</xdr:row>
      <xdr:rowOff>0</xdr:rowOff>
    </xdr:to>
    <xdr:graphicFrame macro="">
      <xdr:nvGraphicFramePr>
        <xdr:cNvPr id="6" name="S-Curve Combined">
          <a:extLst>
            <a:ext uri="{FF2B5EF4-FFF2-40B4-BE49-F238E27FC236}">
              <a16:creationId xmlns:a16="http://schemas.microsoft.com/office/drawing/2014/main" id="{C9FA376C-9D41-0FFD-113A-3440305DA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elbe20-my.sharepoint.com/personal/selbepdc_selbecity_mn/Documents/&#1057;&#1069;&#1051;&#1041;&#1069;%20&#1044;&#1069;&#1044;%20&#1058;&#1256;&#1042;%20&#1054;&#1056;&#1054;&#1053;%20&#1057;&#1059;&#1059;&#1062;&#1046;&#1059;&#1059;&#1051;&#1040;&#1061;%20&#1058;&#1256;&#1057;&#1256;&#1051;/002.%20PROJECT%20MANAGEMENT/06.%20Schedules/04%20Time%20impact%20analysis/&#1041;&#1199;&#1093;%20&#1041;&#1072;&#1075;&#1094;%20-%20&#1058;&#1257;&#1083;&#1257;&#1074;&#1083;&#1257;&#1075;&#1257;&#1257;%20&#1075;&#1199;&#1081;&#1094;&#1101;&#1090;&#1075;&#1101;&#1083;%20&#1093;&#1086;&#1094;&#1088;&#1086;&#1083;&#1090;%20&#1040;&#1078;&#1080;&#1083;&#1073;&#1072;&#1088;%20&#1090;&#1257;&#1089;&#1074;&#1080;&#1081;&#1085;%20&#1079;&#1072;&#1076;&#1072;&#1088;&#1075;&#1072;&#1072;&#1085;&#1080;&#1081;%20&#1076;&#1072;&#1075;&#1091;&#1091;%20last%20-%20Copy.xlsm" TargetMode="External"/><Relationship Id="rId2" Type="http://schemas.microsoft.com/office/2019/04/relationships/externalLinkLongPath" Target="/personal/selbepdc_selbecity_mn/Documents/&#1057;&#1069;&#1051;&#1041;&#1069;%20&#1044;&#1069;&#1044;%20&#1058;&#1256;&#1042;%20&#1054;&#1056;&#1054;&#1053;%20&#1057;&#1059;&#1059;&#1062;&#1046;&#1059;&#1059;&#1051;&#1040;&#1061;%20&#1058;&#1256;&#1057;&#1256;&#1051;/002.%20PROJECT%20MANAGEMENT/06.%20Schedules/04%20Time%20impact%20analysis/&#1041;&#1199;&#1093;%20&#1041;&#1072;&#1075;&#1094;%20-%20&#1058;&#1257;&#1083;&#1257;&#1074;&#1083;&#1257;&#1075;&#1257;&#1257;%20&#1075;&#1199;&#1081;&#1094;&#1101;&#1090;&#1075;&#1101;&#1083;%20&#1093;&#1086;&#1094;&#1088;&#1086;&#1083;&#1090;%20&#1040;&#1078;&#1080;&#1083;&#1073;&#1072;&#1088;%20&#1090;&#1257;&#1089;&#1074;&#1080;&#1081;&#1085;%20&#1079;&#1072;&#1076;&#1072;&#1088;&#1075;&#1072;&#1072;&#1085;&#1080;&#1081;%20&#1076;&#1072;&#1075;&#1091;&#1091;%20last%20-%20Copy.xlsm?BD2E00E9" TargetMode="External"/><Relationship Id="rId1" Type="http://schemas.openxmlformats.org/officeDocument/2006/relationships/externalLinkPath" Target="file:///\\BD2E00E9\&#1041;&#1199;&#1093;%20&#1041;&#1072;&#1075;&#1094;%20-%20&#1058;&#1257;&#1083;&#1257;&#1074;&#1083;&#1257;&#1075;&#1257;&#1257;%20&#1075;&#1199;&#1081;&#1094;&#1101;&#1090;&#1075;&#1101;&#1083;%20&#1093;&#1086;&#1094;&#1088;&#1086;&#1083;&#1090;%20&#1040;&#1078;&#1080;&#1083;&#1073;&#1072;&#1088;%20&#1090;&#1257;&#1089;&#1074;&#1080;&#1081;&#1085;%20&#1079;&#1072;&#1076;&#1072;&#1088;&#1075;&#1072;&#1072;&#1085;&#1080;&#1081;%20&#1076;&#1072;&#1075;&#1091;&#1091;%20last%20-%20Copy.xlsm" TargetMode="External"/><Relationship Id="rId4" Type="http://schemas.openxmlformats.org/officeDocument/2006/relationships/externalLinkPath" Target="/personal/selbepdc_selbecity_mn/Documents/&#1057;&#1069;&#1051;&#1041;&#1069;%20&#1044;&#1069;&#1044;%20&#1058;&#1256;&#1042;%20&#1054;&#1056;&#1054;&#1053;%20&#1057;&#1059;&#1059;&#1062;&#1046;&#1059;&#1059;&#1051;&#1040;&#1061;%20&#1058;&#1256;&#1057;&#1256;&#1051;/002.%20PROJECT%20MANAGEMENT/06.%20Schedules/04%20Time%20impact%20analysis/&#1041;&#1199;&#1093;%20&#1041;&#1072;&#1075;&#1094;%20-%20&#1058;&#1257;&#1083;&#1257;&#1074;&#1083;&#1257;&#1075;&#1257;&#1257;%20&#1075;&#1199;&#1081;&#1094;&#1101;&#1090;&#1075;&#1101;&#1083;%20&#1093;&#1086;&#1094;&#1088;&#1086;&#1083;&#1090;%20&#1040;&#1078;&#1080;&#1083;&#1073;&#1072;&#1088;%20&#1090;&#1257;&#1089;&#1074;&#1080;&#1081;&#1085;%20&#1079;&#1072;&#1076;&#1072;&#1088;&#1075;&#1072;&#1072;&#1085;&#1080;&#1081;%20&#1076;&#1072;&#1075;&#1091;&#1091;%20last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OneDrive%20-%20Selbe%2020-minute%20city%20corporation%20LLC/Desktop/&#1043;&#1101;&#1088;&#1101;&#1101;%20&#1076;&#1088;&#1072;&#1092;&#1090;/&#1041;&#1072;&#1075;&#1094;%201%20&#1061;&#1103;&#1090;&#1072;&#1076;&#1099;&#1085;%202%20&#1076;&#1072;&#1093;&#1100;%20&#1084;&#1077;&#1090;&#1072;&#1083;&#1083;&#1072;/&#1041;&#1072;&#1075;&#1094;%201%20&#1043;&#1101;&#1088;&#1101;&#1101;/&#1058;&#1257;&#1089;&#1257;&#1074;%20&#1052;&#1072;&#1089;&#1090;&#1077;&#1088;%20&#1092;&#1086;&#1088;&#1084;&#1072;&#1090;/masterform-Niit-87.xlsx" TargetMode="External"/><Relationship Id="rId1" Type="http://schemas.openxmlformats.org/officeDocument/2006/relationships/externalLinkPath" Target="/Users/User/OneDrive%20-%20Selbe%2020-minute%20city%20corporation%20LLC/Desktop/&#1043;&#1101;&#1088;&#1101;&#1101;%20&#1076;&#1088;&#1072;&#1092;&#1090;/&#1041;&#1072;&#1075;&#1094;%201%20&#1061;&#1103;&#1090;&#1072;&#1076;&#1099;&#1085;%202%20&#1076;&#1072;&#1093;&#1100;%20&#1084;&#1077;&#1090;&#1072;&#1083;&#1083;&#1072;/&#1041;&#1072;&#1075;&#1094;%201%20&#1043;&#1101;&#1088;&#1101;&#1101;/&#1058;&#1257;&#1089;&#1257;&#1074;%20&#1052;&#1072;&#1089;&#1090;&#1077;&#1088;%20&#1092;&#1086;&#1088;&#1084;&#1072;&#1090;/masterform-Niit-8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OneDrive%20-%20Selbe%2020-minute%20city%20corporation%20LLC/Desktop/&#1043;&#1101;&#1088;&#1101;&#1101;%20&#1076;&#1088;&#1072;&#1092;&#1090;/&#1041;&#1072;&#1075;&#1094;%201%20&#1061;&#1103;&#1090;&#1072;&#1076;&#1099;&#1085;%202%20&#1076;&#1072;&#1093;&#1100;%20&#1084;&#1077;&#1090;&#1072;&#1083;&#1083;&#1072;/&#1041;&#1072;&#1075;&#1094;%201%20&#1043;&#1101;&#1088;&#1101;&#1101;/&#1058;&#1257;&#1089;&#1257;&#1074;%20&#1052;&#1072;&#1089;&#1090;&#1077;&#1088;%20&#1092;&#1086;&#1088;&#1084;&#1072;&#1090;/tovchoo-87-.....654.0%20bolgoson_reviewed%20by%20BT.xlsx" TargetMode="External"/><Relationship Id="rId1" Type="http://schemas.microsoft.com/office/2019/04/relationships/externalLinkLongPath" Target="/Users/User/OneDrive%20-%20Selbe%2020-minute%20city%20corporation%20LLC/Desktop/&#1043;&#1101;&#1088;&#1101;&#1101;%20&#1076;&#1088;&#1072;&#1092;&#1090;/&#1041;&#1072;&#1075;&#1094;%201%20&#1061;&#1103;&#1090;&#1072;&#1076;&#1099;&#1085;%202%20&#1076;&#1072;&#1093;&#1100;%20&#1084;&#1077;&#1090;&#1072;&#1083;&#1083;&#1072;/&#1041;&#1072;&#1075;&#1094;%201%20&#1043;&#1101;&#1088;&#1101;&#1101;/&#1058;&#1257;&#1089;&#1257;&#1074;%20&#1052;&#1072;&#1089;&#1090;&#1077;&#1088;%20&#1092;&#1086;&#1088;&#1084;&#1072;&#1090;/tovchoo-87-.....654.0%20bolgoson_reviewed%20by%20B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Нэгтгэл"/>
      <sheetName val="Дулаан авах блокууд"/>
      <sheetName val="Газар чөлөөлөлт статус нэгтгэл"/>
      <sheetName val="S curve"/>
      <sheetName val="Level 4"/>
      <sheetName val="БАГЦ-4-1 2025-12-31"/>
      <sheetName val="БАГЦ-4-1 2025-12-31 "/>
      <sheetName val="БАГЦ-4-1 2026"/>
      <sheetName val="БАГЦ-1"/>
      <sheetName val="БАГЦ-2"/>
      <sheetName val="БАГЦ-4-1 2027"/>
      <sheetName val="Багц 1 Гүйцэтгэл"/>
      <sheetName val="Багц 2 Гүйцэтгэл"/>
      <sheetName val="Багц 3.1 Гүйцэтгэл"/>
      <sheetName val="Багц 3.2 Гүйцэтгэл"/>
      <sheetName val="Багц 3.3 Гүйцэтгэл"/>
      <sheetName val="Багц 4.1 Гүйцэтгэл"/>
      <sheetName val="Багц 4.2 Гүйцэтгэл"/>
      <sheetName val="Sheet1"/>
    </sheetNames>
    <sheetDataSet>
      <sheetData sheetId="0">
        <row r="10">
          <cell r="E10">
            <v>1.0000000000000004</v>
          </cell>
          <cell r="G10">
            <v>1.0000000000000004</v>
          </cell>
          <cell r="I10">
            <v>0.71919351890725702</v>
          </cell>
        </row>
        <row r="32">
          <cell r="E32">
            <v>1</v>
          </cell>
          <cell r="G32">
            <v>1</v>
          </cell>
          <cell r="I32">
            <v>0.72317710212433761</v>
          </cell>
        </row>
        <row r="54">
          <cell r="E54">
            <v>0.9799389525213027</v>
          </cell>
          <cell r="G54">
            <v>0.9799389525213027</v>
          </cell>
          <cell r="I54">
            <v>0.72317710212433761</v>
          </cell>
        </row>
        <row r="76">
          <cell r="E76">
            <v>0.9799389525213027</v>
          </cell>
          <cell r="G76">
            <v>0.9799389525213027</v>
          </cell>
          <cell r="I76">
            <v>0.71919351890725669</v>
          </cell>
        </row>
        <row r="98">
          <cell r="E98">
            <v>0.9799389525213027</v>
          </cell>
          <cell r="G98">
            <v>0.9799389525213027</v>
          </cell>
          <cell r="I98">
            <v>0.70698145107753552</v>
          </cell>
        </row>
        <row r="120">
          <cell r="E120">
            <v>1</v>
          </cell>
          <cell r="G120">
            <v>1</v>
          </cell>
          <cell r="I120">
            <v>0.70339578983058637</v>
          </cell>
        </row>
        <row r="142">
          <cell r="E142">
            <v>0.9799389525213027</v>
          </cell>
          <cell r="G142">
            <v>0.75769016709376713</v>
          </cell>
          <cell r="I142">
            <v>0.41526732548115008</v>
          </cell>
        </row>
        <row r="164">
          <cell r="E164">
            <v>1</v>
          </cell>
          <cell r="G164">
            <v>0.5269310503553809</v>
          </cell>
          <cell r="I164">
            <v>0.41526732548115008</v>
          </cell>
        </row>
        <row r="186">
          <cell r="E186">
            <v>1</v>
          </cell>
          <cell r="G186">
            <v>1</v>
          </cell>
          <cell r="I186">
            <v>0.74180660496582518</v>
          </cell>
        </row>
        <row r="208">
          <cell r="E208">
            <v>0.9799389525213027</v>
          </cell>
          <cell r="G208">
            <v>0.9799389525213027</v>
          </cell>
          <cell r="I208">
            <v>0.74180660496582518</v>
          </cell>
        </row>
        <row r="230">
          <cell r="E230">
            <v>1</v>
          </cell>
          <cell r="G230">
            <v>1</v>
          </cell>
          <cell r="I230">
            <v>0.73021669436171366</v>
          </cell>
        </row>
        <row r="252">
          <cell r="E252">
            <v>0.9799389525213027</v>
          </cell>
          <cell r="G252">
            <v>0.9799389525213027</v>
          </cell>
          <cell r="I252">
            <v>0.73021669436171366</v>
          </cell>
        </row>
        <row r="274">
          <cell r="E274">
            <v>0.91344568825923989</v>
          </cell>
          <cell r="G274">
            <v>0.91344568825923989</v>
          </cell>
          <cell r="I274">
            <v>0.86426124578348662</v>
          </cell>
        </row>
        <row r="296">
          <cell r="E296">
            <v>1</v>
          </cell>
          <cell r="G296">
            <v>1</v>
          </cell>
          <cell r="I296">
            <v>0.90227270762404965</v>
          </cell>
        </row>
        <row r="318">
          <cell r="E318">
            <v>0.91344568825923989</v>
          </cell>
          <cell r="G318">
            <v>0.77445210232281558</v>
          </cell>
          <cell r="I318">
            <v>0.41267318560972394</v>
          </cell>
        </row>
        <row r="340">
          <cell r="E340">
            <v>1</v>
          </cell>
          <cell r="G340">
            <v>1</v>
          </cell>
          <cell r="I340">
            <v>0.90227270762404965</v>
          </cell>
        </row>
        <row r="362">
          <cell r="E362">
            <v>1</v>
          </cell>
          <cell r="G362">
            <v>1</v>
          </cell>
          <cell r="I362">
            <v>0.76399372369137475</v>
          </cell>
        </row>
        <row r="384">
          <cell r="E384">
            <v>0.91344568825923989</v>
          </cell>
          <cell r="G384">
            <v>0.91344568825923989</v>
          </cell>
          <cell r="I384">
            <v>0.76399372369137475</v>
          </cell>
        </row>
        <row r="406">
          <cell r="E406">
            <v>1</v>
          </cell>
          <cell r="G406">
            <v>1</v>
          </cell>
          <cell r="I406">
            <v>0.76853899528783909</v>
          </cell>
        </row>
        <row r="428">
          <cell r="E428">
            <v>0.8790065790670496</v>
          </cell>
          <cell r="G428">
            <v>0.8790065790670496</v>
          </cell>
          <cell r="I428">
            <v>0.76853899528783909</v>
          </cell>
        </row>
        <row r="457">
          <cell r="E457">
            <v>0.86255037657827538</v>
          </cell>
          <cell r="G457">
            <v>0.86255037657827538</v>
          </cell>
          <cell r="I457">
            <v>0.86176698489690284</v>
          </cell>
        </row>
        <row r="479">
          <cell r="E479">
            <v>0.85338706835016032</v>
          </cell>
          <cell r="G479">
            <v>0.85338706835016032</v>
          </cell>
          <cell r="I479">
            <v>0.81074289968853719</v>
          </cell>
        </row>
        <row r="501">
          <cell r="E501">
            <v>0.86742550960118725</v>
          </cell>
          <cell r="G501">
            <v>0.86742550960118725</v>
          </cell>
          <cell r="I501">
            <v>0.80199604067331809</v>
          </cell>
        </row>
        <row r="523">
          <cell r="E523">
            <v>0.83023654316206608</v>
          </cell>
          <cell r="G523">
            <v>0.83023654316206608</v>
          </cell>
          <cell r="I523">
            <v>0.79125870344867799</v>
          </cell>
        </row>
        <row r="545">
          <cell r="E545">
            <v>0.83023654316206608</v>
          </cell>
          <cell r="G545">
            <v>0.83023654316206608</v>
          </cell>
          <cell r="I545">
            <v>0.79125870344867799</v>
          </cell>
        </row>
        <row r="567">
          <cell r="E567">
            <v>0.85338706835016032</v>
          </cell>
          <cell r="G567">
            <v>0.85338706835016032</v>
          </cell>
          <cell r="I567">
            <v>0.87799067293113597</v>
          </cell>
        </row>
        <row r="589">
          <cell r="E589">
            <v>0.85338706835016032</v>
          </cell>
          <cell r="G589">
            <v>0.85338706835016032</v>
          </cell>
          <cell r="I589">
            <v>0.83360821497836379</v>
          </cell>
        </row>
        <row r="611">
          <cell r="E611">
            <v>0.85338706835016032</v>
          </cell>
          <cell r="G611">
            <v>0.85338706835016032</v>
          </cell>
          <cell r="I611">
            <v>0.78316929402737478</v>
          </cell>
        </row>
        <row r="633">
          <cell r="E633">
            <v>0.85338706835016032</v>
          </cell>
          <cell r="G633">
            <v>0.85338706835016032</v>
          </cell>
          <cell r="I633">
            <v>0.83360821497836379</v>
          </cell>
        </row>
        <row r="655">
          <cell r="E655">
            <v>0.85337899870350209</v>
          </cell>
          <cell r="G655">
            <v>0.85337899870350209</v>
          </cell>
          <cell r="I655">
            <v>0.78316929402737478</v>
          </cell>
        </row>
        <row r="677">
          <cell r="E677">
            <v>0.85337899870350209</v>
          </cell>
          <cell r="G677">
            <v>0.85337899870350209</v>
          </cell>
          <cell r="I677">
            <v>0.80847075231264365</v>
          </cell>
        </row>
        <row r="699">
          <cell r="E699">
            <v>0.85338706835016032</v>
          </cell>
          <cell r="G699">
            <v>0.85338706835016032</v>
          </cell>
          <cell r="I699">
            <v>0.74972435760844935</v>
          </cell>
        </row>
        <row r="721">
          <cell r="E721">
            <v>0.82131548955175782</v>
          </cell>
          <cell r="G721">
            <v>0.82131548955175782</v>
          </cell>
          <cell r="I721">
            <v>0.51776815256306497</v>
          </cell>
        </row>
        <row r="743">
          <cell r="E743">
            <v>0.82131548955175782</v>
          </cell>
          <cell r="G743">
            <v>0.82131548955175782</v>
          </cell>
          <cell r="I743">
            <v>0.51776815256306497</v>
          </cell>
        </row>
        <row r="765">
          <cell r="E765">
            <v>0.82131548955175782</v>
          </cell>
          <cell r="G765">
            <v>0.82131548955175782</v>
          </cell>
          <cell r="I765">
            <v>0.74980773891765873</v>
          </cell>
        </row>
        <row r="787">
          <cell r="E787">
            <v>0.82131548955175782</v>
          </cell>
          <cell r="G787">
            <v>0.82131548955175782</v>
          </cell>
          <cell r="I787">
            <v>0.74980773891765873</v>
          </cell>
        </row>
        <row r="809">
          <cell r="E809">
            <v>0.85185985031214118</v>
          </cell>
          <cell r="G809">
            <v>0.51976725645819233</v>
          </cell>
          <cell r="I809">
            <v>0.51776815256306497</v>
          </cell>
        </row>
        <row r="831">
          <cell r="E831">
            <v>0.85185985031214118</v>
          </cell>
          <cell r="G831">
            <v>0.85185985031214118</v>
          </cell>
          <cell r="I831">
            <v>0.51776815256306497</v>
          </cell>
        </row>
        <row r="853">
          <cell r="E853">
            <v>0.85185985031214118</v>
          </cell>
          <cell r="G853">
            <v>0.85185985031214118</v>
          </cell>
          <cell r="I853">
            <v>0.51776815256306497</v>
          </cell>
        </row>
        <row r="875">
          <cell r="E875">
            <v>0.86742550960118725</v>
          </cell>
          <cell r="G875">
            <v>0.86742550960118725</v>
          </cell>
          <cell r="I875">
            <v>0.80199604067331809</v>
          </cell>
        </row>
        <row r="897">
          <cell r="E897">
            <v>0.8685683041132779</v>
          </cell>
          <cell r="G897">
            <v>0.8685683041132779</v>
          </cell>
          <cell r="I897">
            <v>0.8124422676194677</v>
          </cell>
        </row>
        <row r="919">
          <cell r="E919">
            <v>0.8685683041132779</v>
          </cell>
          <cell r="G919">
            <v>0.8685683041132779</v>
          </cell>
          <cell r="I919">
            <v>0.79704727158879818</v>
          </cell>
        </row>
        <row r="941">
          <cell r="E941">
            <v>0.83155099873406546</v>
          </cell>
          <cell r="G941">
            <v>0.83155099873406546</v>
          </cell>
          <cell r="I941">
            <v>0.82077449559573556</v>
          </cell>
        </row>
        <row r="963">
          <cell r="E963">
            <v>0.8315551550743161</v>
          </cell>
          <cell r="G963">
            <v>0.8315551550743161</v>
          </cell>
          <cell r="I963">
            <v>0.82077119969379608</v>
          </cell>
        </row>
        <row r="985">
          <cell r="E985">
            <v>0.8714499867672415</v>
          </cell>
          <cell r="G985">
            <v>0.8714499867672415</v>
          </cell>
          <cell r="I985">
            <v>0.80588097298862904</v>
          </cell>
        </row>
        <row r="1007">
          <cell r="E1007">
            <v>0.8714499867672415</v>
          </cell>
          <cell r="G1007">
            <v>0.8714499867672415</v>
          </cell>
          <cell r="I1007">
            <v>0.80588097298862904</v>
          </cell>
        </row>
        <row r="1036">
          <cell r="E1036">
            <v>0.85019708914102221</v>
          </cell>
          <cell r="G1036">
            <v>6.1206304809320849E-2</v>
          </cell>
          <cell r="I1036">
            <v>0.7857721850067797</v>
          </cell>
        </row>
        <row r="1058">
          <cell r="E1058">
            <v>0.85019708914102221</v>
          </cell>
          <cell r="G1058">
            <v>6.1206304809320849E-2</v>
          </cell>
          <cell r="I1058">
            <v>0.33333333333333331</v>
          </cell>
        </row>
        <row r="1080">
          <cell r="E1080">
            <v>0.85019708914102221</v>
          </cell>
          <cell r="G1080">
            <v>6.1206304809320849E-2</v>
          </cell>
          <cell r="I1080">
            <v>0.33333333333333331</v>
          </cell>
        </row>
        <row r="1102">
          <cell r="E1102">
            <v>0.85019708914102221</v>
          </cell>
          <cell r="G1102">
            <v>6.1206304809320849E-2</v>
          </cell>
          <cell r="I1102">
            <v>0.33333333333333331</v>
          </cell>
        </row>
        <row r="1124">
          <cell r="E1124">
            <v>0.68706671741686576</v>
          </cell>
          <cell r="G1124">
            <v>1.2772497049112947E-2</v>
          </cell>
          <cell r="I1124">
            <v>0.33333333333333331</v>
          </cell>
        </row>
        <row r="1146">
          <cell r="E1146">
            <v>0.68706671741686576</v>
          </cell>
          <cell r="G1146">
            <v>1.2772497049112947E-2</v>
          </cell>
          <cell r="I1146">
            <v>0.33333333333333331</v>
          </cell>
        </row>
        <row r="1168">
          <cell r="E1168">
            <v>0.68706671741686576</v>
          </cell>
          <cell r="G1168">
            <v>1.2772497049112947E-2</v>
          </cell>
          <cell r="I1168">
            <v>0.33333333333333331</v>
          </cell>
        </row>
        <row r="1190">
          <cell r="E1190">
            <v>0.68706671741686576</v>
          </cell>
          <cell r="G1190">
            <v>1.2772497049112947E-2</v>
          </cell>
          <cell r="I1190">
            <v>0.33333333333333331</v>
          </cell>
        </row>
        <row r="1212">
          <cell r="E1212">
            <v>0.85019708914102221</v>
          </cell>
          <cell r="G1212">
            <v>6.1206304809320849E-2</v>
          </cell>
          <cell r="I1212">
            <v>0.33333333333333331</v>
          </cell>
        </row>
        <row r="1234">
          <cell r="E1234">
            <v>0.85019708914102221</v>
          </cell>
          <cell r="G1234">
            <v>6.768774301926625E-2</v>
          </cell>
          <cell r="I1234">
            <v>0.33333333333333331</v>
          </cell>
        </row>
        <row r="1256">
          <cell r="E1256">
            <v>0.85019708914102221</v>
          </cell>
          <cell r="G1256">
            <v>6.768774301926625E-2</v>
          </cell>
          <cell r="I1256">
            <v>0.33333333333333331</v>
          </cell>
        </row>
        <row r="1285">
          <cell r="E1285">
            <v>0.78039000563607053</v>
          </cell>
          <cell r="G1285">
            <v>0</v>
          </cell>
          <cell r="I1285">
            <v>0.2572732719068917</v>
          </cell>
        </row>
        <row r="1307">
          <cell r="E1307">
            <v>0.78039000563607053</v>
          </cell>
          <cell r="G1307">
            <v>0.78039000563607053</v>
          </cell>
          <cell r="I1307">
            <v>0.66727498818498221</v>
          </cell>
        </row>
        <row r="1329">
          <cell r="E1329">
            <v>0.78039000563607053</v>
          </cell>
          <cell r="G1329">
            <v>0</v>
          </cell>
          <cell r="I1329">
            <v>0.45123826076692553</v>
          </cell>
        </row>
        <row r="1351">
          <cell r="E1351">
            <v>0.78039000563607053</v>
          </cell>
          <cell r="G1351">
            <v>0.78039000563607053</v>
          </cell>
          <cell r="I1351">
            <v>0.7615459288189852</v>
          </cell>
        </row>
        <row r="1373">
          <cell r="E1373">
            <v>0.78039000563607053</v>
          </cell>
          <cell r="G1373">
            <v>0.78039000563607053</v>
          </cell>
          <cell r="I1373">
            <v>0.76216450794848145</v>
          </cell>
        </row>
        <row r="1395">
          <cell r="E1395">
            <v>0.78039000563607053</v>
          </cell>
          <cell r="G1395">
            <v>0.78039000563607053</v>
          </cell>
          <cell r="I1395">
            <v>0.76211519502089631</v>
          </cell>
        </row>
        <row r="1417">
          <cell r="E1417">
            <v>0.78039000563607053</v>
          </cell>
          <cell r="G1417">
            <v>0.78039000563607053</v>
          </cell>
          <cell r="I1417">
            <v>0.76241454265120501</v>
          </cell>
        </row>
        <row r="1439">
          <cell r="E1439">
            <v>0.78039000563607053</v>
          </cell>
          <cell r="G1439">
            <v>0.78039000563607053</v>
          </cell>
          <cell r="I1439">
            <v>0.81409112294012331</v>
          </cell>
        </row>
        <row r="1461">
          <cell r="E1461">
            <v>0.78039000563607053</v>
          </cell>
          <cell r="G1461">
            <v>0.78039000563607053</v>
          </cell>
          <cell r="I1461">
            <v>0.80231308373092125</v>
          </cell>
        </row>
        <row r="1483">
          <cell r="E1483">
            <v>0.78039000563607053</v>
          </cell>
          <cell r="G1483">
            <v>0.78039000563607053</v>
          </cell>
          <cell r="I1483">
            <v>0.80317961808731286</v>
          </cell>
        </row>
        <row r="1505">
          <cell r="E1505">
            <v>0.78039000563607053</v>
          </cell>
          <cell r="G1505">
            <v>0.78039000563607053</v>
          </cell>
          <cell r="I1505">
            <v>0.77426507524440391</v>
          </cell>
        </row>
        <row r="1527">
          <cell r="E1527">
            <v>0.78039000563607053</v>
          </cell>
          <cell r="G1527">
            <v>0.78039000563607053</v>
          </cell>
          <cell r="I1527">
            <v>0.77426507524440391</v>
          </cell>
        </row>
        <row r="1556">
          <cell r="E1556">
            <v>0.90153715638538168</v>
          </cell>
          <cell r="G1556">
            <v>0.90153715638538168</v>
          </cell>
          <cell r="I1556">
            <v>0.7945296052940054</v>
          </cell>
        </row>
        <row r="1578">
          <cell r="E1578">
            <v>0.90153715638538168</v>
          </cell>
          <cell r="G1578">
            <v>0.90153715638538168</v>
          </cell>
          <cell r="I1578">
            <v>0.7945296052940054</v>
          </cell>
        </row>
        <row r="1600">
          <cell r="E1600">
            <v>0.90153715638538168</v>
          </cell>
          <cell r="G1600">
            <v>0.90153715638538168</v>
          </cell>
          <cell r="I1600">
            <v>0.7945296052940054</v>
          </cell>
        </row>
        <row r="1622">
          <cell r="E1622">
            <v>0.90153715638538168</v>
          </cell>
          <cell r="G1622">
            <v>0.90153715638538168</v>
          </cell>
          <cell r="I1622">
            <v>0.7945296052940054</v>
          </cell>
        </row>
        <row r="1644">
          <cell r="E1644">
            <v>0.90153715638538168</v>
          </cell>
          <cell r="G1644">
            <v>0.90153715638538168</v>
          </cell>
          <cell r="I1644">
            <v>0.7945296052940054</v>
          </cell>
        </row>
        <row r="1666">
          <cell r="E1666">
            <v>0.90153715638538168</v>
          </cell>
          <cell r="G1666">
            <v>0.28745437281023661</v>
          </cell>
          <cell r="I1666">
            <v>0.7945296052940054</v>
          </cell>
        </row>
        <row r="1688">
          <cell r="E1688">
            <v>0.90153715638538168</v>
          </cell>
          <cell r="G1688">
            <v>0.90153715638538168</v>
          </cell>
          <cell r="I1688">
            <v>0.7945296052940054</v>
          </cell>
        </row>
        <row r="1710">
          <cell r="E1710">
            <v>0.90153715638538168</v>
          </cell>
          <cell r="G1710">
            <v>0.90153715638538168</v>
          </cell>
          <cell r="I1710">
            <v>0.7945296052940054</v>
          </cell>
        </row>
        <row r="1732">
          <cell r="E1732">
            <v>0.90153715638538168</v>
          </cell>
          <cell r="G1732">
            <v>0</v>
          </cell>
          <cell r="I1732">
            <v>0.7945296052940054</v>
          </cell>
        </row>
        <row r="1754">
          <cell r="E1754">
            <v>0.90153715638538168</v>
          </cell>
          <cell r="G1754">
            <v>0</v>
          </cell>
          <cell r="I1754">
            <v>0.7945296052940054</v>
          </cell>
        </row>
        <row r="1776">
          <cell r="E1776">
            <v>0.90153715638538168</v>
          </cell>
          <cell r="G1776">
            <v>0.90153715638538168</v>
          </cell>
          <cell r="I1776">
            <v>0.7945296052940054</v>
          </cell>
        </row>
        <row r="1798">
          <cell r="E1798">
            <v>0.90153715638538168</v>
          </cell>
          <cell r="G1798">
            <v>0.90153715638538168</v>
          </cell>
          <cell r="I1798">
            <v>0.7945296052940054</v>
          </cell>
        </row>
        <row r="1820">
          <cell r="E1820">
            <v>0.90153715638538168</v>
          </cell>
          <cell r="G1820">
            <v>0.90153715638538168</v>
          </cell>
          <cell r="I1820">
            <v>0.7945296052940054</v>
          </cell>
        </row>
        <row r="1842">
          <cell r="E1842">
            <v>0.90153715638538168</v>
          </cell>
          <cell r="G1842">
            <v>0.90153715638538168</v>
          </cell>
          <cell r="I1842">
            <v>0.7945296052940054</v>
          </cell>
        </row>
        <row r="1864">
          <cell r="E1864">
            <v>0.7261705053991373</v>
          </cell>
          <cell r="G1864">
            <v>0.66142340848537018</v>
          </cell>
          <cell r="I1864">
            <v>0.72598591806960422</v>
          </cell>
        </row>
        <row r="1871">
          <cell r="E1871">
            <v>0.72426442335586627</v>
          </cell>
          <cell r="G1871">
            <v>0.72426442335586627</v>
          </cell>
          <cell r="I1871">
            <v>0.82238642910257798</v>
          </cell>
        </row>
        <row r="1893">
          <cell r="E1893">
            <v>0.72426442335586627</v>
          </cell>
          <cell r="G1893">
            <v>0.72426442335586627</v>
          </cell>
          <cell r="I1893">
            <v>0.82238642910257798</v>
          </cell>
        </row>
        <row r="1915">
          <cell r="E1915">
            <v>0.72426442335586627</v>
          </cell>
          <cell r="G1915">
            <v>0.72426442335586627</v>
          </cell>
          <cell r="I1915">
            <v>0.82302676994207868</v>
          </cell>
        </row>
        <row r="1937">
          <cell r="E1937">
            <v>0.72426442335586627</v>
          </cell>
          <cell r="G1937">
            <v>0.72426442335586627</v>
          </cell>
          <cell r="I1937">
            <v>0.51339252112546185</v>
          </cell>
        </row>
        <row r="1959">
          <cell r="E1959">
            <v>0.72426442335586627</v>
          </cell>
          <cell r="G1959">
            <v>0.72426442335586627</v>
          </cell>
          <cell r="I1959">
            <v>0.51339252112546185</v>
          </cell>
        </row>
        <row r="1981">
          <cell r="E1981">
            <v>0.72426442335586627</v>
          </cell>
          <cell r="G1981">
            <v>0.3791557677659933</v>
          </cell>
          <cell r="I1981">
            <v>0.51339252112546185</v>
          </cell>
        </row>
        <row r="2003">
          <cell r="E2003">
            <v>0.72426442335586627</v>
          </cell>
          <cell r="G2003">
            <v>0.72426442335586627</v>
          </cell>
          <cell r="I2003">
            <v>0.82302676994207868</v>
          </cell>
        </row>
        <row r="2025">
          <cell r="E2025">
            <v>0.72426442335586627</v>
          </cell>
          <cell r="G2025">
            <v>0.72426442335586627</v>
          </cell>
          <cell r="I2025">
            <v>0.82302676994207868</v>
          </cell>
        </row>
        <row r="2047">
          <cell r="E2047">
            <v>0.72426442335586627</v>
          </cell>
          <cell r="G2047">
            <v>0.37852818391533599</v>
          </cell>
          <cell r="I2047">
            <v>0.51339252112546185</v>
          </cell>
        </row>
        <row r="2069">
          <cell r="E2069">
            <v>0.73188875152895061</v>
          </cell>
          <cell r="G2069">
            <v>0.73188875152895061</v>
          </cell>
          <cell r="I2069">
            <v>0.82238642910257798</v>
          </cell>
        </row>
        <row r="2091">
          <cell r="E2091">
            <v>0.72426442335586627</v>
          </cell>
          <cell r="G2091">
            <v>0.72426442335586627</v>
          </cell>
          <cell r="I2091">
            <v>0.82238642910257798</v>
          </cell>
        </row>
        <row r="2113">
          <cell r="E2113">
            <v>0.72426442335586627</v>
          </cell>
          <cell r="G2113">
            <v>0.72426442335586627</v>
          </cell>
          <cell r="I2113">
            <v>0.82238642910257798</v>
          </cell>
        </row>
        <row r="2135">
          <cell r="E2135">
            <v>0.73188875152895061</v>
          </cell>
          <cell r="G2135">
            <v>0.73188875152895061</v>
          </cell>
          <cell r="I2135">
            <v>0.82238642910257798</v>
          </cell>
        </row>
        <row r="2157">
          <cell r="E2157">
            <v>0.73188875152895061</v>
          </cell>
          <cell r="G2157">
            <v>0.73188875152895061</v>
          </cell>
          <cell r="I2157">
            <v>0.82238642910257798</v>
          </cell>
        </row>
        <row r="2179">
          <cell r="E2179">
            <v>0.72426442335586627</v>
          </cell>
          <cell r="G2179">
            <v>0.3791557677659933</v>
          </cell>
          <cell r="I2179">
            <v>0.51339252112546185</v>
          </cell>
        </row>
        <row r="2201">
          <cell r="E2201">
            <v>0.73188875152895061</v>
          </cell>
          <cell r="G2201">
            <v>0.73188875152895061</v>
          </cell>
          <cell r="I2201">
            <v>0.82302676994207868</v>
          </cell>
        </row>
        <row r="2230">
          <cell r="E2230">
            <v>1</v>
          </cell>
          <cell r="G2230">
            <v>1</v>
          </cell>
          <cell r="I2230">
            <v>0.21003498172398571</v>
          </cell>
        </row>
        <row r="2252">
          <cell r="E2252">
            <v>1</v>
          </cell>
          <cell r="G2252">
            <v>1</v>
          </cell>
          <cell r="I2252">
            <v>0.11664312523615973</v>
          </cell>
        </row>
        <row r="2274">
          <cell r="E2274">
            <v>1</v>
          </cell>
          <cell r="G2274">
            <v>1</v>
          </cell>
          <cell r="I2274">
            <v>0.21028133762253459</v>
          </cell>
        </row>
        <row r="2296">
          <cell r="E2296">
            <v>1</v>
          </cell>
          <cell r="G2296">
            <v>1</v>
          </cell>
          <cell r="I2296">
            <v>0.42568943562856304</v>
          </cell>
        </row>
        <row r="2318">
          <cell r="E2318">
            <v>1</v>
          </cell>
          <cell r="G2318">
            <v>1</v>
          </cell>
          <cell r="I2318">
            <v>0.16328793297564154</v>
          </cell>
        </row>
        <row r="2340">
          <cell r="E2340">
            <v>1</v>
          </cell>
          <cell r="G2340">
            <v>1</v>
          </cell>
          <cell r="I2340">
            <v>0.42561614013963972</v>
          </cell>
        </row>
        <row r="2362">
          <cell r="E2362">
            <v>0.93359156386647357</v>
          </cell>
          <cell r="G2362">
            <v>0.93359156386647357</v>
          </cell>
          <cell r="I2362">
            <v>0.29222268967950921</v>
          </cell>
        </row>
        <row r="2384">
          <cell r="E2384">
            <v>0.90815830702820433</v>
          </cell>
          <cell r="G2384">
            <v>0.90815830702820433</v>
          </cell>
          <cell r="I2384">
            <v>0.27289908166917104</v>
          </cell>
        </row>
        <row r="2406">
          <cell r="E2406">
            <v>0.88001210760850701</v>
          </cell>
          <cell r="G2406">
            <v>0.88001210760850701</v>
          </cell>
          <cell r="I2406">
            <v>0.25415379695149082</v>
          </cell>
        </row>
        <row r="2428">
          <cell r="E2428">
            <v>0.8518659081888097</v>
          </cell>
          <cell r="G2428">
            <v>0.27744110856558724</v>
          </cell>
          <cell r="I2428">
            <v>0.13342120262980511</v>
          </cell>
        </row>
        <row r="2450">
          <cell r="E2450">
            <v>0.82371970876911238</v>
          </cell>
          <cell r="G2450">
            <v>0.24929490914588995</v>
          </cell>
          <cell r="I2450">
            <v>0.13342120262980511</v>
          </cell>
        </row>
        <row r="2472">
          <cell r="E2472">
            <v>0.79557350934941506</v>
          </cell>
          <cell r="G2472">
            <v>0.22114870972619272</v>
          </cell>
          <cell r="I2472">
            <v>7.3820617983888115E-2</v>
          </cell>
        </row>
        <row r="2494">
          <cell r="E2494">
            <v>0.76742730992971819</v>
          </cell>
          <cell r="G2494">
            <v>0.1930025103064954</v>
          </cell>
          <cell r="I2494">
            <v>7.3820617983888115E-2</v>
          </cell>
        </row>
        <row r="2516">
          <cell r="E2516">
            <v>0.73928111051002088</v>
          </cell>
          <cell r="G2516">
            <v>0.16485631088679817</v>
          </cell>
          <cell r="I2516">
            <v>7.3820617983888115E-2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truction-87"/>
      <sheetName val="Heat-87"/>
      <sheetName val="water-87"/>
      <sheetName val="electrical-87"/>
      <sheetName val="telecom-87"/>
    </sheetNames>
    <sheetDataSet>
      <sheetData sheetId="0" refreshError="1">
        <row r="16">
          <cell r="L16">
            <v>2.2770817996807045E-2</v>
          </cell>
        </row>
        <row r="42">
          <cell r="L42">
            <v>6.1210735553209064E-2</v>
          </cell>
        </row>
        <row r="58">
          <cell r="L58">
            <v>0.24247767513678134</v>
          </cell>
        </row>
        <row r="72">
          <cell r="L72">
            <v>6.3205229478744906E-2</v>
          </cell>
        </row>
        <row r="91">
          <cell r="L91">
            <v>4.2582686085125381E-2</v>
          </cell>
        </row>
        <row r="116">
          <cell r="L116">
            <v>0.12716774352278401</v>
          </cell>
        </row>
        <row r="128">
          <cell r="L128">
            <v>0.11641961008529496</v>
          </cell>
        </row>
        <row r="142">
          <cell r="L142">
            <v>1.3681965792231715E-2</v>
          </cell>
        </row>
        <row r="158">
          <cell r="L158">
            <v>5.786109169643297E-2</v>
          </cell>
        </row>
        <row r="198">
          <cell r="L198">
            <v>2.0061047628275569E-2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64">
          <cell r="F64">
            <v>5.4015010687157541E-2</v>
          </cell>
          <cell r="G64">
            <v>7.4079718315516491E-2</v>
          </cell>
          <cell r="H64">
            <v>6.5857853469214273E-2</v>
          </cell>
          <cell r="I64">
            <v>2.3108713090593817E-2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E329-0FE6-48A2-BC9A-175E04766743}">
  <sheetPr>
    <pageSetUpPr fitToPage="1"/>
  </sheetPr>
  <dimension ref="A1:V919"/>
  <sheetViews>
    <sheetView view="pageBreakPreview" zoomScale="70" zoomScaleNormal="85" zoomScaleSheetLayoutView="70" workbookViewId="0">
      <pane xSplit="7" ySplit="6" topLeftCell="H295" activePane="bottomRight" state="frozen"/>
      <selection pane="bottomRight" activeCell="Q528" sqref="Q528"/>
      <selection pane="bottomLeft" activeCell="A7" sqref="A7"/>
      <selection pane="topRight" activeCell="H1" sqref="H1"/>
    </sheetView>
  </sheetViews>
  <sheetFormatPr defaultColWidth="9" defaultRowHeight="15" outlineLevelRow="5"/>
  <cols>
    <col min="1" max="1" width="9" style="141"/>
    <col min="2" max="3" width="9.85546875" style="141" customWidth="1"/>
    <col min="4" max="4" width="37.42578125" style="237" customWidth="1"/>
    <col min="5" max="5" width="19.7109375" style="243" customWidth="1"/>
    <col min="6" max="6" width="14.28515625" style="215" customWidth="1"/>
    <col min="7" max="13" width="13.28515625" style="203" customWidth="1"/>
    <col min="14" max="14" width="16" style="203" customWidth="1"/>
    <col min="15" max="16" width="17.7109375" style="203" customWidth="1"/>
    <col min="17" max="17" width="17.5703125" style="161" customWidth="1"/>
    <col min="18" max="20" width="17.5703125" style="151" customWidth="1"/>
    <col min="21" max="22" width="14.5703125" style="141" customWidth="1"/>
    <col min="23" max="16384" width="9" style="141"/>
  </cols>
  <sheetData>
    <row r="1" spans="1:22" s="10" customFormat="1" ht="24"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U1" s="217" t="s">
        <v>0</v>
      </c>
      <c r="V1" s="219">
        <f>+(G7*Q7+G9*Q9)/15%</f>
        <v>0.60634885491811552</v>
      </c>
    </row>
    <row r="2" spans="1:22" s="10" customFormat="1" ht="20.25" customHeight="1">
      <c r="B2" s="455" t="s">
        <v>1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6"/>
      <c r="U2" s="217" t="s">
        <v>2</v>
      </c>
      <c r="V2" s="219">
        <f>+Q528</f>
        <v>0.23842288966025074</v>
      </c>
    </row>
    <row r="3" spans="1:22" s="10" customFormat="1" ht="12.75" thickBot="1">
      <c r="D3" s="235"/>
      <c r="E3" s="238"/>
      <c r="Q3" s="218"/>
    </row>
    <row r="4" spans="1:22" s="137" customFormat="1" ht="62.25" customHeight="1">
      <c r="B4" s="447" t="s">
        <v>3</v>
      </c>
      <c r="C4" s="449" t="s">
        <v>4</v>
      </c>
      <c r="D4" s="449" t="s">
        <v>5</v>
      </c>
      <c r="E4" s="453" t="s">
        <v>6</v>
      </c>
      <c r="F4" s="438" t="s">
        <v>7</v>
      </c>
      <c r="G4" s="436" t="s">
        <v>8</v>
      </c>
      <c r="H4" s="457" t="s">
        <v>9</v>
      </c>
      <c r="I4" s="458"/>
      <c r="J4" s="457" t="s">
        <v>10</v>
      </c>
      <c r="K4" s="458"/>
      <c r="L4" s="457" t="s">
        <v>11</v>
      </c>
      <c r="M4" s="458"/>
      <c r="N4" s="436" t="s">
        <v>12</v>
      </c>
      <c r="O4" s="436" t="s">
        <v>13</v>
      </c>
      <c r="P4" s="436" t="s">
        <v>14</v>
      </c>
      <c r="Q4" s="451" t="s">
        <v>15</v>
      </c>
      <c r="R4" s="440" t="s">
        <v>16</v>
      </c>
      <c r="S4" s="440" t="s">
        <v>17</v>
      </c>
      <c r="T4" s="440" t="s">
        <v>18</v>
      </c>
      <c r="U4" s="220"/>
    </row>
    <row r="5" spans="1:22" s="140" customFormat="1" ht="13.5" thickBot="1">
      <c r="B5" s="448"/>
      <c r="C5" s="450"/>
      <c r="D5" s="450"/>
      <c r="E5" s="454"/>
      <c r="F5" s="439"/>
      <c r="G5" s="437"/>
      <c r="H5" s="289" t="s">
        <v>19</v>
      </c>
      <c r="I5" s="289" t="s">
        <v>20</v>
      </c>
      <c r="J5" s="289" t="s">
        <v>19</v>
      </c>
      <c r="K5" s="289" t="s">
        <v>20</v>
      </c>
      <c r="L5" s="289" t="s">
        <v>19</v>
      </c>
      <c r="M5" s="289" t="s">
        <v>20</v>
      </c>
      <c r="N5" s="437"/>
      <c r="O5" s="437"/>
      <c r="P5" s="437"/>
      <c r="Q5" s="452"/>
      <c r="R5" s="441"/>
      <c r="S5" s="441"/>
      <c r="T5" s="441"/>
    </row>
    <row r="6" spans="1:22" s="140" customFormat="1" ht="13.5" thickBot="1">
      <c r="B6" s="434" t="s">
        <v>21</v>
      </c>
      <c r="C6" s="435"/>
      <c r="D6" s="435"/>
      <c r="E6" s="307">
        <f>E7+E9+E528</f>
        <v>2671905013189.3301</v>
      </c>
      <c r="F6" s="308"/>
      <c r="G6" s="309">
        <f>+G7+G9+G83+G268+G342+G528+G904+G909</f>
        <v>1</v>
      </c>
      <c r="H6" s="309"/>
      <c r="I6" s="309"/>
      <c r="J6" s="309"/>
      <c r="K6" s="309"/>
      <c r="L6" s="309"/>
      <c r="M6" s="309"/>
      <c r="N6" s="310">
        <f>+$G7*N7+$G9*N9+$G83*N83+$G268*N268+$G342*N342+$G528*N528+$G904*N904+$G909*N909</f>
        <v>0.68721740845431978</v>
      </c>
      <c r="O6" s="310">
        <f>+$G7*O7+$G9*O9+$G83*O83+$G268*O268+$G342*O342+$G528*O528+$G904*O904+$G909*O909</f>
        <v>0.61137166420183431</v>
      </c>
      <c r="P6" s="310">
        <f>+$G7*P7+$G9*P9+$G83*P83+$G268*P268+$G342*P342+$G528*P528+$G904*P904+$G909*P909</f>
        <v>0.57732470485846854</v>
      </c>
      <c r="Q6" s="310">
        <f>+$G7*Q7+$G9*Q9+$G83*Q83+$G268*Q268+$G342*Q342+$G528*Q528+$G904*Q904+$G909*Q909</f>
        <v>0.32246275616452796</v>
      </c>
      <c r="R6" s="311">
        <f>+IF(N6=0,0,$Q6/N6)</f>
        <v>0.46922960943292585</v>
      </c>
      <c r="S6" s="311">
        <f t="shared" ref="S6:T21" si="0">+IF(O6=0,0,$Q6/O6)</f>
        <v>0.52744144854262032</v>
      </c>
      <c r="T6" s="311">
        <f t="shared" si="0"/>
        <v>0.55854660895479935</v>
      </c>
    </row>
    <row r="7" spans="1:22" s="140" customFormat="1" ht="13.5" thickBot="1">
      <c r="B7" s="312">
        <v>1</v>
      </c>
      <c r="C7" s="313"/>
      <c r="D7" s="314" t="s">
        <v>22</v>
      </c>
      <c r="E7" s="315">
        <f>E8</f>
        <v>3553800000</v>
      </c>
      <c r="F7" s="316"/>
      <c r="G7" s="317">
        <v>0.05</v>
      </c>
      <c r="H7" s="317"/>
      <c r="I7" s="317"/>
      <c r="J7" s="317"/>
      <c r="K7" s="317"/>
      <c r="L7" s="317"/>
      <c r="M7" s="317"/>
      <c r="N7" s="318">
        <f>+($F8*N8)</f>
        <v>1</v>
      </c>
      <c r="O7" s="318">
        <f t="shared" ref="O7:Q7" si="1">+($F8*O8)</f>
        <v>1</v>
      </c>
      <c r="P7" s="318">
        <f t="shared" si="1"/>
        <v>1</v>
      </c>
      <c r="Q7" s="319">
        <f t="shared" si="1"/>
        <v>1</v>
      </c>
      <c r="R7" s="320">
        <f>+IF(N7=0,0,$Q7/N7)</f>
        <v>1</v>
      </c>
      <c r="S7" s="320">
        <f t="shared" si="0"/>
        <v>1</v>
      </c>
      <c r="T7" s="320">
        <f t="shared" si="0"/>
        <v>1</v>
      </c>
    </row>
    <row r="8" spans="1:22" s="235" customFormat="1" ht="64.5" hidden="1" outlineLevel="1" thickBot="1">
      <c r="B8" s="303" t="s">
        <v>23</v>
      </c>
      <c r="C8" s="304" t="s">
        <v>24</v>
      </c>
      <c r="D8" s="304" t="s">
        <v>25</v>
      </c>
      <c r="E8" s="302">
        <v>3553800000</v>
      </c>
      <c r="F8" s="305">
        <v>1</v>
      </c>
      <c r="G8" s="305">
        <f>+F8*G7</f>
        <v>0.05</v>
      </c>
      <c r="H8" s="306">
        <v>45390</v>
      </c>
      <c r="I8" s="306">
        <v>45555</v>
      </c>
      <c r="J8" s="306">
        <v>45390</v>
      </c>
      <c r="K8" s="306">
        <v>45657</v>
      </c>
      <c r="L8" s="306">
        <v>45390</v>
      </c>
      <c r="M8" s="306">
        <v>45838</v>
      </c>
      <c r="N8" s="305">
        <v>1</v>
      </c>
      <c r="O8" s="305">
        <v>1</v>
      </c>
      <c r="P8" s="305">
        <v>1</v>
      </c>
      <c r="Q8" s="305">
        <v>1</v>
      </c>
      <c r="R8" s="305">
        <f>+IF(N8=0,0,$Q8/N8)</f>
        <v>1</v>
      </c>
      <c r="S8" s="305">
        <f>+IF(O8=0,0,$Q8/O8)</f>
        <v>1</v>
      </c>
      <c r="T8" s="305">
        <f>+IF(P8=0,0,$Q8/P8)</f>
        <v>1</v>
      </c>
    </row>
    <row r="9" spans="1:22" s="140" customFormat="1" ht="13.5" collapsed="1" thickBot="1">
      <c r="B9" s="312">
        <v>2</v>
      </c>
      <c r="C9" s="313"/>
      <c r="D9" s="314" t="s">
        <v>26</v>
      </c>
      <c r="E9" s="315">
        <f>E10+E61+E62+E70</f>
        <v>8220164289</v>
      </c>
      <c r="F9" s="316"/>
      <c r="G9" s="317">
        <v>0.1</v>
      </c>
      <c r="H9" s="317"/>
      <c r="I9" s="317"/>
      <c r="J9" s="317"/>
      <c r="K9" s="317"/>
      <c r="L9" s="317"/>
      <c r="M9" s="317"/>
      <c r="N9" s="318">
        <f>+($F10*N10+$F61*N61+$F62*N62+$F70*N70)</f>
        <v>0.99460002528587843</v>
      </c>
      <c r="O9" s="318">
        <f>+($F10*O10+$F61*O61+$F62*O62+$F70*O70)</f>
        <v>0.99460002528587843</v>
      </c>
      <c r="P9" s="318">
        <f>+($F10*P10+$F61*P61+$F62*P62+$F70*P70)</f>
        <v>0.99460002528587843</v>
      </c>
      <c r="Q9" s="319">
        <f>+($F10*Q10+$F61*Q61+$F62*Q62)</f>
        <v>0.40952328237717323</v>
      </c>
      <c r="R9" s="320">
        <f t="shared" ref="R9:T24" si="2">+IF(N9=0,0,$Q9/N9)</f>
        <v>0.41174670416830494</v>
      </c>
      <c r="S9" s="320">
        <f t="shared" si="0"/>
        <v>0.41174670416830494</v>
      </c>
      <c r="T9" s="320">
        <f t="shared" si="0"/>
        <v>0.41174670416830494</v>
      </c>
    </row>
    <row r="10" spans="1:22" s="235" customFormat="1" ht="76.5" hidden="1" outlineLevel="1">
      <c r="B10" s="303">
        <v>2.1</v>
      </c>
      <c r="C10" s="304" t="s">
        <v>27</v>
      </c>
      <c r="D10" s="304" t="s">
        <v>28</v>
      </c>
      <c r="E10" s="302">
        <v>533070000</v>
      </c>
      <c r="F10" s="305">
        <f>E10/$E$9</f>
        <v>6.4849068857825598E-2</v>
      </c>
      <c r="G10" s="305">
        <f>+F10*G9</f>
        <v>6.4849068857825605E-3</v>
      </c>
      <c r="H10" s="306">
        <v>45768</v>
      </c>
      <c r="I10" s="306">
        <v>45884</v>
      </c>
      <c r="J10" s="306">
        <v>45768</v>
      </c>
      <c r="K10" s="306">
        <v>45884</v>
      </c>
      <c r="L10" s="306">
        <v>45768</v>
      </c>
      <c r="M10" s="306">
        <v>45884</v>
      </c>
      <c r="N10" s="305">
        <f>$F11*N11+$F19*N19+$F35*N35</f>
        <v>0.91673011179296238</v>
      </c>
      <c r="O10" s="305">
        <f>$F11*O11+$F19*O19+$F35*O35</f>
        <v>0.91673011179296238</v>
      </c>
      <c r="P10" s="305">
        <f>$F11*P11+$F19*P19+$F35*P35</f>
        <v>0.91673011179296238</v>
      </c>
      <c r="Q10" s="305">
        <f>$F11*Q11+$F19*Q19+$F35*Q35</f>
        <v>0.91002471028364429</v>
      </c>
      <c r="R10" s="305">
        <f t="shared" si="2"/>
        <v>0.99268552279121336</v>
      </c>
      <c r="S10" s="305">
        <f t="shared" si="0"/>
        <v>0.99268552279121336</v>
      </c>
      <c r="T10" s="305">
        <f t="shared" si="0"/>
        <v>0.99268552279121336</v>
      </c>
    </row>
    <row r="11" spans="1:22" s="140" customFormat="1" ht="12.75" hidden="1" outlineLevel="2">
      <c r="B11" s="323" t="s">
        <v>29</v>
      </c>
      <c r="C11" s="324" t="s">
        <v>30</v>
      </c>
      <c r="D11" s="324" t="s">
        <v>31</v>
      </c>
      <c r="E11" s="325"/>
      <c r="F11" s="326">
        <f>F719</f>
        <v>0.72937579176373002</v>
      </c>
      <c r="G11" s="326">
        <f>+F11*G9</f>
        <v>7.2937579176373002E-2</v>
      </c>
      <c r="H11" s="327">
        <v>45768</v>
      </c>
      <c r="I11" s="327">
        <v>45884</v>
      </c>
      <c r="J11" s="327">
        <v>45768</v>
      </c>
      <c r="K11" s="327">
        <v>45884</v>
      </c>
      <c r="L11" s="327">
        <v>45768</v>
      </c>
      <c r="M11" s="327">
        <v>45884</v>
      </c>
      <c r="N11" s="326">
        <f>+$F12*N12+$F13*N13+$F14*N14+$F15*N15+$F16*N16+$F17*N17+$F18*N18</f>
        <v>1</v>
      </c>
      <c r="O11" s="326">
        <f t="shared" ref="O11:Q11" si="3">+$F12*O12+$F13*O13+$F14*O14+$F15*O15+$F16*O16+$F17*O17+$F18*O18</f>
        <v>1</v>
      </c>
      <c r="P11" s="326">
        <f t="shared" si="3"/>
        <v>1</v>
      </c>
      <c r="Q11" s="326">
        <f t="shared" si="3"/>
        <v>1</v>
      </c>
      <c r="R11" s="326">
        <f t="shared" si="2"/>
        <v>1</v>
      </c>
      <c r="S11" s="326">
        <f t="shared" si="0"/>
        <v>1</v>
      </c>
      <c r="T11" s="326">
        <f t="shared" si="0"/>
        <v>1</v>
      </c>
    </row>
    <row r="12" spans="1:22" s="140" customFormat="1" ht="25.5" hidden="1" outlineLevel="3">
      <c r="A12" s="216"/>
      <c r="B12" s="291" t="s">
        <v>29</v>
      </c>
      <c r="C12" s="292" t="s">
        <v>32</v>
      </c>
      <c r="D12" s="234" t="s">
        <v>33</v>
      </c>
      <c r="E12" s="240"/>
      <c r="F12" s="223">
        <v>0.20095296602369636</v>
      </c>
      <c r="G12" s="293">
        <f>+F12*G11</f>
        <v>1.4657022870080347E-2</v>
      </c>
      <c r="H12" s="298">
        <v>45768</v>
      </c>
      <c r="I12" s="298">
        <v>45884</v>
      </c>
      <c r="J12" s="298">
        <v>45768</v>
      </c>
      <c r="K12" s="298">
        <v>45884</v>
      </c>
      <c r="L12" s="298">
        <v>45768</v>
      </c>
      <c r="M12" s="298">
        <v>45884</v>
      </c>
      <c r="N12" s="224">
        <v>1</v>
      </c>
      <c r="O12" s="224">
        <v>1</v>
      </c>
      <c r="P12" s="224">
        <v>1</v>
      </c>
      <c r="Q12" s="270">
        <v>1</v>
      </c>
      <c r="R12" s="254">
        <f t="shared" si="2"/>
        <v>1</v>
      </c>
      <c r="S12" s="254">
        <f t="shared" si="0"/>
        <v>1</v>
      </c>
      <c r="T12" s="254">
        <f t="shared" si="0"/>
        <v>1</v>
      </c>
      <c r="U12" s="216"/>
      <c r="V12" s="216"/>
    </row>
    <row r="13" spans="1:22" s="140" customFormat="1" ht="25.5" hidden="1" outlineLevel="3">
      <c r="A13" s="216"/>
      <c r="B13" s="291" t="s">
        <v>34</v>
      </c>
      <c r="C13" s="292" t="s">
        <v>35</v>
      </c>
      <c r="D13" s="234" t="s">
        <v>33</v>
      </c>
      <c r="E13" s="240"/>
      <c r="F13" s="223">
        <v>0.24153553060977856</v>
      </c>
      <c r="G13" s="293">
        <f>+F13*G11</f>
        <v>1.7617016887757988E-2</v>
      </c>
      <c r="H13" s="298">
        <v>45768</v>
      </c>
      <c r="I13" s="298">
        <v>45884</v>
      </c>
      <c r="J13" s="298">
        <v>45768</v>
      </c>
      <c r="K13" s="298">
        <v>45884</v>
      </c>
      <c r="L13" s="298">
        <v>45768</v>
      </c>
      <c r="M13" s="298">
        <v>45884</v>
      </c>
      <c r="N13" s="224">
        <v>1</v>
      </c>
      <c r="O13" s="224">
        <v>1</v>
      </c>
      <c r="P13" s="224">
        <v>1</v>
      </c>
      <c r="Q13" s="270">
        <v>1</v>
      </c>
      <c r="R13" s="254">
        <f t="shared" si="2"/>
        <v>1</v>
      </c>
      <c r="S13" s="254">
        <f t="shared" si="0"/>
        <v>1</v>
      </c>
      <c r="T13" s="254">
        <f t="shared" si="0"/>
        <v>1</v>
      </c>
      <c r="U13" s="216"/>
      <c r="V13" s="216"/>
    </row>
    <row r="14" spans="1:22" s="140" customFormat="1" ht="25.5" hidden="1" outlineLevel="3">
      <c r="A14" s="216"/>
      <c r="B14" s="291" t="s">
        <v>36</v>
      </c>
      <c r="C14" s="292" t="s">
        <v>37</v>
      </c>
      <c r="D14" s="234" t="s">
        <v>33</v>
      </c>
      <c r="E14" s="240"/>
      <c r="F14" s="223">
        <v>9.4678015032851906E-2</v>
      </c>
      <c r="G14" s="293">
        <f>+F14*G11</f>
        <v>6.9055852177204689E-3</v>
      </c>
      <c r="H14" s="298">
        <v>45768</v>
      </c>
      <c r="I14" s="298">
        <v>45884</v>
      </c>
      <c r="J14" s="298">
        <v>45768</v>
      </c>
      <c r="K14" s="298">
        <v>45884</v>
      </c>
      <c r="L14" s="298">
        <v>45768</v>
      </c>
      <c r="M14" s="298">
        <v>45884</v>
      </c>
      <c r="N14" s="224">
        <v>1</v>
      </c>
      <c r="O14" s="224">
        <v>1</v>
      </c>
      <c r="P14" s="224">
        <v>1</v>
      </c>
      <c r="Q14" s="270">
        <v>1</v>
      </c>
      <c r="R14" s="254">
        <f t="shared" si="2"/>
        <v>1</v>
      </c>
      <c r="S14" s="254">
        <f t="shared" si="0"/>
        <v>1</v>
      </c>
      <c r="T14" s="254">
        <f t="shared" si="0"/>
        <v>1</v>
      </c>
      <c r="U14" s="216"/>
      <c r="V14" s="216"/>
    </row>
    <row r="15" spans="1:22" s="140" customFormat="1" ht="25.5" hidden="1" outlineLevel="3">
      <c r="A15" s="216"/>
      <c r="B15" s="291" t="s">
        <v>38</v>
      </c>
      <c r="C15" s="292" t="s">
        <v>39</v>
      </c>
      <c r="D15" s="234" t="s">
        <v>33</v>
      </c>
      <c r="E15" s="240"/>
      <c r="F15" s="223">
        <v>0.10115552784024648</v>
      </c>
      <c r="G15" s="293">
        <f>+F15*G11</f>
        <v>7.378039320975781E-3</v>
      </c>
      <c r="H15" s="298">
        <v>45768</v>
      </c>
      <c r="I15" s="298">
        <v>45884</v>
      </c>
      <c r="J15" s="298">
        <v>45768</v>
      </c>
      <c r="K15" s="298">
        <v>45884</v>
      </c>
      <c r="L15" s="298">
        <v>45768</v>
      </c>
      <c r="M15" s="298">
        <v>45884</v>
      </c>
      <c r="N15" s="224">
        <v>1</v>
      </c>
      <c r="O15" s="224">
        <v>1</v>
      </c>
      <c r="P15" s="224">
        <v>1</v>
      </c>
      <c r="Q15" s="270">
        <v>1</v>
      </c>
      <c r="R15" s="254">
        <f t="shared" si="2"/>
        <v>1</v>
      </c>
      <c r="S15" s="254">
        <f t="shared" si="0"/>
        <v>1</v>
      </c>
      <c r="T15" s="254">
        <f t="shared" si="0"/>
        <v>1</v>
      </c>
      <c r="U15" s="216"/>
      <c r="V15" s="216"/>
    </row>
    <row r="16" spans="1:22" s="140" customFormat="1" ht="25.5" hidden="1" outlineLevel="3">
      <c r="A16" s="216"/>
      <c r="B16" s="291" t="s">
        <v>40</v>
      </c>
      <c r="C16" s="292" t="s">
        <v>41</v>
      </c>
      <c r="D16" s="234" t="s">
        <v>33</v>
      </c>
      <c r="E16" s="240"/>
      <c r="F16" s="223">
        <v>0.11541079389014661</v>
      </c>
      <c r="G16" s="293">
        <f>+F16*G11</f>
        <v>8.4177839171706344E-3</v>
      </c>
      <c r="H16" s="298">
        <v>45768</v>
      </c>
      <c r="I16" s="298">
        <v>45884</v>
      </c>
      <c r="J16" s="298">
        <v>45768</v>
      </c>
      <c r="K16" s="298">
        <v>45884</v>
      </c>
      <c r="L16" s="298">
        <v>45768</v>
      </c>
      <c r="M16" s="298">
        <v>45884</v>
      </c>
      <c r="N16" s="224">
        <v>1</v>
      </c>
      <c r="O16" s="224">
        <v>1</v>
      </c>
      <c r="P16" s="224">
        <v>1</v>
      </c>
      <c r="Q16" s="270">
        <v>1</v>
      </c>
      <c r="R16" s="254">
        <f t="shared" si="2"/>
        <v>1</v>
      </c>
      <c r="S16" s="254">
        <f t="shared" si="0"/>
        <v>1</v>
      </c>
      <c r="T16" s="254">
        <f t="shared" si="0"/>
        <v>1</v>
      </c>
      <c r="U16" s="216"/>
      <c r="V16" s="216"/>
    </row>
    <row r="17" spans="1:22" s="140" customFormat="1" ht="25.5" hidden="1" outlineLevel="3">
      <c r="A17" s="216"/>
      <c r="B17" s="291" t="s">
        <v>42</v>
      </c>
      <c r="C17" s="292" t="s">
        <v>43</v>
      </c>
      <c r="D17" s="234" t="s">
        <v>33</v>
      </c>
      <c r="E17" s="240"/>
      <c r="F17" s="223">
        <v>0.13984312067866289</v>
      </c>
      <c r="G17" s="293">
        <f>+F17*G11</f>
        <v>1.019981868677106E-2</v>
      </c>
      <c r="H17" s="298">
        <v>45768</v>
      </c>
      <c r="I17" s="298">
        <v>45884</v>
      </c>
      <c r="J17" s="298">
        <v>45768</v>
      </c>
      <c r="K17" s="298">
        <v>45884</v>
      </c>
      <c r="L17" s="298">
        <v>45768</v>
      </c>
      <c r="M17" s="298">
        <v>45884</v>
      </c>
      <c r="N17" s="224">
        <v>1</v>
      </c>
      <c r="O17" s="224">
        <v>1</v>
      </c>
      <c r="P17" s="224">
        <v>1</v>
      </c>
      <c r="Q17" s="270">
        <v>1</v>
      </c>
      <c r="R17" s="254">
        <f t="shared" si="2"/>
        <v>1</v>
      </c>
      <c r="S17" s="254">
        <f t="shared" si="0"/>
        <v>1</v>
      </c>
      <c r="T17" s="254">
        <f t="shared" si="0"/>
        <v>1</v>
      </c>
      <c r="U17" s="216"/>
      <c r="V17" s="216"/>
    </row>
    <row r="18" spans="1:22" s="140" customFormat="1" ht="25.5" hidden="1" outlineLevel="3">
      <c r="A18" s="216"/>
      <c r="B18" s="291" t="s">
        <v>44</v>
      </c>
      <c r="C18" s="292" t="s">
        <v>45</v>
      </c>
      <c r="D18" s="234" t="s">
        <v>33</v>
      </c>
      <c r="E18" s="240"/>
      <c r="F18" s="223">
        <v>0.10642404592461722</v>
      </c>
      <c r="G18" s="293">
        <f>+F18*G11</f>
        <v>7.7623122758967251E-3</v>
      </c>
      <c r="H18" s="298">
        <v>45768</v>
      </c>
      <c r="I18" s="298">
        <v>45884</v>
      </c>
      <c r="J18" s="298">
        <v>45768</v>
      </c>
      <c r="K18" s="298">
        <v>45884</v>
      </c>
      <c r="L18" s="298">
        <v>45768</v>
      </c>
      <c r="M18" s="298">
        <v>45884</v>
      </c>
      <c r="N18" s="224">
        <v>1</v>
      </c>
      <c r="O18" s="224">
        <v>1</v>
      </c>
      <c r="P18" s="224">
        <v>1</v>
      </c>
      <c r="Q18" s="270">
        <v>1</v>
      </c>
      <c r="R18" s="254">
        <f t="shared" si="2"/>
        <v>1</v>
      </c>
      <c r="S18" s="254">
        <f t="shared" si="0"/>
        <v>1</v>
      </c>
      <c r="T18" s="254">
        <f t="shared" si="0"/>
        <v>1</v>
      </c>
      <c r="U18" s="216"/>
      <c r="V18" s="216"/>
    </row>
    <row r="19" spans="1:22" s="140" customFormat="1" ht="12.75" hidden="1" outlineLevel="2">
      <c r="B19" s="323" t="s">
        <v>34</v>
      </c>
      <c r="C19" s="324" t="s">
        <v>46</v>
      </c>
      <c r="D19" s="324" t="s">
        <v>47</v>
      </c>
      <c r="E19" s="325"/>
      <c r="F19" s="326">
        <f t="shared" ref="F19:F35" si="4">F842</f>
        <v>3.6449138999404565E-2</v>
      </c>
      <c r="G19" s="326">
        <f>+F19*G9</f>
        <v>3.6449138999404569E-3</v>
      </c>
      <c r="H19" s="327">
        <v>45768</v>
      </c>
      <c r="I19" s="327">
        <v>45884</v>
      </c>
      <c r="J19" s="327">
        <v>45768</v>
      </c>
      <c r="K19" s="327">
        <v>45884</v>
      </c>
      <c r="L19" s="327"/>
      <c r="M19" s="327"/>
      <c r="N19" s="326">
        <f>+SUMPRODUCT($F20:$F34,N20:N34)</f>
        <v>0.53129204676061759</v>
      </c>
      <c r="O19" s="326">
        <f>+SUMPRODUCT($F20:$F34,O20:O34)</f>
        <v>0.53129204676061759</v>
      </c>
      <c r="P19" s="326">
        <f>+SUMPRODUCT($F20:$F34,P20:P34)</f>
        <v>0.53129204676061759</v>
      </c>
      <c r="Q19" s="337">
        <f>+SUMPRODUCT($F20:$F34,Q20:Q34)</f>
        <v>0.9070906193877879</v>
      </c>
      <c r="R19" s="326">
        <f t="shared" si="2"/>
        <v>1.7073295655722334</v>
      </c>
      <c r="S19" s="326">
        <f t="shared" si="0"/>
        <v>1.7073295655722334</v>
      </c>
      <c r="T19" s="326">
        <f t="shared" si="0"/>
        <v>1.7073295655722334</v>
      </c>
    </row>
    <row r="20" spans="1:22" s="140" customFormat="1" ht="12.75" hidden="1" outlineLevel="4">
      <c r="A20" s="216"/>
      <c r="B20" s="255" t="s">
        <v>48</v>
      </c>
      <c r="C20" s="245" t="s">
        <v>49</v>
      </c>
      <c r="D20" s="227" t="s">
        <v>50</v>
      </c>
      <c r="E20" s="241"/>
      <c r="F20" s="228">
        <f t="shared" si="4"/>
        <v>9.2877610796635368E-2</v>
      </c>
      <c r="G20" s="269">
        <f>+F20*G19</f>
        <v>3.3853089458591611E-4</v>
      </c>
      <c r="H20" s="299">
        <v>45768</v>
      </c>
      <c r="I20" s="299">
        <v>45884</v>
      </c>
      <c r="J20" s="299">
        <v>45768</v>
      </c>
      <c r="K20" s="299">
        <v>45884</v>
      </c>
      <c r="L20" s="269"/>
      <c r="M20" s="269"/>
      <c r="N20" s="229">
        <v>1</v>
      </c>
      <c r="O20" s="229">
        <v>1</v>
      </c>
      <c r="P20" s="229">
        <v>1</v>
      </c>
      <c r="Q20" s="272">
        <v>1</v>
      </c>
      <c r="R20" s="256">
        <f t="shared" si="2"/>
        <v>1</v>
      </c>
      <c r="S20" s="256">
        <f t="shared" si="0"/>
        <v>1</v>
      </c>
      <c r="T20" s="256">
        <f t="shared" si="0"/>
        <v>1</v>
      </c>
      <c r="U20" s="216"/>
      <c r="V20" s="216"/>
    </row>
    <row r="21" spans="1:22" s="140" customFormat="1" ht="12.75" hidden="1" outlineLevel="4">
      <c r="A21" s="216"/>
      <c r="B21" s="255" t="s">
        <v>51</v>
      </c>
      <c r="C21" s="245" t="s">
        <v>52</v>
      </c>
      <c r="D21" s="227" t="s">
        <v>53</v>
      </c>
      <c r="E21" s="241"/>
      <c r="F21" s="228">
        <f t="shared" si="4"/>
        <v>5.8105219309829384E-2</v>
      </c>
      <c r="G21" s="269">
        <f>+F21*G19</f>
        <v>2.1178852152148577E-4</v>
      </c>
      <c r="H21" s="299">
        <v>45768</v>
      </c>
      <c r="I21" s="299">
        <v>45884</v>
      </c>
      <c r="J21" s="299">
        <v>45768</v>
      </c>
      <c r="K21" s="299">
        <v>45884</v>
      </c>
      <c r="L21" s="269"/>
      <c r="M21" s="269"/>
      <c r="N21" s="229">
        <v>1</v>
      </c>
      <c r="O21" s="229">
        <v>1</v>
      </c>
      <c r="P21" s="229">
        <v>1</v>
      </c>
      <c r="Q21" s="272">
        <v>1</v>
      </c>
      <c r="R21" s="256">
        <f t="shared" si="2"/>
        <v>1</v>
      </c>
      <c r="S21" s="256">
        <f t="shared" si="0"/>
        <v>1</v>
      </c>
      <c r="T21" s="256">
        <f t="shared" si="0"/>
        <v>1</v>
      </c>
      <c r="U21" s="216"/>
      <c r="V21" s="216"/>
    </row>
    <row r="22" spans="1:22" s="140" customFormat="1" ht="12.75" hidden="1" outlineLevel="4">
      <c r="A22" s="216"/>
      <c r="B22" s="255" t="s">
        <v>54</v>
      </c>
      <c r="C22" s="245" t="s">
        <v>55</v>
      </c>
      <c r="D22" s="227" t="s">
        <v>56</v>
      </c>
      <c r="E22" s="241"/>
      <c r="F22" s="228">
        <f t="shared" si="4"/>
        <v>2.7796911320762424E-2</v>
      </c>
      <c r="G22" s="269">
        <f>+F22*G19</f>
        <v>1.0131734844845921E-4</v>
      </c>
      <c r="H22" s="299">
        <v>45768</v>
      </c>
      <c r="I22" s="299">
        <v>45884</v>
      </c>
      <c r="J22" s="299">
        <v>45768</v>
      </c>
      <c r="K22" s="299">
        <v>45884</v>
      </c>
      <c r="L22" s="269"/>
      <c r="M22" s="269"/>
      <c r="N22" s="229">
        <v>1</v>
      </c>
      <c r="O22" s="229">
        <v>1</v>
      </c>
      <c r="P22" s="229">
        <v>1</v>
      </c>
      <c r="Q22" s="272">
        <v>1</v>
      </c>
      <c r="R22" s="256">
        <f t="shared" si="2"/>
        <v>1</v>
      </c>
      <c r="S22" s="256">
        <f t="shared" si="2"/>
        <v>1</v>
      </c>
      <c r="T22" s="256">
        <f t="shared" si="2"/>
        <v>1</v>
      </c>
      <c r="U22" s="216"/>
      <c r="V22" s="216"/>
    </row>
    <row r="23" spans="1:22" s="140" customFormat="1" ht="12.75" hidden="1" outlineLevel="4">
      <c r="A23" s="216"/>
      <c r="B23" s="255" t="s">
        <v>57</v>
      </c>
      <c r="C23" s="245" t="s">
        <v>58</v>
      </c>
      <c r="D23" s="227" t="s">
        <v>59</v>
      </c>
      <c r="E23" s="241"/>
      <c r="F23" s="228">
        <f t="shared" si="4"/>
        <v>2.9155300375276354E-2</v>
      </c>
      <c r="G23" s="269">
        <f>+F23*G19</f>
        <v>1.06268559594784E-4</v>
      </c>
      <c r="H23" s="299">
        <v>45768</v>
      </c>
      <c r="I23" s="299">
        <v>45884</v>
      </c>
      <c r="J23" s="299">
        <v>45768</v>
      </c>
      <c r="K23" s="299">
        <v>45884</v>
      </c>
      <c r="L23" s="269"/>
      <c r="M23" s="269"/>
      <c r="N23" s="229">
        <v>1</v>
      </c>
      <c r="O23" s="229">
        <v>1</v>
      </c>
      <c r="P23" s="229">
        <v>1</v>
      </c>
      <c r="Q23" s="272">
        <v>1</v>
      </c>
      <c r="R23" s="256">
        <f t="shared" si="2"/>
        <v>1</v>
      </c>
      <c r="S23" s="256">
        <f t="shared" si="2"/>
        <v>1</v>
      </c>
      <c r="T23" s="256">
        <f t="shared" si="2"/>
        <v>1</v>
      </c>
      <c r="U23" s="216"/>
      <c r="V23" s="216"/>
    </row>
    <row r="24" spans="1:22" s="140" customFormat="1" ht="12.75" hidden="1" outlineLevel="4">
      <c r="A24" s="216"/>
      <c r="B24" s="255" t="s">
        <v>60</v>
      </c>
      <c r="C24" s="245" t="s">
        <v>61</v>
      </c>
      <c r="D24" s="227" t="s">
        <v>62</v>
      </c>
      <c r="E24" s="241"/>
      <c r="F24" s="228">
        <f t="shared" si="4"/>
        <v>4.0182801717972776E-2</v>
      </c>
      <c r="G24" s="269">
        <f>+F24*G19</f>
        <v>1.4646285252039023E-4</v>
      </c>
      <c r="H24" s="299">
        <v>45768</v>
      </c>
      <c r="I24" s="299">
        <v>45884</v>
      </c>
      <c r="J24" s="299">
        <v>45768</v>
      </c>
      <c r="K24" s="299">
        <v>45884</v>
      </c>
      <c r="L24" s="269"/>
      <c r="M24" s="269"/>
      <c r="N24" s="229">
        <v>1</v>
      </c>
      <c r="O24" s="229">
        <v>1</v>
      </c>
      <c r="P24" s="229">
        <v>1</v>
      </c>
      <c r="Q24" s="272">
        <v>1</v>
      </c>
      <c r="R24" s="256">
        <f t="shared" si="2"/>
        <v>1</v>
      </c>
      <c r="S24" s="256">
        <f t="shared" si="2"/>
        <v>1</v>
      </c>
      <c r="T24" s="256">
        <f t="shared" si="2"/>
        <v>1</v>
      </c>
      <c r="U24" s="216"/>
      <c r="V24" s="216"/>
    </row>
    <row r="25" spans="1:22" s="140" customFormat="1" ht="12.75" hidden="1" outlineLevel="4">
      <c r="A25" s="216"/>
      <c r="B25" s="255" t="s">
        <v>63</v>
      </c>
      <c r="C25" s="245" t="s">
        <v>64</v>
      </c>
      <c r="D25" s="227" t="s">
        <v>65</v>
      </c>
      <c r="E25" s="241"/>
      <c r="F25" s="228">
        <f t="shared" si="4"/>
        <v>9.8615013818202632E-2</v>
      </c>
      <c r="G25" s="269">
        <f>+F25*G19</f>
        <v>3.5944323460878702E-4</v>
      </c>
      <c r="H25" s="299">
        <v>45768</v>
      </c>
      <c r="I25" s="299">
        <v>45884</v>
      </c>
      <c r="J25" s="299">
        <v>45768</v>
      </c>
      <c r="K25" s="299">
        <v>45884</v>
      </c>
      <c r="L25" s="269"/>
      <c r="M25" s="269"/>
      <c r="N25" s="229">
        <v>1</v>
      </c>
      <c r="O25" s="229">
        <v>1</v>
      </c>
      <c r="P25" s="229">
        <v>1</v>
      </c>
      <c r="Q25" s="272">
        <v>1</v>
      </c>
      <c r="R25" s="256">
        <f t="shared" ref="R25:T56" si="5">+IF(N25=0,0,$Q25/N25)</f>
        <v>1</v>
      </c>
      <c r="S25" s="256">
        <f t="shared" si="5"/>
        <v>1</v>
      </c>
      <c r="T25" s="256">
        <f t="shared" si="5"/>
        <v>1</v>
      </c>
      <c r="U25" s="216"/>
      <c r="V25" s="216"/>
    </row>
    <row r="26" spans="1:22" s="140" customFormat="1" ht="12.75" hidden="1" outlineLevel="4">
      <c r="A26" s="216"/>
      <c r="B26" s="255" t="s">
        <v>66</v>
      </c>
      <c r="C26" s="245" t="s">
        <v>67</v>
      </c>
      <c r="D26" s="227" t="s">
        <v>68</v>
      </c>
      <c r="E26" s="241"/>
      <c r="F26" s="228">
        <f t="shared" si="4"/>
        <v>9.164980880972666E-2</v>
      </c>
      <c r="G26" s="269">
        <f>+F26*G19</f>
        <v>3.3405566205745805E-4</v>
      </c>
      <c r="H26" s="299">
        <v>45768</v>
      </c>
      <c r="I26" s="299">
        <v>45884</v>
      </c>
      <c r="J26" s="299">
        <v>45768</v>
      </c>
      <c r="K26" s="299">
        <v>45884</v>
      </c>
      <c r="L26" s="269"/>
      <c r="M26" s="269"/>
      <c r="N26" s="229">
        <v>1</v>
      </c>
      <c r="O26" s="229">
        <v>1</v>
      </c>
      <c r="P26" s="229">
        <v>1</v>
      </c>
      <c r="Q26" s="272">
        <v>1</v>
      </c>
      <c r="R26" s="256">
        <f t="shared" si="5"/>
        <v>1</v>
      </c>
      <c r="S26" s="256">
        <f t="shared" si="5"/>
        <v>1</v>
      </c>
      <c r="T26" s="256">
        <f t="shared" si="5"/>
        <v>1</v>
      </c>
      <c r="U26" s="216"/>
      <c r="V26" s="216"/>
    </row>
    <row r="27" spans="1:22" s="140" customFormat="1" ht="25.5" hidden="1" outlineLevel="4">
      <c r="A27" s="216"/>
      <c r="B27" s="255" t="s">
        <v>69</v>
      </c>
      <c r="C27" s="245" t="s">
        <v>70</v>
      </c>
      <c r="D27" s="227" t="s">
        <v>71</v>
      </c>
      <c r="E27" s="334"/>
      <c r="F27" s="335">
        <f t="shared" si="4"/>
        <v>9.2909380612212003E-2</v>
      </c>
      <c r="G27" s="269">
        <f>+F27*G19</f>
        <v>3.3864669282830992E-4</v>
      </c>
      <c r="H27" s="299">
        <v>45768</v>
      </c>
      <c r="I27" s="299">
        <v>45884</v>
      </c>
      <c r="J27" s="299">
        <v>45768</v>
      </c>
      <c r="K27" s="299">
        <v>45884</v>
      </c>
      <c r="L27" s="269"/>
      <c r="M27" s="269"/>
      <c r="N27" s="229">
        <v>1</v>
      </c>
      <c r="O27" s="229">
        <v>1</v>
      </c>
      <c r="P27" s="229">
        <v>1</v>
      </c>
      <c r="Q27" s="336">
        <v>0</v>
      </c>
      <c r="R27" s="256">
        <f t="shared" si="5"/>
        <v>0</v>
      </c>
      <c r="S27" s="256">
        <f t="shared" si="5"/>
        <v>0</v>
      </c>
      <c r="T27" s="256">
        <f t="shared" si="5"/>
        <v>0</v>
      </c>
      <c r="U27" s="216"/>
      <c r="V27" s="216"/>
    </row>
    <row r="28" spans="1:22" s="140" customFormat="1" ht="12.75" hidden="1" outlineLevel="4">
      <c r="A28" s="216"/>
      <c r="B28" s="255" t="s">
        <v>72</v>
      </c>
      <c r="C28" s="245" t="s">
        <v>73</v>
      </c>
      <c r="D28" s="227" t="s">
        <v>74</v>
      </c>
      <c r="E28" s="241"/>
      <c r="F28" s="228">
        <f t="shared" si="4"/>
        <v>8.0887028733242702E-2</v>
      </c>
      <c r="G28" s="269">
        <f>+F28*G19</f>
        <v>2.9482625535467944E-4</v>
      </c>
      <c r="H28" s="299">
        <v>45768</v>
      </c>
      <c r="I28" s="299">
        <v>45884</v>
      </c>
      <c r="J28" s="299">
        <v>45768</v>
      </c>
      <c r="K28" s="299">
        <v>45884</v>
      </c>
      <c r="L28" s="269"/>
      <c r="M28" s="269"/>
      <c r="N28" s="229"/>
      <c r="O28" s="229"/>
      <c r="P28" s="229"/>
      <c r="Q28" s="272">
        <v>1</v>
      </c>
      <c r="R28" s="256">
        <f t="shared" si="5"/>
        <v>0</v>
      </c>
      <c r="S28" s="256">
        <f t="shared" si="5"/>
        <v>0</v>
      </c>
      <c r="T28" s="256">
        <f t="shared" si="5"/>
        <v>0</v>
      </c>
      <c r="U28" s="216"/>
      <c r="V28" s="216"/>
    </row>
    <row r="29" spans="1:22" s="140" customFormat="1" ht="12.75" hidden="1" outlineLevel="4">
      <c r="A29" s="216"/>
      <c r="B29" s="255" t="s">
        <v>75</v>
      </c>
      <c r="C29" s="245" t="s">
        <v>76</v>
      </c>
      <c r="D29" s="227" t="s">
        <v>77</v>
      </c>
      <c r="E29" s="241"/>
      <c r="F29" s="228">
        <f t="shared" si="4"/>
        <v>0.11788367881609482</v>
      </c>
      <c r="G29" s="269">
        <f>+F29*G19</f>
        <v>4.2967585949290038E-4</v>
      </c>
      <c r="H29" s="299">
        <v>45768</v>
      </c>
      <c r="I29" s="299">
        <v>45884</v>
      </c>
      <c r="J29" s="299">
        <v>45768</v>
      </c>
      <c r="K29" s="299">
        <v>45884</v>
      </c>
      <c r="L29" s="269"/>
      <c r="M29" s="269"/>
      <c r="N29" s="229"/>
      <c r="O29" s="229"/>
      <c r="P29" s="229"/>
      <c r="Q29" s="272">
        <v>1</v>
      </c>
      <c r="R29" s="256">
        <f t="shared" si="5"/>
        <v>0</v>
      </c>
      <c r="S29" s="256">
        <f t="shared" si="5"/>
        <v>0</v>
      </c>
      <c r="T29" s="256">
        <f t="shared" si="5"/>
        <v>0</v>
      </c>
      <c r="U29" s="216"/>
      <c r="V29" s="216"/>
    </row>
    <row r="30" spans="1:22" s="140" customFormat="1" ht="12.75" hidden="1" outlineLevel="4">
      <c r="A30" s="216"/>
      <c r="B30" s="255" t="s">
        <v>78</v>
      </c>
      <c r="C30" s="245" t="s">
        <v>79</v>
      </c>
      <c r="D30" s="227" t="s">
        <v>80</v>
      </c>
      <c r="E30" s="241"/>
      <c r="F30" s="228">
        <f t="shared" si="4"/>
        <v>4.1046638926131508E-2</v>
      </c>
      <c r="G30" s="269">
        <f>+F30*G19</f>
        <v>1.4961146476769377E-4</v>
      </c>
      <c r="H30" s="299">
        <v>45768</v>
      </c>
      <c r="I30" s="299">
        <v>45884</v>
      </c>
      <c r="J30" s="299">
        <v>45768</v>
      </c>
      <c r="K30" s="299">
        <v>45884</v>
      </c>
      <c r="L30" s="269"/>
      <c r="M30" s="269"/>
      <c r="N30" s="229"/>
      <c r="O30" s="229"/>
      <c r="P30" s="229"/>
      <c r="Q30" s="272">
        <v>1</v>
      </c>
      <c r="R30" s="256">
        <f t="shared" si="5"/>
        <v>0</v>
      </c>
      <c r="S30" s="256">
        <f t="shared" si="5"/>
        <v>0</v>
      </c>
      <c r="T30" s="256">
        <f t="shared" si="5"/>
        <v>0</v>
      </c>
      <c r="U30" s="216"/>
      <c r="V30" s="216"/>
    </row>
    <row r="31" spans="1:22" s="140" customFormat="1" ht="12.75" hidden="1" outlineLevel="4">
      <c r="A31" s="216"/>
      <c r="B31" s="255" t="s">
        <v>81</v>
      </c>
      <c r="C31" s="245" t="s">
        <v>82</v>
      </c>
      <c r="D31" s="227" t="s">
        <v>83</v>
      </c>
      <c r="E31" s="241"/>
      <c r="F31" s="228">
        <f t="shared" si="4"/>
        <v>5.3741978219236555E-2</v>
      </c>
      <c r="G31" s="269">
        <f>+F31*G19</f>
        <v>1.9588488342159259E-4</v>
      </c>
      <c r="H31" s="299">
        <v>45768</v>
      </c>
      <c r="I31" s="299">
        <v>45884</v>
      </c>
      <c r="J31" s="299">
        <v>45768</v>
      </c>
      <c r="K31" s="299">
        <v>45884</v>
      </c>
      <c r="L31" s="269"/>
      <c r="M31" s="269"/>
      <c r="N31" s="229"/>
      <c r="O31" s="229"/>
      <c r="P31" s="229"/>
      <c r="Q31" s="272">
        <v>1</v>
      </c>
      <c r="R31" s="256">
        <f t="shared" si="5"/>
        <v>0</v>
      </c>
      <c r="S31" s="256">
        <f t="shared" si="5"/>
        <v>0</v>
      </c>
      <c r="T31" s="256">
        <f t="shared" si="5"/>
        <v>0</v>
      </c>
      <c r="U31" s="216"/>
      <c r="V31" s="216"/>
    </row>
    <row r="32" spans="1:22" s="140" customFormat="1" ht="12.75" hidden="1" outlineLevel="4">
      <c r="A32" s="216"/>
      <c r="B32" s="255" t="s">
        <v>84</v>
      </c>
      <c r="C32" s="245" t="s">
        <v>85</v>
      </c>
      <c r="D32" s="227" t="s">
        <v>86</v>
      </c>
      <c r="E32" s="241"/>
      <c r="F32" s="228">
        <f t="shared" si="4"/>
        <v>5.8057394561842592E-2</v>
      </c>
      <c r="G32" s="269">
        <f>+F32*G19</f>
        <v>2.1161420443278756E-4</v>
      </c>
      <c r="H32" s="299">
        <v>45768</v>
      </c>
      <c r="I32" s="299">
        <v>45884</v>
      </c>
      <c r="J32" s="299">
        <v>45768</v>
      </c>
      <c r="K32" s="299">
        <v>45884</v>
      </c>
      <c r="L32" s="269"/>
      <c r="M32" s="269"/>
      <c r="N32" s="229"/>
      <c r="O32" s="229"/>
      <c r="P32" s="229"/>
      <c r="Q32" s="272">
        <v>1</v>
      </c>
      <c r="R32" s="256">
        <f t="shared" si="5"/>
        <v>0</v>
      </c>
      <c r="S32" s="256">
        <f t="shared" si="5"/>
        <v>0</v>
      </c>
      <c r="T32" s="256">
        <f t="shared" si="5"/>
        <v>0</v>
      </c>
      <c r="U32" s="216"/>
      <c r="V32" s="216"/>
    </row>
    <row r="33" spans="1:22" s="140" customFormat="1" ht="12.75" hidden="1" outlineLevel="4">
      <c r="A33" s="216"/>
      <c r="B33" s="255" t="s">
        <v>87</v>
      </c>
      <c r="C33" s="245" t="s">
        <v>88</v>
      </c>
      <c r="D33" s="227" t="s">
        <v>89</v>
      </c>
      <c r="E33" s="241"/>
      <c r="F33" s="228">
        <f t="shared" si="4"/>
        <v>6.1612726844928238E-2</v>
      </c>
      <c r="G33" s="269">
        <f>+F33*G19</f>
        <v>2.2457308449031347E-4</v>
      </c>
      <c r="H33" s="299">
        <v>45768</v>
      </c>
      <c r="I33" s="299">
        <v>45884</v>
      </c>
      <c r="J33" s="299">
        <v>45768</v>
      </c>
      <c r="K33" s="299">
        <v>45884</v>
      </c>
      <c r="L33" s="269"/>
      <c r="M33" s="269"/>
      <c r="N33" s="229"/>
      <c r="O33" s="229"/>
      <c r="P33" s="229"/>
      <c r="Q33" s="272">
        <v>1</v>
      </c>
      <c r="R33" s="256">
        <f t="shared" si="5"/>
        <v>0</v>
      </c>
      <c r="S33" s="256">
        <f t="shared" si="5"/>
        <v>0</v>
      </c>
      <c r="T33" s="256">
        <f t="shared" si="5"/>
        <v>0</v>
      </c>
      <c r="U33" s="216"/>
      <c r="V33" s="216"/>
    </row>
    <row r="34" spans="1:22" s="140" customFormat="1" ht="12.75" hidden="1" outlineLevel="4">
      <c r="A34" s="216"/>
      <c r="B34" s="255" t="s">
        <v>90</v>
      </c>
      <c r="C34" s="245" t="s">
        <v>91</v>
      </c>
      <c r="D34" s="227" t="s">
        <v>92</v>
      </c>
      <c r="E34" s="241"/>
      <c r="F34" s="228">
        <f t="shared" si="4"/>
        <v>5.5478507137905975E-2</v>
      </c>
      <c r="G34" s="269">
        <f>+F34*G19</f>
        <v>2.0221438181489934E-4</v>
      </c>
      <c r="H34" s="299">
        <v>45768</v>
      </c>
      <c r="I34" s="299">
        <v>45884</v>
      </c>
      <c r="J34" s="299">
        <v>45768</v>
      </c>
      <c r="K34" s="299">
        <v>45884</v>
      </c>
      <c r="L34" s="269"/>
      <c r="M34" s="269"/>
      <c r="N34" s="229"/>
      <c r="O34" s="229"/>
      <c r="P34" s="229"/>
      <c r="Q34" s="272">
        <v>1</v>
      </c>
      <c r="R34" s="256">
        <f t="shared" si="5"/>
        <v>0</v>
      </c>
      <c r="S34" s="256">
        <f t="shared" si="5"/>
        <v>0</v>
      </c>
      <c r="T34" s="256">
        <f t="shared" si="5"/>
        <v>0</v>
      </c>
      <c r="U34" s="216"/>
      <c r="V34" s="216"/>
    </row>
    <row r="35" spans="1:22" s="140" customFormat="1" ht="29.25" hidden="1" customHeight="1" outlineLevel="2">
      <c r="A35" s="216"/>
      <c r="B35" s="329" t="s">
        <v>36</v>
      </c>
      <c r="C35" s="330" t="s">
        <v>93</v>
      </c>
      <c r="D35" s="330" t="s">
        <v>94</v>
      </c>
      <c r="E35" s="331"/>
      <c r="F35" s="332">
        <f t="shared" si="4"/>
        <v>0.16798918236757646</v>
      </c>
      <c r="G35" s="332">
        <f>+F35*G9</f>
        <v>1.6798918236757648E-2</v>
      </c>
      <c r="H35" s="333">
        <v>45768</v>
      </c>
      <c r="I35" s="333">
        <v>45884</v>
      </c>
      <c r="J35" s="333">
        <v>45768</v>
      </c>
      <c r="K35" s="333">
        <v>45884</v>
      </c>
      <c r="L35" s="333"/>
      <c r="M35" s="333"/>
      <c r="N35" s="332">
        <f>+$F36*N36+$F48*N48+$F56*N56</f>
        <v>0.99999999999999978</v>
      </c>
      <c r="O35" s="332">
        <f>+$F36*O36+$F48*O48+$F56*O56</f>
        <v>0.99999999999999978</v>
      </c>
      <c r="P35" s="332">
        <f>+$F36*P36+$F48*P48+$F56*P56</f>
        <v>0.99999999999999978</v>
      </c>
      <c r="Q35" s="332">
        <f>+$F36*Q36+$F48*Q48+$F56*Q56</f>
        <v>0.87854613236857104</v>
      </c>
      <c r="R35" s="332">
        <f t="shared" si="5"/>
        <v>0.87854613236857126</v>
      </c>
      <c r="S35" s="332">
        <f t="shared" si="5"/>
        <v>0.87854613236857126</v>
      </c>
      <c r="T35" s="332">
        <f t="shared" si="5"/>
        <v>0.87854613236857126</v>
      </c>
      <c r="U35" s="216"/>
      <c r="V35" s="216"/>
    </row>
    <row r="36" spans="1:22" s="140" customFormat="1" ht="12.75" hidden="1" outlineLevel="2">
      <c r="B36" s="301" t="s">
        <v>95</v>
      </c>
      <c r="C36" s="251" t="s">
        <v>96</v>
      </c>
      <c r="D36" s="236" t="s">
        <v>97</v>
      </c>
      <c r="E36" s="242"/>
      <c r="F36" s="232">
        <v>0.56856090035361229</v>
      </c>
      <c r="G36" s="232">
        <f>+F36*G35</f>
        <v>9.5512080776576445E-3</v>
      </c>
      <c r="H36" s="321">
        <v>45768</v>
      </c>
      <c r="I36" s="321">
        <v>45884</v>
      </c>
      <c r="J36" s="321">
        <v>45768</v>
      </c>
      <c r="K36" s="321">
        <v>45884</v>
      </c>
      <c r="L36" s="232"/>
      <c r="M36" s="232"/>
      <c r="N36" s="233">
        <f>+SUMPRODUCT($F37:$F47,N37:N47)</f>
        <v>0.99999999999999989</v>
      </c>
      <c r="O36" s="233">
        <f>+SUMPRODUCT($F37:$F47,O37:O47)</f>
        <v>0.99999999999999989</v>
      </c>
      <c r="P36" s="233">
        <f>+SUMPRODUCT($F37:$F47,P37:P47)</f>
        <v>0.99999999999999989</v>
      </c>
      <c r="Q36" s="274">
        <f>+SUMPRODUCT($F37:$F47,Q37:Q47)</f>
        <v>0.86016081336716643</v>
      </c>
      <c r="R36" s="260">
        <f t="shared" si="5"/>
        <v>0.86016081336716654</v>
      </c>
      <c r="S36" s="260">
        <f t="shared" si="5"/>
        <v>0.86016081336716654</v>
      </c>
      <c r="T36" s="260">
        <f t="shared" si="5"/>
        <v>0.86016081336716654</v>
      </c>
    </row>
    <row r="37" spans="1:22" s="140" customFormat="1" ht="25.5" hidden="1" outlineLevel="4">
      <c r="A37" s="216"/>
      <c r="B37" s="255" t="s">
        <v>98</v>
      </c>
      <c r="C37" s="245" t="s">
        <v>99</v>
      </c>
      <c r="D37" s="227" t="s">
        <v>100</v>
      </c>
      <c r="E37" s="241"/>
      <c r="F37" s="228">
        <v>5.0651268099191453E-2</v>
      </c>
      <c r="G37" s="269">
        <f>+F37*G36</f>
        <v>4.8378080101260039E-4</v>
      </c>
      <c r="H37" s="299">
        <v>45768</v>
      </c>
      <c r="I37" s="299">
        <v>45884</v>
      </c>
      <c r="J37" s="299">
        <v>45768</v>
      </c>
      <c r="K37" s="299">
        <v>45884</v>
      </c>
      <c r="L37" s="269"/>
      <c r="M37" s="269"/>
      <c r="N37" s="229">
        <v>1</v>
      </c>
      <c r="O37" s="229">
        <v>1</v>
      </c>
      <c r="P37" s="229">
        <v>1</v>
      </c>
      <c r="Q37" s="272">
        <v>1</v>
      </c>
      <c r="R37" s="256">
        <f t="shared" si="5"/>
        <v>1</v>
      </c>
      <c r="S37" s="256">
        <f t="shared" si="5"/>
        <v>1</v>
      </c>
      <c r="T37" s="256">
        <f t="shared" si="5"/>
        <v>1</v>
      </c>
      <c r="U37" s="216"/>
      <c r="V37" s="216"/>
    </row>
    <row r="38" spans="1:22" s="140" customFormat="1" ht="25.5" hidden="1" outlineLevel="4">
      <c r="A38" s="216"/>
      <c r="B38" s="255" t="s">
        <v>101</v>
      </c>
      <c r="C38" s="245" t="s">
        <v>102</v>
      </c>
      <c r="D38" s="227" t="s">
        <v>103</v>
      </c>
      <c r="E38" s="241"/>
      <c r="F38" s="228">
        <v>8.2125454251171334E-2</v>
      </c>
      <c r="G38" s="269">
        <f>+F38*G36</f>
        <v>7.8439730202509096E-4</v>
      </c>
      <c r="H38" s="299">
        <v>45768</v>
      </c>
      <c r="I38" s="299">
        <v>45884</v>
      </c>
      <c r="J38" s="299">
        <v>45768</v>
      </c>
      <c r="K38" s="299">
        <v>45884</v>
      </c>
      <c r="L38" s="269"/>
      <c r="M38" s="269"/>
      <c r="N38" s="229">
        <v>1</v>
      </c>
      <c r="O38" s="229">
        <v>1</v>
      </c>
      <c r="P38" s="229">
        <v>1</v>
      </c>
      <c r="Q38" s="272">
        <v>1</v>
      </c>
      <c r="R38" s="256">
        <f t="shared" si="5"/>
        <v>1</v>
      </c>
      <c r="S38" s="256">
        <f t="shared" si="5"/>
        <v>1</v>
      </c>
      <c r="T38" s="256">
        <f t="shared" si="5"/>
        <v>1</v>
      </c>
      <c r="U38" s="216"/>
      <c r="V38" s="216"/>
    </row>
    <row r="39" spans="1:22" s="140" customFormat="1" ht="25.5" hidden="1" outlineLevel="4">
      <c r="A39" s="216"/>
      <c r="B39" s="255" t="s">
        <v>104</v>
      </c>
      <c r="C39" s="245" t="s">
        <v>105</v>
      </c>
      <c r="D39" s="227" t="s">
        <v>106</v>
      </c>
      <c r="E39" s="241"/>
      <c r="F39" s="228">
        <v>6.6964931207309911E-2</v>
      </c>
      <c r="G39" s="269">
        <f>+F39*G36</f>
        <v>6.395959918670469E-4</v>
      </c>
      <c r="H39" s="299">
        <v>45768</v>
      </c>
      <c r="I39" s="299">
        <v>45884</v>
      </c>
      <c r="J39" s="299">
        <v>45768</v>
      </c>
      <c r="K39" s="299">
        <v>45884</v>
      </c>
      <c r="L39" s="269"/>
      <c r="M39" s="269"/>
      <c r="N39" s="229">
        <v>1</v>
      </c>
      <c r="O39" s="229">
        <v>1</v>
      </c>
      <c r="P39" s="229">
        <v>1</v>
      </c>
      <c r="Q39" s="272">
        <v>1</v>
      </c>
      <c r="R39" s="256">
        <f t="shared" si="5"/>
        <v>1</v>
      </c>
      <c r="S39" s="256">
        <f t="shared" si="5"/>
        <v>1</v>
      </c>
      <c r="T39" s="256">
        <f t="shared" si="5"/>
        <v>1</v>
      </c>
      <c r="U39" s="216"/>
      <c r="V39" s="216"/>
    </row>
    <row r="40" spans="1:22" s="140" customFormat="1" ht="25.5" hidden="1" outlineLevel="4">
      <c r="A40" s="216"/>
      <c r="B40" s="255" t="s">
        <v>107</v>
      </c>
      <c r="C40" s="245" t="s">
        <v>108</v>
      </c>
      <c r="D40" s="227" t="s">
        <v>109</v>
      </c>
      <c r="E40" s="241"/>
      <c r="F40" s="228">
        <v>8.2833364710735921E-2</v>
      </c>
      <c r="G40" s="269">
        <f>+F40*G36</f>
        <v>7.911587021247426E-4</v>
      </c>
      <c r="H40" s="299">
        <v>45768</v>
      </c>
      <c r="I40" s="299">
        <v>45884</v>
      </c>
      <c r="J40" s="299">
        <v>45768</v>
      </c>
      <c r="K40" s="299">
        <v>45884</v>
      </c>
      <c r="L40" s="269"/>
      <c r="M40" s="269"/>
      <c r="N40" s="229">
        <v>1</v>
      </c>
      <c r="O40" s="229">
        <v>1</v>
      </c>
      <c r="P40" s="229">
        <v>1</v>
      </c>
      <c r="Q40" s="272">
        <v>1</v>
      </c>
      <c r="R40" s="256">
        <f t="shared" si="5"/>
        <v>1</v>
      </c>
      <c r="S40" s="256">
        <f t="shared" si="5"/>
        <v>1</v>
      </c>
      <c r="T40" s="256">
        <f t="shared" si="5"/>
        <v>1</v>
      </c>
      <c r="U40" s="216"/>
      <c r="V40" s="216"/>
    </row>
    <row r="41" spans="1:22" s="140" customFormat="1" ht="38.25" hidden="1" outlineLevel="4">
      <c r="A41" s="216"/>
      <c r="B41" s="255" t="s">
        <v>110</v>
      </c>
      <c r="C41" s="245" t="s">
        <v>111</v>
      </c>
      <c r="D41" s="227" t="s">
        <v>112</v>
      </c>
      <c r="E41" s="241"/>
      <c r="F41" s="228">
        <v>0.18485403818130638</v>
      </c>
      <c r="G41" s="269">
        <f>+F41*G36</f>
        <v>1.7655793826649281E-3</v>
      </c>
      <c r="H41" s="299">
        <v>45768</v>
      </c>
      <c r="I41" s="299">
        <v>45884</v>
      </c>
      <c r="J41" s="299">
        <v>45768</v>
      </c>
      <c r="K41" s="299">
        <v>45884</v>
      </c>
      <c r="L41" s="269"/>
      <c r="M41" s="269"/>
      <c r="N41" s="229">
        <v>1</v>
      </c>
      <c r="O41" s="229">
        <v>1</v>
      </c>
      <c r="P41" s="229">
        <v>1</v>
      </c>
      <c r="Q41" s="272">
        <v>1</v>
      </c>
      <c r="R41" s="256">
        <f t="shared" si="5"/>
        <v>1</v>
      </c>
      <c r="S41" s="256">
        <f t="shared" si="5"/>
        <v>1</v>
      </c>
      <c r="T41" s="256">
        <f t="shared" si="5"/>
        <v>1</v>
      </c>
      <c r="U41" s="216"/>
      <c r="V41" s="216"/>
    </row>
    <row r="42" spans="1:22" s="140" customFormat="1" ht="38.25" hidden="1" outlineLevel="4">
      <c r="A42" s="216"/>
      <c r="B42" s="255" t="s">
        <v>113</v>
      </c>
      <c r="C42" s="245" t="s">
        <v>114</v>
      </c>
      <c r="D42" s="227" t="s">
        <v>115</v>
      </c>
      <c r="E42" s="241"/>
      <c r="F42" s="228">
        <v>0.10096602336672117</v>
      </c>
      <c r="G42" s="269">
        <f>+F42*G36</f>
        <v>9.6434749794919766E-4</v>
      </c>
      <c r="H42" s="299">
        <v>45768</v>
      </c>
      <c r="I42" s="299">
        <v>45884</v>
      </c>
      <c r="J42" s="299">
        <v>45768</v>
      </c>
      <c r="K42" s="299">
        <v>45884</v>
      </c>
      <c r="L42" s="269"/>
      <c r="M42" s="269"/>
      <c r="N42" s="229">
        <v>1</v>
      </c>
      <c r="O42" s="229">
        <v>1</v>
      </c>
      <c r="P42" s="229">
        <v>1</v>
      </c>
      <c r="Q42" s="272">
        <v>1</v>
      </c>
      <c r="R42" s="256">
        <f t="shared" si="5"/>
        <v>1</v>
      </c>
      <c r="S42" s="256">
        <f t="shared" si="5"/>
        <v>1</v>
      </c>
      <c r="T42" s="256">
        <f t="shared" si="5"/>
        <v>1</v>
      </c>
      <c r="U42" s="216"/>
      <c r="V42" s="216"/>
    </row>
    <row r="43" spans="1:22" s="140" customFormat="1" ht="38.25" hidden="1" outlineLevel="4">
      <c r="A43" s="216"/>
      <c r="B43" s="255" t="s">
        <v>116</v>
      </c>
      <c r="C43" s="245" t="s">
        <v>117</v>
      </c>
      <c r="D43" s="227" t="s">
        <v>118</v>
      </c>
      <c r="E43" s="241"/>
      <c r="F43" s="228">
        <v>0.10262123888629911</v>
      </c>
      <c r="G43" s="269">
        <f>+F43*G36</f>
        <v>9.8015680579005473E-4</v>
      </c>
      <c r="H43" s="299">
        <v>45768</v>
      </c>
      <c r="I43" s="299">
        <v>45884</v>
      </c>
      <c r="J43" s="299">
        <v>45768</v>
      </c>
      <c r="K43" s="299">
        <v>45884</v>
      </c>
      <c r="L43" s="269"/>
      <c r="M43" s="269"/>
      <c r="N43" s="229">
        <v>1</v>
      </c>
      <c r="O43" s="229">
        <v>1</v>
      </c>
      <c r="P43" s="229">
        <v>1</v>
      </c>
      <c r="Q43" s="272">
        <v>1</v>
      </c>
      <c r="R43" s="256">
        <f t="shared" si="5"/>
        <v>1</v>
      </c>
      <c r="S43" s="256">
        <f t="shared" si="5"/>
        <v>1</v>
      </c>
      <c r="T43" s="256">
        <f t="shared" si="5"/>
        <v>1</v>
      </c>
      <c r="U43" s="216"/>
      <c r="V43" s="216"/>
    </row>
    <row r="44" spans="1:22" s="140" customFormat="1" ht="38.25" hidden="1" outlineLevel="4">
      <c r="A44" s="216"/>
      <c r="B44" s="255" t="s">
        <v>119</v>
      </c>
      <c r="C44" s="245" t="s">
        <v>120</v>
      </c>
      <c r="D44" s="227" t="s">
        <v>121</v>
      </c>
      <c r="E44" s="241"/>
      <c r="F44" s="228">
        <v>0.16486815906368971</v>
      </c>
      <c r="G44" s="269">
        <f>+F44*G36</f>
        <v>1.5746900925976586E-3</v>
      </c>
      <c r="H44" s="299">
        <v>45768</v>
      </c>
      <c r="I44" s="299">
        <v>45884</v>
      </c>
      <c r="J44" s="299">
        <v>45768</v>
      </c>
      <c r="K44" s="299">
        <v>45884</v>
      </c>
      <c r="L44" s="269"/>
      <c r="M44" s="269"/>
      <c r="N44" s="229">
        <v>1</v>
      </c>
      <c r="O44" s="229">
        <v>1</v>
      </c>
      <c r="P44" s="229">
        <v>1</v>
      </c>
      <c r="Q44" s="272">
        <v>1</v>
      </c>
      <c r="R44" s="256">
        <f t="shared" si="5"/>
        <v>1</v>
      </c>
      <c r="S44" s="256">
        <f t="shared" si="5"/>
        <v>1</v>
      </c>
      <c r="T44" s="256">
        <f t="shared" si="5"/>
        <v>1</v>
      </c>
      <c r="U44" s="216"/>
      <c r="V44" s="216"/>
    </row>
    <row r="45" spans="1:22" s="140" customFormat="1" ht="25.5" hidden="1" outlineLevel="4">
      <c r="A45" s="216"/>
      <c r="B45" s="255" t="s">
        <v>122</v>
      </c>
      <c r="C45" s="245" t="s">
        <v>123</v>
      </c>
      <c r="D45" s="227" t="s">
        <v>124</v>
      </c>
      <c r="E45" s="241"/>
      <c r="F45" s="228">
        <v>4.5095887303671384E-3</v>
      </c>
      <c r="G45" s="269">
        <f>+F45*G36</f>
        <v>4.3072020308396495E-5</v>
      </c>
      <c r="H45" s="299">
        <v>45768</v>
      </c>
      <c r="I45" s="299">
        <v>45884</v>
      </c>
      <c r="J45" s="299">
        <v>45768</v>
      </c>
      <c r="K45" s="299">
        <v>45884</v>
      </c>
      <c r="L45" s="269"/>
      <c r="M45" s="269"/>
      <c r="N45" s="229">
        <v>0.99999999999999989</v>
      </c>
      <c r="O45" s="229">
        <v>0.99999999999999989</v>
      </c>
      <c r="P45" s="229">
        <v>0.99999999999999989</v>
      </c>
      <c r="Q45" s="272">
        <v>0.99999999999999989</v>
      </c>
      <c r="R45" s="256">
        <f t="shared" si="5"/>
        <v>1</v>
      </c>
      <c r="S45" s="256">
        <f t="shared" si="5"/>
        <v>1</v>
      </c>
      <c r="T45" s="256">
        <f t="shared" si="5"/>
        <v>1</v>
      </c>
      <c r="U45" s="216"/>
      <c r="V45" s="216"/>
    </row>
    <row r="46" spans="1:22" s="140" customFormat="1" ht="25.5" hidden="1" outlineLevel="4">
      <c r="A46" s="216"/>
      <c r="B46" s="255" t="s">
        <v>125</v>
      </c>
      <c r="C46" s="245" t="s">
        <v>126</v>
      </c>
      <c r="D46" s="227" t="s">
        <v>127</v>
      </c>
      <c r="E46" s="241"/>
      <c r="F46" s="228">
        <v>0.13983918663283351</v>
      </c>
      <c r="G46" s="269">
        <f>+F46*G36</f>
        <v>1.3356331689405943E-3</v>
      </c>
      <c r="H46" s="299">
        <v>45768</v>
      </c>
      <c r="I46" s="299">
        <v>45884</v>
      </c>
      <c r="J46" s="299">
        <v>45768</v>
      </c>
      <c r="K46" s="299">
        <v>45884</v>
      </c>
      <c r="L46" s="269"/>
      <c r="M46" s="269"/>
      <c r="N46" s="229">
        <v>0.99999999999999989</v>
      </c>
      <c r="O46" s="229">
        <v>0.99999999999999989</v>
      </c>
      <c r="P46" s="229">
        <v>0.99999999999999989</v>
      </c>
      <c r="Q46" s="272">
        <v>0</v>
      </c>
      <c r="R46" s="256">
        <f t="shared" si="5"/>
        <v>0</v>
      </c>
      <c r="S46" s="256">
        <f t="shared" si="5"/>
        <v>0</v>
      </c>
      <c r="T46" s="256">
        <f t="shared" si="5"/>
        <v>0</v>
      </c>
      <c r="U46" s="216"/>
      <c r="V46" s="216"/>
    </row>
    <row r="47" spans="1:22" s="140" customFormat="1" ht="38.25" hidden="1" outlineLevel="4">
      <c r="A47" s="216"/>
      <c r="B47" s="255" t="s">
        <v>128</v>
      </c>
      <c r="C47" s="245" t="s">
        <v>129</v>
      </c>
      <c r="D47" s="227" t="s">
        <v>130</v>
      </c>
      <c r="E47" s="241"/>
      <c r="F47" s="228">
        <v>1.9766746870374354E-2</v>
      </c>
      <c r="G47" s="269">
        <f>+F47*G36</f>
        <v>1.887963123773335E-4</v>
      </c>
      <c r="H47" s="299">
        <v>45768</v>
      </c>
      <c r="I47" s="299">
        <v>45884</v>
      </c>
      <c r="J47" s="299">
        <v>45768</v>
      </c>
      <c r="K47" s="299">
        <v>45884</v>
      </c>
      <c r="L47" s="269"/>
      <c r="M47" s="269"/>
      <c r="N47" s="229">
        <v>0.99999999999999989</v>
      </c>
      <c r="O47" s="229">
        <v>0.99999999999999989</v>
      </c>
      <c r="P47" s="229">
        <v>0.99999999999999989</v>
      </c>
      <c r="Q47" s="272">
        <v>0.99999999999999989</v>
      </c>
      <c r="R47" s="256">
        <f t="shared" si="5"/>
        <v>1</v>
      </c>
      <c r="S47" s="256">
        <f t="shared" si="5"/>
        <v>1</v>
      </c>
      <c r="T47" s="256">
        <f t="shared" si="5"/>
        <v>1</v>
      </c>
      <c r="U47" s="216"/>
      <c r="V47" s="216"/>
    </row>
    <row r="48" spans="1:22" s="140" customFormat="1" ht="25.5" hidden="1" outlineLevel="2">
      <c r="B48" s="301" t="s">
        <v>131</v>
      </c>
      <c r="C48" s="236" t="s">
        <v>132</v>
      </c>
      <c r="D48" s="236" t="s">
        <v>133</v>
      </c>
      <c r="E48" s="242"/>
      <c r="F48" s="232">
        <v>0.36394063609291044</v>
      </c>
      <c r="G48" s="232">
        <f>+F48*G35</f>
        <v>6.1138089887583721E-3</v>
      </c>
      <c r="H48" s="321">
        <v>45768</v>
      </c>
      <c r="I48" s="321">
        <v>45884</v>
      </c>
      <c r="J48" s="321">
        <v>45768</v>
      </c>
      <c r="K48" s="321">
        <v>45884</v>
      </c>
      <c r="L48" s="232"/>
      <c r="M48" s="232"/>
      <c r="N48" s="233">
        <f>+SUMPRODUCT($F49:$F55,N49:N55)</f>
        <v>0.99999999999999989</v>
      </c>
      <c r="O48" s="233">
        <f>+SUMPRODUCT($F49:$F55,O49:O55)</f>
        <v>0.99999999999999989</v>
      </c>
      <c r="P48" s="233">
        <f>+SUMPRODUCT($F49:$F55,P49:P55)</f>
        <v>0.99999999999999989</v>
      </c>
      <c r="Q48" s="274">
        <f>+SUMPRODUCT($F49:$F55,Q49:Q55)</f>
        <v>0.89076914478384417</v>
      </c>
      <c r="R48" s="260">
        <f t="shared" si="5"/>
        <v>0.89076914478384428</v>
      </c>
      <c r="S48" s="260">
        <f t="shared" si="5"/>
        <v>0.89076914478384428</v>
      </c>
      <c r="T48" s="260">
        <f t="shared" si="5"/>
        <v>0.89076914478384428</v>
      </c>
    </row>
    <row r="49" spans="1:22" s="140" customFormat="1" ht="25.5" hidden="1" outlineLevel="5">
      <c r="A49" s="216"/>
      <c r="B49" s="255" t="s">
        <v>134</v>
      </c>
      <c r="C49" s="245" t="s">
        <v>135</v>
      </c>
      <c r="D49" s="227" t="s">
        <v>136</v>
      </c>
      <c r="E49" s="241"/>
      <c r="F49" s="228">
        <v>7.1676986443886703E-2</v>
      </c>
      <c r="G49" s="269">
        <f>+F49*G48</f>
        <v>4.3821940400774653E-4</v>
      </c>
      <c r="H49" s="299">
        <v>45768</v>
      </c>
      <c r="I49" s="299">
        <v>45884</v>
      </c>
      <c r="J49" s="299">
        <v>45768</v>
      </c>
      <c r="K49" s="299">
        <v>45884</v>
      </c>
      <c r="L49" s="269"/>
      <c r="M49" s="269"/>
      <c r="N49" s="229">
        <v>1</v>
      </c>
      <c r="O49" s="229">
        <v>1</v>
      </c>
      <c r="P49" s="229">
        <v>1</v>
      </c>
      <c r="Q49" s="272">
        <v>1</v>
      </c>
      <c r="R49" s="256">
        <f t="shared" si="5"/>
        <v>1</v>
      </c>
      <c r="S49" s="256">
        <f t="shared" si="5"/>
        <v>1</v>
      </c>
      <c r="T49" s="256">
        <f t="shared" si="5"/>
        <v>1</v>
      </c>
      <c r="U49" s="216"/>
      <c r="V49" s="216"/>
    </row>
    <row r="50" spans="1:22" s="140" customFormat="1" ht="25.5" hidden="1" outlineLevel="5">
      <c r="A50" s="216"/>
      <c r="B50" s="255" t="s">
        <v>137</v>
      </c>
      <c r="C50" s="245" t="s">
        <v>138</v>
      </c>
      <c r="D50" s="227" t="s">
        <v>139</v>
      </c>
      <c r="E50" s="241"/>
      <c r="F50" s="228">
        <v>0.15362856123018082</v>
      </c>
      <c r="G50" s="269">
        <f>+F50*G48</f>
        <v>9.3925567857909543E-4</v>
      </c>
      <c r="H50" s="299">
        <v>45768</v>
      </c>
      <c r="I50" s="299">
        <v>45884</v>
      </c>
      <c r="J50" s="299">
        <v>45768</v>
      </c>
      <c r="K50" s="299">
        <v>45884</v>
      </c>
      <c r="L50" s="269"/>
      <c r="M50" s="269"/>
      <c r="N50" s="229">
        <v>1</v>
      </c>
      <c r="O50" s="229">
        <v>1</v>
      </c>
      <c r="P50" s="229">
        <v>1</v>
      </c>
      <c r="Q50" s="272">
        <v>1</v>
      </c>
      <c r="R50" s="256">
        <f t="shared" si="5"/>
        <v>1</v>
      </c>
      <c r="S50" s="256">
        <f t="shared" si="5"/>
        <v>1</v>
      </c>
      <c r="T50" s="256">
        <f t="shared" si="5"/>
        <v>1</v>
      </c>
      <c r="U50" s="216"/>
      <c r="V50" s="216"/>
    </row>
    <row r="51" spans="1:22" s="140" customFormat="1" ht="25.5" hidden="1" outlineLevel="5">
      <c r="A51" s="216"/>
      <c r="B51" s="255" t="s">
        <v>140</v>
      </c>
      <c r="C51" s="245" t="s">
        <v>141</v>
      </c>
      <c r="D51" s="227" t="s">
        <v>142</v>
      </c>
      <c r="E51" s="241"/>
      <c r="F51" s="228">
        <v>0.20080921505829794</v>
      </c>
      <c r="G51" s="269">
        <f>+F51*G48</f>
        <v>1.227709184048935E-3</v>
      </c>
      <c r="H51" s="299">
        <v>45768</v>
      </c>
      <c r="I51" s="299">
        <v>45884</v>
      </c>
      <c r="J51" s="299">
        <v>45768</v>
      </c>
      <c r="K51" s="299">
        <v>45884</v>
      </c>
      <c r="L51" s="269"/>
      <c r="M51" s="269"/>
      <c r="N51" s="229">
        <v>1</v>
      </c>
      <c r="O51" s="229">
        <v>1</v>
      </c>
      <c r="P51" s="229">
        <v>1</v>
      </c>
      <c r="Q51" s="272">
        <v>1</v>
      </c>
      <c r="R51" s="256">
        <f t="shared" si="5"/>
        <v>1</v>
      </c>
      <c r="S51" s="256">
        <f t="shared" si="5"/>
        <v>1</v>
      </c>
      <c r="T51" s="256">
        <f t="shared" si="5"/>
        <v>1</v>
      </c>
      <c r="U51" s="216"/>
      <c r="V51" s="216"/>
    </row>
    <row r="52" spans="1:22" s="140" customFormat="1" ht="25.5" hidden="1" outlineLevel="5">
      <c r="A52" s="216"/>
      <c r="B52" s="255" t="s">
        <v>143</v>
      </c>
      <c r="C52" s="245" t="s">
        <v>144</v>
      </c>
      <c r="D52" s="227" t="s">
        <v>145</v>
      </c>
      <c r="E52" s="241"/>
      <c r="F52" s="228">
        <v>0.23658747698852015</v>
      </c>
      <c r="G52" s="269">
        <f>+F52*G48</f>
        <v>1.4464506434400789E-3</v>
      </c>
      <c r="H52" s="299">
        <v>45768</v>
      </c>
      <c r="I52" s="299">
        <v>45884</v>
      </c>
      <c r="J52" s="299">
        <v>45768</v>
      </c>
      <c r="K52" s="299">
        <v>45884</v>
      </c>
      <c r="L52" s="269"/>
      <c r="M52" s="269"/>
      <c r="N52" s="229">
        <v>1</v>
      </c>
      <c r="O52" s="229">
        <v>1</v>
      </c>
      <c r="P52" s="229">
        <v>1</v>
      </c>
      <c r="Q52" s="272">
        <v>1</v>
      </c>
      <c r="R52" s="256">
        <f t="shared" si="5"/>
        <v>1</v>
      </c>
      <c r="S52" s="256">
        <f t="shared" si="5"/>
        <v>1</v>
      </c>
      <c r="T52" s="256">
        <f t="shared" si="5"/>
        <v>1</v>
      </c>
      <c r="U52" s="216"/>
      <c r="V52" s="216"/>
    </row>
    <row r="53" spans="1:22" s="140" customFormat="1" ht="12.75" hidden="1" outlineLevel="5">
      <c r="A53" s="216"/>
      <c r="B53" s="255" t="s">
        <v>146</v>
      </c>
      <c r="C53" s="245" t="s">
        <v>147</v>
      </c>
      <c r="D53" s="227" t="s">
        <v>148</v>
      </c>
      <c r="E53" s="241"/>
      <c r="F53" s="228">
        <v>0.1360559491040762</v>
      </c>
      <c r="G53" s="269">
        <f>+F53*G48</f>
        <v>8.3182008460655271E-4</v>
      </c>
      <c r="H53" s="299">
        <v>45768</v>
      </c>
      <c r="I53" s="299">
        <v>45884</v>
      </c>
      <c r="J53" s="299">
        <v>45768</v>
      </c>
      <c r="K53" s="299">
        <v>45884</v>
      </c>
      <c r="L53" s="269"/>
      <c r="M53" s="269"/>
      <c r="N53" s="229">
        <v>1</v>
      </c>
      <c r="O53" s="229">
        <v>1</v>
      </c>
      <c r="P53" s="229">
        <v>1</v>
      </c>
      <c r="Q53" s="272">
        <v>1</v>
      </c>
      <c r="R53" s="256">
        <f t="shared" si="5"/>
        <v>1</v>
      </c>
      <c r="S53" s="256">
        <f t="shared" si="5"/>
        <v>1</v>
      </c>
      <c r="T53" s="256">
        <f t="shared" si="5"/>
        <v>1</v>
      </c>
      <c r="U53" s="216"/>
      <c r="V53" s="216"/>
    </row>
    <row r="54" spans="1:22" s="140" customFormat="1" ht="25.5" hidden="1" outlineLevel="5">
      <c r="A54" s="216"/>
      <c r="B54" s="255" t="s">
        <v>149</v>
      </c>
      <c r="C54" s="245" t="s">
        <v>150</v>
      </c>
      <c r="D54" s="227" t="s">
        <v>151</v>
      </c>
      <c r="E54" s="241"/>
      <c r="F54" s="228">
        <v>0.10923085521615573</v>
      </c>
      <c r="G54" s="269">
        <f>+F54*G48</f>
        <v>6.6781658447029725E-4</v>
      </c>
      <c r="H54" s="338">
        <v>45768</v>
      </c>
      <c r="I54" s="338">
        <v>45884</v>
      </c>
      <c r="J54" s="338">
        <v>45768</v>
      </c>
      <c r="K54" s="338">
        <v>45884</v>
      </c>
      <c r="L54" s="339"/>
      <c r="M54" s="339"/>
      <c r="N54" s="229">
        <v>0.99999999999999989</v>
      </c>
      <c r="O54" s="229">
        <v>0.99999999999999989</v>
      </c>
      <c r="P54" s="229">
        <v>0.99999999999999989</v>
      </c>
      <c r="Q54" s="272">
        <v>0</v>
      </c>
      <c r="R54" s="256">
        <f t="shared" si="5"/>
        <v>0</v>
      </c>
      <c r="S54" s="256">
        <f t="shared" si="5"/>
        <v>0</v>
      </c>
      <c r="T54" s="256">
        <f t="shared" si="5"/>
        <v>0</v>
      </c>
      <c r="U54" s="216"/>
      <c r="V54" s="216"/>
    </row>
    <row r="55" spans="1:22" s="140" customFormat="1" ht="25.5" hidden="1" outlineLevel="5">
      <c r="A55" s="216"/>
      <c r="B55" s="255" t="s">
        <v>152</v>
      </c>
      <c r="C55" s="245" t="s">
        <v>153</v>
      </c>
      <c r="D55" s="227" t="s">
        <v>154</v>
      </c>
      <c r="E55" s="241"/>
      <c r="F55" s="228">
        <v>9.2010955958882465E-2</v>
      </c>
      <c r="G55" s="269">
        <f>+F55*G48</f>
        <v>5.6253740960566633E-4</v>
      </c>
      <c r="H55" s="299">
        <v>45768</v>
      </c>
      <c r="I55" s="299">
        <v>45884</v>
      </c>
      <c r="J55" s="299">
        <v>45768</v>
      </c>
      <c r="K55" s="299">
        <v>45884</v>
      </c>
      <c r="L55" s="269"/>
      <c r="M55" s="269"/>
      <c r="N55" s="229">
        <v>1</v>
      </c>
      <c r="O55" s="229">
        <v>1</v>
      </c>
      <c r="P55" s="229">
        <v>1</v>
      </c>
      <c r="Q55" s="272">
        <v>1</v>
      </c>
      <c r="R55" s="256">
        <f t="shared" si="5"/>
        <v>1</v>
      </c>
      <c r="S55" s="256">
        <f t="shared" si="5"/>
        <v>1</v>
      </c>
      <c r="T55" s="256">
        <f t="shared" si="5"/>
        <v>1</v>
      </c>
      <c r="U55" s="216"/>
      <c r="V55" s="216"/>
    </row>
    <row r="56" spans="1:22" s="140" customFormat="1" ht="38.25" hidden="1" outlineLevel="2">
      <c r="B56" s="301" t="s">
        <v>155</v>
      </c>
      <c r="C56" s="236" t="s">
        <v>156</v>
      </c>
      <c r="D56" s="236" t="s">
        <v>157</v>
      </c>
      <c r="E56" s="242"/>
      <c r="F56" s="232">
        <v>6.7498463553477217E-2</v>
      </c>
      <c r="G56" s="232">
        <f>+F56*G35</f>
        <v>1.1339011703416298E-3</v>
      </c>
      <c r="H56" s="321">
        <v>45768</v>
      </c>
      <c r="I56" s="321">
        <v>45884</v>
      </c>
      <c r="J56" s="321">
        <v>45768</v>
      </c>
      <c r="K56" s="321">
        <v>45884</v>
      </c>
      <c r="L56" s="232"/>
      <c r="M56" s="232"/>
      <c r="N56" s="233">
        <f>+SUMPRODUCT($F57:$F60,N57:N60)</f>
        <v>1</v>
      </c>
      <c r="O56" s="233">
        <f>+SUMPRODUCT($F57:$F60,O57:O60)</f>
        <v>1</v>
      </c>
      <c r="P56" s="233">
        <f>+SUMPRODUCT($F57:$F60,P57:P60)</f>
        <v>1</v>
      </c>
      <c r="Q56" s="274">
        <f>+SUMPRODUCT($F57:$F60,Q57:Q60)</f>
        <v>0.96750701081262203</v>
      </c>
      <c r="R56" s="254">
        <f t="shared" si="5"/>
        <v>0.96750701081262203</v>
      </c>
      <c r="S56" s="254">
        <f t="shared" si="5"/>
        <v>0.96750701081262203</v>
      </c>
      <c r="T56" s="254">
        <f t="shared" si="5"/>
        <v>0.96750701081262203</v>
      </c>
    </row>
    <row r="57" spans="1:22" s="140" customFormat="1" ht="25.5" hidden="1" outlineLevel="2">
      <c r="A57" s="216"/>
      <c r="B57" s="255" t="s">
        <v>158</v>
      </c>
      <c r="C57" s="245" t="s">
        <v>159</v>
      </c>
      <c r="D57" s="227" t="s">
        <v>160</v>
      </c>
      <c r="E57" s="241"/>
      <c r="F57" s="228">
        <v>0.49999532130347257</v>
      </c>
      <c r="G57" s="269">
        <f>+F57*G56</f>
        <v>5.6694527999134675E-4</v>
      </c>
      <c r="H57" s="299">
        <v>45768</v>
      </c>
      <c r="I57" s="299">
        <v>45884</v>
      </c>
      <c r="J57" s="299">
        <v>45768</v>
      </c>
      <c r="K57" s="299">
        <v>45884</v>
      </c>
      <c r="L57" s="269"/>
      <c r="M57" s="269"/>
      <c r="N57" s="229">
        <v>1</v>
      </c>
      <c r="O57" s="229">
        <v>1</v>
      </c>
      <c r="P57" s="229">
        <v>1</v>
      </c>
      <c r="Q57" s="272">
        <v>1</v>
      </c>
      <c r="R57" s="256">
        <f t="shared" ref="R57:T80" si="6">+IF(N57=0,0,$Q57/N57)</f>
        <v>1</v>
      </c>
      <c r="S57" s="256">
        <f t="shared" si="6"/>
        <v>1</v>
      </c>
      <c r="T57" s="256">
        <f t="shared" si="6"/>
        <v>1</v>
      </c>
      <c r="U57" s="216"/>
      <c r="V57" s="216"/>
    </row>
    <row r="58" spans="1:22" s="140" customFormat="1" ht="25.5" hidden="1" outlineLevel="2">
      <c r="A58" s="216"/>
      <c r="B58" s="255" t="s">
        <v>161</v>
      </c>
      <c r="C58" s="245" t="s">
        <v>162</v>
      </c>
      <c r="D58" s="227" t="s">
        <v>163</v>
      </c>
      <c r="E58" s="241"/>
      <c r="F58" s="228">
        <v>0.1624649459368899</v>
      </c>
      <c r="G58" s="269">
        <f>+F58*G56</f>
        <v>1.8421919233732907E-4</v>
      </c>
      <c r="H58" s="338">
        <v>45768</v>
      </c>
      <c r="I58" s="338">
        <v>45884</v>
      </c>
      <c r="J58" s="338">
        <v>45768</v>
      </c>
      <c r="K58" s="338">
        <v>45884</v>
      </c>
      <c r="L58" s="339"/>
      <c r="M58" s="339"/>
      <c r="N58" s="229">
        <v>1</v>
      </c>
      <c r="O58" s="229">
        <v>1</v>
      </c>
      <c r="P58" s="229">
        <v>1</v>
      </c>
      <c r="Q58" s="336">
        <v>0.8</v>
      </c>
      <c r="R58" s="256">
        <f t="shared" si="6"/>
        <v>0.8</v>
      </c>
      <c r="S58" s="256">
        <f t="shared" si="6"/>
        <v>0.8</v>
      </c>
      <c r="T58" s="256">
        <f t="shared" si="6"/>
        <v>0.8</v>
      </c>
      <c r="U58" s="216"/>
      <c r="V58" s="216"/>
    </row>
    <row r="59" spans="1:22" s="140" customFormat="1" ht="12.75" hidden="1" outlineLevel="2">
      <c r="A59" s="216"/>
      <c r="B59" s="255" t="s">
        <v>164</v>
      </c>
      <c r="C59" s="245" t="s">
        <v>165</v>
      </c>
      <c r="D59" s="227" t="s">
        <v>166</v>
      </c>
      <c r="E59" s="241"/>
      <c r="F59" s="228">
        <v>0.19260369461123825</v>
      </c>
      <c r="G59" s="269">
        <f>+F59*G56</f>
        <v>2.1839355473180489E-4</v>
      </c>
      <c r="H59" s="299">
        <v>45768</v>
      </c>
      <c r="I59" s="299">
        <v>45884</v>
      </c>
      <c r="J59" s="299">
        <v>45768</v>
      </c>
      <c r="K59" s="299">
        <v>45884</v>
      </c>
      <c r="L59" s="269"/>
      <c r="M59" s="269"/>
      <c r="N59" s="229">
        <v>1</v>
      </c>
      <c r="O59" s="229">
        <v>1</v>
      </c>
      <c r="P59" s="229">
        <v>1</v>
      </c>
      <c r="Q59" s="272">
        <v>1</v>
      </c>
      <c r="R59" s="256">
        <f t="shared" si="6"/>
        <v>1</v>
      </c>
      <c r="S59" s="256">
        <f t="shared" si="6"/>
        <v>1</v>
      </c>
      <c r="T59" s="256">
        <f t="shared" si="6"/>
        <v>1</v>
      </c>
      <c r="U59" s="216"/>
      <c r="V59" s="216"/>
    </row>
    <row r="60" spans="1:22" s="140" customFormat="1" ht="12.75" hidden="1" outlineLevel="2">
      <c r="A60" s="216"/>
      <c r="B60" s="255" t="s">
        <v>167</v>
      </c>
      <c r="C60" s="245" t="s">
        <v>168</v>
      </c>
      <c r="D60" s="227" t="s">
        <v>169</v>
      </c>
      <c r="E60" s="241"/>
      <c r="F60" s="228">
        <v>0.14493603814839931</v>
      </c>
      <c r="G60" s="269">
        <f>+F60*G56</f>
        <v>1.6434314328114908E-4</v>
      </c>
      <c r="H60" s="299">
        <v>45768</v>
      </c>
      <c r="I60" s="299">
        <v>45884</v>
      </c>
      <c r="J60" s="299">
        <v>45768</v>
      </c>
      <c r="K60" s="299">
        <v>45884</v>
      </c>
      <c r="L60" s="269"/>
      <c r="M60" s="269"/>
      <c r="N60" s="229">
        <v>1</v>
      </c>
      <c r="O60" s="229">
        <v>1</v>
      </c>
      <c r="P60" s="229">
        <v>1</v>
      </c>
      <c r="Q60" s="272">
        <v>1</v>
      </c>
      <c r="R60" s="256">
        <f t="shared" si="6"/>
        <v>1</v>
      </c>
      <c r="S60" s="256">
        <f t="shared" si="6"/>
        <v>1</v>
      </c>
      <c r="T60" s="256">
        <f t="shared" si="6"/>
        <v>1</v>
      </c>
      <c r="U60" s="216"/>
      <c r="V60" s="216"/>
    </row>
    <row r="61" spans="1:22" s="140" customFormat="1" ht="12.75" hidden="1" outlineLevel="1">
      <c r="A61" s="216"/>
      <c r="B61" s="303">
        <v>2.2000000000000002</v>
      </c>
      <c r="C61" s="304" t="s">
        <v>170</v>
      </c>
      <c r="D61" s="304" t="s">
        <v>171</v>
      </c>
      <c r="E61" s="302">
        <v>2231740000</v>
      </c>
      <c r="F61" s="305">
        <f>E61/$E$9</f>
        <v>0.27149579029539028</v>
      </c>
      <c r="G61" s="305">
        <f>+F61*G11</f>
        <v>1.980224570072199E-2</v>
      </c>
      <c r="H61" s="306">
        <v>45768</v>
      </c>
      <c r="I61" s="306">
        <v>45884</v>
      </c>
      <c r="J61" s="306">
        <v>45768</v>
      </c>
      <c r="K61" s="306">
        <v>45884</v>
      </c>
      <c r="L61" s="306">
        <v>45768</v>
      </c>
      <c r="M61" s="306">
        <v>45884</v>
      </c>
      <c r="N61" s="305">
        <v>1</v>
      </c>
      <c r="O61" s="305">
        <v>1</v>
      </c>
      <c r="P61" s="305">
        <v>1</v>
      </c>
      <c r="Q61" s="305">
        <v>0.92</v>
      </c>
      <c r="R61" s="305">
        <f t="shared" si="6"/>
        <v>0.92</v>
      </c>
      <c r="S61" s="305">
        <f t="shared" si="6"/>
        <v>0.92</v>
      </c>
      <c r="T61" s="305">
        <f t="shared" si="6"/>
        <v>0.92</v>
      </c>
      <c r="U61" s="216"/>
      <c r="V61" s="216"/>
    </row>
    <row r="62" spans="1:22" s="140" customFormat="1" ht="21" hidden="1" customHeight="1" outlineLevel="1">
      <c r="B62" s="303">
        <v>2.2999999999999998</v>
      </c>
      <c r="C62" s="304" t="s">
        <v>172</v>
      </c>
      <c r="D62" s="304" t="s">
        <v>173</v>
      </c>
      <c r="E62" s="302">
        <f>SUM(E63:E69)</f>
        <v>5455354289</v>
      </c>
      <c r="F62" s="305">
        <f>E62/$E$9</f>
        <v>0.66365514084678412</v>
      </c>
      <c r="G62" s="305">
        <f>+F62*G35</f>
        <v>1.1148688448489007E-2</v>
      </c>
      <c r="H62" s="306">
        <v>45768</v>
      </c>
      <c r="I62" s="306">
        <v>45884</v>
      </c>
      <c r="J62" s="306">
        <v>45768</v>
      </c>
      <c r="K62" s="306">
        <v>45884</v>
      </c>
      <c r="L62" s="306"/>
      <c r="M62" s="306"/>
      <c r="N62" s="305">
        <f>+SUMPRODUCT($F63:$F69,N63:N69)</f>
        <v>1</v>
      </c>
      <c r="O62" s="305">
        <f>+SUMPRODUCT($F63:$F69,O63:O69)</f>
        <v>1</v>
      </c>
      <c r="P62" s="305">
        <f>+SUMPRODUCT($F63:$F69,P63:P69)</f>
        <v>1</v>
      </c>
      <c r="Q62" s="305">
        <f>+SUMPRODUCT($F63:$F69,Q63:Q69)</f>
        <v>0.15178500701038522</v>
      </c>
      <c r="R62" s="305">
        <f t="shared" si="6"/>
        <v>0.15178500701038522</v>
      </c>
      <c r="S62" s="305">
        <f t="shared" si="6"/>
        <v>0.15178500701038522</v>
      </c>
      <c r="T62" s="305">
        <f t="shared" si="6"/>
        <v>0.15178500701038522</v>
      </c>
    </row>
    <row r="63" spans="1:22" s="140" customFormat="1" ht="25.5" hidden="1" outlineLevel="2">
      <c r="A63" s="216"/>
      <c r="B63" s="255" t="s">
        <v>174</v>
      </c>
      <c r="C63" s="245" t="s">
        <v>175</v>
      </c>
      <c r="D63" s="227" t="s">
        <v>176</v>
      </c>
      <c r="E63" s="328">
        <v>505000000</v>
      </c>
      <c r="F63" s="228">
        <f>E63/$E$62</f>
        <v>9.256960652734611E-2</v>
      </c>
      <c r="G63" s="269">
        <f>+F63*G62</f>
        <v>1.0320297029725962E-3</v>
      </c>
      <c r="H63" s="299">
        <v>45768</v>
      </c>
      <c r="I63" s="299">
        <v>45884</v>
      </c>
      <c r="J63" s="299">
        <v>45768</v>
      </c>
      <c r="K63" s="299">
        <v>45884</v>
      </c>
      <c r="L63" s="269"/>
      <c r="M63" s="269"/>
      <c r="N63" s="229">
        <v>1</v>
      </c>
      <c r="O63" s="229">
        <v>1</v>
      </c>
      <c r="P63" s="229">
        <v>1</v>
      </c>
      <c r="Q63" s="272">
        <v>1</v>
      </c>
      <c r="R63" s="256">
        <f t="shared" si="6"/>
        <v>1</v>
      </c>
      <c r="S63" s="256">
        <f t="shared" si="6"/>
        <v>1</v>
      </c>
      <c r="T63" s="256">
        <f t="shared" si="6"/>
        <v>1</v>
      </c>
      <c r="U63" s="216"/>
      <c r="V63" s="216"/>
    </row>
    <row r="64" spans="1:22" s="140" customFormat="1" ht="25.5" hidden="1" outlineLevel="2">
      <c r="A64" s="216"/>
      <c r="B64" s="255" t="s">
        <v>177</v>
      </c>
      <c r="C64" s="245" t="s">
        <v>178</v>
      </c>
      <c r="D64" s="227" t="s">
        <v>179</v>
      </c>
      <c r="E64" s="328">
        <v>0</v>
      </c>
      <c r="F64" s="228">
        <f t="shared" ref="F64:F69" si="7">E64/$E$62</f>
        <v>0</v>
      </c>
      <c r="G64" s="269">
        <f>+F64*G62</f>
        <v>0</v>
      </c>
      <c r="H64" s="299">
        <v>45768</v>
      </c>
      <c r="I64" s="299">
        <v>45884</v>
      </c>
      <c r="J64" s="299">
        <v>45768</v>
      </c>
      <c r="K64" s="299">
        <v>45884</v>
      </c>
      <c r="L64" s="269"/>
      <c r="M64" s="269"/>
      <c r="N64" s="229">
        <v>1</v>
      </c>
      <c r="O64" s="229">
        <v>1</v>
      </c>
      <c r="P64" s="229">
        <v>1</v>
      </c>
      <c r="Q64" s="272">
        <v>0</v>
      </c>
      <c r="R64" s="256">
        <f t="shared" si="6"/>
        <v>0</v>
      </c>
      <c r="S64" s="256">
        <f t="shared" si="6"/>
        <v>0</v>
      </c>
      <c r="T64" s="256">
        <f t="shared" si="6"/>
        <v>0</v>
      </c>
      <c r="U64" s="216"/>
      <c r="V64" s="216"/>
    </row>
    <row r="65" spans="1:22" s="140" customFormat="1" ht="12.75" hidden="1" outlineLevel="2">
      <c r="A65" s="216"/>
      <c r="B65" s="255" t="s">
        <v>180</v>
      </c>
      <c r="C65" s="245" t="s">
        <v>181</v>
      </c>
      <c r="D65" s="227" t="s">
        <v>182</v>
      </c>
      <c r="E65" s="328">
        <v>323040989</v>
      </c>
      <c r="F65" s="228">
        <f t="shared" si="7"/>
        <v>5.9215400483039096E-2</v>
      </c>
      <c r="G65" s="269">
        <f>+F65*G56</f>
        <v>6.7144411909966347E-5</v>
      </c>
      <c r="H65" s="299">
        <v>45768</v>
      </c>
      <c r="I65" s="299">
        <v>45884</v>
      </c>
      <c r="J65" s="299">
        <v>45768</v>
      </c>
      <c r="K65" s="299">
        <v>45884</v>
      </c>
      <c r="L65" s="269"/>
      <c r="M65" s="269"/>
      <c r="N65" s="229">
        <v>1</v>
      </c>
      <c r="O65" s="229">
        <v>1</v>
      </c>
      <c r="P65" s="229">
        <v>1</v>
      </c>
      <c r="Q65" s="272">
        <v>1</v>
      </c>
      <c r="R65" s="256">
        <f t="shared" si="6"/>
        <v>1</v>
      </c>
      <c r="S65" s="256">
        <f t="shared" si="6"/>
        <v>1</v>
      </c>
      <c r="T65" s="256">
        <f t="shared" si="6"/>
        <v>1</v>
      </c>
      <c r="U65" s="216"/>
      <c r="V65" s="216"/>
    </row>
    <row r="66" spans="1:22" s="140" customFormat="1" ht="38.25" hidden="1" outlineLevel="2">
      <c r="A66" s="216"/>
      <c r="B66" s="255" t="s">
        <v>180</v>
      </c>
      <c r="C66" s="245" t="s">
        <v>183</v>
      </c>
      <c r="D66" s="227" t="s">
        <v>184</v>
      </c>
      <c r="E66" s="328">
        <v>1500000000</v>
      </c>
      <c r="F66" s="228">
        <f t="shared" si="7"/>
        <v>0.27495922730894884</v>
      </c>
      <c r="G66" s="269">
        <f t="shared" ref="G66:G69" si="8">+F66*G57</f>
        <v>1.5588683611287635E-4</v>
      </c>
      <c r="H66" s="299">
        <v>45768</v>
      </c>
      <c r="I66" s="299">
        <v>45884</v>
      </c>
      <c r="J66" s="299">
        <v>45768</v>
      </c>
      <c r="K66" s="299">
        <v>45884</v>
      </c>
      <c r="L66" s="269"/>
      <c r="M66" s="269"/>
      <c r="N66" s="229">
        <v>1</v>
      </c>
      <c r="O66" s="229">
        <v>1</v>
      </c>
      <c r="P66" s="229">
        <v>1</v>
      </c>
      <c r="Q66" s="272">
        <v>0</v>
      </c>
      <c r="R66" s="256">
        <f t="shared" si="6"/>
        <v>0</v>
      </c>
      <c r="S66" s="256">
        <f t="shared" si="6"/>
        <v>0</v>
      </c>
      <c r="T66" s="256">
        <f t="shared" si="6"/>
        <v>0</v>
      </c>
      <c r="U66" s="216"/>
      <c r="V66" s="216"/>
    </row>
    <row r="67" spans="1:22" s="140" customFormat="1" ht="38.25" hidden="1" outlineLevel="2">
      <c r="A67" s="216"/>
      <c r="B67" s="255" t="s">
        <v>180</v>
      </c>
      <c r="C67" s="245" t="s">
        <v>185</v>
      </c>
      <c r="D67" s="227" t="s">
        <v>186</v>
      </c>
      <c r="E67" s="328">
        <v>327313300</v>
      </c>
      <c r="F67" s="228">
        <f t="shared" si="7"/>
        <v>5.9998541370628107E-2</v>
      </c>
      <c r="G67" s="269">
        <f t="shared" si="8"/>
        <v>1.1052882832714934E-5</v>
      </c>
      <c r="H67" s="299">
        <v>45768</v>
      </c>
      <c r="I67" s="299">
        <v>45884</v>
      </c>
      <c r="J67" s="299">
        <v>45768</v>
      </c>
      <c r="K67" s="299">
        <v>45884</v>
      </c>
      <c r="L67" s="269"/>
      <c r="M67" s="269"/>
      <c r="N67" s="229">
        <v>1</v>
      </c>
      <c r="O67" s="229">
        <v>1</v>
      </c>
      <c r="P67" s="229">
        <v>1</v>
      </c>
      <c r="Q67" s="272">
        <v>0</v>
      </c>
      <c r="R67" s="256">
        <f t="shared" si="6"/>
        <v>0</v>
      </c>
      <c r="S67" s="256">
        <f t="shared" si="6"/>
        <v>0</v>
      </c>
      <c r="T67" s="256">
        <f t="shared" si="6"/>
        <v>0</v>
      </c>
      <c r="U67" s="216"/>
      <c r="V67" s="216"/>
    </row>
    <row r="68" spans="1:22" s="140" customFormat="1" ht="25.5" hidden="1" outlineLevel="2">
      <c r="A68" s="216"/>
      <c r="B68" s="255" t="s">
        <v>180</v>
      </c>
      <c r="C68" s="245" t="s">
        <v>187</v>
      </c>
      <c r="D68" s="227" t="s">
        <v>188</v>
      </c>
      <c r="E68" s="328">
        <v>0</v>
      </c>
      <c r="F68" s="228">
        <f t="shared" si="7"/>
        <v>0</v>
      </c>
      <c r="G68" s="269">
        <f t="shared" si="8"/>
        <v>0</v>
      </c>
      <c r="H68" s="299">
        <v>45768</v>
      </c>
      <c r="I68" s="299">
        <v>45884</v>
      </c>
      <c r="J68" s="299">
        <v>45768</v>
      </c>
      <c r="K68" s="299">
        <v>45884</v>
      </c>
      <c r="L68" s="269"/>
      <c r="M68" s="269"/>
      <c r="N68" s="229">
        <v>1</v>
      </c>
      <c r="O68" s="229">
        <v>1</v>
      </c>
      <c r="P68" s="229">
        <v>1</v>
      </c>
      <c r="Q68" s="272">
        <v>0</v>
      </c>
      <c r="R68" s="256">
        <f t="shared" si="6"/>
        <v>0</v>
      </c>
      <c r="S68" s="256">
        <f t="shared" si="6"/>
        <v>0</v>
      </c>
      <c r="T68" s="256">
        <f t="shared" si="6"/>
        <v>0</v>
      </c>
      <c r="U68" s="216"/>
      <c r="V68" s="216"/>
    </row>
    <row r="69" spans="1:22" s="140" customFormat="1" ht="51" hidden="1" outlineLevel="2">
      <c r="A69" s="216"/>
      <c r="B69" s="255" t="s">
        <v>180</v>
      </c>
      <c r="C69" s="341" t="s">
        <v>189</v>
      </c>
      <c r="D69" s="227" t="s">
        <v>190</v>
      </c>
      <c r="E69" s="328">
        <v>2800000000</v>
      </c>
      <c r="F69" s="228">
        <f t="shared" si="7"/>
        <v>0.51325722431003784</v>
      </c>
      <c r="G69" s="269">
        <f t="shared" si="8"/>
        <v>8.4350305554869415E-5</v>
      </c>
      <c r="H69" s="299">
        <v>45768</v>
      </c>
      <c r="I69" s="299">
        <v>45884</v>
      </c>
      <c r="J69" s="299">
        <v>45768</v>
      </c>
      <c r="K69" s="299">
        <v>45884</v>
      </c>
      <c r="L69" s="269"/>
      <c r="M69" s="269"/>
      <c r="N69" s="229">
        <v>1</v>
      </c>
      <c r="O69" s="229">
        <v>1</v>
      </c>
      <c r="P69" s="229">
        <v>1</v>
      </c>
      <c r="Q69" s="272">
        <v>0</v>
      </c>
      <c r="R69" s="256">
        <f t="shared" si="6"/>
        <v>0</v>
      </c>
      <c r="S69" s="256">
        <f t="shared" si="6"/>
        <v>0</v>
      </c>
      <c r="T69" s="256">
        <f t="shared" si="6"/>
        <v>0</v>
      </c>
      <c r="U69" s="216"/>
      <c r="V69" s="216"/>
    </row>
    <row r="70" spans="1:22" s="140" customFormat="1" ht="12.75" hidden="1" outlineLevel="1">
      <c r="B70" s="300" t="s">
        <v>191</v>
      </c>
      <c r="C70" s="294" t="s">
        <v>192</v>
      </c>
      <c r="D70" s="294" t="s">
        <v>193</v>
      </c>
      <c r="E70" s="295">
        <f>SUM(E71:E82)</f>
        <v>0</v>
      </c>
      <c r="F70" s="296">
        <f>E70/$E$9</f>
        <v>0</v>
      </c>
      <c r="G70" s="296">
        <f>+F70*G9</f>
        <v>0</v>
      </c>
      <c r="H70" s="297">
        <v>45768</v>
      </c>
      <c r="I70" s="297">
        <v>45884</v>
      </c>
      <c r="J70" s="297">
        <v>45768</v>
      </c>
      <c r="K70" s="297">
        <v>45884</v>
      </c>
      <c r="L70" s="296"/>
      <c r="M70" s="296"/>
      <c r="N70" s="296">
        <f>+SUMPRODUCT($F71:$F82,N71:N82)</f>
        <v>0</v>
      </c>
      <c r="O70" s="296">
        <f>+SUMPRODUCT($F71:$F82,O71:O82)</f>
        <v>0</v>
      </c>
      <c r="P70" s="296">
        <f>+SUMPRODUCT($F71:$F82,P71:P82)</f>
        <v>0</v>
      </c>
      <c r="Q70" s="296">
        <f>+SUMPRODUCT($F71:$F82,Q71:Q82)</f>
        <v>9.1696347123260372E-2</v>
      </c>
      <c r="R70" s="296">
        <f t="shared" si="6"/>
        <v>0</v>
      </c>
      <c r="S70" s="296">
        <f t="shared" si="6"/>
        <v>0</v>
      </c>
      <c r="T70" s="296">
        <f t="shared" si="6"/>
        <v>0</v>
      </c>
    </row>
    <row r="71" spans="1:22" s="140" customFormat="1" ht="12.75" hidden="1" outlineLevel="1">
      <c r="A71" s="216"/>
      <c r="B71" s="255" t="s">
        <v>194</v>
      </c>
      <c r="C71" s="245" t="s">
        <v>195</v>
      </c>
      <c r="D71" s="227" t="s">
        <v>196</v>
      </c>
      <c r="E71" s="241"/>
      <c r="F71" s="228">
        <f t="shared" ref="F71:F82" si="9">IF(SUM($E$71:$E$82)=0,F892,E71/SUM($E$71:$E$82))</f>
        <v>0.11462043390407546</v>
      </c>
      <c r="G71" s="269">
        <f>+F71*G70</f>
        <v>0</v>
      </c>
      <c r="H71" s="299">
        <v>45768</v>
      </c>
      <c r="I71" s="299">
        <v>45884</v>
      </c>
      <c r="J71" s="299">
        <v>45768</v>
      </c>
      <c r="K71" s="299">
        <v>45884</v>
      </c>
      <c r="L71" s="269"/>
      <c r="M71" s="269"/>
      <c r="N71" s="229">
        <v>0</v>
      </c>
      <c r="O71" s="229">
        <v>0</v>
      </c>
      <c r="P71" s="229">
        <v>0</v>
      </c>
      <c r="Q71" s="272">
        <v>0.8</v>
      </c>
      <c r="R71" s="256">
        <f t="shared" si="6"/>
        <v>0</v>
      </c>
      <c r="S71" s="256">
        <f t="shared" si="6"/>
        <v>0</v>
      </c>
      <c r="T71" s="256">
        <f t="shared" si="6"/>
        <v>0</v>
      </c>
      <c r="U71" s="216"/>
      <c r="V71" s="216"/>
    </row>
    <row r="72" spans="1:22" s="140" customFormat="1" ht="12.75" hidden="1" outlineLevel="1">
      <c r="A72" s="216"/>
      <c r="B72" s="255" t="s">
        <v>197</v>
      </c>
      <c r="C72" s="245" t="s">
        <v>198</v>
      </c>
      <c r="D72" s="227" t="s">
        <v>199</v>
      </c>
      <c r="E72" s="241"/>
      <c r="F72" s="228">
        <f t="shared" si="9"/>
        <v>0.16914444012256166</v>
      </c>
      <c r="G72" s="269">
        <f>+F72*G70</f>
        <v>0</v>
      </c>
      <c r="H72" s="299">
        <v>45768</v>
      </c>
      <c r="I72" s="299">
        <v>45884</v>
      </c>
      <c r="J72" s="299">
        <v>45768</v>
      </c>
      <c r="K72" s="299">
        <v>45884</v>
      </c>
      <c r="L72" s="269"/>
      <c r="M72" s="269"/>
      <c r="N72" s="229">
        <v>0</v>
      </c>
      <c r="O72" s="229">
        <v>0</v>
      </c>
      <c r="P72" s="229">
        <v>0</v>
      </c>
      <c r="Q72" s="272">
        <v>0</v>
      </c>
      <c r="R72" s="256">
        <f t="shared" si="6"/>
        <v>0</v>
      </c>
      <c r="S72" s="256">
        <f t="shared" si="6"/>
        <v>0</v>
      </c>
      <c r="T72" s="256">
        <f t="shared" si="6"/>
        <v>0</v>
      </c>
      <c r="U72" s="216"/>
      <c r="V72" s="216"/>
    </row>
    <row r="73" spans="1:22" s="140" customFormat="1" ht="12.75" hidden="1" outlineLevel="1">
      <c r="A73" s="216"/>
      <c r="B73" s="255" t="s">
        <v>200</v>
      </c>
      <c r="C73" s="245" t="s">
        <v>201</v>
      </c>
      <c r="D73" s="227" t="s">
        <v>202</v>
      </c>
      <c r="E73" s="241"/>
      <c r="F73" s="228">
        <f t="shared" si="9"/>
        <v>0.15393682703771108</v>
      </c>
      <c r="G73" s="269">
        <f>+F73*G70</f>
        <v>0</v>
      </c>
      <c r="H73" s="299">
        <v>45768</v>
      </c>
      <c r="I73" s="299">
        <v>45884</v>
      </c>
      <c r="J73" s="299">
        <v>45768</v>
      </c>
      <c r="K73" s="299">
        <v>45884</v>
      </c>
      <c r="L73" s="269"/>
      <c r="M73" s="269"/>
      <c r="N73" s="229">
        <v>0</v>
      </c>
      <c r="O73" s="229">
        <v>0</v>
      </c>
      <c r="P73" s="229">
        <v>0</v>
      </c>
      <c r="Q73" s="272">
        <v>0</v>
      </c>
      <c r="R73" s="256">
        <f t="shared" si="6"/>
        <v>0</v>
      </c>
      <c r="S73" s="256">
        <f t="shared" si="6"/>
        <v>0</v>
      </c>
      <c r="T73" s="256">
        <f t="shared" si="6"/>
        <v>0</v>
      </c>
      <c r="U73" s="216"/>
      <c r="V73" s="216"/>
    </row>
    <row r="74" spans="1:22" s="140" customFormat="1" ht="12.75" hidden="1" outlineLevel="1">
      <c r="A74" s="216"/>
      <c r="B74" s="255" t="s">
        <v>203</v>
      </c>
      <c r="C74" s="245" t="s">
        <v>204</v>
      </c>
      <c r="D74" s="227" t="s">
        <v>205</v>
      </c>
      <c r="E74" s="241"/>
      <c r="F74" s="228">
        <f t="shared" si="9"/>
        <v>3.9190487501575728E-2</v>
      </c>
      <c r="G74" s="269">
        <f>+F74*G70</f>
        <v>0</v>
      </c>
      <c r="H74" s="299">
        <v>45768</v>
      </c>
      <c r="I74" s="299">
        <v>45884</v>
      </c>
      <c r="J74" s="299">
        <v>45768</v>
      </c>
      <c r="K74" s="299">
        <v>45884</v>
      </c>
      <c r="L74" s="269"/>
      <c r="M74" s="269"/>
      <c r="N74" s="229">
        <v>0</v>
      </c>
      <c r="O74" s="229">
        <v>0</v>
      </c>
      <c r="P74" s="229">
        <v>0</v>
      </c>
      <c r="Q74" s="272">
        <v>0</v>
      </c>
      <c r="R74" s="256">
        <f t="shared" si="6"/>
        <v>0</v>
      </c>
      <c r="S74" s="256">
        <f t="shared" si="6"/>
        <v>0</v>
      </c>
      <c r="T74" s="256">
        <f t="shared" si="6"/>
        <v>0</v>
      </c>
      <c r="U74" s="216"/>
      <c r="V74" s="216"/>
    </row>
    <row r="75" spans="1:22" s="140" customFormat="1" ht="12.75" hidden="1" outlineLevel="1">
      <c r="A75" s="216"/>
      <c r="B75" s="255" t="s">
        <v>206</v>
      </c>
      <c r="C75" s="245" t="s">
        <v>207</v>
      </c>
      <c r="D75" s="227" t="s">
        <v>205</v>
      </c>
      <c r="E75" s="241"/>
      <c r="F75" s="228">
        <f t="shared" si="9"/>
        <v>3.9190487501575728E-2</v>
      </c>
      <c r="G75" s="269">
        <f>+F75*G70</f>
        <v>0</v>
      </c>
      <c r="H75" s="299">
        <v>45768</v>
      </c>
      <c r="I75" s="299">
        <v>45884</v>
      </c>
      <c r="J75" s="299">
        <v>45768</v>
      </c>
      <c r="K75" s="299">
        <v>45884</v>
      </c>
      <c r="L75" s="269"/>
      <c r="M75" s="269"/>
      <c r="N75" s="229">
        <v>0</v>
      </c>
      <c r="O75" s="229">
        <v>0</v>
      </c>
      <c r="P75" s="229">
        <v>0</v>
      </c>
      <c r="Q75" s="272">
        <v>0</v>
      </c>
      <c r="R75" s="256">
        <f t="shared" si="6"/>
        <v>0</v>
      </c>
      <c r="S75" s="256">
        <f t="shared" si="6"/>
        <v>0</v>
      </c>
      <c r="T75" s="256">
        <f t="shared" si="6"/>
        <v>0</v>
      </c>
      <c r="U75" s="216"/>
      <c r="V75" s="216"/>
    </row>
    <row r="76" spans="1:22" s="140" customFormat="1" ht="12.75" hidden="1" outlineLevel="1">
      <c r="A76" s="216"/>
      <c r="B76" s="255" t="s">
        <v>208</v>
      </c>
      <c r="C76" s="245" t="s">
        <v>209</v>
      </c>
      <c r="D76" s="227" t="s">
        <v>205</v>
      </c>
      <c r="E76" s="241"/>
      <c r="F76" s="228">
        <f t="shared" si="9"/>
        <v>3.9190487501575728E-2</v>
      </c>
      <c r="G76" s="269">
        <f>+F76*G70</f>
        <v>0</v>
      </c>
      <c r="H76" s="299">
        <v>45768</v>
      </c>
      <c r="I76" s="299">
        <v>45884</v>
      </c>
      <c r="J76" s="299">
        <v>45768</v>
      </c>
      <c r="K76" s="299">
        <v>45884</v>
      </c>
      <c r="L76" s="269"/>
      <c r="M76" s="269"/>
      <c r="N76" s="229">
        <v>0</v>
      </c>
      <c r="O76" s="229">
        <v>0</v>
      </c>
      <c r="P76" s="229">
        <v>0</v>
      </c>
      <c r="Q76" s="272">
        <v>0</v>
      </c>
      <c r="R76" s="256">
        <f t="shared" si="6"/>
        <v>0</v>
      </c>
      <c r="S76" s="256">
        <f t="shared" si="6"/>
        <v>0</v>
      </c>
      <c r="T76" s="256">
        <f t="shared" si="6"/>
        <v>0</v>
      </c>
      <c r="U76" s="216"/>
      <c r="V76" s="216"/>
    </row>
    <row r="77" spans="1:22" s="140" customFormat="1" ht="12.75" hidden="1" outlineLevel="1">
      <c r="A77" s="216"/>
      <c r="B77" s="255" t="s">
        <v>210</v>
      </c>
      <c r="C77" s="245" t="s">
        <v>211</v>
      </c>
      <c r="D77" s="227" t="s">
        <v>205</v>
      </c>
      <c r="E77" s="241"/>
      <c r="F77" s="228">
        <f t="shared" si="9"/>
        <v>3.9190487501575728E-2</v>
      </c>
      <c r="G77" s="269">
        <f>+F77*G70</f>
        <v>0</v>
      </c>
      <c r="H77" s="299">
        <v>45768</v>
      </c>
      <c r="I77" s="299">
        <v>45884</v>
      </c>
      <c r="J77" s="299">
        <v>45768</v>
      </c>
      <c r="K77" s="299">
        <v>45884</v>
      </c>
      <c r="L77" s="269"/>
      <c r="M77" s="269"/>
      <c r="N77" s="229">
        <v>0</v>
      </c>
      <c r="O77" s="229">
        <v>0</v>
      </c>
      <c r="P77" s="229">
        <v>0</v>
      </c>
      <c r="Q77" s="272">
        <v>0</v>
      </c>
      <c r="R77" s="256">
        <f t="shared" si="6"/>
        <v>0</v>
      </c>
      <c r="S77" s="256">
        <f t="shared" si="6"/>
        <v>0</v>
      </c>
      <c r="T77" s="256">
        <f t="shared" si="6"/>
        <v>0</v>
      </c>
      <c r="U77" s="216"/>
      <c r="V77" s="216"/>
    </row>
    <row r="78" spans="1:22" s="140" customFormat="1" ht="12.75" hidden="1" outlineLevel="1">
      <c r="A78" s="216"/>
      <c r="B78" s="255" t="s">
        <v>212</v>
      </c>
      <c r="C78" s="245" t="s">
        <v>213</v>
      </c>
      <c r="D78" s="227" t="s">
        <v>205</v>
      </c>
      <c r="E78" s="241"/>
      <c r="F78" s="228">
        <f t="shared" si="9"/>
        <v>3.9190487501575728E-2</v>
      </c>
      <c r="G78" s="269">
        <f>+F78*G70</f>
        <v>0</v>
      </c>
      <c r="H78" s="299">
        <v>45768</v>
      </c>
      <c r="I78" s="299">
        <v>45884</v>
      </c>
      <c r="J78" s="299">
        <v>45768</v>
      </c>
      <c r="K78" s="299">
        <v>45884</v>
      </c>
      <c r="L78" s="269"/>
      <c r="M78" s="269"/>
      <c r="N78" s="229">
        <v>0</v>
      </c>
      <c r="O78" s="229">
        <v>0</v>
      </c>
      <c r="P78" s="229">
        <v>0</v>
      </c>
      <c r="Q78" s="272">
        <v>0</v>
      </c>
      <c r="R78" s="256">
        <f t="shared" si="6"/>
        <v>0</v>
      </c>
      <c r="S78" s="256">
        <f t="shared" si="6"/>
        <v>0</v>
      </c>
      <c r="T78" s="256">
        <f t="shared" si="6"/>
        <v>0</v>
      </c>
      <c r="U78" s="216"/>
      <c r="V78" s="216"/>
    </row>
    <row r="79" spans="1:22" s="140" customFormat="1" ht="12.75" hidden="1" outlineLevel="1">
      <c r="A79" s="216"/>
      <c r="B79" s="255" t="s">
        <v>214</v>
      </c>
      <c r="C79" s="281" t="s">
        <v>215</v>
      </c>
      <c r="D79" s="282" t="s">
        <v>216</v>
      </c>
      <c r="E79" s="283"/>
      <c r="F79" s="284">
        <f t="shared" si="9"/>
        <v>4.0894421740774678E-2</v>
      </c>
      <c r="G79" s="285">
        <f>+F79*G70</f>
        <v>0</v>
      </c>
      <c r="H79" s="322">
        <v>45768</v>
      </c>
      <c r="I79" s="322">
        <v>45884</v>
      </c>
      <c r="J79" s="322">
        <v>45768</v>
      </c>
      <c r="K79" s="322">
        <v>45884</v>
      </c>
      <c r="L79" s="285"/>
      <c r="M79" s="285"/>
      <c r="N79" s="286">
        <v>0</v>
      </c>
      <c r="O79" s="286">
        <v>0</v>
      </c>
      <c r="P79" s="286">
        <v>0</v>
      </c>
      <c r="Q79" s="287">
        <v>0</v>
      </c>
      <c r="R79" s="288">
        <f t="shared" si="6"/>
        <v>0</v>
      </c>
      <c r="S79" s="288">
        <f t="shared" si="6"/>
        <v>0</v>
      </c>
      <c r="T79" s="288">
        <f t="shared" si="6"/>
        <v>0</v>
      </c>
      <c r="U79" s="216"/>
      <c r="V79" s="216"/>
    </row>
    <row r="80" spans="1:22" s="140" customFormat="1" ht="12.75" hidden="1" outlineLevel="1">
      <c r="A80" s="216"/>
      <c r="B80" s="255" t="s">
        <v>217</v>
      </c>
      <c r="C80" s="281" t="s">
        <v>218</v>
      </c>
      <c r="D80" s="282" t="s">
        <v>219</v>
      </c>
      <c r="E80" s="283"/>
      <c r="F80" s="284">
        <f t="shared" si="9"/>
        <v>0.13120293641831876</v>
      </c>
      <c r="G80" s="285">
        <f>+F80*G70</f>
        <v>0</v>
      </c>
      <c r="H80" s="322">
        <v>45768</v>
      </c>
      <c r="I80" s="322">
        <v>45884</v>
      </c>
      <c r="J80" s="322">
        <v>45768</v>
      </c>
      <c r="K80" s="322">
        <v>45884</v>
      </c>
      <c r="L80" s="285"/>
      <c r="M80" s="285"/>
      <c r="N80" s="286">
        <v>0</v>
      </c>
      <c r="O80" s="286">
        <v>0</v>
      </c>
      <c r="P80" s="286">
        <v>0</v>
      </c>
      <c r="Q80" s="287">
        <v>0</v>
      </c>
      <c r="R80" s="288">
        <f t="shared" si="6"/>
        <v>0</v>
      </c>
      <c r="S80" s="288">
        <f t="shared" si="6"/>
        <v>0</v>
      </c>
      <c r="T80" s="288">
        <f t="shared" si="6"/>
        <v>0</v>
      </c>
      <c r="U80" s="216"/>
      <c r="V80" s="216"/>
    </row>
    <row r="81" spans="1:22" s="140" customFormat="1" ht="12.75" hidden="1" outlineLevel="1">
      <c r="A81" s="216"/>
      <c r="B81" s="255" t="s">
        <v>220</v>
      </c>
      <c r="C81" s="281" t="s">
        <v>221</v>
      </c>
      <c r="D81" s="282" t="s">
        <v>222</v>
      </c>
      <c r="E81" s="283"/>
      <c r="F81" s="284">
        <f t="shared" si="9"/>
        <v>0.17039342391989448</v>
      </c>
      <c r="G81" s="285">
        <f>+F81*G70</f>
        <v>0</v>
      </c>
      <c r="H81" s="322">
        <v>45768</v>
      </c>
      <c r="I81" s="322">
        <v>45884</v>
      </c>
      <c r="J81" s="322">
        <v>45768</v>
      </c>
      <c r="K81" s="322">
        <v>45884</v>
      </c>
      <c r="L81" s="285"/>
      <c r="M81" s="285"/>
      <c r="N81" s="286">
        <v>0</v>
      </c>
      <c r="O81" s="286">
        <v>0</v>
      </c>
      <c r="P81" s="286">
        <v>0</v>
      </c>
      <c r="Q81" s="287">
        <v>0</v>
      </c>
      <c r="R81" s="288">
        <f t="shared" ref="R81:T96" si="10">+IF(N81=0,0,$Q81/N81)</f>
        <v>0</v>
      </c>
      <c r="S81" s="288">
        <f t="shared" si="10"/>
        <v>0</v>
      </c>
      <c r="T81" s="288">
        <f t="shared" si="10"/>
        <v>0</v>
      </c>
      <c r="U81" s="216"/>
      <c r="V81" s="216"/>
    </row>
    <row r="82" spans="1:22" s="140" customFormat="1" ht="13.5" hidden="1" outlineLevel="1" thickBot="1">
      <c r="A82" s="216"/>
      <c r="B82" s="255" t="s">
        <v>223</v>
      </c>
      <c r="C82" s="281" t="s">
        <v>224</v>
      </c>
      <c r="D82" s="282" t="s">
        <v>225</v>
      </c>
      <c r="E82" s="283"/>
      <c r="F82" s="284">
        <f t="shared" si="9"/>
        <v>2.3855079348785228E-2</v>
      </c>
      <c r="G82" s="285">
        <f>+F82*G70</f>
        <v>0</v>
      </c>
      <c r="H82" s="322">
        <v>45768</v>
      </c>
      <c r="I82" s="322">
        <v>45884</v>
      </c>
      <c r="J82" s="322">
        <v>45768</v>
      </c>
      <c r="K82" s="322">
        <v>45884</v>
      </c>
      <c r="L82" s="285"/>
      <c r="M82" s="285"/>
      <c r="N82" s="286">
        <v>0</v>
      </c>
      <c r="O82" s="286">
        <v>0</v>
      </c>
      <c r="P82" s="286">
        <v>0</v>
      </c>
      <c r="Q82" s="287">
        <v>0</v>
      </c>
      <c r="R82" s="288">
        <f t="shared" si="10"/>
        <v>0</v>
      </c>
      <c r="S82" s="288">
        <f t="shared" si="10"/>
        <v>0</v>
      </c>
      <c r="T82" s="288">
        <f t="shared" si="10"/>
        <v>0</v>
      </c>
      <c r="U82" s="216"/>
      <c r="V82" s="216"/>
    </row>
    <row r="83" spans="1:22" s="140" customFormat="1" ht="13.5" collapsed="1" thickBot="1">
      <c r="B83" s="312">
        <v>3</v>
      </c>
      <c r="C83" s="313"/>
      <c r="D83" s="314" t="s">
        <v>226</v>
      </c>
      <c r="E83" s="315"/>
      <c r="F83" s="316"/>
      <c r="G83" s="317">
        <v>0.03</v>
      </c>
      <c r="H83" s="317"/>
      <c r="I83" s="317"/>
      <c r="J83" s="317"/>
      <c r="K83" s="317"/>
      <c r="L83" s="317"/>
      <c r="M83" s="317"/>
      <c r="N83" s="318">
        <f>+($F84*N84+$F206*N206+$F222*N222+$F255*N255)</f>
        <v>0.99999999999999978</v>
      </c>
      <c r="O83" s="318">
        <f>+($F84*O84+$F206*O206+$F222*O222+$F255*O255)</f>
        <v>0.99999999999999978</v>
      </c>
      <c r="P83" s="318">
        <f>+($F84*P84+$F206*P206+$F222*P222+$F255*P255)</f>
        <v>0.99999999999999978</v>
      </c>
      <c r="Q83" s="319">
        <f>+($F84*Q84+$F206*Q206+$F222*Q222)</f>
        <v>0.89334056727831501</v>
      </c>
      <c r="R83" s="320">
        <f t="shared" si="10"/>
        <v>0.89334056727831523</v>
      </c>
      <c r="S83" s="320">
        <f t="shared" si="10"/>
        <v>0.89334056727831523</v>
      </c>
      <c r="T83" s="320">
        <f t="shared" si="10"/>
        <v>0.89334056727831523</v>
      </c>
    </row>
    <row r="84" spans="1:22" s="140" customFormat="1" ht="12.75" hidden="1" outlineLevel="1">
      <c r="B84" s="300" t="s">
        <v>227</v>
      </c>
      <c r="C84" s="294"/>
      <c r="D84" s="294" t="s">
        <v>31</v>
      </c>
      <c r="E84" s="295"/>
      <c r="F84" s="296">
        <f>F719</f>
        <v>0.72937579176373002</v>
      </c>
      <c r="G84" s="296">
        <f>+F84*G83</f>
        <v>2.1881273752911899E-2</v>
      </c>
      <c r="H84" s="297"/>
      <c r="I84" s="297"/>
      <c r="J84" s="297"/>
      <c r="K84" s="297"/>
      <c r="L84" s="297"/>
      <c r="M84" s="297"/>
      <c r="N84" s="296">
        <f>+$F85*N85+$F106*N106+$F133*N133+$F145*N145+$F158*N158+$F173*N173+$F191*N191</f>
        <v>0.99999999999999989</v>
      </c>
      <c r="O84" s="296">
        <f t="shared" ref="O84:Q84" si="11">+$F85*O85+$F106*O106+$F133*O133+$F145*O145+$F158*O158+$F173*O173+$F191*O191</f>
        <v>0.99999999999999989</v>
      </c>
      <c r="P84" s="296">
        <f t="shared" si="11"/>
        <v>0.99999999999999989</v>
      </c>
      <c r="Q84" s="296">
        <f t="shared" si="11"/>
        <v>0.96197182771917034</v>
      </c>
      <c r="R84" s="296">
        <f t="shared" si="10"/>
        <v>0.96197182771917045</v>
      </c>
      <c r="S84" s="296">
        <f t="shared" si="10"/>
        <v>0.96197182771917045</v>
      </c>
      <c r="T84" s="296">
        <f t="shared" si="10"/>
        <v>0.96197182771917045</v>
      </c>
    </row>
    <row r="85" spans="1:22" s="140" customFormat="1" ht="25.5" hidden="1" outlineLevel="2">
      <c r="A85" s="216"/>
      <c r="B85" s="291" t="s">
        <v>228</v>
      </c>
      <c r="C85" s="292" t="s">
        <v>32</v>
      </c>
      <c r="D85" s="234" t="s">
        <v>33</v>
      </c>
      <c r="E85" s="240"/>
      <c r="F85" s="223">
        <v>0.20095296602369636</v>
      </c>
      <c r="G85" s="293">
        <f>+F85*G84</f>
        <v>4.397106861024104E-3</v>
      </c>
      <c r="H85" s="298"/>
      <c r="I85" s="298"/>
      <c r="J85" s="298"/>
      <c r="K85" s="298"/>
      <c r="L85" s="298"/>
      <c r="M85" s="298"/>
      <c r="N85" s="224">
        <f>+SUMPRODUCT($F86:$F105,N86:N105)</f>
        <v>0.99999999999999978</v>
      </c>
      <c r="O85" s="224">
        <f>+SUMPRODUCT($F86:$F105,O86:O105)</f>
        <v>0.99999999999999978</v>
      </c>
      <c r="P85" s="224">
        <f>+SUMPRODUCT($F86:$F105,P86:P105)</f>
        <v>0.99999999999999978</v>
      </c>
      <c r="Q85" s="270">
        <f>+SUMPRODUCT($F86:$F105,Q86:Q105)</f>
        <v>0.85270909135365192</v>
      </c>
      <c r="R85" s="254">
        <f t="shared" si="10"/>
        <v>0.85270909135365214</v>
      </c>
      <c r="S85" s="254">
        <f t="shared" si="10"/>
        <v>0.85270909135365214</v>
      </c>
      <c r="T85" s="254">
        <f t="shared" si="10"/>
        <v>0.85270909135365214</v>
      </c>
      <c r="U85" s="216"/>
      <c r="V85" s="216"/>
    </row>
    <row r="86" spans="1:22" s="140" customFormat="1" ht="25.5" hidden="1" outlineLevel="3">
      <c r="A86" s="216"/>
      <c r="B86" s="255" t="s">
        <v>229</v>
      </c>
      <c r="C86" s="290" t="s">
        <v>230</v>
      </c>
      <c r="D86" s="227" t="s">
        <v>231</v>
      </c>
      <c r="E86" s="241"/>
      <c r="F86" s="228">
        <f t="shared" ref="F86:F105" si="12">F721</f>
        <v>4.4581817293365446E-2</v>
      </c>
      <c r="G86" s="269">
        <f>+F86*G85</f>
        <v>1.9603101469758025E-4</v>
      </c>
      <c r="H86" s="299"/>
      <c r="I86" s="299"/>
      <c r="J86" s="299"/>
      <c r="K86" s="299"/>
      <c r="L86" s="299"/>
      <c r="M86" s="299"/>
      <c r="N86" s="229">
        <v>1</v>
      </c>
      <c r="O86" s="229">
        <v>1</v>
      </c>
      <c r="P86" s="229">
        <v>1</v>
      </c>
      <c r="Q86" s="272">
        <v>1</v>
      </c>
      <c r="R86" s="256">
        <f t="shared" si="10"/>
        <v>1</v>
      </c>
      <c r="S86" s="256">
        <f t="shared" si="10"/>
        <v>1</v>
      </c>
      <c r="T86" s="256">
        <f t="shared" si="10"/>
        <v>1</v>
      </c>
      <c r="U86" s="216"/>
      <c r="V86" s="216"/>
    </row>
    <row r="87" spans="1:22" s="140" customFormat="1" ht="25.5" hidden="1" outlineLevel="3">
      <c r="A87" s="216"/>
      <c r="B87" s="255" t="s">
        <v>232</v>
      </c>
      <c r="C87" s="290" t="s">
        <v>233</v>
      </c>
      <c r="D87" s="227" t="s">
        <v>231</v>
      </c>
      <c r="E87" s="241"/>
      <c r="F87" s="228">
        <f t="shared" si="12"/>
        <v>4.4581817293365446E-2</v>
      </c>
      <c r="G87" s="269">
        <f>+F87*G85</f>
        <v>1.9603101469758025E-4</v>
      </c>
      <c r="H87" s="299"/>
      <c r="I87" s="299"/>
      <c r="J87" s="299"/>
      <c r="K87" s="299"/>
      <c r="L87" s="299"/>
      <c r="M87" s="299"/>
      <c r="N87" s="229">
        <v>1</v>
      </c>
      <c r="O87" s="229">
        <v>1</v>
      </c>
      <c r="P87" s="229">
        <v>1</v>
      </c>
      <c r="Q87" s="272">
        <v>1</v>
      </c>
      <c r="R87" s="256">
        <f t="shared" si="10"/>
        <v>1</v>
      </c>
      <c r="S87" s="256">
        <f t="shared" si="10"/>
        <v>1</v>
      </c>
      <c r="T87" s="256">
        <f t="shared" si="10"/>
        <v>1</v>
      </c>
      <c r="U87" s="216"/>
      <c r="V87" s="216"/>
    </row>
    <row r="88" spans="1:22" s="140" customFormat="1" ht="25.5" hidden="1" outlineLevel="3">
      <c r="A88" s="216"/>
      <c r="B88" s="255" t="s">
        <v>234</v>
      </c>
      <c r="C88" s="290" t="s">
        <v>235</v>
      </c>
      <c r="D88" s="227" t="s">
        <v>231</v>
      </c>
      <c r="E88" s="241"/>
      <c r="F88" s="228">
        <f t="shared" si="12"/>
        <v>4.4581817293365446E-2</v>
      </c>
      <c r="G88" s="269">
        <f>+F88*G85</f>
        <v>1.9603101469758025E-4</v>
      </c>
      <c r="H88" s="299"/>
      <c r="I88" s="299"/>
      <c r="J88" s="299"/>
      <c r="K88" s="299"/>
      <c r="L88" s="299"/>
      <c r="M88" s="299"/>
      <c r="N88" s="229">
        <v>1</v>
      </c>
      <c r="O88" s="229">
        <v>1</v>
      </c>
      <c r="P88" s="229">
        <v>1</v>
      </c>
      <c r="Q88" s="272">
        <v>1</v>
      </c>
      <c r="R88" s="256">
        <f t="shared" si="10"/>
        <v>1</v>
      </c>
      <c r="S88" s="256">
        <f t="shared" si="10"/>
        <v>1</v>
      </c>
      <c r="T88" s="256">
        <f t="shared" si="10"/>
        <v>1</v>
      </c>
      <c r="U88" s="216"/>
      <c r="V88" s="216"/>
    </row>
    <row r="89" spans="1:22" s="140" customFormat="1" ht="25.5" hidden="1" outlineLevel="3">
      <c r="A89" s="216"/>
      <c r="B89" s="255" t="s">
        <v>236</v>
      </c>
      <c r="C89" s="290" t="s">
        <v>237</v>
      </c>
      <c r="D89" s="227" t="s">
        <v>231</v>
      </c>
      <c r="E89" s="241"/>
      <c r="F89" s="228">
        <f t="shared" si="12"/>
        <v>4.4581817293365446E-2</v>
      </c>
      <c r="G89" s="269">
        <f>+F89*G85</f>
        <v>1.9603101469758025E-4</v>
      </c>
      <c r="H89" s="299"/>
      <c r="I89" s="299"/>
      <c r="J89" s="299"/>
      <c r="K89" s="299"/>
      <c r="L89" s="299"/>
      <c r="M89" s="299"/>
      <c r="N89" s="229">
        <v>1</v>
      </c>
      <c r="O89" s="229">
        <v>1</v>
      </c>
      <c r="P89" s="229">
        <v>1</v>
      </c>
      <c r="Q89" s="272">
        <v>1</v>
      </c>
      <c r="R89" s="256">
        <f t="shared" si="10"/>
        <v>1</v>
      </c>
      <c r="S89" s="256">
        <f t="shared" si="10"/>
        <v>1</v>
      </c>
      <c r="T89" s="256">
        <f t="shared" si="10"/>
        <v>1</v>
      </c>
      <c r="U89" s="216"/>
      <c r="V89" s="216"/>
    </row>
    <row r="90" spans="1:22" s="140" customFormat="1" ht="25.5" hidden="1" outlineLevel="3">
      <c r="A90" s="216"/>
      <c r="B90" s="255" t="s">
        <v>238</v>
      </c>
      <c r="C90" s="290" t="s">
        <v>239</v>
      </c>
      <c r="D90" s="227" t="s">
        <v>231</v>
      </c>
      <c r="E90" s="241"/>
      <c r="F90" s="228">
        <f t="shared" si="12"/>
        <v>4.4581817293365446E-2</v>
      </c>
      <c r="G90" s="269">
        <f>+F90*G85</f>
        <v>1.9603101469758025E-4</v>
      </c>
      <c r="H90" s="299"/>
      <c r="I90" s="299"/>
      <c r="J90" s="299"/>
      <c r="K90" s="299"/>
      <c r="L90" s="299"/>
      <c r="M90" s="299"/>
      <c r="N90" s="229">
        <v>1</v>
      </c>
      <c r="O90" s="229">
        <v>1</v>
      </c>
      <c r="P90" s="229">
        <v>1</v>
      </c>
      <c r="Q90" s="272">
        <v>1</v>
      </c>
      <c r="R90" s="256">
        <f t="shared" si="10"/>
        <v>1</v>
      </c>
      <c r="S90" s="256">
        <f t="shared" si="10"/>
        <v>1</v>
      </c>
      <c r="T90" s="256">
        <f t="shared" si="10"/>
        <v>1</v>
      </c>
      <c r="U90" s="216"/>
      <c r="V90" s="216"/>
    </row>
    <row r="91" spans="1:22" s="140" customFormat="1" ht="25.5" hidden="1" outlineLevel="3">
      <c r="A91" s="216"/>
      <c r="B91" s="255" t="s">
        <v>240</v>
      </c>
      <c r="C91" s="290" t="s">
        <v>241</v>
      </c>
      <c r="D91" s="227" t="s">
        <v>231</v>
      </c>
      <c r="E91" s="241"/>
      <c r="F91" s="228">
        <f t="shared" si="12"/>
        <v>4.4581817293365446E-2</v>
      </c>
      <c r="G91" s="269">
        <f>+F91*G85</f>
        <v>1.9603101469758025E-4</v>
      </c>
      <c r="H91" s="299"/>
      <c r="I91" s="299"/>
      <c r="J91" s="299"/>
      <c r="K91" s="299"/>
      <c r="L91" s="299"/>
      <c r="M91" s="299"/>
      <c r="N91" s="229">
        <v>1</v>
      </c>
      <c r="O91" s="229">
        <v>1</v>
      </c>
      <c r="P91" s="229">
        <v>1</v>
      </c>
      <c r="Q91" s="272">
        <v>1</v>
      </c>
      <c r="R91" s="256">
        <f t="shared" si="10"/>
        <v>1</v>
      </c>
      <c r="S91" s="256">
        <f t="shared" si="10"/>
        <v>1</v>
      </c>
      <c r="T91" s="256">
        <f t="shared" si="10"/>
        <v>1</v>
      </c>
      <c r="U91" s="216"/>
      <c r="V91" s="216"/>
    </row>
    <row r="92" spans="1:22" s="140" customFormat="1" ht="25.5" hidden="1" outlineLevel="3">
      <c r="A92" s="216"/>
      <c r="B92" s="255" t="s">
        <v>242</v>
      </c>
      <c r="C92" s="290" t="s">
        <v>243</v>
      </c>
      <c r="D92" s="227" t="s">
        <v>231</v>
      </c>
      <c r="E92" s="241"/>
      <c r="F92" s="228">
        <f t="shared" si="12"/>
        <v>4.4581817293365446E-2</v>
      </c>
      <c r="G92" s="269">
        <f>+F92*G85</f>
        <v>1.9603101469758025E-4</v>
      </c>
      <c r="H92" s="299"/>
      <c r="I92" s="299"/>
      <c r="J92" s="299"/>
      <c r="K92" s="299"/>
      <c r="L92" s="299"/>
      <c r="M92" s="299"/>
      <c r="N92" s="229">
        <v>1</v>
      </c>
      <c r="O92" s="229">
        <v>1</v>
      </c>
      <c r="P92" s="229">
        <v>1</v>
      </c>
      <c r="Q92" s="272">
        <v>0</v>
      </c>
      <c r="R92" s="256">
        <f t="shared" si="10"/>
        <v>0</v>
      </c>
      <c r="S92" s="256">
        <f t="shared" si="10"/>
        <v>0</v>
      </c>
      <c r="T92" s="256">
        <f t="shared" si="10"/>
        <v>0</v>
      </c>
      <c r="U92" s="216"/>
      <c r="V92" s="216"/>
    </row>
    <row r="93" spans="1:22" s="140" customFormat="1" ht="25.5" hidden="1" outlineLevel="3">
      <c r="A93" s="216"/>
      <c r="B93" s="255" t="s">
        <v>244</v>
      </c>
      <c r="C93" s="290" t="s">
        <v>245</v>
      </c>
      <c r="D93" s="227" t="s">
        <v>231</v>
      </c>
      <c r="E93" s="241"/>
      <c r="F93" s="228">
        <f t="shared" si="12"/>
        <v>4.4581817293365446E-2</v>
      </c>
      <c r="G93" s="269">
        <f>+F93*G85</f>
        <v>1.9603101469758025E-4</v>
      </c>
      <c r="H93" s="299"/>
      <c r="I93" s="299"/>
      <c r="J93" s="299"/>
      <c r="K93" s="299"/>
      <c r="L93" s="299"/>
      <c r="M93" s="299"/>
      <c r="N93" s="229">
        <v>1</v>
      </c>
      <c r="O93" s="229">
        <v>1</v>
      </c>
      <c r="P93" s="229">
        <v>1</v>
      </c>
      <c r="Q93" s="272">
        <v>1</v>
      </c>
      <c r="R93" s="256">
        <f t="shared" si="10"/>
        <v>1</v>
      </c>
      <c r="S93" s="256">
        <f t="shared" si="10"/>
        <v>1</v>
      </c>
      <c r="T93" s="256">
        <f t="shared" si="10"/>
        <v>1</v>
      </c>
      <c r="U93" s="216"/>
      <c r="V93" s="216"/>
    </row>
    <row r="94" spans="1:22" s="140" customFormat="1" ht="25.5" hidden="1" outlineLevel="3">
      <c r="A94" s="216"/>
      <c r="B94" s="255" t="s">
        <v>246</v>
      </c>
      <c r="C94" s="290" t="s">
        <v>247</v>
      </c>
      <c r="D94" s="227" t="s">
        <v>231</v>
      </c>
      <c r="E94" s="241"/>
      <c r="F94" s="228">
        <f t="shared" si="12"/>
        <v>4.4581817293365446E-2</v>
      </c>
      <c r="G94" s="269">
        <f>+F94*G85</f>
        <v>1.9603101469758025E-4</v>
      </c>
      <c r="H94" s="299"/>
      <c r="I94" s="299"/>
      <c r="J94" s="299"/>
      <c r="K94" s="299"/>
      <c r="L94" s="299"/>
      <c r="M94" s="299"/>
      <c r="N94" s="229">
        <v>1</v>
      </c>
      <c r="O94" s="229">
        <v>1</v>
      </c>
      <c r="P94" s="229">
        <v>1</v>
      </c>
      <c r="Q94" s="272">
        <v>1</v>
      </c>
      <c r="R94" s="256">
        <f t="shared" si="10"/>
        <v>1</v>
      </c>
      <c r="S94" s="256">
        <f t="shared" si="10"/>
        <v>1</v>
      </c>
      <c r="T94" s="256">
        <f t="shared" si="10"/>
        <v>1</v>
      </c>
      <c r="U94" s="216"/>
      <c r="V94" s="216"/>
    </row>
    <row r="95" spans="1:22" s="140" customFormat="1" ht="25.5" hidden="1" outlineLevel="3">
      <c r="A95" s="216"/>
      <c r="B95" s="255" t="s">
        <v>248</v>
      </c>
      <c r="C95" s="290" t="s">
        <v>249</v>
      </c>
      <c r="D95" s="227" t="s">
        <v>231</v>
      </c>
      <c r="E95" s="241"/>
      <c r="F95" s="228">
        <f t="shared" si="12"/>
        <v>4.4581817293365446E-2</v>
      </c>
      <c r="G95" s="269">
        <f>+F95*G85</f>
        <v>1.9603101469758025E-4</v>
      </c>
      <c r="H95" s="299"/>
      <c r="I95" s="299"/>
      <c r="J95" s="299"/>
      <c r="K95" s="299"/>
      <c r="L95" s="299"/>
      <c r="M95" s="299"/>
      <c r="N95" s="229">
        <v>1</v>
      </c>
      <c r="O95" s="229">
        <v>1</v>
      </c>
      <c r="P95" s="229">
        <v>1</v>
      </c>
      <c r="Q95" s="272">
        <v>1</v>
      </c>
      <c r="R95" s="256">
        <f t="shared" si="10"/>
        <v>1</v>
      </c>
      <c r="S95" s="256">
        <f t="shared" si="10"/>
        <v>1</v>
      </c>
      <c r="T95" s="256">
        <f t="shared" si="10"/>
        <v>1</v>
      </c>
      <c r="U95" s="216"/>
      <c r="V95" s="216"/>
    </row>
    <row r="96" spans="1:22" s="140" customFormat="1" ht="25.5" hidden="1" outlineLevel="3">
      <c r="A96" s="216"/>
      <c r="B96" s="255" t="s">
        <v>250</v>
      </c>
      <c r="C96" s="290" t="s">
        <v>251</v>
      </c>
      <c r="D96" s="227" t="s">
        <v>231</v>
      </c>
      <c r="E96" s="241"/>
      <c r="F96" s="228">
        <f t="shared" si="12"/>
        <v>4.4581817293365446E-2</v>
      </c>
      <c r="G96" s="269">
        <f>+F96*G85</f>
        <v>1.9603101469758025E-4</v>
      </c>
      <c r="H96" s="299"/>
      <c r="I96" s="299"/>
      <c r="J96" s="299"/>
      <c r="K96" s="299"/>
      <c r="L96" s="299"/>
      <c r="M96" s="299"/>
      <c r="N96" s="229">
        <v>1</v>
      </c>
      <c r="O96" s="229">
        <v>1</v>
      </c>
      <c r="P96" s="229">
        <v>1</v>
      </c>
      <c r="Q96" s="272">
        <v>1</v>
      </c>
      <c r="R96" s="256">
        <f t="shared" si="10"/>
        <v>1</v>
      </c>
      <c r="S96" s="256">
        <f t="shared" si="10"/>
        <v>1</v>
      </c>
      <c r="T96" s="256">
        <f t="shared" si="10"/>
        <v>1</v>
      </c>
      <c r="U96" s="216"/>
      <c r="V96" s="216"/>
    </row>
    <row r="97" spans="1:22" s="140" customFormat="1" ht="25.5" hidden="1" outlineLevel="3">
      <c r="A97" s="216"/>
      <c r="B97" s="255" t="s">
        <v>252</v>
      </c>
      <c r="C97" s="290" t="s">
        <v>253</v>
      </c>
      <c r="D97" s="227" t="s">
        <v>231</v>
      </c>
      <c r="E97" s="241"/>
      <c r="F97" s="228">
        <f t="shared" si="12"/>
        <v>4.4581817293365446E-2</v>
      </c>
      <c r="G97" s="269">
        <f>+F97*G85</f>
        <v>1.9603101469758025E-4</v>
      </c>
      <c r="H97" s="299"/>
      <c r="I97" s="299"/>
      <c r="J97" s="299"/>
      <c r="K97" s="299"/>
      <c r="L97" s="299"/>
      <c r="M97" s="299"/>
      <c r="N97" s="229">
        <v>1</v>
      </c>
      <c r="O97" s="229">
        <v>1</v>
      </c>
      <c r="P97" s="229">
        <v>1</v>
      </c>
      <c r="Q97" s="272">
        <v>0</v>
      </c>
      <c r="R97" s="256">
        <f t="shared" ref="R97:T128" si="13">+IF(N97=0,0,$Q97/N97)</f>
        <v>0</v>
      </c>
      <c r="S97" s="256">
        <f t="shared" si="13"/>
        <v>0</v>
      </c>
      <c r="T97" s="256">
        <f t="shared" si="13"/>
        <v>0</v>
      </c>
      <c r="U97" s="216"/>
      <c r="V97" s="216"/>
    </row>
    <row r="98" spans="1:22" s="140" customFormat="1" ht="25.5" hidden="1" outlineLevel="3">
      <c r="A98" s="216"/>
      <c r="B98" s="255" t="s">
        <v>254</v>
      </c>
      <c r="C98" s="290" t="s">
        <v>255</v>
      </c>
      <c r="D98" s="227" t="s">
        <v>256</v>
      </c>
      <c r="E98" s="241"/>
      <c r="F98" s="228">
        <f t="shared" si="12"/>
        <v>5.8127274059616978E-2</v>
      </c>
      <c r="G98" s="269">
        <f>+F98*G85</f>
        <v>2.5559183558017021E-4</v>
      </c>
      <c r="H98" s="299"/>
      <c r="I98" s="299"/>
      <c r="J98" s="299"/>
      <c r="K98" s="299"/>
      <c r="L98" s="299"/>
      <c r="M98" s="299"/>
      <c r="N98" s="229">
        <v>1</v>
      </c>
      <c r="O98" s="229">
        <v>1</v>
      </c>
      <c r="P98" s="229">
        <v>1</v>
      </c>
      <c r="Q98" s="272">
        <v>1</v>
      </c>
      <c r="R98" s="256">
        <f t="shared" si="13"/>
        <v>1</v>
      </c>
      <c r="S98" s="256">
        <f t="shared" si="13"/>
        <v>1</v>
      </c>
      <c r="T98" s="256">
        <f t="shared" si="13"/>
        <v>1</v>
      </c>
      <c r="U98" s="216"/>
      <c r="V98" s="216"/>
    </row>
    <row r="99" spans="1:22" s="140" customFormat="1" ht="25.5" hidden="1" outlineLevel="3">
      <c r="A99" s="216"/>
      <c r="B99" s="255" t="s">
        <v>257</v>
      </c>
      <c r="C99" s="290" t="s">
        <v>258</v>
      </c>
      <c r="D99" s="227" t="s">
        <v>256</v>
      </c>
      <c r="E99" s="241"/>
      <c r="F99" s="228">
        <f t="shared" si="12"/>
        <v>5.8127274059616978E-2</v>
      </c>
      <c r="G99" s="269">
        <f>+F99*G85</f>
        <v>2.5559183558017021E-4</v>
      </c>
      <c r="H99" s="299"/>
      <c r="I99" s="299"/>
      <c r="J99" s="299"/>
      <c r="K99" s="299"/>
      <c r="L99" s="299"/>
      <c r="M99" s="299"/>
      <c r="N99" s="229">
        <v>1</v>
      </c>
      <c r="O99" s="229">
        <v>1</v>
      </c>
      <c r="P99" s="229">
        <v>1</v>
      </c>
      <c r="Q99" s="272">
        <v>1</v>
      </c>
      <c r="R99" s="256">
        <f t="shared" si="13"/>
        <v>1</v>
      </c>
      <c r="S99" s="256">
        <f t="shared" si="13"/>
        <v>1</v>
      </c>
      <c r="T99" s="256">
        <f t="shared" si="13"/>
        <v>1</v>
      </c>
      <c r="U99" s="216"/>
      <c r="V99" s="216"/>
    </row>
    <row r="100" spans="1:22" s="140" customFormat="1" ht="25.5" hidden="1" outlineLevel="3">
      <c r="A100" s="216"/>
      <c r="B100" s="255" t="s">
        <v>259</v>
      </c>
      <c r="C100" s="290" t="s">
        <v>260</v>
      </c>
      <c r="D100" s="227" t="s">
        <v>256</v>
      </c>
      <c r="E100" s="241"/>
      <c r="F100" s="228">
        <f t="shared" si="12"/>
        <v>5.8127274059616978E-2</v>
      </c>
      <c r="G100" s="269">
        <f>+F100*G85</f>
        <v>2.5559183558017021E-4</v>
      </c>
      <c r="H100" s="299"/>
      <c r="I100" s="299"/>
      <c r="J100" s="299"/>
      <c r="K100" s="299"/>
      <c r="L100" s="299"/>
      <c r="M100" s="299"/>
      <c r="N100" s="229">
        <v>1</v>
      </c>
      <c r="O100" s="229">
        <v>1</v>
      </c>
      <c r="P100" s="229">
        <v>1</v>
      </c>
      <c r="Q100" s="272">
        <v>1</v>
      </c>
      <c r="R100" s="256">
        <f t="shared" si="13"/>
        <v>1</v>
      </c>
      <c r="S100" s="256">
        <f t="shared" si="13"/>
        <v>1</v>
      </c>
      <c r="T100" s="256">
        <f t="shared" si="13"/>
        <v>1</v>
      </c>
      <c r="U100" s="216"/>
      <c r="V100" s="216"/>
    </row>
    <row r="101" spans="1:22" s="140" customFormat="1" ht="25.5" hidden="1" outlineLevel="3">
      <c r="A101" s="216"/>
      <c r="B101" s="255" t="s">
        <v>261</v>
      </c>
      <c r="C101" s="290" t="s">
        <v>262</v>
      </c>
      <c r="D101" s="227" t="s">
        <v>256</v>
      </c>
      <c r="E101" s="241"/>
      <c r="F101" s="228">
        <f t="shared" si="12"/>
        <v>5.8127274059616978E-2</v>
      </c>
      <c r="G101" s="269">
        <f>+F101*G85</f>
        <v>2.5559183558017021E-4</v>
      </c>
      <c r="H101" s="299"/>
      <c r="I101" s="299"/>
      <c r="J101" s="299"/>
      <c r="K101" s="299"/>
      <c r="L101" s="299"/>
      <c r="M101" s="299"/>
      <c r="N101" s="229">
        <v>1</v>
      </c>
      <c r="O101" s="229">
        <v>1</v>
      </c>
      <c r="P101" s="229">
        <v>1</v>
      </c>
      <c r="Q101" s="272">
        <v>1</v>
      </c>
      <c r="R101" s="256">
        <f t="shared" si="13"/>
        <v>1</v>
      </c>
      <c r="S101" s="256">
        <f t="shared" si="13"/>
        <v>1</v>
      </c>
      <c r="T101" s="256">
        <f t="shared" si="13"/>
        <v>1</v>
      </c>
      <c r="U101" s="216"/>
      <c r="V101" s="216"/>
    </row>
    <row r="102" spans="1:22" s="140" customFormat="1" ht="25.5" hidden="1" outlineLevel="3">
      <c r="A102" s="216"/>
      <c r="B102" s="255" t="s">
        <v>263</v>
      </c>
      <c r="C102" s="290" t="s">
        <v>264</v>
      </c>
      <c r="D102" s="227" t="s">
        <v>256</v>
      </c>
      <c r="E102" s="241"/>
      <c r="F102" s="228">
        <f t="shared" si="12"/>
        <v>5.8127274059616978E-2</v>
      </c>
      <c r="G102" s="269">
        <f>+F102*G85</f>
        <v>2.5559183558017021E-4</v>
      </c>
      <c r="H102" s="299"/>
      <c r="I102" s="299"/>
      <c r="J102" s="299"/>
      <c r="K102" s="299"/>
      <c r="L102" s="299"/>
      <c r="M102" s="299"/>
      <c r="N102" s="229">
        <v>1</v>
      </c>
      <c r="O102" s="229">
        <v>1</v>
      </c>
      <c r="P102" s="229">
        <v>1</v>
      </c>
      <c r="Q102" s="272">
        <v>0</v>
      </c>
      <c r="R102" s="256">
        <f t="shared" si="13"/>
        <v>0</v>
      </c>
      <c r="S102" s="256">
        <f t="shared" si="13"/>
        <v>0</v>
      </c>
      <c r="T102" s="256">
        <f t="shared" si="13"/>
        <v>0</v>
      </c>
      <c r="U102" s="216"/>
      <c r="V102" s="216"/>
    </row>
    <row r="103" spans="1:22" s="140" customFormat="1" ht="25.5" hidden="1" outlineLevel="3">
      <c r="A103" s="216"/>
      <c r="B103" s="255" t="s">
        <v>265</v>
      </c>
      <c r="C103" s="290" t="s">
        <v>266</v>
      </c>
      <c r="D103" s="227" t="s">
        <v>256</v>
      </c>
      <c r="E103" s="241"/>
      <c r="F103" s="228">
        <f t="shared" si="12"/>
        <v>5.8127274059616978E-2</v>
      </c>
      <c r="G103" s="269">
        <f>+F103*G85</f>
        <v>2.5559183558017021E-4</v>
      </c>
      <c r="H103" s="299"/>
      <c r="I103" s="299"/>
      <c r="J103" s="299"/>
      <c r="K103" s="299"/>
      <c r="L103" s="299"/>
      <c r="M103" s="299"/>
      <c r="N103" s="229">
        <v>1</v>
      </c>
      <c r="O103" s="229">
        <v>1</v>
      </c>
      <c r="P103" s="229">
        <v>1</v>
      </c>
      <c r="Q103" s="272">
        <v>1</v>
      </c>
      <c r="R103" s="256">
        <f t="shared" si="13"/>
        <v>1</v>
      </c>
      <c r="S103" s="256">
        <f t="shared" si="13"/>
        <v>1</v>
      </c>
      <c r="T103" s="256">
        <f t="shared" si="13"/>
        <v>1</v>
      </c>
      <c r="U103" s="216"/>
      <c r="V103" s="216"/>
    </row>
    <row r="104" spans="1:22" s="140" customFormat="1" ht="25.5" hidden="1" outlineLevel="3">
      <c r="A104" s="216"/>
      <c r="B104" s="255" t="s">
        <v>267</v>
      </c>
      <c r="C104" s="290" t="s">
        <v>268</v>
      </c>
      <c r="D104" s="227" t="s">
        <v>256</v>
      </c>
      <c r="E104" s="241"/>
      <c r="F104" s="228">
        <f t="shared" si="12"/>
        <v>5.8127274059616978E-2</v>
      </c>
      <c r="G104" s="269">
        <f>+F104*G85</f>
        <v>2.5559183558017021E-4</v>
      </c>
      <c r="H104" s="299"/>
      <c r="I104" s="299"/>
      <c r="J104" s="299"/>
      <c r="K104" s="299"/>
      <c r="L104" s="299"/>
      <c r="M104" s="299"/>
      <c r="N104" s="229">
        <v>1</v>
      </c>
      <c r="O104" s="229">
        <v>1</v>
      </c>
      <c r="P104" s="229">
        <v>1</v>
      </c>
      <c r="Q104" s="272">
        <v>1</v>
      </c>
      <c r="R104" s="256">
        <f t="shared" si="13"/>
        <v>1</v>
      </c>
      <c r="S104" s="256">
        <f t="shared" si="13"/>
        <v>1</v>
      </c>
      <c r="T104" s="256">
        <f t="shared" si="13"/>
        <v>1</v>
      </c>
      <c r="U104" s="216"/>
      <c r="V104" s="216"/>
    </row>
    <row r="105" spans="1:22" s="140" customFormat="1" ht="25.5" hidden="1" outlineLevel="3">
      <c r="A105" s="216"/>
      <c r="B105" s="255" t="s">
        <v>269</v>
      </c>
      <c r="C105" s="290" t="s">
        <v>270</v>
      </c>
      <c r="D105" s="227" t="s">
        <v>256</v>
      </c>
      <c r="E105" s="241"/>
      <c r="F105" s="228">
        <f t="shared" si="12"/>
        <v>5.8127274062295807E-2</v>
      </c>
      <c r="G105" s="269">
        <f>+F105*G85</f>
        <v>2.5559183559194931E-4</v>
      </c>
      <c r="H105" s="299"/>
      <c r="I105" s="299"/>
      <c r="J105" s="299"/>
      <c r="K105" s="299"/>
      <c r="L105" s="299"/>
      <c r="M105" s="299"/>
      <c r="N105" s="229">
        <v>1</v>
      </c>
      <c r="O105" s="229">
        <v>1</v>
      </c>
      <c r="P105" s="229">
        <v>1</v>
      </c>
      <c r="Q105" s="272">
        <v>1</v>
      </c>
      <c r="R105" s="256">
        <f t="shared" si="13"/>
        <v>1</v>
      </c>
      <c r="S105" s="256">
        <f t="shared" si="13"/>
        <v>1</v>
      </c>
      <c r="T105" s="256">
        <f t="shared" si="13"/>
        <v>1</v>
      </c>
      <c r="U105" s="216"/>
      <c r="V105" s="216"/>
    </row>
    <row r="106" spans="1:22" s="140" customFormat="1" ht="25.5" hidden="1" outlineLevel="2">
      <c r="A106" s="216"/>
      <c r="B106" s="291" t="s">
        <v>271</v>
      </c>
      <c r="C106" s="292" t="s">
        <v>35</v>
      </c>
      <c r="D106" s="234" t="s">
        <v>33</v>
      </c>
      <c r="E106" s="240"/>
      <c r="F106" s="223">
        <v>0.24153553060977856</v>
      </c>
      <c r="G106" s="293">
        <f>+F106*G84</f>
        <v>5.2851050663273958E-3</v>
      </c>
      <c r="H106" s="298"/>
      <c r="I106" s="298"/>
      <c r="J106" s="298"/>
      <c r="K106" s="298"/>
      <c r="L106" s="298"/>
      <c r="M106" s="298"/>
      <c r="N106" s="224">
        <f>+SUMPRODUCT($F107:$F132,N107:N132)</f>
        <v>0.99999999999999956</v>
      </c>
      <c r="O106" s="224">
        <f>+SUMPRODUCT($F107:$F132,O107:O132)</f>
        <v>0.99999999999999956</v>
      </c>
      <c r="P106" s="224">
        <f>+SUMPRODUCT($F107:$F132,P107:P132)</f>
        <v>0.99999999999999956</v>
      </c>
      <c r="Q106" s="270">
        <f>+SUMPRODUCT($F107:$F132,Q107:Q132)</f>
        <v>0.99999999999999956</v>
      </c>
      <c r="R106" s="254">
        <f t="shared" si="13"/>
        <v>1</v>
      </c>
      <c r="S106" s="254">
        <f t="shared" si="13"/>
        <v>1</v>
      </c>
      <c r="T106" s="254">
        <f t="shared" si="13"/>
        <v>1</v>
      </c>
      <c r="U106" s="216"/>
      <c r="V106" s="216"/>
    </row>
    <row r="107" spans="1:22" s="140" customFormat="1" ht="25.5" hidden="1" outlineLevel="3">
      <c r="A107" s="216"/>
      <c r="B107" s="255" t="s">
        <v>272</v>
      </c>
      <c r="C107" s="290" t="s">
        <v>230</v>
      </c>
      <c r="D107" s="227" t="s">
        <v>231</v>
      </c>
      <c r="E107" s="241"/>
      <c r="F107" s="228">
        <f t="shared" ref="F107:F132" si="14">F742</f>
        <v>3.6801995565609057E-2</v>
      </c>
      <c r="G107" s="269">
        <f>+F107*G106</f>
        <v>1.9450241321475879E-4</v>
      </c>
      <c r="H107" s="299"/>
      <c r="I107" s="299"/>
      <c r="J107" s="299"/>
      <c r="K107" s="299"/>
      <c r="L107" s="299"/>
      <c r="M107" s="299"/>
      <c r="N107" s="229">
        <v>1</v>
      </c>
      <c r="O107" s="229">
        <v>1</v>
      </c>
      <c r="P107" s="229">
        <v>1</v>
      </c>
      <c r="Q107" s="272">
        <v>1</v>
      </c>
      <c r="R107" s="256">
        <f t="shared" si="13"/>
        <v>1</v>
      </c>
      <c r="S107" s="256">
        <f t="shared" si="13"/>
        <v>1</v>
      </c>
      <c r="T107" s="256">
        <f t="shared" si="13"/>
        <v>1</v>
      </c>
      <c r="U107" s="216"/>
      <c r="V107" s="216"/>
    </row>
    <row r="108" spans="1:22" s="140" customFormat="1" ht="25.5" hidden="1" outlineLevel="3">
      <c r="A108" s="216"/>
      <c r="B108" s="255" t="s">
        <v>273</v>
      </c>
      <c r="C108" s="290" t="s">
        <v>233</v>
      </c>
      <c r="D108" s="227" t="s">
        <v>231</v>
      </c>
      <c r="E108" s="241"/>
      <c r="F108" s="228">
        <f t="shared" si="14"/>
        <v>3.6801995565609057E-2</v>
      </c>
      <c r="G108" s="269">
        <f>+F108*G106</f>
        <v>1.9450241321475879E-4</v>
      </c>
      <c r="H108" s="299"/>
      <c r="I108" s="299"/>
      <c r="J108" s="299"/>
      <c r="K108" s="299"/>
      <c r="L108" s="299"/>
      <c r="M108" s="299"/>
      <c r="N108" s="229">
        <v>1</v>
      </c>
      <c r="O108" s="229">
        <v>1</v>
      </c>
      <c r="P108" s="229">
        <v>1</v>
      </c>
      <c r="Q108" s="272">
        <v>1</v>
      </c>
      <c r="R108" s="256">
        <f t="shared" si="13"/>
        <v>1</v>
      </c>
      <c r="S108" s="256">
        <f t="shared" si="13"/>
        <v>1</v>
      </c>
      <c r="T108" s="256">
        <f t="shared" si="13"/>
        <v>1</v>
      </c>
      <c r="U108" s="216"/>
      <c r="V108" s="216"/>
    </row>
    <row r="109" spans="1:22" s="140" customFormat="1" ht="25.5" hidden="1" outlineLevel="3">
      <c r="A109" s="216"/>
      <c r="B109" s="255" t="s">
        <v>274</v>
      </c>
      <c r="C109" s="290" t="s">
        <v>235</v>
      </c>
      <c r="D109" s="227" t="s">
        <v>231</v>
      </c>
      <c r="E109" s="241"/>
      <c r="F109" s="228">
        <f t="shared" si="14"/>
        <v>3.6801995565609057E-2</v>
      </c>
      <c r="G109" s="269">
        <f>+F109*G106</f>
        <v>1.9450241321475879E-4</v>
      </c>
      <c r="H109" s="299"/>
      <c r="I109" s="299"/>
      <c r="J109" s="299"/>
      <c r="K109" s="299"/>
      <c r="L109" s="299"/>
      <c r="M109" s="299"/>
      <c r="N109" s="229">
        <v>1</v>
      </c>
      <c r="O109" s="229">
        <v>1</v>
      </c>
      <c r="P109" s="229">
        <v>1</v>
      </c>
      <c r="Q109" s="272">
        <v>1</v>
      </c>
      <c r="R109" s="256">
        <f t="shared" si="13"/>
        <v>1</v>
      </c>
      <c r="S109" s="256">
        <f t="shared" si="13"/>
        <v>1</v>
      </c>
      <c r="T109" s="256">
        <f t="shared" si="13"/>
        <v>1</v>
      </c>
      <c r="U109" s="216"/>
      <c r="V109" s="216"/>
    </row>
    <row r="110" spans="1:22" s="140" customFormat="1" ht="25.5" hidden="1" outlineLevel="3">
      <c r="A110" s="216"/>
      <c r="B110" s="255" t="s">
        <v>275</v>
      </c>
      <c r="C110" s="290" t="s">
        <v>237</v>
      </c>
      <c r="D110" s="227" t="s">
        <v>231</v>
      </c>
      <c r="E110" s="241"/>
      <c r="F110" s="228">
        <f t="shared" si="14"/>
        <v>3.6801995565609057E-2</v>
      </c>
      <c r="G110" s="269">
        <f>+F110*G106</f>
        <v>1.9450241321475879E-4</v>
      </c>
      <c r="H110" s="299"/>
      <c r="I110" s="299"/>
      <c r="J110" s="299"/>
      <c r="K110" s="299"/>
      <c r="L110" s="299"/>
      <c r="M110" s="299"/>
      <c r="N110" s="229">
        <v>1</v>
      </c>
      <c r="O110" s="229">
        <v>1</v>
      </c>
      <c r="P110" s="229">
        <v>1</v>
      </c>
      <c r="Q110" s="272">
        <v>1</v>
      </c>
      <c r="R110" s="256">
        <f t="shared" si="13"/>
        <v>1</v>
      </c>
      <c r="S110" s="256">
        <f t="shared" si="13"/>
        <v>1</v>
      </c>
      <c r="T110" s="256">
        <f t="shared" si="13"/>
        <v>1</v>
      </c>
      <c r="U110" s="216"/>
      <c r="V110" s="216"/>
    </row>
    <row r="111" spans="1:22" s="140" customFormat="1" ht="25.5" hidden="1" outlineLevel="3">
      <c r="A111" s="216"/>
      <c r="B111" s="255" t="s">
        <v>276</v>
      </c>
      <c r="C111" s="290" t="s">
        <v>239</v>
      </c>
      <c r="D111" s="227" t="s">
        <v>231</v>
      </c>
      <c r="E111" s="241"/>
      <c r="F111" s="228">
        <f t="shared" si="14"/>
        <v>3.6801995565609057E-2</v>
      </c>
      <c r="G111" s="269">
        <f>+F111*G106</f>
        <v>1.9450241321475879E-4</v>
      </c>
      <c r="H111" s="299"/>
      <c r="I111" s="299"/>
      <c r="J111" s="299"/>
      <c r="K111" s="299"/>
      <c r="L111" s="299"/>
      <c r="M111" s="299"/>
      <c r="N111" s="229">
        <v>1</v>
      </c>
      <c r="O111" s="229">
        <v>1</v>
      </c>
      <c r="P111" s="229">
        <v>1</v>
      </c>
      <c r="Q111" s="272">
        <v>1</v>
      </c>
      <c r="R111" s="256">
        <f t="shared" si="13"/>
        <v>1</v>
      </c>
      <c r="S111" s="256">
        <f t="shared" si="13"/>
        <v>1</v>
      </c>
      <c r="T111" s="256">
        <f t="shared" si="13"/>
        <v>1</v>
      </c>
      <c r="U111" s="216"/>
      <c r="V111" s="216"/>
    </row>
    <row r="112" spans="1:22" s="140" customFormat="1" ht="25.5" hidden="1" outlineLevel="3">
      <c r="A112" s="216"/>
      <c r="B112" s="255" t="s">
        <v>277</v>
      </c>
      <c r="C112" s="290" t="s">
        <v>241</v>
      </c>
      <c r="D112" s="227" t="s">
        <v>231</v>
      </c>
      <c r="E112" s="241"/>
      <c r="F112" s="228">
        <f t="shared" si="14"/>
        <v>3.6801995565609057E-2</v>
      </c>
      <c r="G112" s="269">
        <f>+F112*G106</f>
        <v>1.9450241321475879E-4</v>
      </c>
      <c r="H112" s="299"/>
      <c r="I112" s="299"/>
      <c r="J112" s="299"/>
      <c r="K112" s="299"/>
      <c r="L112" s="299"/>
      <c r="M112" s="299"/>
      <c r="N112" s="229">
        <v>1</v>
      </c>
      <c r="O112" s="229">
        <v>1</v>
      </c>
      <c r="P112" s="229">
        <v>1</v>
      </c>
      <c r="Q112" s="272">
        <v>1</v>
      </c>
      <c r="R112" s="256">
        <f t="shared" si="13"/>
        <v>1</v>
      </c>
      <c r="S112" s="256">
        <f t="shared" si="13"/>
        <v>1</v>
      </c>
      <c r="T112" s="256">
        <f t="shared" si="13"/>
        <v>1</v>
      </c>
      <c r="U112" s="216"/>
      <c r="V112" s="216"/>
    </row>
    <row r="113" spans="1:22" s="140" customFormat="1" ht="25.5" hidden="1" outlineLevel="3">
      <c r="A113" s="216"/>
      <c r="B113" s="255" t="s">
        <v>278</v>
      </c>
      <c r="C113" s="290" t="s">
        <v>243</v>
      </c>
      <c r="D113" s="227" t="s">
        <v>231</v>
      </c>
      <c r="E113" s="241"/>
      <c r="F113" s="228">
        <f t="shared" si="14"/>
        <v>3.6801995565609057E-2</v>
      </c>
      <c r="G113" s="269">
        <f>+F113*G106</f>
        <v>1.9450241321475879E-4</v>
      </c>
      <c r="H113" s="299"/>
      <c r="I113" s="299"/>
      <c r="J113" s="299"/>
      <c r="K113" s="299"/>
      <c r="L113" s="299"/>
      <c r="M113" s="299"/>
      <c r="N113" s="229">
        <v>1</v>
      </c>
      <c r="O113" s="229">
        <v>1</v>
      </c>
      <c r="P113" s="229">
        <v>1</v>
      </c>
      <c r="Q113" s="272">
        <v>1</v>
      </c>
      <c r="R113" s="256">
        <f t="shared" si="13"/>
        <v>1</v>
      </c>
      <c r="S113" s="256">
        <f t="shared" si="13"/>
        <v>1</v>
      </c>
      <c r="T113" s="256">
        <f t="shared" si="13"/>
        <v>1</v>
      </c>
      <c r="U113" s="216"/>
      <c r="V113" s="216"/>
    </row>
    <row r="114" spans="1:22" s="140" customFormat="1" ht="25.5" hidden="1" outlineLevel="3">
      <c r="A114" s="216"/>
      <c r="B114" s="255" t="s">
        <v>279</v>
      </c>
      <c r="C114" s="290" t="s">
        <v>245</v>
      </c>
      <c r="D114" s="227" t="s">
        <v>231</v>
      </c>
      <c r="E114" s="241"/>
      <c r="F114" s="228">
        <f t="shared" si="14"/>
        <v>3.6801995565609057E-2</v>
      </c>
      <c r="G114" s="269">
        <f>+F114*G106</f>
        <v>1.9450241321475879E-4</v>
      </c>
      <c r="H114" s="299"/>
      <c r="I114" s="299"/>
      <c r="J114" s="299"/>
      <c r="K114" s="299"/>
      <c r="L114" s="299"/>
      <c r="M114" s="299"/>
      <c r="N114" s="229">
        <v>1</v>
      </c>
      <c r="O114" s="229">
        <v>1</v>
      </c>
      <c r="P114" s="229">
        <v>1</v>
      </c>
      <c r="Q114" s="272">
        <v>1</v>
      </c>
      <c r="R114" s="256">
        <f t="shared" si="13"/>
        <v>1</v>
      </c>
      <c r="S114" s="256">
        <f t="shared" si="13"/>
        <v>1</v>
      </c>
      <c r="T114" s="256">
        <f t="shared" si="13"/>
        <v>1</v>
      </c>
      <c r="U114" s="216"/>
      <c r="V114" s="216"/>
    </row>
    <row r="115" spans="1:22" s="140" customFormat="1" ht="25.5" hidden="1" outlineLevel="3">
      <c r="A115" s="216"/>
      <c r="B115" s="255" t="s">
        <v>280</v>
      </c>
      <c r="C115" s="290" t="s">
        <v>247</v>
      </c>
      <c r="D115" s="227" t="s">
        <v>231</v>
      </c>
      <c r="E115" s="241"/>
      <c r="F115" s="228">
        <f t="shared" si="14"/>
        <v>3.6801995565609057E-2</v>
      </c>
      <c r="G115" s="269">
        <f>+F115*G106</f>
        <v>1.9450241321475879E-4</v>
      </c>
      <c r="H115" s="299"/>
      <c r="I115" s="299"/>
      <c r="J115" s="299"/>
      <c r="K115" s="299"/>
      <c r="L115" s="299"/>
      <c r="M115" s="299"/>
      <c r="N115" s="229">
        <v>1</v>
      </c>
      <c r="O115" s="229">
        <v>1</v>
      </c>
      <c r="P115" s="229">
        <v>1</v>
      </c>
      <c r="Q115" s="272">
        <v>1</v>
      </c>
      <c r="R115" s="256">
        <f t="shared" si="13"/>
        <v>1</v>
      </c>
      <c r="S115" s="256">
        <f t="shared" si="13"/>
        <v>1</v>
      </c>
      <c r="T115" s="256">
        <f t="shared" si="13"/>
        <v>1</v>
      </c>
      <c r="U115" s="216"/>
      <c r="V115" s="216"/>
    </row>
    <row r="116" spans="1:22" s="140" customFormat="1" ht="25.5" hidden="1" outlineLevel="3">
      <c r="A116" s="216"/>
      <c r="B116" s="255" t="s">
        <v>281</v>
      </c>
      <c r="C116" s="290" t="s">
        <v>249</v>
      </c>
      <c r="D116" s="227" t="s">
        <v>231</v>
      </c>
      <c r="E116" s="241"/>
      <c r="F116" s="228">
        <f t="shared" si="14"/>
        <v>3.6801995565609057E-2</v>
      </c>
      <c r="G116" s="269">
        <f>+F116*G106</f>
        <v>1.9450241321475879E-4</v>
      </c>
      <c r="H116" s="299"/>
      <c r="I116" s="299"/>
      <c r="J116" s="299"/>
      <c r="K116" s="299"/>
      <c r="L116" s="299"/>
      <c r="M116" s="299"/>
      <c r="N116" s="229">
        <v>1</v>
      </c>
      <c r="O116" s="229">
        <v>1</v>
      </c>
      <c r="P116" s="229">
        <v>1</v>
      </c>
      <c r="Q116" s="272">
        <v>1</v>
      </c>
      <c r="R116" s="256">
        <f t="shared" si="13"/>
        <v>1</v>
      </c>
      <c r="S116" s="256">
        <f t="shared" si="13"/>
        <v>1</v>
      </c>
      <c r="T116" s="256">
        <f t="shared" si="13"/>
        <v>1</v>
      </c>
      <c r="U116" s="216"/>
      <c r="V116" s="216"/>
    </row>
    <row r="117" spans="1:22" s="140" customFormat="1" ht="25.5" hidden="1" outlineLevel="3">
      <c r="A117" s="216"/>
      <c r="B117" s="255" t="s">
        <v>282</v>
      </c>
      <c r="C117" s="290" t="s">
        <v>251</v>
      </c>
      <c r="D117" s="227" t="s">
        <v>231</v>
      </c>
      <c r="E117" s="241"/>
      <c r="F117" s="228">
        <f t="shared" si="14"/>
        <v>3.6801995565609057E-2</v>
      </c>
      <c r="G117" s="269">
        <f>+F117*G106</f>
        <v>1.9450241321475879E-4</v>
      </c>
      <c r="H117" s="299"/>
      <c r="I117" s="299"/>
      <c r="J117" s="299"/>
      <c r="K117" s="299"/>
      <c r="L117" s="299"/>
      <c r="M117" s="299"/>
      <c r="N117" s="229">
        <v>1</v>
      </c>
      <c r="O117" s="229">
        <v>1</v>
      </c>
      <c r="P117" s="229">
        <v>1</v>
      </c>
      <c r="Q117" s="272">
        <v>1</v>
      </c>
      <c r="R117" s="256">
        <f t="shared" si="13"/>
        <v>1</v>
      </c>
      <c r="S117" s="256">
        <f t="shared" si="13"/>
        <v>1</v>
      </c>
      <c r="T117" s="256">
        <f t="shared" si="13"/>
        <v>1</v>
      </c>
      <c r="U117" s="216"/>
      <c r="V117" s="216"/>
    </row>
    <row r="118" spans="1:22" s="140" customFormat="1" ht="25.5" hidden="1" outlineLevel="3">
      <c r="A118" s="216"/>
      <c r="B118" s="255" t="s">
        <v>283</v>
      </c>
      <c r="C118" s="290" t="s">
        <v>253</v>
      </c>
      <c r="D118" s="227" t="s">
        <v>231</v>
      </c>
      <c r="E118" s="241"/>
      <c r="F118" s="228">
        <f t="shared" si="14"/>
        <v>3.6801995565609057E-2</v>
      </c>
      <c r="G118" s="269">
        <f>+F118*G106</f>
        <v>1.9450241321475879E-4</v>
      </c>
      <c r="H118" s="299"/>
      <c r="I118" s="299"/>
      <c r="J118" s="299"/>
      <c r="K118" s="299"/>
      <c r="L118" s="299"/>
      <c r="M118" s="299"/>
      <c r="N118" s="229">
        <v>1</v>
      </c>
      <c r="O118" s="229">
        <v>1</v>
      </c>
      <c r="P118" s="229">
        <v>1</v>
      </c>
      <c r="Q118" s="272">
        <v>1</v>
      </c>
      <c r="R118" s="256">
        <f t="shared" si="13"/>
        <v>1</v>
      </c>
      <c r="S118" s="256">
        <f t="shared" si="13"/>
        <v>1</v>
      </c>
      <c r="T118" s="256">
        <f t="shared" si="13"/>
        <v>1</v>
      </c>
      <c r="U118" s="216"/>
      <c r="V118" s="216"/>
    </row>
    <row r="119" spans="1:22" s="140" customFormat="1" ht="25.5" hidden="1" outlineLevel="3">
      <c r="A119" s="216"/>
      <c r="B119" s="255" t="s">
        <v>284</v>
      </c>
      <c r="C119" s="290" t="s">
        <v>285</v>
      </c>
      <c r="D119" s="227" t="s">
        <v>231</v>
      </c>
      <c r="E119" s="241"/>
      <c r="F119" s="228">
        <f t="shared" si="14"/>
        <v>3.6801995565609057E-2</v>
      </c>
      <c r="G119" s="269">
        <f>+F119*G106</f>
        <v>1.9450241321475879E-4</v>
      </c>
      <c r="H119" s="299"/>
      <c r="I119" s="299"/>
      <c r="J119" s="299"/>
      <c r="K119" s="299"/>
      <c r="L119" s="299"/>
      <c r="M119" s="299"/>
      <c r="N119" s="229">
        <v>1</v>
      </c>
      <c r="O119" s="229">
        <v>1</v>
      </c>
      <c r="P119" s="229">
        <v>1</v>
      </c>
      <c r="Q119" s="272">
        <v>1</v>
      </c>
      <c r="R119" s="256">
        <f t="shared" si="13"/>
        <v>1</v>
      </c>
      <c r="S119" s="256">
        <f t="shared" si="13"/>
        <v>1</v>
      </c>
      <c r="T119" s="256">
        <f t="shared" si="13"/>
        <v>1</v>
      </c>
      <c r="U119" s="216"/>
      <c r="V119" s="216"/>
    </row>
    <row r="120" spans="1:22" s="140" customFormat="1" ht="25.5" hidden="1" outlineLevel="3">
      <c r="A120" s="216"/>
      <c r="B120" s="255" t="s">
        <v>286</v>
      </c>
      <c r="C120" s="290" t="s">
        <v>287</v>
      </c>
      <c r="D120" s="227" t="s">
        <v>231</v>
      </c>
      <c r="E120" s="241"/>
      <c r="F120" s="228">
        <f t="shared" si="14"/>
        <v>3.6801995565609057E-2</v>
      </c>
      <c r="G120" s="269">
        <f>+F120*G106</f>
        <v>1.9450241321475879E-4</v>
      </c>
      <c r="H120" s="299"/>
      <c r="I120" s="299"/>
      <c r="J120" s="299"/>
      <c r="K120" s="299"/>
      <c r="L120" s="299"/>
      <c r="M120" s="299"/>
      <c r="N120" s="229">
        <v>1</v>
      </c>
      <c r="O120" s="229">
        <v>1</v>
      </c>
      <c r="P120" s="229">
        <v>1</v>
      </c>
      <c r="Q120" s="272">
        <v>1</v>
      </c>
      <c r="R120" s="256">
        <f t="shared" si="13"/>
        <v>1</v>
      </c>
      <c r="S120" s="256">
        <f t="shared" si="13"/>
        <v>1</v>
      </c>
      <c r="T120" s="256">
        <f t="shared" si="13"/>
        <v>1</v>
      </c>
      <c r="U120" s="216"/>
      <c r="V120" s="216"/>
    </row>
    <row r="121" spans="1:22" s="140" customFormat="1" ht="25.5" hidden="1" outlineLevel="3">
      <c r="A121" s="216"/>
      <c r="B121" s="255" t="s">
        <v>288</v>
      </c>
      <c r="C121" s="290" t="s">
        <v>289</v>
      </c>
      <c r="D121" s="227" t="s">
        <v>231</v>
      </c>
      <c r="E121" s="241"/>
      <c r="F121" s="228">
        <f t="shared" si="14"/>
        <v>3.6801995565609057E-2</v>
      </c>
      <c r="G121" s="269">
        <f>+F121*G106</f>
        <v>1.9450241321475879E-4</v>
      </c>
      <c r="H121" s="299"/>
      <c r="I121" s="299"/>
      <c r="J121" s="299"/>
      <c r="K121" s="299"/>
      <c r="L121" s="299"/>
      <c r="M121" s="299"/>
      <c r="N121" s="229">
        <v>1</v>
      </c>
      <c r="O121" s="229">
        <v>1</v>
      </c>
      <c r="P121" s="229">
        <v>1</v>
      </c>
      <c r="Q121" s="272">
        <v>1</v>
      </c>
      <c r="R121" s="256">
        <f t="shared" si="13"/>
        <v>1</v>
      </c>
      <c r="S121" s="256">
        <f t="shared" si="13"/>
        <v>1</v>
      </c>
      <c r="T121" s="256">
        <f t="shared" si="13"/>
        <v>1</v>
      </c>
      <c r="U121" s="216"/>
      <c r="V121" s="216"/>
    </row>
    <row r="122" spans="1:22" s="140" customFormat="1" ht="25.5" hidden="1" outlineLevel="3">
      <c r="A122" s="216"/>
      <c r="B122" s="255" t="s">
        <v>290</v>
      </c>
      <c r="C122" s="290" t="s">
        <v>291</v>
      </c>
      <c r="D122" s="227" t="s">
        <v>231</v>
      </c>
      <c r="E122" s="241"/>
      <c r="F122" s="228">
        <f t="shared" si="14"/>
        <v>3.6801995565609057E-2</v>
      </c>
      <c r="G122" s="269">
        <f>+F122*G106</f>
        <v>1.9450241321475879E-4</v>
      </c>
      <c r="H122" s="299"/>
      <c r="I122" s="299"/>
      <c r="J122" s="299"/>
      <c r="K122" s="299"/>
      <c r="L122" s="299"/>
      <c r="M122" s="299"/>
      <c r="N122" s="229">
        <v>1</v>
      </c>
      <c r="O122" s="229">
        <v>1</v>
      </c>
      <c r="P122" s="229">
        <v>1</v>
      </c>
      <c r="Q122" s="272">
        <v>1</v>
      </c>
      <c r="R122" s="256">
        <f t="shared" si="13"/>
        <v>1</v>
      </c>
      <c r="S122" s="256">
        <f t="shared" si="13"/>
        <v>1</v>
      </c>
      <c r="T122" s="256">
        <f t="shared" si="13"/>
        <v>1</v>
      </c>
      <c r="U122" s="216"/>
      <c r="V122" s="216"/>
    </row>
    <row r="123" spans="1:22" s="140" customFormat="1" ht="25.5" hidden="1" outlineLevel="3">
      <c r="A123" s="216"/>
      <c r="B123" s="255" t="s">
        <v>292</v>
      </c>
      <c r="C123" s="290" t="s">
        <v>293</v>
      </c>
      <c r="D123" s="227" t="s">
        <v>231</v>
      </c>
      <c r="E123" s="241"/>
      <c r="F123" s="228">
        <f t="shared" si="14"/>
        <v>3.6801995565609057E-2</v>
      </c>
      <c r="G123" s="269">
        <f>+F123*G106</f>
        <v>1.9450241321475879E-4</v>
      </c>
      <c r="H123" s="299"/>
      <c r="I123" s="299"/>
      <c r="J123" s="299"/>
      <c r="K123" s="299"/>
      <c r="L123" s="299"/>
      <c r="M123" s="299"/>
      <c r="N123" s="229">
        <v>1</v>
      </c>
      <c r="O123" s="229">
        <v>1</v>
      </c>
      <c r="P123" s="229">
        <v>1</v>
      </c>
      <c r="Q123" s="272">
        <v>1</v>
      </c>
      <c r="R123" s="256">
        <f t="shared" si="13"/>
        <v>1</v>
      </c>
      <c r="S123" s="256">
        <f t="shared" si="13"/>
        <v>1</v>
      </c>
      <c r="T123" s="256">
        <f t="shared" si="13"/>
        <v>1</v>
      </c>
      <c r="U123" s="216"/>
      <c r="V123" s="216"/>
    </row>
    <row r="124" spans="1:22" s="140" customFormat="1" ht="25.5" hidden="1" outlineLevel="3">
      <c r="A124" s="216"/>
      <c r="B124" s="255" t="s">
        <v>294</v>
      </c>
      <c r="C124" s="290" t="s">
        <v>295</v>
      </c>
      <c r="D124" s="227" t="s">
        <v>231</v>
      </c>
      <c r="E124" s="241"/>
      <c r="F124" s="228">
        <f t="shared" si="14"/>
        <v>3.6801995565609057E-2</v>
      </c>
      <c r="G124" s="269">
        <f>+F124*G106</f>
        <v>1.9450241321475879E-4</v>
      </c>
      <c r="H124" s="299"/>
      <c r="I124" s="299"/>
      <c r="J124" s="299"/>
      <c r="K124" s="299"/>
      <c r="L124" s="299"/>
      <c r="M124" s="299"/>
      <c r="N124" s="229">
        <v>1</v>
      </c>
      <c r="O124" s="229">
        <v>1</v>
      </c>
      <c r="P124" s="229">
        <v>1</v>
      </c>
      <c r="Q124" s="272">
        <v>1</v>
      </c>
      <c r="R124" s="256">
        <f t="shared" si="13"/>
        <v>1</v>
      </c>
      <c r="S124" s="256">
        <f t="shared" si="13"/>
        <v>1</v>
      </c>
      <c r="T124" s="256">
        <f t="shared" si="13"/>
        <v>1</v>
      </c>
      <c r="U124" s="216"/>
      <c r="V124" s="216"/>
    </row>
    <row r="125" spans="1:22" s="140" customFormat="1" ht="25.5" hidden="1" outlineLevel="3">
      <c r="A125" s="216"/>
      <c r="B125" s="255" t="s">
        <v>296</v>
      </c>
      <c r="C125" s="290" t="s">
        <v>297</v>
      </c>
      <c r="D125" s="227" t="s">
        <v>231</v>
      </c>
      <c r="E125" s="241"/>
      <c r="F125" s="228">
        <f t="shared" si="14"/>
        <v>3.6801995565609057E-2</v>
      </c>
      <c r="G125" s="269">
        <f>+F125*G106</f>
        <v>1.9450241321475879E-4</v>
      </c>
      <c r="H125" s="299"/>
      <c r="I125" s="299"/>
      <c r="J125" s="299"/>
      <c r="K125" s="299"/>
      <c r="L125" s="299"/>
      <c r="M125" s="299"/>
      <c r="N125" s="229">
        <v>1</v>
      </c>
      <c r="O125" s="229">
        <v>1</v>
      </c>
      <c r="P125" s="229">
        <v>1</v>
      </c>
      <c r="Q125" s="272">
        <v>1</v>
      </c>
      <c r="R125" s="256">
        <f t="shared" si="13"/>
        <v>1</v>
      </c>
      <c r="S125" s="256">
        <f t="shared" si="13"/>
        <v>1</v>
      </c>
      <c r="T125" s="256">
        <f t="shared" si="13"/>
        <v>1</v>
      </c>
      <c r="U125" s="216"/>
      <c r="V125" s="216"/>
    </row>
    <row r="126" spans="1:22" s="140" customFormat="1" ht="25.5" hidden="1" outlineLevel="3">
      <c r="A126" s="216"/>
      <c r="B126" s="255" t="s">
        <v>298</v>
      </c>
      <c r="C126" s="290" t="s">
        <v>299</v>
      </c>
      <c r="D126" s="227" t="s">
        <v>231</v>
      </c>
      <c r="E126" s="241"/>
      <c r="F126" s="228">
        <f t="shared" si="14"/>
        <v>3.6801995565609057E-2</v>
      </c>
      <c r="G126" s="269">
        <f>+F126*G106</f>
        <v>1.9450241321475879E-4</v>
      </c>
      <c r="H126" s="299"/>
      <c r="I126" s="299"/>
      <c r="J126" s="299"/>
      <c r="K126" s="299"/>
      <c r="L126" s="299"/>
      <c r="M126" s="299"/>
      <c r="N126" s="229">
        <v>1</v>
      </c>
      <c r="O126" s="229">
        <v>1</v>
      </c>
      <c r="P126" s="229">
        <v>1</v>
      </c>
      <c r="Q126" s="272">
        <v>1</v>
      </c>
      <c r="R126" s="256">
        <f t="shared" si="13"/>
        <v>1</v>
      </c>
      <c r="S126" s="256">
        <f t="shared" si="13"/>
        <v>1</v>
      </c>
      <c r="T126" s="256">
        <f t="shared" si="13"/>
        <v>1</v>
      </c>
      <c r="U126" s="216"/>
      <c r="V126" s="216"/>
    </row>
    <row r="127" spans="1:22" s="140" customFormat="1" ht="25.5" hidden="1" outlineLevel="3">
      <c r="A127" s="216"/>
      <c r="B127" s="255" t="s">
        <v>300</v>
      </c>
      <c r="C127" s="290" t="s">
        <v>301</v>
      </c>
      <c r="D127" s="227" t="s">
        <v>231</v>
      </c>
      <c r="E127" s="241"/>
      <c r="F127" s="228">
        <f t="shared" si="14"/>
        <v>3.6801995565609057E-2</v>
      </c>
      <c r="G127" s="269">
        <f>+F127*G106</f>
        <v>1.9450241321475879E-4</v>
      </c>
      <c r="H127" s="299"/>
      <c r="I127" s="299"/>
      <c r="J127" s="299"/>
      <c r="K127" s="299"/>
      <c r="L127" s="299"/>
      <c r="M127" s="299"/>
      <c r="N127" s="229">
        <v>1</v>
      </c>
      <c r="O127" s="229">
        <v>1</v>
      </c>
      <c r="P127" s="229">
        <v>1</v>
      </c>
      <c r="Q127" s="272">
        <v>1</v>
      </c>
      <c r="R127" s="256">
        <f t="shared" si="13"/>
        <v>1</v>
      </c>
      <c r="S127" s="256">
        <f t="shared" si="13"/>
        <v>1</v>
      </c>
      <c r="T127" s="256">
        <f t="shared" si="13"/>
        <v>1</v>
      </c>
      <c r="U127" s="216"/>
      <c r="V127" s="216"/>
    </row>
    <row r="128" spans="1:22" s="140" customFormat="1" ht="25.5" hidden="1" outlineLevel="3">
      <c r="A128" s="216"/>
      <c r="B128" s="255" t="s">
        <v>302</v>
      </c>
      <c r="C128" s="290" t="s">
        <v>303</v>
      </c>
      <c r="D128" s="227" t="s">
        <v>231</v>
      </c>
      <c r="E128" s="241"/>
      <c r="F128" s="228">
        <f t="shared" si="14"/>
        <v>3.6801995565609057E-2</v>
      </c>
      <c r="G128" s="269">
        <f>+F128*G106</f>
        <v>1.9450241321475879E-4</v>
      </c>
      <c r="H128" s="299"/>
      <c r="I128" s="299"/>
      <c r="J128" s="299"/>
      <c r="K128" s="299"/>
      <c r="L128" s="299"/>
      <c r="M128" s="299"/>
      <c r="N128" s="229">
        <v>1</v>
      </c>
      <c r="O128" s="229">
        <v>1</v>
      </c>
      <c r="P128" s="229">
        <v>1</v>
      </c>
      <c r="Q128" s="272">
        <v>1</v>
      </c>
      <c r="R128" s="256">
        <f t="shared" si="13"/>
        <v>1</v>
      </c>
      <c r="S128" s="256">
        <f t="shared" si="13"/>
        <v>1</v>
      </c>
      <c r="T128" s="256">
        <f t="shared" si="13"/>
        <v>1</v>
      </c>
      <c r="U128" s="216"/>
      <c r="V128" s="216"/>
    </row>
    <row r="129" spans="1:22" s="140" customFormat="1" ht="25.5" hidden="1" outlineLevel="3">
      <c r="A129" s="216"/>
      <c r="B129" s="255" t="s">
        <v>304</v>
      </c>
      <c r="C129" s="290" t="s">
        <v>255</v>
      </c>
      <c r="D129" s="227" t="s">
        <v>256</v>
      </c>
      <c r="E129" s="241"/>
      <c r="F129" s="228">
        <f t="shared" si="14"/>
        <v>4.7589024389150178E-2</v>
      </c>
      <c r="G129" s="269">
        <f>+F129*G106</f>
        <v>2.5151299390067559E-4</v>
      </c>
      <c r="H129" s="299"/>
      <c r="I129" s="299"/>
      <c r="J129" s="299"/>
      <c r="K129" s="299"/>
      <c r="L129" s="299"/>
      <c r="M129" s="299"/>
      <c r="N129" s="229">
        <v>1</v>
      </c>
      <c r="O129" s="229">
        <v>1</v>
      </c>
      <c r="P129" s="229">
        <v>1</v>
      </c>
      <c r="Q129" s="272">
        <v>1</v>
      </c>
      <c r="R129" s="256">
        <f t="shared" ref="R129:T160" si="15">+IF(N129=0,0,$Q129/N129)</f>
        <v>1</v>
      </c>
      <c r="S129" s="256">
        <f t="shared" si="15"/>
        <v>1</v>
      </c>
      <c r="T129" s="256">
        <f t="shared" si="15"/>
        <v>1</v>
      </c>
      <c r="U129" s="216"/>
      <c r="V129" s="216"/>
    </row>
    <row r="130" spans="1:22" s="140" customFormat="1" ht="25.5" hidden="1" outlineLevel="3">
      <c r="A130" s="216"/>
      <c r="B130" s="255" t="s">
        <v>305</v>
      </c>
      <c r="C130" s="290" t="s">
        <v>258</v>
      </c>
      <c r="D130" s="227" t="s">
        <v>256</v>
      </c>
      <c r="E130" s="241"/>
      <c r="F130" s="228">
        <f t="shared" si="14"/>
        <v>4.7589024389150178E-2</v>
      </c>
      <c r="G130" s="269">
        <f>+F130*G106</f>
        <v>2.5151299390067559E-4</v>
      </c>
      <c r="H130" s="299"/>
      <c r="I130" s="299"/>
      <c r="J130" s="299"/>
      <c r="K130" s="299"/>
      <c r="L130" s="299"/>
      <c r="M130" s="299"/>
      <c r="N130" s="229">
        <v>1</v>
      </c>
      <c r="O130" s="229">
        <v>1</v>
      </c>
      <c r="P130" s="229">
        <v>1</v>
      </c>
      <c r="Q130" s="272">
        <v>1</v>
      </c>
      <c r="R130" s="256">
        <f t="shared" si="15"/>
        <v>1</v>
      </c>
      <c r="S130" s="256">
        <f t="shared" si="15"/>
        <v>1</v>
      </c>
      <c r="T130" s="256">
        <f t="shared" si="15"/>
        <v>1</v>
      </c>
      <c r="U130" s="216"/>
      <c r="V130" s="216"/>
    </row>
    <row r="131" spans="1:22" s="140" customFormat="1" ht="25.5" hidden="1" outlineLevel="3">
      <c r="A131" s="216"/>
      <c r="B131" s="255" t="s">
        <v>306</v>
      </c>
      <c r="C131" s="290" t="s">
        <v>260</v>
      </c>
      <c r="D131" s="227" t="s">
        <v>256</v>
      </c>
      <c r="E131" s="241"/>
      <c r="F131" s="228">
        <f t="shared" si="14"/>
        <v>4.7589024389150178E-2</v>
      </c>
      <c r="G131" s="269">
        <f>+F131*G106</f>
        <v>2.5151299390067559E-4</v>
      </c>
      <c r="H131" s="299"/>
      <c r="I131" s="299"/>
      <c r="J131" s="299"/>
      <c r="K131" s="299"/>
      <c r="L131" s="299"/>
      <c r="M131" s="299"/>
      <c r="N131" s="229">
        <v>1</v>
      </c>
      <c r="O131" s="229">
        <v>1</v>
      </c>
      <c r="P131" s="229">
        <v>1</v>
      </c>
      <c r="Q131" s="272">
        <v>1</v>
      </c>
      <c r="R131" s="256">
        <f t="shared" si="15"/>
        <v>1</v>
      </c>
      <c r="S131" s="256">
        <f t="shared" si="15"/>
        <v>1</v>
      </c>
      <c r="T131" s="256">
        <f t="shared" si="15"/>
        <v>1</v>
      </c>
      <c r="U131" s="216"/>
      <c r="V131" s="216"/>
    </row>
    <row r="132" spans="1:22" s="140" customFormat="1" ht="25.5" hidden="1" outlineLevel="3">
      <c r="A132" s="216"/>
      <c r="B132" s="255" t="s">
        <v>307</v>
      </c>
      <c r="C132" s="290" t="s">
        <v>262</v>
      </c>
      <c r="D132" s="227" t="s">
        <v>256</v>
      </c>
      <c r="E132" s="241"/>
      <c r="F132" s="228">
        <f t="shared" si="14"/>
        <v>4.7589024389150178E-2</v>
      </c>
      <c r="G132" s="269">
        <f>+F132*G106</f>
        <v>2.5151299390067559E-4</v>
      </c>
      <c r="H132" s="299"/>
      <c r="I132" s="299"/>
      <c r="J132" s="299"/>
      <c r="K132" s="299"/>
      <c r="L132" s="299"/>
      <c r="M132" s="299"/>
      <c r="N132" s="229">
        <v>1</v>
      </c>
      <c r="O132" s="229">
        <v>1</v>
      </c>
      <c r="P132" s="229">
        <v>1</v>
      </c>
      <c r="Q132" s="272">
        <v>1</v>
      </c>
      <c r="R132" s="256">
        <f t="shared" si="15"/>
        <v>1</v>
      </c>
      <c r="S132" s="256">
        <f t="shared" si="15"/>
        <v>1</v>
      </c>
      <c r="T132" s="256">
        <f t="shared" si="15"/>
        <v>1</v>
      </c>
      <c r="U132" s="216"/>
      <c r="V132" s="216"/>
    </row>
    <row r="133" spans="1:22" s="140" customFormat="1" ht="25.5" hidden="1" outlineLevel="2">
      <c r="A133" s="216"/>
      <c r="B133" s="291" t="s">
        <v>308</v>
      </c>
      <c r="C133" s="292" t="s">
        <v>37</v>
      </c>
      <c r="D133" s="234" t="s">
        <v>33</v>
      </c>
      <c r="E133" s="240"/>
      <c r="F133" s="223">
        <v>9.4678015032851906E-2</v>
      </c>
      <c r="G133" s="293">
        <f>+F133*G84</f>
        <v>2.0716755653161405E-3</v>
      </c>
      <c r="H133" s="298"/>
      <c r="I133" s="298"/>
      <c r="J133" s="298"/>
      <c r="K133" s="298"/>
      <c r="L133" s="298"/>
      <c r="M133" s="298"/>
      <c r="N133" s="224">
        <f>+SUMPRODUCT($F134:$F144,N134:N144)</f>
        <v>1.0000000000000002</v>
      </c>
      <c r="O133" s="224">
        <f>+SUMPRODUCT($F134:$F144,O134:O144)</f>
        <v>1.0000000000000002</v>
      </c>
      <c r="P133" s="224">
        <f>+SUMPRODUCT($F134:$F144,P134:P144)</f>
        <v>1.0000000000000002</v>
      </c>
      <c r="Q133" s="270">
        <f>+SUMPRODUCT($F134:$F144,Q134:Q144)</f>
        <v>1.0000000000000002</v>
      </c>
      <c r="R133" s="254">
        <f t="shared" si="15"/>
        <v>1</v>
      </c>
      <c r="S133" s="254">
        <f t="shared" si="15"/>
        <v>1</v>
      </c>
      <c r="T133" s="254">
        <f t="shared" si="15"/>
        <v>1</v>
      </c>
      <c r="U133" s="216"/>
      <c r="V133" s="216"/>
    </row>
    <row r="134" spans="1:22" s="140" customFormat="1" ht="25.5" hidden="1" outlineLevel="3">
      <c r="A134" s="216"/>
      <c r="B134" s="255" t="s">
        <v>309</v>
      </c>
      <c r="C134" s="290" t="s">
        <v>230</v>
      </c>
      <c r="D134" s="227" t="s">
        <v>231</v>
      </c>
      <c r="E134" s="241"/>
      <c r="F134" s="228">
        <f t="shared" ref="F134:F144" si="16">F769</f>
        <v>9.0909090909090912E-2</v>
      </c>
      <c r="G134" s="269">
        <f>+F134*G133</f>
        <v>1.8833414230146731E-4</v>
      </c>
      <c r="H134" s="299"/>
      <c r="I134" s="299"/>
      <c r="J134" s="299"/>
      <c r="K134" s="299"/>
      <c r="L134" s="299"/>
      <c r="M134" s="299"/>
      <c r="N134" s="229">
        <v>1</v>
      </c>
      <c r="O134" s="229">
        <v>1</v>
      </c>
      <c r="P134" s="229">
        <v>1</v>
      </c>
      <c r="Q134" s="272">
        <v>1</v>
      </c>
      <c r="R134" s="256">
        <f t="shared" si="15"/>
        <v>1</v>
      </c>
      <c r="S134" s="256">
        <f t="shared" si="15"/>
        <v>1</v>
      </c>
      <c r="T134" s="256">
        <f t="shared" si="15"/>
        <v>1</v>
      </c>
      <c r="U134" s="216"/>
      <c r="V134" s="216"/>
    </row>
    <row r="135" spans="1:22" s="140" customFormat="1" ht="25.5" hidden="1" outlineLevel="3">
      <c r="A135" s="216"/>
      <c r="B135" s="255" t="s">
        <v>310</v>
      </c>
      <c r="C135" s="290" t="s">
        <v>233</v>
      </c>
      <c r="D135" s="227" t="s">
        <v>231</v>
      </c>
      <c r="E135" s="241"/>
      <c r="F135" s="228">
        <f t="shared" si="16"/>
        <v>9.0909090909090912E-2</v>
      </c>
      <c r="G135" s="269">
        <f>+F135*G133</f>
        <v>1.8833414230146731E-4</v>
      </c>
      <c r="H135" s="299"/>
      <c r="I135" s="299"/>
      <c r="J135" s="299"/>
      <c r="K135" s="299"/>
      <c r="L135" s="299"/>
      <c r="M135" s="299"/>
      <c r="N135" s="229">
        <v>1</v>
      </c>
      <c r="O135" s="229">
        <v>1</v>
      </c>
      <c r="P135" s="229">
        <v>1</v>
      </c>
      <c r="Q135" s="272">
        <v>1</v>
      </c>
      <c r="R135" s="256">
        <f t="shared" si="15"/>
        <v>1</v>
      </c>
      <c r="S135" s="256">
        <f t="shared" si="15"/>
        <v>1</v>
      </c>
      <c r="T135" s="256">
        <f t="shared" si="15"/>
        <v>1</v>
      </c>
      <c r="U135" s="216"/>
      <c r="V135" s="216"/>
    </row>
    <row r="136" spans="1:22" s="140" customFormat="1" ht="25.5" hidden="1" outlineLevel="3">
      <c r="A136" s="216"/>
      <c r="B136" s="255" t="s">
        <v>311</v>
      </c>
      <c r="C136" s="290" t="s">
        <v>235</v>
      </c>
      <c r="D136" s="227" t="s">
        <v>231</v>
      </c>
      <c r="E136" s="241"/>
      <c r="F136" s="228">
        <f t="shared" si="16"/>
        <v>9.0909090909090912E-2</v>
      </c>
      <c r="G136" s="269">
        <f>+F136*G133</f>
        <v>1.8833414230146731E-4</v>
      </c>
      <c r="H136" s="299"/>
      <c r="I136" s="299"/>
      <c r="J136" s="299"/>
      <c r="K136" s="299"/>
      <c r="L136" s="299"/>
      <c r="M136" s="299"/>
      <c r="N136" s="229">
        <v>1</v>
      </c>
      <c r="O136" s="229">
        <v>1</v>
      </c>
      <c r="P136" s="229">
        <v>1</v>
      </c>
      <c r="Q136" s="272">
        <v>1</v>
      </c>
      <c r="R136" s="256">
        <f t="shared" si="15"/>
        <v>1</v>
      </c>
      <c r="S136" s="256">
        <f t="shared" si="15"/>
        <v>1</v>
      </c>
      <c r="T136" s="256">
        <f t="shared" si="15"/>
        <v>1</v>
      </c>
      <c r="U136" s="216"/>
      <c r="V136" s="216"/>
    </row>
    <row r="137" spans="1:22" s="140" customFormat="1" ht="25.5" hidden="1" outlineLevel="3">
      <c r="A137" s="216"/>
      <c r="B137" s="255" t="s">
        <v>312</v>
      </c>
      <c r="C137" s="290" t="s">
        <v>237</v>
      </c>
      <c r="D137" s="227" t="s">
        <v>231</v>
      </c>
      <c r="E137" s="241"/>
      <c r="F137" s="228">
        <f t="shared" si="16"/>
        <v>9.0909090909090912E-2</v>
      </c>
      <c r="G137" s="269">
        <f>+F137*G133</f>
        <v>1.8833414230146731E-4</v>
      </c>
      <c r="H137" s="299"/>
      <c r="I137" s="299"/>
      <c r="J137" s="299"/>
      <c r="K137" s="299"/>
      <c r="L137" s="299"/>
      <c r="M137" s="299"/>
      <c r="N137" s="229">
        <v>1</v>
      </c>
      <c r="O137" s="229">
        <v>1</v>
      </c>
      <c r="P137" s="229">
        <v>1</v>
      </c>
      <c r="Q137" s="272">
        <v>1</v>
      </c>
      <c r="R137" s="256">
        <f t="shared" si="15"/>
        <v>1</v>
      </c>
      <c r="S137" s="256">
        <f t="shared" si="15"/>
        <v>1</v>
      </c>
      <c r="T137" s="256">
        <f t="shared" si="15"/>
        <v>1</v>
      </c>
      <c r="U137" s="216"/>
      <c r="V137" s="216"/>
    </row>
    <row r="138" spans="1:22" s="140" customFormat="1" ht="25.5" hidden="1" outlineLevel="3">
      <c r="A138" s="216"/>
      <c r="B138" s="255" t="s">
        <v>313</v>
      </c>
      <c r="C138" s="290" t="s">
        <v>239</v>
      </c>
      <c r="D138" s="227" t="s">
        <v>231</v>
      </c>
      <c r="E138" s="241"/>
      <c r="F138" s="228">
        <f t="shared" si="16"/>
        <v>9.0909090909090912E-2</v>
      </c>
      <c r="G138" s="269">
        <f>+F138*G133</f>
        <v>1.8833414230146731E-4</v>
      </c>
      <c r="H138" s="299"/>
      <c r="I138" s="299"/>
      <c r="J138" s="299"/>
      <c r="K138" s="299"/>
      <c r="L138" s="299"/>
      <c r="M138" s="299"/>
      <c r="N138" s="229">
        <v>1</v>
      </c>
      <c r="O138" s="229">
        <v>1</v>
      </c>
      <c r="P138" s="229">
        <v>1</v>
      </c>
      <c r="Q138" s="272">
        <v>1</v>
      </c>
      <c r="R138" s="256">
        <f t="shared" si="15"/>
        <v>1</v>
      </c>
      <c r="S138" s="256">
        <f t="shared" si="15"/>
        <v>1</v>
      </c>
      <c r="T138" s="256">
        <f t="shared" si="15"/>
        <v>1</v>
      </c>
      <c r="U138" s="216"/>
      <c r="V138" s="216"/>
    </row>
    <row r="139" spans="1:22" s="140" customFormat="1" ht="25.5" hidden="1" outlineLevel="3">
      <c r="A139" s="216"/>
      <c r="B139" s="255" t="s">
        <v>314</v>
      </c>
      <c r="C139" s="290" t="s">
        <v>241</v>
      </c>
      <c r="D139" s="227" t="s">
        <v>231</v>
      </c>
      <c r="E139" s="241"/>
      <c r="F139" s="228">
        <f t="shared" si="16"/>
        <v>9.0909090909090912E-2</v>
      </c>
      <c r="G139" s="269">
        <f>+F139*G133</f>
        <v>1.8833414230146731E-4</v>
      </c>
      <c r="H139" s="299"/>
      <c r="I139" s="299"/>
      <c r="J139" s="299"/>
      <c r="K139" s="299"/>
      <c r="L139" s="299"/>
      <c r="M139" s="299"/>
      <c r="N139" s="229">
        <v>1</v>
      </c>
      <c r="O139" s="229">
        <v>1</v>
      </c>
      <c r="P139" s="229">
        <v>1</v>
      </c>
      <c r="Q139" s="272">
        <v>1</v>
      </c>
      <c r="R139" s="256">
        <f t="shared" si="15"/>
        <v>1</v>
      </c>
      <c r="S139" s="256">
        <f t="shared" si="15"/>
        <v>1</v>
      </c>
      <c r="T139" s="256">
        <f t="shared" si="15"/>
        <v>1</v>
      </c>
      <c r="U139" s="216"/>
      <c r="V139" s="216"/>
    </row>
    <row r="140" spans="1:22" s="140" customFormat="1" ht="25.5" hidden="1" outlineLevel="3">
      <c r="A140" s="216"/>
      <c r="B140" s="255" t="s">
        <v>315</v>
      </c>
      <c r="C140" s="290" t="s">
        <v>243</v>
      </c>
      <c r="D140" s="227" t="s">
        <v>231</v>
      </c>
      <c r="E140" s="241"/>
      <c r="F140" s="228">
        <f t="shared" si="16"/>
        <v>9.0909090909090912E-2</v>
      </c>
      <c r="G140" s="269">
        <f>+F140*G133</f>
        <v>1.8833414230146731E-4</v>
      </c>
      <c r="H140" s="299"/>
      <c r="I140" s="299"/>
      <c r="J140" s="299"/>
      <c r="K140" s="299"/>
      <c r="L140" s="299"/>
      <c r="M140" s="299"/>
      <c r="N140" s="229">
        <v>1</v>
      </c>
      <c r="O140" s="229">
        <v>1</v>
      </c>
      <c r="P140" s="229">
        <v>1</v>
      </c>
      <c r="Q140" s="272">
        <v>1</v>
      </c>
      <c r="R140" s="256">
        <f t="shared" si="15"/>
        <v>1</v>
      </c>
      <c r="S140" s="256">
        <f t="shared" si="15"/>
        <v>1</v>
      </c>
      <c r="T140" s="256">
        <f t="shared" si="15"/>
        <v>1</v>
      </c>
      <c r="U140" s="216"/>
      <c r="V140" s="216"/>
    </row>
    <row r="141" spans="1:22" s="140" customFormat="1" ht="25.5" hidden="1" outlineLevel="3">
      <c r="A141" s="216"/>
      <c r="B141" s="255" t="s">
        <v>316</v>
      </c>
      <c r="C141" s="290" t="s">
        <v>245</v>
      </c>
      <c r="D141" s="227" t="s">
        <v>231</v>
      </c>
      <c r="E141" s="241"/>
      <c r="F141" s="228">
        <f t="shared" si="16"/>
        <v>9.0909090909090912E-2</v>
      </c>
      <c r="G141" s="269">
        <f>+F141*G133</f>
        <v>1.8833414230146731E-4</v>
      </c>
      <c r="H141" s="299"/>
      <c r="I141" s="299"/>
      <c r="J141" s="299"/>
      <c r="K141" s="299"/>
      <c r="L141" s="299"/>
      <c r="M141" s="299"/>
      <c r="N141" s="229">
        <v>1</v>
      </c>
      <c r="O141" s="229">
        <v>1</v>
      </c>
      <c r="P141" s="229">
        <v>1</v>
      </c>
      <c r="Q141" s="272">
        <v>1</v>
      </c>
      <c r="R141" s="256">
        <f t="shared" si="15"/>
        <v>1</v>
      </c>
      <c r="S141" s="256">
        <f t="shared" si="15"/>
        <v>1</v>
      </c>
      <c r="T141" s="256">
        <f t="shared" si="15"/>
        <v>1</v>
      </c>
      <c r="U141" s="216"/>
      <c r="V141" s="216"/>
    </row>
    <row r="142" spans="1:22" s="140" customFormat="1" ht="25.5" hidden="1" outlineLevel="3">
      <c r="A142" s="216"/>
      <c r="B142" s="255" t="s">
        <v>317</v>
      </c>
      <c r="C142" s="290" t="s">
        <v>247</v>
      </c>
      <c r="D142" s="227" t="s">
        <v>231</v>
      </c>
      <c r="E142" s="241"/>
      <c r="F142" s="228">
        <f t="shared" si="16"/>
        <v>9.0909090909090912E-2</v>
      </c>
      <c r="G142" s="269">
        <f>+F142*G133</f>
        <v>1.8833414230146731E-4</v>
      </c>
      <c r="H142" s="299"/>
      <c r="I142" s="299"/>
      <c r="J142" s="299"/>
      <c r="K142" s="299"/>
      <c r="L142" s="299"/>
      <c r="M142" s="299"/>
      <c r="N142" s="229">
        <v>1</v>
      </c>
      <c r="O142" s="229">
        <v>1</v>
      </c>
      <c r="P142" s="229">
        <v>1</v>
      </c>
      <c r="Q142" s="272">
        <v>1</v>
      </c>
      <c r="R142" s="256">
        <f t="shared" si="15"/>
        <v>1</v>
      </c>
      <c r="S142" s="256">
        <f t="shared" si="15"/>
        <v>1</v>
      </c>
      <c r="T142" s="256">
        <f t="shared" si="15"/>
        <v>1</v>
      </c>
      <c r="U142" s="216"/>
      <c r="V142" s="216"/>
    </row>
    <row r="143" spans="1:22" s="140" customFormat="1" ht="25.5" hidden="1" outlineLevel="3">
      <c r="A143" s="216"/>
      <c r="B143" s="255" t="s">
        <v>318</v>
      </c>
      <c r="C143" s="290" t="s">
        <v>249</v>
      </c>
      <c r="D143" s="227" t="s">
        <v>231</v>
      </c>
      <c r="E143" s="241"/>
      <c r="F143" s="228">
        <f t="shared" si="16"/>
        <v>9.0909090909090912E-2</v>
      </c>
      <c r="G143" s="269">
        <f>+F143*G133</f>
        <v>1.8833414230146731E-4</v>
      </c>
      <c r="H143" s="299"/>
      <c r="I143" s="299"/>
      <c r="J143" s="299"/>
      <c r="K143" s="299"/>
      <c r="L143" s="299"/>
      <c r="M143" s="299"/>
      <c r="N143" s="229">
        <v>1</v>
      </c>
      <c r="O143" s="229">
        <v>1</v>
      </c>
      <c r="P143" s="229">
        <v>1</v>
      </c>
      <c r="Q143" s="272">
        <v>1</v>
      </c>
      <c r="R143" s="256">
        <f t="shared" si="15"/>
        <v>1</v>
      </c>
      <c r="S143" s="256">
        <f t="shared" si="15"/>
        <v>1</v>
      </c>
      <c r="T143" s="256">
        <f t="shared" si="15"/>
        <v>1</v>
      </c>
      <c r="U143" s="216"/>
      <c r="V143" s="216"/>
    </row>
    <row r="144" spans="1:22" s="140" customFormat="1" ht="25.5" hidden="1" outlineLevel="3">
      <c r="A144" s="216"/>
      <c r="B144" s="255" t="s">
        <v>319</v>
      </c>
      <c r="C144" s="290" t="s">
        <v>251</v>
      </c>
      <c r="D144" s="227" t="s">
        <v>231</v>
      </c>
      <c r="E144" s="241"/>
      <c r="F144" s="228">
        <f t="shared" si="16"/>
        <v>9.0909090909090912E-2</v>
      </c>
      <c r="G144" s="269">
        <f>+F144*G133</f>
        <v>1.8833414230146731E-4</v>
      </c>
      <c r="H144" s="299"/>
      <c r="I144" s="299"/>
      <c r="J144" s="299"/>
      <c r="K144" s="299"/>
      <c r="L144" s="299"/>
      <c r="M144" s="299"/>
      <c r="N144" s="229">
        <v>1</v>
      </c>
      <c r="O144" s="229">
        <v>1</v>
      </c>
      <c r="P144" s="229">
        <v>1</v>
      </c>
      <c r="Q144" s="272">
        <v>1</v>
      </c>
      <c r="R144" s="256">
        <f t="shared" si="15"/>
        <v>1</v>
      </c>
      <c r="S144" s="256">
        <f t="shared" si="15"/>
        <v>1</v>
      </c>
      <c r="T144" s="256">
        <f t="shared" si="15"/>
        <v>1</v>
      </c>
      <c r="U144" s="216"/>
      <c r="V144" s="216"/>
    </row>
    <row r="145" spans="1:22" s="140" customFormat="1" ht="25.5" hidden="1" outlineLevel="2">
      <c r="A145" s="216"/>
      <c r="B145" s="291" t="s">
        <v>320</v>
      </c>
      <c r="C145" s="292" t="s">
        <v>39</v>
      </c>
      <c r="D145" s="234" t="s">
        <v>33</v>
      </c>
      <c r="E145" s="240"/>
      <c r="F145" s="223">
        <v>0.10115552784024648</v>
      </c>
      <c r="G145" s="293">
        <f>+F145*G84</f>
        <v>2.2134117962927342E-3</v>
      </c>
      <c r="H145" s="298"/>
      <c r="I145" s="298"/>
      <c r="J145" s="298"/>
      <c r="K145" s="298"/>
      <c r="L145" s="298"/>
      <c r="M145" s="298"/>
      <c r="N145" s="224">
        <f>+SUMPRODUCT($F146:$F157,N146:N157)</f>
        <v>1</v>
      </c>
      <c r="O145" s="224">
        <f>+SUMPRODUCT($F146:$F157,O146:O157)</f>
        <v>1</v>
      </c>
      <c r="P145" s="224">
        <f>+SUMPRODUCT($F146:$F157,P146:P157)</f>
        <v>1</v>
      </c>
      <c r="Q145" s="270">
        <f>+SUMPRODUCT($F146:$F157,Q146:Q157)</f>
        <v>0.91666666666666674</v>
      </c>
      <c r="R145" s="254">
        <f t="shared" si="15"/>
        <v>0.91666666666666674</v>
      </c>
      <c r="S145" s="254">
        <f t="shared" si="15"/>
        <v>0.91666666666666674</v>
      </c>
      <c r="T145" s="254">
        <f t="shared" si="15"/>
        <v>0.91666666666666674</v>
      </c>
      <c r="U145" s="216"/>
      <c r="V145" s="216"/>
    </row>
    <row r="146" spans="1:22" s="140" customFormat="1" ht="25.5" hidden="1" outlineLevel="3">
      <c r="A146" s="216"/>
      <c r="B146" s="255" t="s">
        <v>321</v>
      </c>
      <c r="C146" s="290" t="s">
        <v>230</v>
      </c>
      <c r="D146" s="227" t="s">
        <v>231</v>
      </c>
      <c r="E146" s="241"/>
      <c r="F146" s="228">
        <f t="shared" ref="F146:F157" si="17">F781</f>
        <v>8.3333333333333329E-2</v>
      </c>
      <c r="G146" s="269">
        <f>+F146*G145</f>
        <v>1.8445098302439451E-4</v>
      </c>
      <c r="H146" s="299"/>
      <c r="I146" s="299"/>
      <c r="J146" s="299"/>
      <c r="K146" s="299"/>
      <c r="L146" s="299"/>
      <c r="M146" s="299"/>
      <c r="N146" s="229">
        <v>1</v>
      </c>
      <c r="O146" s="229">
        <v>1</v>
      </c>
      <c r="P146" s="229">
        <v>1</v>
      </c>
      <c r="Q146" s="272">
        <v>0</v>
      </c>
      <c r="R146" s="256">
        <f t="shared" si="15"/>
        <v>0</v>
      </c>
      <c r="S146" s="256">
        <f t="shared" si="15"/>
        <v>0</v>
      </c>
      <c r="T146" s="256">
        <f t="shared" si="15"/>
        <v>0</v>
      </c>
      <c r="U146" s="216"/>
      <c r="V146" s="216"/>
    </row>
    <row r="147" spans="1:22" s="140" customFormat="1" ht="25.5" hidden="1" outlineLevel="3">
      <c r="A147" s="216"/>
      <c r="B147" s="255" t="s">
        <v>322</v>
      </c>
      <c r="C147" s="290" t="s">
        <v>233</v>
      </c>
      <c r="D147" s="227" t="s">
        <v>231</v>
      </c>
      <c r="E147" s="241"/>
      <c r="F147" s="228">
        <f t="shared" si="17"/>
        <v>8.3333333333333329E-2</v>
      </c>
      <c r="G147" s="269">
        <f>+F147*G145</f>
        <v>1.8445098302439451E-4</v>
      </c>
      <c r="H147" s="299"/>
      <c r="I147" s="299"/>
      <c r="J147" s="299"/>
      <c r="K147" s="299"/>
      <c r="L147" s="299"/>
      <c r="M147" s="299"/>
      <c r="N147" s="229">
        <v>1</v>
      </c>
      <c r="O147" s="229">
        <v>1</v>
      </c>
      <c r="P147" s="229">
        <v>1</v>
      </c>
      <c r="Q147" s="272">
        <v>1</v>
      </c>
      <c r="R147" s="256">
        <f t="shared" si="15"/>
        <v>1</v>
      </c>
      <c r="S147" s="256">
        <f t="shared" si="15"/>
        <v>1</v>
      </c>
      <c r="T147" s="256">
        <f t="shared" si="15"/>
        <v>1</v>
      </c>
      <c r="U147" s="216"/>
      <c r="V147" s="216"/>
    </row>
    <row r="148" spans="1:22" s="140" customFormat="1" ht="25.5" hidden="1" outlineLevel="3">
      <c r="A148" s="216"/>
      <c r="B148" s="255" t="s">
        <v>323</v>
      </c>
      <c r="C148" s="290" t="s">
        <v>235</v>
      </c>
      <c r="D148" s="227" t="s">
        <v>231</v>
      </c>
      <c r="E148" s="241"/>
      <c r="F148" s="228">
        <f t="shared" si="17"/>
        <v>8.3333333333333329E-2</v>
      </c>
      <c r="G148" s="269">
        <f>+F148*G145</f>
        <v>1.8445098302439451E-4</v>
      </c>
      <c r="H148" s="299"/>
      <c r="I148" s="299"/>
      <c r="J148" s="299"/>
      <c r="K148" s="299"/>
      <c r="L148" s="299"/>
      <c r="M148" s="299"/>
      <c r="N148" s="229">
        <v>1</v>
      </c>
      <c r="O148" s="229">
        <v>1</v>
      </c>
      <c r="P148" s="229">
        <v>1</v>
      </c>
      <c r="Q148" s="272">
        <v>1</v>
      </c>
      <c r="R148" s="256">
        <f t="shared" si="15"/>
        <v>1</v>
      </c>
      <c r="S148" s="256">
        <f t="shared" si="15"/>
        <v>1</v>
      </c>
      <c r="T148" s="256">
        <f t="shared" si="15"/>
        <v>1</v>
      </c>
      <c r="U148" s="216"/>
      <c r="V148" s="216"/>
    </row>
    <row r="149" spans="1:22" s="140" customFormat="1" ht="25.5" hidden="1" outlineLevel="3">
      <c r="A149" s="216"/>
      <c r="B149" s="255" t="s">
        <v>324</v>
      </c>
      <c r="C149" s="290" t="s">
        <v>237</v>
      </c>
      <c r="D149" s="227" t="s">
        <v>231</v>
      </c>
      <c r="E149" s="241"/>
      <c r="F149" s="228">
        <f t="shared" si="17"/>
        <v>8.3333333333333329E-2</v>
      </c>
      <c r="G149" s="269">
        <f>+F149*G145</f>
        <v>1.8445098302439451E-4</v>
      </c>
      <c r="H149" s="299"/>
      <c r="I149" s="299"/>
      <c r="J149" s="299"/>
      <c r="K149" s="299"/>
      <c r="L149" s="299"/>
      <c r="M149" s="299"/>
      <c r="N149" s="229">
        <v>1</v>
      </c>
      <c r="O149" s="229">
        <v>1</v>
      </c>
      <c r="P149" s="229">
        <v>1</v>
      </c>
      <c r="Q149" s="272">
        <v>1</v>
      </c>
      <c r="R149" s="256">
        <f t="shared" si="15"/>
        <v>1</v>
      </c>
      <c r="S149" s="256">
        <f t="shared" si="15"/>
        <v>1</v>
      </c>
      <c r="T149" s="256">
        <f t="shared" si="15"/>
        <v>1</v>
      </c>
      <c r="U149" s="216"/>
      <c r="V149" s="216"/>
    </row>
    <row r="150" spans="1:22" s="140" customFormat="1" ht="25.5" hidden="1" outlineLevel="3">
      <c r="A150" s="216"/>
      <c r="B150" s="255" t="s">
        <v>325</v>
      </c>
      <c r="C150" s="290" t="s">
        <v>239</v>
      </c>
      <c r="D150" s="227" t="s">
        <v>231</v>
      </c>
      <c r="E150" s="241"/>
      <c r="F150" s="228">
        <f t="shared" si="17"/>
        <v>8.3333333333333329E-2</v>
      </c>
      <c r="G150" s="269">
        <f>+F150*G145</f>
        <v>1.8445098302439451E-4</v>
      </c>
      <c r="H150" s="299"/>
      <c r="I150" s="299"/>
      <c r="J150" s="299"/>
      <c r="K150" s="299"/>
      <c r="L150" s="299"/>
      <c r="M150" s="299"/>
      <c r="N150" s="229">
        <v>1</v>
      </c>
      <c r="O150" s="229">
        <v>1</v>
      </c>
      <c r="P150" s="229">
        <v>1</v>
      </c>
      <c r="Q150" s="272">
        <v>1</v>
      </c>
      <c r="R150" s="256">
        <f t="shared" si="15"/>
        <v>1</v>
      </c>
      <c r="S150" s="256">
        <f t="shared" si="15"/>
        <v>1</v>
      </c>
      <c r="T150" s="256">
        <f t="shared" si="15"/>
        <v>1</v>
      </c>
      <c r="U150" s="216"/>
      <c r="V150" s="216"/>
    </row>
    <row r="151" spans="1:22" s="140" customFormat="1" ht="25.5" hidden="1" outlineLevel="3">
      <c r="A151" s="216"/>
      <c r="B151" s="255" t="s">
        <v>326</v>
      </c>
      <c r="C151" s="290" t="s">
        <v>241</v>
      </c>
      <c r="D151" s="227" t="s">
        <v>231</v>
      </c>
      <c r="E151" s="241"/>
      <c r="F151" s="228">
        <f t="shared" si="17"/>
        <v>8.3333333333333329E-2</v>
      </c>
      <c r="G151" s="269">
        <f>+F151*G145</f>
        <v>1.8445098302439451E-4</v>
      </c>
      <c r="H151" s="299"/>
      <c r="I151" s="299"/>
      <c r="J151" s="299"/>
      <c r="K151" s="299"/>
      <c r="L151" s="299"/>
      <c r="M151" s="299"/>
      <c r="N151" s="229">
        <v>1</v>
      </c>
      <c r="O151" s="229">
        <v>1</v>
      </c>
      <c r="P151" s="229">
        <v>1</v>
      </c>
      <c r="Q151" s="272">
        <v>1</v>
      </c>
      <c r="R151" s="256">
        <f t="shared" si="15"/>
        <v>1</v>
      </c>
      <c r="S151" s="256">
        <f t="shared" si="15"/>
        <v>1</v>
      </c>
      <c r="T151" s="256">
        <f t="shared" si="15"/>
        <v>1</v>
      </c>
      <c r="U151" s="216"/>
      <c r="V151" s="216"/>
    </row>
    <row r="152" spans="1:22" s="140" customFormat="1" ht="25.5" hidden="1" outlineLevel="3">
      <c r="A152" s="216"/>
      <c r="B152" s="255" t="s">
        <v>327</v>
      </c>
      <c r="C152" s="290" t="s">
        <v>243</v>
      </c>
      <c r="D152" s="227" t="s">
        <v>231</v>
      </c>
      <c r="E152" s="241"/>
      <c r="F152" s="228">
        <f t="shared" si="17"/>
        <v>8.3333333333333329E-2</v>
      </c>
      <c r="G152" s="269">
        <f>+F152*G145</f>
        <v>1.8445098302439451E-4</v>
      </c>
      <c r="H152" s="299"/>
      <c r="I152" s="299"/>
      <c r="J152" s="299"/>
      <c r="K152" s="299"/>
      <c r="L152" s="299"/>
      <c r="M152" s="299"/>
      <c r="N152" s="229">
        <v>1</v>
      </c>
      <c r="O152" s="229">
        <v>1</v>
      </c>
      <c r="P152" s="229">
        <v>1</v>
      </c>
      <c r="Q152" s="272">
        <v>1</v>
      </c>
      <c r="R152" s="256">
        <f t="shared" si="15"/>
        <v>1</v>
      </c>
      <c r="S152" s="256">
        <f t="shared" si="15"/>
        <v>1</v>
      </c>
      <c r="T152" s="256">
        <f t="shared" si="15"/>
        <v>1</v>
      </c>
      <c r="U152" s="216"/>
      <c r="V152" s="216"/>
    </row>
    <row r="153" spans="1:22" s="140" customFormat="1" ht="25.5" hidden="1" outlineLevel="3">
      <c r="A153" s="216"/>
      <c r="B153" s="255" t="s">
        <v>328</v>
      </c>
      <c r="C153" s="290" t="s">
        <v>245</v>
      </c>
      <c r="D153" s="227" t="s">
        <v>231</v>
      </c>
      <c r="E153" s="241"/>
      <c r="F153" s="228">
        <f t="shared" si="17"/>
        <v>8.3333333333333329E-2</v>
      </c>
      <c r="G153" s="269">
        <f>+F153*G145</f>
        <v>1.8445098302439451E-4</v>
      </c>
      <c r="H153" s="299"/>
      <c r="I153" s="299"/>
      <c r="J153" s="299"/>
      <c r="K153" s="299"/>
      <c r="L153" s="299"/>
      <c r="M153" s="299"/>
      <c r="N153" s="229">
        <v>1</v>
      </c>
      <c r="O153" s="229">
        <v>1</v>
      </c>
      <c r="P153" s="229">
        <v>1</v>
      </c>
      <c r="Q153" s="272">
        <v>1</v>
      </c>
      <c r="R153" s="256">
        <f t="shared" si="15"/>
        <v>1</v>
      </c>
      <c r="S153" s="256">
        <f t="shared" si="15"/>
        <v>1</v>
      </c>
      <c r="T153" s="256">
        <f t="shared" si="15"/>
        <v>1</v>
      </c>
      <c r="U153" s="216"/>
      <c r="V153" s="216"/>
    </row>
    <row r="154" spans="1:22" s="140" customFormat="1" ht="25.5" hidden="1" outlineLevel="3">
      <c r="A154" s="216"/>
      <c r="B154" s="255" t="s">
        <v>329</v>
      </c>
      <c r="C154" s="290" t="s">
        <v>247</v>
      </c>
      <c r="D154" s="227" t="s">
        <v>231</v>
      </c>
      <c r="E154" s="241"/>
      <c r="F154" s="228">
        <f t="shared" si="17"/>
        <v>8.3333333333333329E-2</v>
      </c>
      <c r="G154" s="269">
        <f>+F154*G145</f>
        <v>1.8445098302439451E-4</v>
      </c>
      <c r="H154" s="299"/>
      <c r="I154" s="299"/>
      <c r="J154" s="299"/>
      <c r="K154" s="299"/>
      <c r="L154" s="299"/>
      <c r="M154" s="299"/>
      <c r="N154" s="229">
        <v>1</v>
      </c>
      <c r="O154" s="229">
        <v>1</v>
      </c>
      <c r="P154" s="229">
        <v>1</v>
      </c>
      <c r="Q154" s="272">
        <v>1</v>
      </c>
      <c r="R154" s="256">
        <f t="shared" si="15"/>
        <v>1</v>
      </c>
      <c r="S154" s="256">
        <f t="shared" si="15"/>
        <v>1</v>
      </c>
      <c r="T154" s="256">
        <f t="shared" si="15"/>
        <v>1</v>
      </c>
      <c r="U154" s="216"/>
      <c r="V154" s="216"/>
    </row>
    <row r="155" spans="1:22" s="140" customFormat="1" ht="25.5" hidden="1" outlineLevel="3">
      <c r="A155" s="216"/>
      <c r="B155" s="255" t="s">
        <v>330</v>
      </c>
      <c r="C155" s="290" t="s">
        <v>249</v>
      </c>
      <c r="D155" s="227" t="s">
        <v>231</v>
      </c>
      <c r="E155" s="241"/>
      <c r="F155" s="228">
        <f t="shared" si="17"/>
        <v>8.3333333333333329E-2</v>
      </c>
      <c r="G155" s="269">
        <f>+F155*G145</f>
        <v>1.8445098302439451E-4</v>
      </c>
      <c r="H155" s="299"/>
      <c r="I155" s="299"/>
      <c r="J155" s="299"/>
      <c r="K155" s="299"/>
      <c r="L155" s="299"/>
      <c r="M155" s="299"/>
      <c r="N155" s="229">
        <v>1</v>
      </c>
      <c r="O155" s="229">
        <v>1</v>
      </c>
      <c r="P155" s="229">
        <v>1</v>
      </c>
      <c r="Q155" s="272">
        <v>1</v>
      </c>
      <c r="R155" s="256">
        <f t="shared" si="15"/>
        <v>1</v>
      </c>
      <c r="S155" s="256">
        <f t="shared" si="15"/>
        <v>1</v>
      </c>
      <c r="T155" s="256">
        <f t="shared" si="15"/>
        <v>1</v>
      </c>
      <c r="U155" s="216"/>
      <c r="V155" s="216"/>
    </row>
    <row r="156" spans="1:22" s="140" customFormat="1" ht="25.5" hidden="1" outlineLevel="3">
      <c r="A156" s="216"/>
      <c r="B156" s="255" t="s">
        <v>331</v>
      </c>
      <c r="C156" s="290" t="s">
        <v>251</v>
      </c>
      <c r="D156" s="227" t="s">
        <v>231</v>
      </c>
      <c r="E156" s="241"/>
      <c r="F156" s="228">
        <f t="shared" si="17"/>
        <v>8.3333333333333329E-2</v>
      </c>
      <c r="G156" s="269">
        <f>+F156*G145</f>
        <v>1.8445098302439451E-4</v>
      </c>
      <c r="H156" s="299"/>
      <c r="I156" s="299"/>
      <c r="J156" s="299"/>
      <c r="K156" s="299"/>
      <c r="L156" s="299"/>
      <c r="M156" s="299"/>
      <c r="N156" s="229">
        <v>1</v>
      </c>
      <c r="O156" s="229">
        <v>1</v>
      </c>
      <c r="P156" s="229">
        <v>1</v>
      </c>
      <c r="Q156" s="272">
        <v>1</v>
      </c>
      <c r="R156" s="256">
        <f t="shared" si="15"/>
        <v>1</v>
      </c>
      <c r="S156" s="256">
        <f t="shared" si="15"/>
        <v>1</v>
      </c>
      <c r="T156" s="256">
        <f t="shared" si="15"/>
        <v>1</v>
      </c>
      <c r="U156" s="216"/>
      <c r="V156" s="216"/>
    </row>
    <row r="157" spans="1:22" s="140" customFormat="1" ht="25.5" hidden="1" outlineLevel="3">
      <c r="A157" s="216"/>
      <c r="B157" s="255" t="s">
        <v>332</v>
      </c>
      <c r="C157" s="290" t="s">
        <v>253</v>
      </c>
      <c r="D157" s="227" t="s">
        <v>231</v>
      </c>
      <c r="E157" s="241"/>
      <c r="F157" s="228">
        <f t="shared" si="17"/>
        <v>8.3333333333333329E-2</v>
      </c>
      <c r="G157" s="269">
        <f>+F157*G145</f>
        <v>1.8445098302439451E-4</v>
      </c>
      <c r="H157" s="299"/>
      <c r="I157" s="299"/>
      <c r="J157" s="299"/>
      <c r="K157" s="299"/>
      <c r="L157" s="299"/>
      <c r="M157" s="299"/>
      <c r="N157" s="229">
        <v>1</v>
      </c>
      <c r="O157" s="229">
        <v>1</v>
      </c>
      <c r="P157" s="229">
        <v>1</v>
      </c>
      <c r="Q157" s="272">
        <v>1</v>
      </c>
      <c r="R157" s="256">
        <f t="shared" si="15"/>
        <v>1</v>
      </c>
      <c r="S157" s="256">
        <f t="shared" si="15"/>
        <v>1</v>
      </c>
      <c r="T157" s="256">
        <f t="shared" si="15"/>
        <v>1</v>
      </c>
      <c r="U157" s="216"/>
      <c r="V157" s="216"/>
    </row>
    <row r="158" spans="1:22" s="140" customFormat="1" ht="25.5" hidden="1" outlineLevel="2">
      <c r="A158" s="216"/>
      <c r="B158" s="291" t="s">
        <v>333</v>
      </c>
      <c r="C158" s="292" t="s">
        <v>41</v>
      </c>
      <c r="D158" s="234" t="s">
        <v>33</v>
      </c>
      <c r="E158" s="240"/>
      <c r="F158" s="223">
        <v>0.11541079389014661</v>
      </c>
      <c r="G158" s="293">
        <f>+F158*G84</f>
        <v>2.5253351751511901E-3</v>
      </c>
      <c r="H158" s="298"/>
      <c r="I158" s="298"/>
      <c r="J158" s="298"/>
      <c r="K158" s="298"/>
      <c r="L158" s="298"/>
      <c r="M158" s="298"/>
      <c r="N158" s="224">
        <f>+SUMPRODUCT($F159:$F172,N159:N172)</f>
        <v>0.99999999999999967</v>
      </c>
      <c r="O158" s="224">
        <f>+SUMPRODUCT($F159:$F172,O159:O172)</f>
        <v>0.99999999999999967</v>
      </c>
      <c r="P158" s="224">
        <f>+SUMPRODUCT($F159:$F172,P159:P172)</f>
        <v>0.99999999999999967</v>
      </c>
      <c r="Q158" s="270">
        <f>+SUMPRODUCT($F159:$F172,Q159:Q172)</f>
        <v>0.99999999999999967</v>
      </c>
      <c r="R158" s="254">
        <f t="shared" si="15"/>
        <v>1</v>
      </c>
      <c r="S158" s="254">
        <f t="shared" si="15"/>
        <v>1</v>
      </c>
      <c r="T158" s="254">
        <f t="shared" si="15"/>
        <v>1</v>
      </c>
      <c r="U158" s="216"/>
      <c r="V158" s="216"/>
    </row>
    <row r="159" spans="1:22" s="140" customFormat="1" ht="25.5" hidden="1" outlineLevel="3">
      <c r="A159" s="216"/>
      <c r="B159" s="255" t="s">
        <v>334</v>
      </c>
      <c r="C159" s="290" t="s">
        <v>230</v>
      </c>
      <c r="D159" s="227" t="s">
        <v>231</v>
      </c>
      <c r="E159" s="241"/>
      <c r="F159" s="228">
        <f t="shared" ref="F159:F172" si="18">F794</f>
        <v>7.1428571428571411E-2</v>
      </c>
      <c r="G159" s="269">
        <f>+F159*G158</f>
        <v>1.8038108393937067E-4</v>
      </c>
      <c r="H159" s="299"/>
      <c r="I159" s="299"/>
      <c r="J159" s="299"/>
      <c r="K159" s="299"/>
      <c r="L159" s="299"/>
      <c r="M159" s="299"/>
      <c r="N159" s="229">
        <v>1</v>
      </c>
      <c r="O159" s="229">
        <v>1</v>
      </c>
      <c r="P159" s="229">
        <v>1</v>
      </c>
      <c r="Q159" s="272">
        <v>1</v>
      </c>
      <c r="R159" s="256">
        <f t="shared" si="15"/>
        <v>1</v>
      </c>
      <c r="S159" s="256">
        <f t="shared" si="15"/>
        <v>1</v>
      </c>
      <c r="T159" s="256">
        <f t="shared" si="15"/>
        <v>1</v>
      </c>
      <c r="U159" s="216"/>
      <c r="V159" s="216"/>
    </row>
    <row r="160" spans="1:22" s="140" customFormat="1" ht="25.5" hidden="1" outlineLevel="3">
      <c r="A160" s="216"/>
      <c r="B160" s="255" t="s">
        <v>335</v>
      </c>
      <c r="C160" s="290" t="s">
        <v>233</v>
      </c>
      <c r="D160" s="227" t="s">
        <v>231</v>
      </c>
      <c r="E160" s="241"/>
      <c r="F160" s="228">
        <f t="shared" si="18"/>
        <v>7.1428571428571411E-2</v>
      </c>
      <c r="G160" s="269">
        <f>+F160*G158</f>
        <v>1.8038108393937067E-4</v>
      </c>
      <c r="H160" s="299"/>
      <c r="I160" s="299"/>
      <c r="J160" s="299"/>
      <c r="K160" s="299"/>
      <c r="L160" s="299"/>
      <c r="M160" s="299"/>
      <c r="N160" s="229">
        <v>1</v>
      </c>
      <c r="O160" s="229">
        <v>1</v>
      </c>
      <c r="P160" s="229">
        <v>1</v>
      </c>
      <c r="Q160" s="272">
        <v>1</v>
      </c>
      <c r="R160" s="256">
        <f t="shared" si="15"/>
        <v>1</v>
      </c>
      <c r="S160" s="256">
        <f t="shared" si="15"/>
        <v>1</v>
      </c>
      <c r="T160" s="256">
        <f t="shared" si="15"/>
        <v>1</v>
      </c>
      <c r="U160" s="216"/>
      <c r="V160" s="216"/>
    </row>
    <row r="161" spans="1:22" s="140" customFormat="1" ht="25.5" hidden="1" outlineLevel="3">
      <c r="A161" s="216"/>
      <c r="B161" s="255" t="s">
        <v>336</v>
      </c>
      <c r="C161" s="290" t="s">
        <v>235</v>
      </c>
      <c r="D161" s="227" t="s">
        <v>231</v>
      </c>
      <c r="E161" s="241"/>
      <c r="F161" s="228">
        <f t="shared" si="18"/>
        <v>7.1428571428571411E-2</v>
      </c>
      <c r="G161" s="269">
        <f>+F161*G158</f>
        <v>1.8038108393937067E-4</v>
      </c>
      <c r="H161" s="299"/>
      <c r="I161" s="299"/>
      <c r="J161" s="299"/>
      <c r="K161" s="299"/>
      <c r="L161" s="299"/>
      <c r="M161" s="299"/>
      <c r="N161" s="229">
        <v>1</v>
      </c>
      <c r="O161" s="229">
        <v>1</v>
      </c>
      <c r="P161" s="229">
        <v>1</v>
      </c>
      <c r="Q161" s="272">
        <v>1</v>
      </c>
      <c r="R161" s="256">
        <f t="shared" ref="R161:T192" si="19">+IF(N161=0,0,$Q161/N161)</f>
        <v>1</v>
      </c>
      <c r="S161" s="256">
        <f t="shared" si="19"/>
        <v>1</v>
      </c>
      <c r="T161" s="256">
        <f t="shared" si="19"/>
        <v>1</v>
      </c>
      <c r="U161" s="216"/>
      <c r="V161" s="216"/>
    </row>
    <row r="162" spans="1:22" s="140" customFormat="1" ht="25.5" hidden="1" outlineLevel="3">
      <c r="A162" s="216"/>
      <c r="B162" s="255" t="s">
        <v>337</v>
      </c>
      <c r="C162" s="290" t="s">
        <v>237</v>
      </c>
      <c r="D162" s="227" t="s">
        <v>231</v>
      </c>
      <c r="E162" s="241"/>
      <c r="F162" s="228">
        <f t="shared" si="18"/>
        <v>7.1428571428571411E-2</v>
      </c>
      <c r="G162" s="269">
        <f>+F162*G158</f>
        <v>1.8038108393937067E-4</v>
      </c>
      <c r="H162" s="299"/>
      <c r="I162" s="299"/>
      <c r="J162" s="299"/>
      <c r="K162" s="299"/>
      <c r="L162" s="299"/>
      <c r="M162" s="299"/>
      <c r="N162" s="229">
        <v>1</v>
      </c>
      <c r="O162" s="229">
        <v>1</v>
      </c>
      <c r="P162" s="229">
        <v>1</v>
      </c>
      <c r="Q162" s="272">
        <v>1</v>
      </c>
      <c r="R162" s="256">
        <f t="shared" si="19"/>
        <v>1</v>
      </c>
      <c r="S162" s="256">
        <f t="shared" si="19"/>
        <v>1</v>
      </c>
      <c r="T162" s="256">
        <f t="shared" si="19"/>
        <v>1</v>
      </c>
      <c r="U162" s="216"/>
      <c r="V162" s="216"/>
    </row>
    <row r="163" spans="1:22" s="140" customFormat="1" ht="25.5" hidden="1" outlineLevel="3">
      <c r="A163" s="216"/>
      <c r="B163" s="255" t="s">
        <v>338</v>
      </c>
      <c r="C163" s="290" t="s">
        <v>239</v>
      </c>
      <c r="D163" s="227" t="s">
        <v>231</v>
      </c>
      <c r="E163" s="241"/>
      <c r="F163" s="228">
        <f t="shared" si="18"/>
        <v>7.1428571428571411E-2</v>
      </c>
      <c r="G163" s="269">
        <f>+F163*G158</f>
        <v>1.8038108393937067E-4</v>
      </c>
      <c r="H163" s="299"/>
      <c r="I163" s="299"/>
      <c r="J163" s="299"/>
      <c r="K163" s="299"/>
      <c r="L163" s="299"/>
      <c r="M163" s="299"/>
      <c r="N163" s="229">
        <v>1</v>
      </c>
      <c r="O163" s="229">
        <v>1</v>
      </c>
      <c r="P163" s="229">
        <v>1</v>
      </c>
      <c r="Q163" s="272">
        <v>1</v>
      </c>
      <c r="R163" s="256">
        <f t="shared" si="19"/>
        <v>1</v>
      </c>
      <c r="S163" s="256">
        <f t="shared" si="19"/>
        <v>1</v>
      </c>
      <c r="T163" s="256">
        <f t="shared" si="19"/>
        <v>1</v>
      </c>
      <c r="U163" s="216"/>
      <c r="V163" s="216"/>
    </row>
    <row r="164" spans="1:22" s="140" customFormat="1" ht="25.5" hidden="1" outlineLevel="3">
      <c r="A164" s="216"/>
      <c r="B164" s="255" t="s">
        <v>339</v>
      </c>
      <c r="C164" s="290" t="s">
        <v>241</v>
      </c>
      <c r="D164" s="227" t="s">
        <v>231</v>
      </c>
      <c r="E164" s="241"/>
      <c r="F164" s="228">
        <f t="shared" si="18"/>
        <v>7.1428571428571411E-2</v>
      </c>
      <c r="G164" s="269">
        <f>+F164*G158</f>
        <v>1.8038108393937067E-4</v>
      </c>
      <c r="H164" s="299"/>
      <c r="I164" s="299"/>
      <c r="J164" s="299"/>
      <c r="K164" s="299"/>
      <c r="L164" s="299"/>
      <c r="M164" s="299"/>
      <c r="N164" s="229">
        <v>1</v>
      </c>
      <c r="O164" s="229">
        <v>1</v>
      </c>
      <c r="P164" s="229">
        <v>1</v>
      </c>
      <c r="Q164" s="272">
        <v>1</v>
      </c>
      <c r="R164" s="256">
        <f t="shared" si="19"/>
        <v>1</v>
      </c>
      <c r="S164" s="256">
        <f t="shared" si="19"/>
        <v>1</v>
      </c>
      <c r="T164" s="256">
        <f t="shared" si="19"/>
        <v>1</v>
      </c>
      <c r="U164" s="216"/>
      <c r="V164" s="216"/>
    </row>
    <row r="165" spans="1:22" s="140" customFormat="1" ht="25.5" hidden="1" outlineLevel="3">
      <c r="A165" s="216"/>
      <c r="B165" s="255" t="s">
        <v>340</v>
      </c>
      <c r="C165" s="290" t="s">
        <v>243</v>
      </c>
      <c r="D165" s="227" t="s">
        <v>231</v>
      </c>
      <c r="E165" s="241"/>
      <c r="F165" s="228">
        <f t="shared" si="18"/>
        <v>7.1428571428571411E-2</v>
      </c>
      <c r="G165" s="269">
        <f>+F165*G158</f>
        <v>1.8038108393937067E-4</v>
      </c>
      <c r="H165" s="299"/>
      <c r="I165" s="299"/>
      <c r="J165" s="299"/>
      <c r="K165" s="299"/>
      <c r="L165" s="299"/>
      <c r="M165" s="299"/>
      <c r="N165" s="229">
        <v>1</v>
      </c>
      <c r="O165" s="229">
        <v>1</v>
      </c>
      <c r="P165" s="229">
        <v>1</v>
      </c>
      <c r="Q165" s="272">
        <v>1</v>
      </c>
      <c r="R165" s="256">
        <f t="shared" si="19"/>
        <v>1</v>
      </c>
      <c r="S165" s="256">
        <f t="shared" si="19"/>
        <v>1</v>
      </c>
      <c r="T165" s="256">
        <f t="shared" si="19"/>
        <v>1</v>
      </c>
      <c r="U165" s="216"/>
      <c r="V165" s="216"/>
    </row>
    <row r="166" spans="1:22" s="140" customFormat="1" ht="25.5" hidden="1" outlineLevel="3">
      <c r="A166" s="216"/>
      <c r="B166" s="255" t="s">
        <v>341</v>
      </c>
      <c r="C166" s="290" t="s">
        <v>245</v>
      </c>
      <c r="D166" s="227" t="s">
        <v>231</v>
      </c>
      <c r="E166" s="241"/>
      <c r="F166" s="228">
        <f t="shared" si="18"/>
        <v>7.1428571428571411E-2</v>
      </c>
      <c r="G166" s="269">
        <f>+F166*G158</f>
        <v>1.8038108393937067E-4</v>
      </c>
      <c r="H166" s="299"/>
      <c r="I166" s="299"/>
      <c r="J166" s="299"/>
      <c r="K166" s="299"/>
      <c r="L166" s="299"/>
      <c r="M166" s="299"/>
      <c r="N166" s="229">
        <v>1</v>
      </c>
      <c r="O166" s="229">
        <v>1</v>
      </c>
      <c r="P166" s="229">
        <v>1</v>
      </c>
      <c r="Q166" s="272">
        <v>1</v>
      </c>
      <c r="R166" s="256">
        <f t="shared" si="19"/>
        <v>1</v>
      </c>
      <c r="S166" s="256">
        <f t="shared" si="19"/>
        <v>1</v>
      </c>
      <c r="T166" s="256">
        <f t="shared" si="19"/>
        <v>1</v>
      </c>
      <c r="U166" s="216"/>
      <c r="V166" s="216"/>
    </row>
    <row r="167" spans="1:22" s="140" customFormat="1" ht="25.5" hidden="1" outlineLevel="3">
      <c r="A167" s="216"/>
      <c r="B167" s="255" t="s">
        <v>342</v>
      </c>
      <c r="C167" s="290" t="s">
        <v>247</v>
      </c>
      <c r="D167" s="227" t="s">
        <v>231</v>
      </c>
      <c r="E167" s="241"/>
      <c r="F167" s="228">
        <f t="shared" si="18"/>
        <v>7.1428571428571411E-2</v>
      </c>
      <c r="G167" s="269">
        <f>+F167*G158</f>
        <v>1.8038108393937067E-4</v>
      </c>
      <c r="H167" s="299"/>
      <c r="I167" s="299"/>
      <c r="J167" s="299"/>
      <c r="K167" s="299"/>
      <c r="L167" s="299"/>
      <c r="M167" s="299"/>
      <c r="N167" s="229">
        <v>1</v>
      </c>
      <c r="O167" s="229">
        <v>1</v>
      </c>
      <c r="P167" s="229">
        <v>1</v>
      </c>
      <c r="Q167" s="272">
        <v>1</v>
      </c>
      <c r="R167" s="256">
        <f t="shared" si="19"/>
        <v>1</v>
      </c>
      <c r="S167" s="256">
        <f t="shared" si="19"/>
        <v>1</v>
      </c>
      <c r="T167" s="256">
        <f t="shared" si="19"/>
        <v>1</v>
      </c>
      <c r="U167" s="216"/>
      <c r="V167" s="216"/>
    </row>
    <row r="168" spans="1:22" s="140" customFormat="1" ht="25.5" hidden="1" outlineLevel="3">
      <c r="A168" s="216"/>
      <c r="B168" s="255" t="s">
        <v>343</v>
      </c>
      <c r="C168" s="290" t="s">
        <v>249</v>
      </c>
      <c r="D168" s="227" t="s">
        <v>231</v>
      </c>
      <c r="E168" s="241"/>
      <c r="F168" s="228">
        <f t="shared" si="18"/>
        <v>7.1428571428571411E-2</v>
      </c>
      <c r="G168" s="269">
        <f>+F168*G158</f>
        <v>1.8038108393937067E-4</v>
      </c>
      <c r="H168" s="299"/>
      <c r="I168" s="299"/>
      <c r="J168" s="299"/>
      <c r="K168" s="299"/>
      <c r="L168" s="299"/>
      <c r="M168" s="299"/>
      <c r="N168" s="229">
        <v>1</v>
      </c>
      <c r="O168" s="229">
        <v>1</v>
      </c>
      <c r="P168" s="229">
        <v>1</v>
      </c>
      <c r="Q168" s="272">
        <v>1</v>
      </c>
      <c r="R168" s="256">
        <f t="shared" si="19"/>
        <v>1</v>
      </c>
      <c r="S168" s="256">
        <f t="shared" si="19"/>
        <v>1</v>
      </c>
      <c r="T168" s="256">
        <f t="shared" si="19"/>
        <v>1</v>
      </c>
      <c r="U168" s="216"/>
      <c r="V168" s="216"/>
    </row>
    <row r="169" spans="1:22" s="140" customFormat="1" ht="25.5" hidden="1" outlineLevel="3">
      <c r="A169" s="216"/>
      <c r="B169" s="255" t="s">
        <v>344</v>
      </c>
      <c r="C169" s="290" t="s">
        <v>251</v>
      </c>
      <c r="D169" s="227" t="s">
        <v>231</v>
      </c>
      <c r="E169" s="241"/>
      <c r="F169" s="228">
        <f t="shared" si="18"/>
        <v>7.1428571428571411E-2</v>
      </c>
      <c r="G169" s="269">
        <f>+F169*G158</f>
        <v>1.8038108393937067E-4</v>
      </c>
      <c r="H169" s="299"/>
      <c r="I169" s="299"/>
      <c r="J169" s="299"/>
      <c r="K169" s="299"/>
      <c r="L169" s="299"/>
      <c r="M169" s="299"/>
      <c r="N169" s="229">
        <v>1</v>
      </c>
      <c r="O169" s="229">
        <v>1</v>
      </c>
      <c r="P169" s="229">
        <v>1</v>
      </c>
      <c r="Q169" s="272">
        <v>1</v>
      </c>
      <c r="R169" s="256">
        <f t="shared" si="19"/>
        <v>1</v>
      </c>
      <c r="S169" s="256">
        <f t="shared" si="19"/>
        <v>1</v>
      </c>
      <c r="T169" s="256">
        <f t="shared" si="19"/>
        <v>1</v>
      </c>
      <c r="U169" s="216"/>
      <c r="V169" s="216"/>
    </row>
    <row r="170" spans="1:22" s="140" customFormat="1" ht="25.5" hidden="1" outlineLevel="3">
      <c r="A170" s="216"/>
      <c r="B170" s="255" t="s">
        <v>345</v>
      </c>
      <c r="C170" s="290" t="s">
        <v>253</v>
      </c>
      <c r="D170" s="227" t="s">
        <v>231</v>
      </c>
      <c r="E170" s="241"/>
      <c r="F170" s="228">
        <f t="shared" si="18"/>
        <v>7.1428571428571411E-2</v>
      </c>
      <c r="G170" s="269">
        <f>+F170*G158</f>
        <v>1.8038108393937067E-4</v>
      </c>
      <c r="H170" s="299"/>
      <c r="I170" s="299"/>
      <c r="J170" s="299"/>
      <c r="K170" s="299"/>
      <c r="L170" s="299"/>
      <c r="M170" s="299"/>
      <c r="N170" s="229">
        <v>1</v>
      </c>
      <c r="O170" s="229">
        <v>1</v>
      </c>
      <c r="P170" s="229">
        <v>1</v>
      </c>
      <c r="Q170" s="272">
        <v>1</v>
      </c>
      <c r="R170" s="256">
        <f t="shared" si="19"/>
        <v>1</v>
      </c>
      <c r="S170" s="256">
        <f t="shared" si="19"/>
        <v>1</v>
      </c>
      <c r="T170" s="256">
        <f t="shared" si="19"/>
        <v>1</v>
      </c>
      <c r="U170" s="216"/>
      <c r="V170" s="216"/>
    </row>
    <row r="171" spans="1:22" s="140" customFormat="1" ht="25.5" hidden="1" outlineLevel="3">
      <c r="A171" s="216"/>
      <c r="B171" s="255" t="s">
        <v>346</v>
      </c>
      <c r="C171" s="290" t="s">
        <v>285</v>
      </c>
      <c r="D171" s="227" t="s">
        <v>231</v>
      </c>
      <c r="E171" s="241"/>
      <c r="F171" s="228">
        <f t="shared" si="18"/>
        <v>7.1428571428571411E-2</v>
      </c>
      <c r="G171" s="269">
        <f>+F171*G158</f>
        <v>1.8038108393937067E-4</v>
      </c>
      <c r="H171" s="299"/>
      <c r="I171" s="299"/>
      <c r="J171" s="299"/>
      <c r="K171" s="299"/>
      <c r="L171" s="299"/>
      <c r="M171" s="299"/>
      <c r="N171" s="229">
        <v>1</v>
      </c>
      <c r="O171" s="229">
        <v>1</v>
      </c>
      <c r="P171" s="229">
        <v>1</v>
      </c>
      <c r="Q171" s="272">
        <v>1</v>
      </c>
      <c r="R171" s="256">
        <f t="shared" si="19"/>
        <v>1</v>
      </c>
      <c r="S171" s="256">
        <f t="shared" si="19"/>
        <v>1</v>
      </c>
      <c r="T171" s="256">
        <f t="shared" si="19"/>
        <v>1</v>
      </c>
      <c r="U171" s="216"/>
      <c r="V171" s="216"/>
    </row>
    <row r="172" spans="1:22" s="140" customFormat="1" ht="25.5" hidden="1" outlineLevel="3">
      <c r="A172" s="216"/>
      <c r="B172" s="255" t="s">
        <v>347</v>
      </c>
      <c r="C172" s="290" t="s">
        <v>287</v>
      </c>
      <c r="D172" s="227" t="s">
        <v>231</v>
      </c>
      <c r="E172" s="241"/>
      <c r="F172" s="228">
        <f t="shared" si="18"/>
        <v>7.1428571428571411E-2</v>
      </c>
      <c r="G172" s="269">
        <f>+F172*G158</f>
        <v>1.8038108393937067E-4</v>
      </c>
      <c r="H172" s="299"/>
      <c r="I172" s="299"/>
      <c r="J172" s="299"/>
      <c r="K172" s="299"/>
      <c r="L172" s="299"/>
      <c r="M172" s="299"/>
      <c r="N172" s="229">
        <v>1</v>
      </c>
      <c r="O172" s="229">
        <v>1</v>
      </c>
      <c r="P172" s="229">
        <v>1</v>
      </c>
      <c r="Q172" s="272">
        <v>1</v>
      </c>
      <c r="R172" s="256">
        <f t="shared" si="19"/>
        <v>1</v>
      </c>
      <c r="S172" s="256">
        <f t="shared" si="19"/>
        <v>1</v>
      </c>
      <c r="T172" s="256">
        <f t="shared" si="19"/>
        <v>1</v>
      </c>
      <c r="U172" s="216"/>
      <c r="V172" s="216"/>
    </row>
    <row r="173" spans="1:22" s="140" customFormat="1" ht="25.5" hidden="1" outlineLevel="2">
      <c r="A173" s="216"/>
      <c r="B173" s="291" t="s">
        <v>348</v>
      </c>
      <c r="C173" s="292" t="s">
        <v>43</v>
      </c>
      <c r="D173" s="234" t="s">
        <v>33</v>
      </c>
      <c r="E173" s="240"/>
      <c r="F173" s="223">
        <v>0.13984312067866289</v>
      </c>
      <c r="G173" s="293">
        <f>+F173*G84</f>
        <v>3.0599456060313177E-3</v>
      </c>
      <c r="H173" s="298"/>
      <c r="I173" s="298"/>
      <c r="J173" s="298"/>
      <c r="K173" s="298"/>
      <c r="L173" s="298"/>
      <c r="M173" s="298"/>
      <c r="N173" s="224">
        <f>+SUMPRODUCT($F174:$F190,N174:N190)</f>
        <v>1.0000000000000002</v>
      </c>
      <c r="O173" s="224">
        <f>+SUMPRODUCT($F174:$F190,O174:O190)</f>
        <v>1.0000000000000002</v>
      </c>
      <c r="P173" s="224">
        <f>+SUMPRODUCT($F174:$F190,P174:P190)</f>
        <v>1.0000000000000002</v>
      </c>
      <c r="Q173" s="270">
        <f>+SUMPRODUCT($F174:$F190,Q174:Q190)</f>
        <v>1.0000000000000002</v>
      </c>
      <c r="R173" s="254">
        <f t="shared" si="19"/>
        <v>1</v>
      </c>
      <c r="S173" s="254">
        <f t="shared" si="19"/>
        <v>1</v>
      </c>
      <c r="T173" s="254">
        <f t="shared" si="19"/>
        <v>1</v>
      </c>
      <c r="U173" s="216"/>
      <c r="V173" s="216"/>
    </row>
    <row r="174" spans="1:22" s="140" customFormat="1" ht="25.5" hidden="1" outlineLevel="3">
      <c r="A174" s="216"/>
      <c r="B174" s="255" t="s">
        <v>349</v>
      </c>
      <c r="C174" s="290" t="s">
        <v>230</v>
      </c>
      <c r="D174" s="227" t="s">
        <v>231</v>
      </c>
      <c r="E174" s="241"/>
      <c r="F174" s="228">
        <f t="shared" ref="F174:F190" si="20">F809</f>
        <v>6.2251019714089834E-2</v>
      </c>
      <c r="G174" s="269">
        <f>+F174*G173</f>
        <v>1.9048473424509811E-4</v>
      </c>
      <c r="H174" s="299"/>
      <c r="I174" s="299"/>
      <c r="J174" s="299"/>
      <c r="K174" s="299"/>
      <c r="L174" s="299"/>
      <c r="M174" s="299"/>
      <c r="N174" s="229">
        <v>1</v>
      </c>
      <c r="O174" s="229">
        <v>1</v>
      </c>
      <c r="P174" s="229">
        <v>1</v>
      </c>
      <c r="Q174" s="272">
        <v>1</v>
      </c>
      <c r="R174" s="256">
        <f t="shared" si="19"/>
        <v>1</v>
      </c>
      <c r="S174" s="256">
        <f t="shared" si="19"/>
        <v>1</v>
      </c>
      <c r="T174" s="256">
        <f t="shared" si="19"/>
        <v>1</v>
      </c>
      <c r="U174" s="216"/>
      <c r="V174" s="216"/>
    </row>
    <row r="175" spans="1:22" s="140" customFormat="1" ht="25.5" hidden="1" outlineLevel="3">
      <c r="A175" s="216"/>
      <c r="B175" s="255" t="s">
        <v>350</v>
      </c>
      <c r="C175" s="290" t="s">
        <v>233</v>
      </c>
      <c r="D175" s="227" t="s">
        <v>231</v>
      </c>
      <c r="E175" s="241"/>
      <c r="F175" s="228">
        <f t="shared" si="20"/>
        <v>6.2251019714089834E-2</v>
      </c>
      <c r="G175" s="269">
        <f>+F175*G173</f>
        <v>1.9048473424509811E-4</v>
      </c>
      <c r="H175" s="299"/>
      <c r="I175" s="299"/>
      <c r="J175" s="299"/>
      <c r="K175" s="299"/>
      <c r="L175" s="299"/>
      <c r="M175" s="299"/>
      <c r="N175" s="229">
        <v>1</v>
      </c>
      <c r="O175" s="229">
        <v>1</v>
      </c>
      <c r="P175" s="229">
        <v>1</v>
      </c>
      <c r="Q175" s="272">
        <v>1</v>
      </c>
      <c r="R175" s="256">
        <f t="shared" si="19"/>
        <v>1</v>
      </c>
      <c r="S175" s="256">
        <f t="shared" si="19"/>
        <v>1</v>
      </c>
      <c r="T175" s="256">
        <f t="shared" si="19"/>
        <v>1</v>
      </c>
      <c r="U175" s="216"/>
      <c r="V175" s="216"/>
    </row>
    <row r="176" spans="1:22" s="140" customFormat="1" ht="25.5" hidden="1" outlineLevel="3">
      <c r="A176" s="216"/>
      <c r="B176" s="255" t="s">
        <v>351</v>
      </c>
      <c r="C176" s="290" t="s">
        <v>235</v>
      </c>
      <c r="D176" s="227" t="s">
        <v>231</v>
      </c>
      <c r="E176" s="241"/>
      <c r="F176" s="228">
        <f t="shared" si="20"/>
        <v>6.2251019714089834E-2</v>
      </c>
      <c r="G176" s="269">
        <f>+F176*G173</f>
        <v>1.9048473424509811E-4</v>
      </c>
      <c r="H176" s="299"/>
      <c r="I176" s="299"/>
      <c r="J176" s="299"/>
      <c r="K176" s="299"/>
      <c r="L176" s="299"/>
      <c r="M176" s="299"/>
      <c r="N176" s="229">
        <v>1</v>
      </c>
      <c r="O176" s="229">
        <v>1</v>
      </c>
      <c r="P176" s="229">
        <v>1</v>
      </c>
      <c r="Q176" s="272">
        <v>1</v>
      </c>
      <c r="R176" s="256">
        <f t="shared" si="19"/>
        <v>1</v>
      </c>
      <c r="S176" s="256">
        <f t="shared" si="19"/>
        <v>1</v>
      </c>
      <c r="T176" s="256">
        <f t="shared" si="19"/>
        <v>1</v>
      </c>
      <c r="U176" s="216"/>
      <c r="V176" s="216"/>
    </row>
    <row r="177" spans="1:22" s="140" customFormat="1" ht="25.5" hidden="1" outlineLevel="3">
      <c r="A177" s="216"/>
      <c r="B177" s="255" t="s">
        <v>352</v>
      </c>
      <c r="C177" s="290" t="s">
        <v>237</v>
      </c>
      <c r="D177" s="227" t="s">
        <v>231</v>
      </c>
      <c r="E177" s="241"/>
      <c r="F177" s="228">
        <f t="shared" si="20"/>
        <v>6.2251019714089834E-2</v>
      </c>
      <c r="G177" s="269">
        <f>+F177*G173</f>
        <v>1.9048473424509811E-4</v>
      </c>
      <c r="H177" s="299"/>
      <c r="I177" s="299"/>
      <c r="J177" s="299"/>
      <c r="K177" s="299"/>
      <c r="L177" s="299"/>
      <c r="M177" s="299"/>
      <c r="N177" s="229">
        <v>1</v>
      </c>
      <c r="O177" s="229">
        <v>1</v>
      </c>
      <c r="P177" s="229">
        <v>1</v>
      </c>
      <c r="Q177" s="272">
        <v>1</v>
      </c>
      <c r="R177" s="256">
        <f t="shared" si="19"/>
        <v>1</v>
      </c>
      <c r="S177" s="256">
        <f t="shared" si="19"/>
        <v>1</v>
      </c>
      <c r="T177" s="256">
        <f t="shared" si="19"/>
        <v>1</v>
      </c>
      <c r="U177" s="216"/>
      <c r="V177" s="216"/>
    </row>
    <row r="178" spans="1:22" s="140" customFormat="1" ht="25.5" hidden="1" outlineLevel="3">
      <c r="A178" s="216"/>
      <c r="B178" s="255" t="s">
        <v>353</v>
      </c>
      <c r="C178" s="290" t="s">
        <v>239</v>
      </c>
      <c r="D178" s="227" t="s">
        <v>231</v>
      </c>
      <c r="E178" s="241"/>
      <c r="F178" s="228">
        <f t="shared" si="20"/>
        <v>6.2251019714089834E-2</v>
      </c>
      <c r="G178" s="269">
        <f>+F178*G173</f>
        <v>1.9048473424509811E-4</v>
      </c>
      <c r="H178" s="299"/>
      <c r="I178" s="299"/>
      <c r="J178" s="299"/>
      <c r="K178" s="299"/>
      <c r="L178" s="299"/>
      <c r="M178" s="299"/>
      <c r="N178" s="229">
        <v>1</v>
      </c>
      <c r="O178" s="229">
        <v>1</v>
      </c>
      <c r="P178" s="229">
        <v>1</v>
      </c>
      <c r="Q178" s="272">
        <v>1</v>
      </c>
      <c r="R178" s="256">
        <f t="shared" si="19"/>
        <v>1</v>
      </c>
      <c r="S178" s="256">
        <f t="shared" si="19"/>
        <v>1</v>
      </c>
      <c r="T178" s="256">
        <f t="shared" si="19"/>
        <v>1</v>
      </c>
      <c r="U178" s="216"/>
      <c r="V178" s="216"/>
    </row>
    <row r="179" spans="1:22" s="140" customFormat="1" ht="25.5" hidden="1" outlineLevel="3">
      <c r="A179" s="216"/>
      <c r="B179" s="255" t="s">
        <v>354</v>
      </c>
      <c r="C179" s="290" t="s">
        <v>241</v>
      </c>
      <c r="D179" s="227" t="s">
        <v>231</v>
      </c>
      <c r="E179" s="241"/>
      <c r="F179" s="228">
        <f t="shared" si="20"/>
        <v>6.2251019714089834E-2</v>
      </c>
      <c r="G179" s="269">
        <f>+F179*G173</f>
        <v>1.9048473424509811E-4</v>
      </c>
      <c r="H179" s="299"/>
      <c r="I179" s="299"/>
      <c r="J179" s="299"/>
      <c r="K179" s="299"/>
      <c r="L179" s="299"/>
      <c r="M179" s="299"/>
      <c r="N179" s="229">
        <v>1</v>
      </c>
      <c r="O179" s="229">
        <v>1</v>
      </c>
      <c r="P179" s="229">
        <v>1</v>
      </c>
      <c r="Q179" s="272">
        <v>1</v>
      </c>
      <c r="R179" s="256">
        <f t="shared" si="19"/>
        <v>1</v>
      </c>
      <c r="S179" s="256">
        <f t="shared" si="19"/>
        <v>1</v>
      </c>
      <c r="T179" s="256">
        <f t="shared" si="19"/>
        <v>1</v>
      </c>
      <c r="U179" s="216"/>
      <c r="V179" s="216"/>
    </row>
    <row r="180" spans="1:22" s="140" customFormat="1" ht="25.5" hidden="1" outlineLevel="3">
      <c r="A180" s="216"/>
      <c r="B180" s="255" t="s">
        <v>355</v>
      </c>
      <c r="C180" s="290" t="s">
        <v>243</v>
      </c>
      <c r="D180" s="227" t="s">
        <v>231</v>
      </c>
      <c r="E180" s="241"/>
      <c r="F180" s="228">
        <f t="shared" si="20"/>
        <v>6.2251019714089834E-2</v>
      </c>
      <c r="G180" s="269">
        <f>+F180*G173</f>
        <v>1.9048473424509811E-4</v>
      </c>
      <c r="H180" s="299"/>
      <c r="I180" s="299"/>
      <c r="J180" s="299"/>
      <c r="K180" s="299"/>
      <c r="L180" s="299"/>
      <c r="M180" s="299"/>
      <c r="N180" s="229">
        <v>1</v>
      </c>
      <c r="O180" s="229">
        <v>1</v>
      </c>
      <c r="P180" s="229">
        <v>1</v>
      </c>
      <c r="Q180" s="272">
        <v>1</v>
      </c>
      <c r="R180" s="256">
        <f t="shared" si="19"/>
        <v>1</v>
      </c>
      <c r="S180" s="256">
        <f t="shared" si="19"/>
        <v>1</v>
      </c>
      <c r="T180" s="256">
        <f t="shared" si="19"/>
        <v>1</v>
      </c>
      <c r="U180" s="216"/>
      <c r="V180" s="216"/>
    </row>
    <row r="181" spans="1:22" s="140" customFormat="1" ht="25.5" hidden="1" outlineLevel="3">
      <c r="A181" s="216"/>
      <c r="B181" s="255" t="s">
        <v>356</v>
      </c>
      <c r="C181" s="290" t="s">
        <v>245</v>
      </c>
      <c r="D181" s="227" t="s">
        <v>231</v>
      </c>
      <c r="E181" s="241"/>
      <c r="F181" s="228">
        <f t="shared" si="20"/>
        <v>6.2251019714089834E-2</v>
      </c>
      <c r="G181" s="269">
        <f>+F181*G173</f>
        <v>1.9048473424509811E-4</v>
      </c>
      <c r="H181" s="299"/>
      <c r="I181" s="299"/>
      <c r="J181" s="299"/>
      <c r="K181" s="299"/>
      <c r="L181" s="299"/>
      <c r="M181" s="299"/>
      <c r="N181" s="229">
        <v>1</v>
      </c>
      <c r="O181" s="229">
        <v>1</v>
      </c>
      <c r="P181" s="229">
        <v>1</v>
      </c>
      <c r="Q181" s="272">
        <v>1</v>
      </c>
      <c r="R181" s="256">
        <f t="shared" si="19"/>
        <v>1</v>
      </c>
      <c r="S181" s="256">
        <f t="shared" si="19"/>
        <v>1</v>
      </c>
      <c r="T181" s="256">
        <f t="shared" si="19"/>
        <v>1</v>
      </c>
      <c r="U181" s="216"/>
      <c r="V181" s="216"/>
    </row>
    <row r="182" spans="1:22" s="140" customFormat="1" ht="25.5" hidden="1" outlineLevel="3">
      <c r="A182" s="216"/>
      <c r="B182" s="255" t="s">
        <v>357</v>
      </c>
      <c r="C182" s="290" t="s">
        <v>247</v>
      </c>
      <c r="D182" s="227" t="s">
        <v>231</v>
      </c>
      <c r="E182" s="241"/>
      <c r="F182" s="228">
        <f t="shared" si="20"/>
        <v>6.2251019714089834E-2</v>
      </c>
      <c r="G182" s="269">
        <f>+F182*G173</f>
        <v>1.9048473424509811E-4</v>
      </c>
      <c r="H182" s="299"/>
      <c r="I182" s="299"/>
      <c r="J182" s="299"/>
      <c r="K182" s="299"/>
      <c r="L182" s="299"/>
      <c r="M182" s="299"/>
      <c r="N182" s="229">
        <v>1</v>
      </c>
      <c r="O182" s="229">
        <v>1</v>
      </c>
      <c r="P182" s="229">
        <v>1</v>
      </c>
      <c r="Q182" s="272">
        <v>1</v>
      </c>
      <c r="R182" s="256">
        <f t="shared" si="19"/>
        <v>1</v>
      </c>
      <c r="S182" s="256">
        <f t="shared" si="19"/>
        <v>1</v>
      </c>
      <c r="T182" s="256">
        <f t="shared" si="19"/>
        <v>1</v>
      </c>
      <c r="U182" s="216"/>
      <c r="V182" s="216"/>
    </row>
    <row r="183" spans="1:22" s="140" customFormat="1" ht="25.5" hidden="1" outlineLevel="3">
      <c r="A183" s="216"/>
      <c r="B183" s="255" t="s">
        <v>358</v>
      </c>
      <c r="C183" s="290" t="s">
        <v>249</v>
      </c>
      <c r="D183" s="227" t="s">
        <v>231</v>
      </c>
      <c r="E183" s="241"/>
      <c r="F183" s="228">
        <f t="shared" si="20"/>
        <v>6.2251019714089834E-2</v>
      </c>
      <c r="G183" s="269">
        <f>+F183*G173</f>
        <v>1.9048473424509811E-4</v>
      </c>
      <c r="H183" s="299"/>
      <c r="I183" s="299"/>
      <c r="J183" s="299"/>
      <c r="K183" s="299"/>
      <c r="L183" s="299"/>
      <c r="M183" s="299"/>
      <c r="N183" s="229">
        <v>1</v>
      </c>
      <c r="O183" s="229">
        <v>1</v>
      </c>
      <c r="P183" s="229">
        <v>1</v>
      </c>
      <c r="Q183" s="272">
        <v>1</v>
      </c>
      <c r="R183" s="256">
        <f t="shared" si="19"/>
        <v>1</v>
      </c>
      <c r="S183" s="256">
        <f t="shared" si="19"/>
        <v>1</v>
      </c>
      <c r="T183" s="256">
        <f t="shared" si="19"/>
        <v>1</v>
      </c>
      <c r="U183" s="216"/>
      <c r="V183" s="216"/>
    </row>
    <row r="184" spans="1:22" s="140" customFormat="1" ht="25.5" hidden="1" outlineLevel="3">
      <c r="A184" s="216"/>
      <c r="B184" s="255" t="s">
        <v>359</v>
      </c>
      <c r="C184" s="290" t="s">
        <v>251</v>
      </c>
      <c r="D184" s="227" t="s">
        <v>231</v>
      </c>
      <c r="E184" s="241"/>
      <c r="F184" s="228">
        <f t="shared" si="20"/>
        <v>6.2251019714089834E-2</v>
      </c>
      <c r="G184" s="269">
        <f>+F184*G173</f>
        <v>1.9048473424509811E-4</v>
      </c>
      <c r="H184" s="299"/>
      <c r="I184" s="299"/>
      <c r="J184" s="299"/>
      <c r="K184" s="299"/>
      <c r="L184" s="299"/>
      <c r="M184" s="299"/>
      <c r="N184" s="229">
        <v>1</v>
      </c>
      <c r="O184" s="229">
        <v>1</v>
      </c>
      <c r="P184" s="229">
        <v>1</v>
      </c>
      <c r="Q184" s="272">
        <v>1</v>
      </c>
      <c r="R184" s="256">
        <f t="shared" si="19"/>
        <v>1</v>
      </c>
      <c r="S184" s="256">
        <f t="shared" si="19"/>
        <v>1</v>
      </c>
      <c r="T184" s="256">
        <f t="shared" si="19"/>
        <v>1</v>
      </c>
      <c r="U184" s="216"/>
      <c r="V184" s="216"/>
    </row>
    <row r="185" spans="1:22" s="140" customFormat="1" ht="25.5" hidden="1" outlineLevel="3">
      <c r="A185" s="216"/>
      <c r="B185" s="255" t="s">
        <v>360</v>
      </c>
      <c r="C185" s="290" t="s">
        <v>253</v>
      </c>
      <c r="D185" s="227" t="s">
        <v>231</v>
      </c>
      <c r="E185" s="241"/>
      <c r="F185" s="228">
        <f t="shared" si="20"/>
        <v>6.2251019714089834E-2</v>
      </c>
      <c r="G185" s="269">
        <f>+F185*G173</f>
        <v>1.9048473424509811E-4</v>
      </c>
      <c r="H185" s="299"/>
      <c r="I185" s="299"/>
      <c r="J185" s="299"/>
      <c r="K185" s="299"/>
      <c r="L185" s="299"/>
      <c r="M185" s="299"/>
      <c r="N185" s="229">
        <v>1</v>
      </c>
      <c r="O185" s="229">
        <v>1</v>
      </c>
      <c r="P185" s="229">
        <v>1</v>
      </c>
      <c r="Q185" s="272">
        <v>1</v>
      </c>
      <c r="R185" s="256">
        <f t="shared" si="19"/>
        <v>1</v>
      </c>
      <c r="S185" s="256">
        <f t="shared" si="19"/>
        <v>1</v>
      </c>
      <c r="T185" s="256">
        <f t="shared" si="19"/>
        <v>1</v>
      </c>
      <c r="U185" s="216"/>
      <c r="V185" s="216"/>
    </row>
    <row r="186" spans="1:22" s="140" customFormat="1" ht="25.5" hidden="1" outlineLevel="3">
      <c r="A186" s="216"/>
      <c r="B186" s="255" t="s">
        <v>361</v>
      </c>
      <c r="C186" s="290" t="s">
        <v>285</v>
      </c>
      <c r="D186" s="227" t="s">
        <v>231</v>
      </c>
      <c r="E186" s="241"/>
      <c r="F186" s="228">
        <f t="shared" si="20"/>
        <v>6.2251019714089834E-2</v>
      </c>
      <c r="G186" s="269">
        <f>+F186*G173</f>
        <v>1.9048473424509811E-4</v>
      </c>
      <c r="H186" s="299"/>
      <c r="I186" s="299"/>
      <c r="J186" s="299"/>
      <c r="K186" s="299"/>
      <c r="L186" s="299"/>
      <c r="M186" s="299"/>
      <c r="N186" s="229">
        <v>1</v>
      </c>
      <c r="O186" s="229">
        <v>1</v>
      </c>
      <c r="P186" s="229">
        <v>1</v>
      </c>
      <c r="Q186" s="272">
        <v>1</v>
      </c>
      <c r="R186" s="256">
        <f t="shared" si="19"/>
        <v>1</v>
      </c>
      <c r="S186" s="256">
        <f t="shared" si="19"/>
        <v>1</v>
      </c>
      <c r="T186" s="256">
        <f t="shared" si="19"/>
        <v>1</v>
      </c>
      <c r="U186" s="216"/>
      <c r="V186" s="216"/>
    </row>
    <row r="187" spans="1:22" s="140" customFormat="1" ht="25.5" hidden="1" outlineLevel="3">
      <c r="A187" s="216"/>
      <c r="B187" s="255" t="s">
        <v>362</v>
      </c>
      <c r="C187" s="290" t="s">
        <v>287</v>
      </c>
      <c r="D187" s="227" t="s">
        <v>231</v>
      </c>
      <c r="E187" s="241"/>
      <c r="F187" s="228">
        <f t="shared" si="20"/>
        <v>6.2251019714089834E-2</v>
      </c>
      <c r="G187" s="269">
        <f>+F187*G173</f>
        <v>1.9048473424509811E-4</v>
      </c>
      <c r="H187" s="299"/>
      <c r="I187" s="299"/>
      <c r="J187" s="299"/>
      <c r="K187" s="299"/>
      <c r="L187" s="299"/>
      <c r="M187" s="299"/>
      <c r="N187" s="229">
        <v>1</v>
      </c>
      <c r="O187" s="229">
        <v>1</v>
      </c>
      <c r="P187" s="229">
        <v>1</v>
      </c>
      <c r="Q187" s="272">
        <v>1</v>
      </c>
      <c r="R187" s="256">
        <f t="shared" si="19"/>
        <v>1</v>
      </c>
      <c r="S187" s="256">
        <f t="shared" si="19"/>
        <v>1</v>
      </c>
      <c r="T187" s="256">
        <f t="shared" si="19"/>
        <v>1</v>
      </c>
      <c r="U187" s="216"/>
      <c r="V187" s="216"/>
    </row>
    <row r="188" spans="1:22" s="140" customFormat="1" ht="25.5" hidden="1" outlineLevel="3">
      <c r="A188" s="216"/>
      <c r="B188" s="255" t="s">
        <v>363</v>
      </c>
      <c r="C188" s="290" t="s">
        <v>289</v>
      </c>
      <c r="D188" s="227" t="s">
        <v>231</v>
      </c>
      <c r="E188" s="241"/>
      <c r="F188" s="228">
        <f t="shared" si="20"/>
        <v>6.2251019714089834E-2</v>
      </c>
      <c r="G188" s="269">
        <f>+F188*G173</f>
        <v>1.9048473424509811E-4</v>
      </c>
      <c r="H188" s="299"/>
      <c r="I188" s="299"/>
      <c r="J188" s="299"/>
      <c r="K188" s="299"/>
      <c r="L188" s="299"/>
      <c r="M188" s="299"/>
      <c r="N188" s="229">
        <v>1</v>
      </c>
      <c r="O188" s="229">
        <v>1</v>
      </c>
      <c r="P188" s="229">
        <v>1</v>
      </c>
      <c r="Q188" s="272">
        <v>1</v>
      </c>
      <c r="R188" s="256">
        <f t="shared" si="19"/>
        <v>1</v>
      </c>
      <c r="S188" s="256">
        <f t="shared" si="19"/>
        <v>1</v>
      </c>
      <c r="T188" s="256">
        <f t="shared" si="19"/>
        <v>1</v>
      </c>
      <c r="U188" s="216"/>
      <c r="V188" s="216"/>
    </row>
    <row r="189" spans="1:22" s="140" customFormat="1" ht="25.5" hidden="1" outlineLevel="3">
      <c r="A189" s="216"/>
      <c r="B189" s="255" t="s">
        <v>364</v>
      </c>
      <c r="C189" s="290" t="s">
        <v>291</v>
      </c>
      <c r="D189" s="227" t="s">
        <v>231</v>
      </c>
      <c r="E189" s="241"/>
      <c r="F189" s="228">
        <f t="shared" si="20"/>
        <v>6.2251019714089834E-2</v>
      </c>
      <c r="G189" s="269">
        <f>+F189*G173</f>
        <v>1.9048473424509811E-4</v>
      </c>
      <c r="H189" s="299"/>
      <c r="I189" s="299"/>
      <c r="J189" s="299"/>
      <c r="K189" s="299"/>
      <c r="L189" s="299"/>
      <c r="M189" s="299"/>
      <c r="N189" s="229">
        <v>1</v>
      </c>
      <c r="O189" s="229">
        <v>1</v>
      </c>
      <c r="P189" s="229">
        <v>1</v>
      </c>
      <c r="Q189" s="272">
        <v>1</v>
      </c>
      <c r="R189" s="256">
        <f t="shared" si="19"/>
        <v>1</v>
      </c>
      <c r="S189" s="256">
        <f t="shared" si="19"/>
        <v>1</v>
      </c>
      <c r="T189" s="256">
        <f t="shared" si="19"/>
        <v>1</v>
      </c>
      <c r="U189" s="216"/>
      <c r="V189" s="216"/>
    </row>
    <row r="190" spans="1:22" s="140" customFormat="1" ht="25.5" hidden="1" outlineLevel="3">
      <c r="A190" s="216"/>
      <c r="B190" s="255" t="s">
        <v>365</v>
      </c>
      <c r="C190" s="290" t="s">
        <v>366</v>
      </c>
      <c r="D190" s="227" t="s">
        <v>367</v>
      </c>
      <c r="E190" s="241"/>
      <c r="F190" s="228">
        <f t="shared" si="20"/>
        <v>3.9836845745626157E-3</v>
      </c>
      <c r="G190" s="269">
        <f>+F190*G173</f>
        <v>1.2189858109747615E-5</v>
      </c>
      <c r="H190" s="299"/>
      <c r="I190" s="299"/>
      <c r="J190" s="299"/>
      <c r="K190" s="299"/>
      <c r="L190" s="299"/>
      <c r="M190" s="299"/>
      <c r="N190" s="229">
        <v>1</v>
      </c>
      <c r="O190" s="229">
        <v>1</v>
      </c>
      <c r="P190" s="229">
        <v>1</v>
      </c>
      <c r="Q190" s="272">
        <v>1</v>
      </c>
      <c r="R190" s="256">
        <f t="shared" si="19"/>
        <v>1</v>
      </c>
      <c r="S190" s="256">
        <f t="shared" si="19"/>
        <v>1</v>
      </c>
      <c r="T190" s="256">
        <f t="shared" si="19"/>
        <v>1</v>
      </c>
      <c r="U190" s="216"/>
      <c r="V190" s="216"/>
    </row>
    <row r="191" spans="1:22" s="140" customFormat="1" ht="25.5" hidden="1" outlineLevel="2">
      <c r="A191" s="216"/>
      <c r="B191" s="291" t="s">
        <v>368</v>
      </c>
      <c r="C191" s="292" t="s">
        <v>45</v>
      </c>
      <c r="D191" s="234" t="s">
        <v>33</v>
      </c>
      <c r="E191" s="240"/>
      <c r="F191" s="223">
        <v>0.10642404592461722</v>
      </c>
      <c r="G191" s="293">
        <f>+F191*G84</f>
        <v>2.3286936827690173E-3</v>
      </c>
      <c r="H191" s="298"/>
      <c r="I191" s="298"/>
      <c r="J191" s="298"/>
      <c r="K191" s="298"/>
      <c r="L191" s="298"/>
      <c r="M191" s="298"/>
      <c r="N191" s="224">
        <f>+SUMPRODUCT($F192:$F205,N192:N205)</f>
        <v>1.0000000000000002</v>
      </c>
      <c r="O191" s="224">
        <f>+SUMPRODUCT($F192:$F205,O192:O205)</f>
        <v>1.0000000000000002</v>
      </c>
      <c r="P191" s="224">
        <f>+SUMPRODUCT($F192:$F205,P192:P205)</f>
        <v>1.0000000000000002</v>
      </c>
      <c r="Q191" s="270">
        <f>+SUMPRODUCT($F192:$F205,Q192:Q205)</f>
        <v>1.0000000000000002</v>
      </c>
      <c r="R191" s="254">
        <f t="shared" si="19"/>
        <v>1</v>
      </c>
      <c r="S191" s="254">
        <f t="shared" si="19"/>
        <v>1</v>
      </c>
      <c r="T191" s="254">
        <f t="shared" si="19"/>
        <v>1</v>
      </c>
      <c r="U191" s="216"/>
      <c r="V191" s="216"/>
    </row>
    <row r="192" spans="1:22" s="140" customFormat="1" ht="25.5" hidden="1" outlineLevel="3">
      <c r="A192" s="216"/>
      <c r="B192" s="255" t="s">
        <v>369</v>
      </c>
      <c r="C192" s="290" t="s">
        <v>230</v>
      </c>
      <c r="D192" s="227" t="s">
        <v>231</v>
      </c>
      <c r="E192" s="241"/>
      <c r="F192" s="228">
        <f t="shared" ref="F192:F205" si="21">F827</f>
        <v>7.4469037330616245E-2</v>
      </c>
      <c r="G192" s="269">
        <f>+F192*G191</f>
        <v>1.7341557679369617E-4</v>
      </c>
      <c r="H192" s="299"/>
      <c r="I192" s="299"/>
      <c r="J192" s="299"/>
      <c r="K192" s="299"/>
      <c r="L192" s="299"/>
      <c r="M192" s="299"/>
      <c r="N192" s="229">
        <v>1</v>
      </c>
      <c r="O192" s="229">
        <v>1</v>
      </c>
      <c r="P192" s="229">
        <v>1</v>
      </c>
      <c r="Q192" s="272">
        <v>1</v>
      </c>
      <c r="R192" s="256">
        <f t="shared" si="19"/>
        <v>1</v>
      </c>
      <c r="S192" s="256">
        <f t="shared" si="19"/>
        <v>1</v>
      </c>
      <c r="T192" s="256">
        <f t="shared" si="19"/>
        <v>1</v>
      </c>
      <c r="U192" s="216"/>
      <c r="V192" s="216"/>
    </row>
    <row r="193" spans="1:22" s="140" customFormat="1" ht="25.5" hidden="1" outlineLevel="3">
      <c r="A193" s="216"/>
      <c r="B193" s="255" t="s">
        <v>370</v>
      </c>
      <c r="C193" s="290" t="s">
        <v>233</v>
      </c>
      <c r="D193" s="227" t="s">
        <v>231</v>
      </c>
      <c r="E193" s="241"/>
      <c r="F193" s="228">
        <f t="shared" si="21"/>
        <v>7.4469037330616245E-2</v>
      </c>
      <c r="G193" s="269">
        <f>+F193*G191</f>
        <v>1.7341557679369617E-4</v>
      </c>
      <c r="H193" s="299"/>
      <c r="I193" s="299"/>
      <c r="J193" s="299"/>
      <c r="K193" s="299"/>
      <c r="L193" s="299"/>
      <c r="M193" s="299"/>
      <c r="N193" s="229">
        <v>1</v>
      </c>
      <c r="O193" s="229">
        <v>1</v>
      </c>
      <c r="P193" s="229">
        <v>1</v>
      </c>
      <c r="Q193" s="272">
        <v>1</v>
      </c>
      <c r="R193" s="256">
        <f t="shared" ref="R193:T224" si="22">+IF(N193=0,0,$Q193/N193)</f>
        <v>1</v>
      </c>
      <c r="S193" s="256">
        <f t="shared" si="22"/>
        <v>1</v>
      </c>
      <c r="T193" s="256">
        <f t="shared" si="22"/>
        <v>1</v>
      </c>
      <c r="U193" s="216"/>
      <c r="V193" s="216"/>
    </row>
    <row r="194" spans="1:22" s="140" customFormat="1" ht="25.5" hidden="1" outlineLevel="3">
      <c r="A194" s="216"/>
      <c r="B194" s="255" t="s">
        <v>371</v>
      </c>
      <c r="C194" s="290" t="s">
        <v>235</v>
      </c>
      <c r="D194" s="227" t="s">
        <v>231</v>
      </c>
      <c r="E194" s="241"/>
      <c r="F194" s="228">
        <f t="shared" si="21"/>
        <v>7.4469037330616245E-2</v>
      </c>
      <c r="G194" s="269">
        <f>+F194*G191</f>
        <v>1.7341557679369617E-4</v>
      </c>
      <c r="H194" s="299"/>
      <c r="I194" s="299"/>
      <c r="J194" s="299"/>
      <c r="K194" s="299"/>
      <c r="L194" s="299"/>
      <c r="M194" s="299"/>
      <c r="N194" s="229">
        <v>1</v>
      </c>
      <c r="O194" s="229">
        <v>1</v>
      </c>
      <c r="P194" s="229">
        <v>1</v>
      </c>
      <c r="Q194" s="272">
        <v>1</v>
      </c>
      <c r="R194" s="256">
        <f t="shared" si="22"/>
        <v>1</v>
      </c>
      <c r="S194" s="256">
        <f t="shared" si="22"/>
        <v>1</v>
      </c>
      <c r="T194" s="256">
        <f t="shared" si="22"/>
        <v>1</v>
      </c>
      <c r="U194" s="216"/>
      <c r="V194" s="216"/>
    </row>
    <row r="195" spans="1:22" s="140" customFormat="1" ht="25.5" hidden="1" outlineLevel="3">
      <c r="A195" s="216"/>
      <c r="B195" s="255" t="s">
        <v>372</v>
      </c>
      <c r="C195" s="290" t="s">
        <v>237</v>
      </c>
      <c r="D195" s="227" t="s">
        <v>231</v>
      </c>
      <c r="E195" s="241"/>
      <c r="F195" s="228">
        <f t="shared" si="21"/>
        <v>7.4469037330616245E-2</v>
      </c>
      <c r="G195" s="269">
        <f>+F195*G191</f>
        <v>1.7341557679369617E-4</v>
      </c>
      <c r="H195" s="299"/>
      <c r="I195" s="299"/>
      <c r="J195" s="299"/>
      <c r="K195" s="299"/>
      <c r="L195" s="299"/>
      <c r="M195" s="299"/>
      <c r="N195" s="229">
        <v>1</v>
      </c>
      <c r="O195" s="229">
        <v>1</v>
      </c>
      <c r="P195" s="229">
        <v>1</v>
      </c>
      <c r="Q195" s="272">
        <v>1</v>
      </c>
      <c r="R195" s="256">
        <f t="shared" si="22"/>
        <v>1</v>
      </c>
      <c r="S195" s="256">
        <f t="shared" si="22"/>
        <v>1</v>
      </c>
      <c r="T195" s="256">
        <f t="shared" si="22"/>
        <v>1</v>
      </c>
      <c r="U195" s="216"/>
      <c r="V195" s="216"/>
    </row>
    <row r="196" spans="1:22" s="140" customFormat="1" ht="25.5" hidden="1" outlineLevel="3">
      <c r="A196" s="216"/>
      <c r="B196" s="255" t="s">
        <v>373</v>
      </c>
      <c r="C196" s="290" t="s">
        <v>239</v>
      </c>
      <c r="D196" s="227" t="s">
        <v>231</v>
      </c>
      <c r="E196" s="241"/>
      <c r="F196" s="228">
        <f t="shared" si="21"/>
        <v>7.4469037330616245E-2</v>
      </c>
      <c r="G196" s="269">
        <f>+F196*G191</f>
        <v>1.7341557679369617E-4</v>
      </c>
      <c r="H196" s="299"/>
      <c r="I196" s="299"/>
      <c r="J196" s="299"/>
      <c r="K196" s="299"/>
      <c r="L196" s="299"/>
      <c r="M196" s="299"/>
      <c r="N196" s="229">
        <v>1</v>
      </c>
      <c r="O196" s="229">
        <v>1</v>
      </c>
      <c r="P196" s="229">
        <v>1</v>
      </c>
      <c r="Q196" s="272">
        <v>1</v>
      </c>
      <c r="R196" s="256">
        <f t="shared" si="22"/>
        <v>1</v>
      </c>
      <c r="S196" s="256">
        <f t="shared" si="22"/>
        <v>1</v>
      </c>
      <c r="T196" s="256">
        <f t="shared" si="22"/>
        <v>1</v>
      </c>
      <c r="U196" s="216"/>
      <c r="V196" s="216"/>
    </row>
    <row r="197" spans="1:22" s="140" customFormat="1" ht="25.5" hidden="1" outlineLevel="3">
      <c r="A197" s="216"/>
      <c r="B197" s="255" t="s">
        <v>374</v>
      </c>
      <c r="C197" s="290" t="s">
        <v>241</v>
      </c>
      <c r="D197" s="227" t="s">
        <v>231</v>
      </c>
      <c r="E197" s="241"/>
      <c r="F197" s="228">
        <f t="shared" si="21"/>
        <v>7.4469037330616245E-2</v>
      </c>
      <c r="G197" s="269">
        <f>+F197*G191</f>
        <v>1.7341557679369617E-4</v>
      </c>
      <c r="H197" s="299"/>
      <c r="I197" s="299"/>
      <c r="J197" s="299"/>
      <c r="K197" s="299"/>
      <c r="L197" s="299"/>
      <c r="M197" s="299"/>
      <c r="N197" s="229">
        <v>1</v>
      </c>
      <c r="O197" s="229">
        <v>1</v>
      </c>
      <c r="P197" s="229">
        <v>1</v>
      </c>
      <c r="Q197" s="272">
        <v>1</v>
      </c>
      <c r="R197" s="256">
        <f t="shared" si="22"/>
        <v>1</v>
      </c>
      <c r="S197" s="256">
        <f t="shared" si="22"/>
        <v>1</v>
      </c>
      <c r="T197" s="256">
        <f t="shared" si="22"/>
        <v>1</v>
      </c>
      <c r="U197" s="216"/>
      <c r="V197" s="216"/>
    </row>
    <row r="198" spans="1:22" s="140" customFormat="1" ht="25.5" hidden="1" outlineLevel="3">
      <c r="A198" s="216"/>
      <c r="B198" s="255" t="s">
        <v>375</v>
      </c>
      <c r="C198" s="290" t="s">
        <v>376</v>
      </c>
      <c r="D198" s="227" t="s">
        <v>256</v>
      </c>
      <c r="E198" s="241"/>
      <c r="F198" s="228">
        <f t="shared" si="21"/>
        <v>6.9148222002037796E-2</v>
      </c>
      <c r="G198" s="269">
        <f>+F198*G191</f>
        <v>1.61025027750855E-4</v>
      </c>
      <c r="H198" s="299"/>
      <c r="I198" s="299"/>
      <c r="J198" s="299"/>
      <c r="K198" s="299"/>
      <c r="L198" s="299"/>
      <c r="M198" s="299"/>
      <c r="N198" s="229">
        <v>1</v>
      </c>
      <c r="O198" s="229">
        <v>1</v>
      </c>
      <c r="P198" s="229">
        <v>1</v>
      </c>
      <c r="Q198" s="272">
        <v>1</v>
      </c>
      <c r="R198" s="256">
        <f t="shared" si="22"/>
        <v>1</v>
      </c>
      <c r="S198" s="256">
        <f t="shared" si="22"/>
        <v>1</v>
      </c>
      <c r="T198" s="256">
        <f t="shared" si="22"/>
        <v>1</v>
      </c>
      <c r="U198" s="216"/>
      <c r="V198" s="216"/>
    </row>
    <row r="199" spans="1:22" s="140" customFormat="1" ht="25.5" hidden="1" outlineLevel="3">
      <c r="A199" s="216"/>
      <c r="B199" s="255" t="s">
        <v>377</v>
      </c>
      <c r="C199" s="290" t="s">
        <v>378</v>
      </c>
      <c r="D199" s="227" t="s">
        <v>256</v>
      </c>
      <c r="E199" s="241"/>
      <c r="F199" s="228">
        <f t="shared" si="21"/>
        <v>6.9148222002037796E-2</v>
      </c>
      <c r="G199" s="269">
        <f>+F199*G191</f>
        <v>1.61025027750855E-4</v>
      </c>
      <c r="H199" s="299"/>
      <c r="I199" s="299"/>
      <c r="J199" s="299"/>
      <c r="K199" s="299"/>
      <c r="L199" s="299"/>
      <c r="M199" s="299"/>
      <c r="N199" s="229">
        <v>1</v>
      </c>
      <c r="O199" s="229">
        <v>1</v>
      </c>
      <c r="P199" s="229">
        <v>1</v>
      </c>
      <c r="Q199" s="272">
        <v>1</v>
      </c>
      <c r="R199" s="256">
        <f t="shared" si="22"/>
        <v>1</v>
      </c>
      <c r="S199" s="256">
        <f t="shared" si="22"/>
        <v>1</v>
      </c>
      <c r="T199" s="256">
        <f t="shared" si="22"/>
        <v>1</v>
      </c>
      <c r="U199" s="216"/>
      <c r="V199" s="216"/>
    </row>
    <row r="200" spans="1:22" s="140" customFormat="1" ht="25.5" hidden="1" outlineLevel="3">
      <c r="A200" s="216"/>
      <c r="B200" s="255" t="s">
        <v>379</v>
      </c>
      <c r="C200" s="290" t="s">
        <v>380</v>
      </c>
      <c r="D200" s="227" t="s">
        <v>256</v>
      </c>
      <c r="E200" s="241"/>
      <c r="F200" s="228">
        <f t="shared" si="21"/>
        <v>6.9148222002037796E-2</v>
      </c>
      <c r="G200" s="269">
        <f>+F200*G191</f>
        <v>1.61025027750855E-4</v>
      </c>
      <c r="H200" s="299"/>
      <c r="I200" s="299"/>
      <c r="J200" s="299"/>
      <c r="K200" s="299"/>
      <c r="L200" s="299"/>
      <c r="M200" s="299"/>
      <c r="N200" s="229">
        <v>1</v>
      </c>
      <c r="O200" s="229">
        <v>1</v>
      </c>
      <c r="P200" s="229">
        <v>1</v>
      </c>
      <c r="Q200" s="272">
        <v>1</v>
      </c>
      <c r="R200" s="256">
        <f t="shared" si="22"/>
        <v>1</v>
      </c>
      <c r="S200" s="256">
        <f t="shared" si="22"/>
        <v>1</v>
      </c>
      <c r="T200" s="256">
        <f t="shared" si="22"/>
        <v>1</v>
      </c>
      <c r="U200" s="216"/>
      <c r="V200" s="216"/>
    </row>
    <row r="201" spans="1:22" s="140" customFormat="1" ht="25.5" hidden="1" outlineLevel="3">
      <c r="A201" s="216"/>
      <c r="B201" s="255" t="s">
        <v>381</v>
      </c>
      <c r="C201" s="290" t="s">
        <v>382</v>
      </c>
      <c r="D201" s="227" t="s">
        <v>256</v>
      </c>
      <c r="E201" s="241"/>
      <c r="F201" s="228">
        <f t="shared" si="21"/>
        <v>6.9148222002037796E-2</v>
      </c>
      <c r="G201" s="269">
        <f>+F201*G191</f>
        <v>1.61025027750855E-4</v>
      </c>
      <c r="H201" s="299"/>
      <c r="I201" s="299"/>
      <c r="J201" s="299"/>
      <c r="K201" s="299"/>
      <c r="L201" s="299"/>
      <c r="M201" s="299"/>
      <c r="N201" s="229">
        <v>1</v>
      </c>
      <c r="O201" s="229">
        <v>1</v>
      </c>
      <c r="P201" s="229">
        <v>1</v>
      </c>
      <c r="Q201" s="272">
        <v>1</v>
      </c>
      <c r="R201" s="256">
        <f t="shared" si="22"/>
        <v>1</v>
      </c>
      <c r="S201" s="256">
        <f t="shared" si="22"/>
        <v>1</v>
      </c>
      <c r="T201" s="256">
        <f t="shared" si="22"/>
        <v>1</v>
      </c>
      <c r="U201" s="216"/>
      <c r="V201" s="216"/>
    </row>
    <row r="202" spans="1:22" s="140" customFormat="1" ht="25.5" hidden="1" outlineLevel="3">
      <c r="A202" s="216"/>
      <c r="B202" s="255" t="s">
        <v>383</v>
      </c>
      <c r="C202" s="290" t="s">
        <v>384</v>
      </c>
      <c r="D202" s="227" t="s">
        <v>256</v>
      </c>
      <c r="E202" s="241"/>
      <c r="F202" s="228">
        <f t="shared" si="21"/>
        <v>6.9148222002037796E-2</v>
      </c>
      <c r="G202" s="269">
        <f>+F202*G191</f>
        <v>1.61025027750855E-4</v>
      </c>
      <c r="H202" s="299"/>
      <c r="I202" s="299"/>
      <c r="J202" s="299"/>
      <c r="K202" s="299"/>
      <c r="L202" s="299"/>
      <c r="M202" s="299"/>
      <c r="N202" s="229">
        <v>1</v>
      </c>
      <c r="O202" s="229">
        <v>1</v>
      </c>
      <c r="P202" s="229">
        <v>1</v>
      </c>
      <c r="Q202" s="272">
        <v>1</v>
      </c>
      <c r="R202" s="256">
        <f t="shared" si="22"/>
        <v>1</v>
      </c>
      <c r="S202" s="256">
        <f t="shared" si="22"/>
        <v>1</v>
      </c>
      <c r="T202" s="256">
        <f t="shared" si="22"/>
        <v>1</v>
      </c>
      <c r="U202" s="216"/>
      <c r="V202" s="216"/>
    </row>
    <row r="203" spans="1:22" s="140" customFormat="1" ht="25.5" hidden="1" outlineLevel="3">
      <c r="A203" s="216"/>
      <c r="B203" s="255" t="s">
        <v>385</v>
      </c>
      <c r="C203" s="290" t="s">
        <v>386</v>
      </c>
      <c r="D203" s="227" t="s">
        <v>256</v>
      </c>
      <c r="E203" s="241"/>
      <c r="F203" s="228">
        <f t="shared" si="21"/>
        <v>6.9148222002037796E-2</v>
      </c>
      <c r="G203" s="269">
        <f>+F203*G191</f>
        <v>1.61025027750855E-4</v>
      </c>
      <c r="H203" s="299"/>
      <c r="I203" s="299"/>
      <c r="J203" s="299"/>
      <c r="K203" s="299"/>
      <c r="L203" s="299"/>
      <c r="M203" s="299"/>
      <c r="N203" s="229">
        <v>1</v>
      </c>
      <c r="O203" s="229">
        <v>1</v>
      </c>
      <c r="P203" s="229">
        <v>1</v>
      </c>
      <c r="Q203" s="272">
        <v>1</v>
      </c>
      <c r="R203" s="256">
        <f t="shared" si="22"/>
        <v>1</v>
      </c>
      <c r="S203" s="256">
        <f t="shared" si="22"/>
        <v>1</v>
      </c>
      <c r="T203" s="256">
        <f t="shared" si="22"/>
        <v>1</v>
      </c>
      <c r="U203" s="216"/>
      <c r="V203" s="216"/>
    </row>
    <row r="204" spans="1:22" s="140" customFormat="1" ht="25.5" hidden="1" outlineLevel="3">
      <c r="A204" s="216"/>
      <c r="B204" s="255" t="s">
        <v>387</v>
      </c>
      <c r="C204" s="290" t="s">
        <v>388</v>
      </c>
      <c r="D204" s="227" t="s">
        <v>256</v>
      </c>
      <c r="E204" s="241"/>
      <c r="F204" s="228">
        <f t="shared" si="21"/>
        <v>6.9148222002037796E-2</v>
      </c>
      <c r="G204" s="269">
        <f>+F204*G191</f>
        <v>1.61025027750855E-4</v>
      </c>
      <c r="H204" s="299"/>
      <c r="I204" s="299"/>
      <c r="J204" s="299"/>
      <c r="K204" s="299"/>
      <c r="L204" s="299"/>
      <c r="M204" s="299"/>
      <c r="N204" s="229">
        <v>1</v>
      </c>
      <c r="O204" s="229">
        <v>1</v>
      </c>
      <c r="P204" s="229">
        <v>1</v>
      </c>
      <c r="Q204" s="272">
        <v>1</v>
      </c>
      <c r="R204" s="256">
        <f t="shared" si="22"/>
        <v>1</v>
      </c>
      <c r="S204" s="256">
        <f t="shared" si="22"/>
        <v>1</v>
      </c>
      <c r="T204" s="256">
        <f t="shared" si="22"/>
        <v>1</v>
      </c>
      <c r="U204" s="216"/>
      <c r="V204" s="216"/>
    </row>
    <row r="205" spans="1:22" s="140" customFormat="1" ht="25.5" hidden="1" outlineLevel="3">
      <c r="A205" s="216"/>
      <c r="B205" s="255" t="s">
        <v>389</v>
      </c>
      <c r="C205" s="290" t="s">
        <v>390</v>
      </c>
      <c r="D205" s="227" t="s">
        <v>256</v>
      </c>
      <c r="E205" s="241"/>
      <c r="F205" s="228">
        <f t="shared" si="21"/>
        <v>6.9148222002037796E-2</v>
      </c>
      <c r="G205" s="269">
        <f>+F205*G191</f>
        <v>1.61025027750855E-4</v>
      </c>
      <c r="H205" s="299"/>
      <c r="I205" s="299"/>
      <c r="J205" s="299"/>
      <c r="K205" s="299"/>
      <c r="L205" s="299"/>
      <c r="M205" s="299"/>
      <c r="N205" s="229">
        <v>1</v>
      </c>
      <c r="O205" s="229">
        <v>1</v>
      </c>
      <c r="P205" s="229">
        <v>1</v>
      </c>
      <c r="Q205" s="272">
        <v>1</v>
      </c>
      <c r="R205" s="256">
        <f t="shared" si="22"/>
        <v>1</v>
      </c>
      <c r="S205" s="256">
        <f t="shared" si="22"/>
        <v>1</v>
      </c>
      <c r="T205" s="256">
        <f t="shared" si="22"/>
        <v>1</v>
      </c>
      <c r="U205" s="216"/>
      <c r="V205" s="216"/>
    </row>
    <row r="206" spans="1:22" s="140" customFormat="1" ht="12.75" hidden="1" outlineLevel="1">
      <c r="B206" s="300" t="s">
        <v>391</v>
      </c>
      <c r="C206" s="294" t="s">
        <v>392</v>
      </c>
      <c r="D206" s="294" t="s">
        <v>47</v>
      </c>
      <c r="E206" s="295"/>
      <c r="F206" s="296">
        <f t="shared" ref="F206:F232" si="23">F842</f>
        <v>3.6449138999404565E-2</v>
      </c>
      <c r="G206" s="296">
        <f>+F206*G83</f>
        <v>1.093474169982137E-3</v>
      </c>
      <c r="H206" s="296"/>
      <c r="I206" s="296"/>
      <c r="J206" s="296"/>
      <c r="K206" s="296"/>
      <c r="L206" s="296"/>
      <c r="M206" s="296"/>
      <c r="N206" s="296">
        <f>+SUMPRODUCT($F207:$F221,N207:N221)</f>
        <v>1</v>
      </c>
      <c r="O206" s="296">
        <f>+SUMPRODUCT($F207:$F221,O207:O221)</f>
        <v>1</v>
      </c>
      <c r="P206" s="296">
        <f>+SUMPRODUCT($F207:$F221,P207:P221)</f>
        <v>1</v>
      </c>
      <c r="Q206" s="296">
        <f>+SUMPRODUCT($F207:$F221,Q207:Q221)</f>
        <v>0.96396476787106966</v>
      </c>
      <c r="R206" s="296">
        <f t="shared" si="22"/>
        <v>0.96396476787106966</v>
      </c>
      <c r="S206" s="296">
        <f t="shared" si="22"/>
        <v>0.96396476787106966</v>
      </c>
      <c r="T206" s="296">
        <f t="shared" si="22"/>
        <v>0.96396476787106966</v>
      </c>
    </row>
    <row r="207" spans="1:22" s="140" customFormat="1" ht="12.75" hidden="1" outlineLevel="2">
      <c r="A207" s="216"/>
      <c r="B207" s="255" t="s">
        <v>393</v>
      </c>
      <c r="C207" s="245" t="s">
        <v>49</v>
      </c>
      <c r="D207" s="227" t="s">
        <v>50</v>
      </c>
      <c r="E207" s="241"/>
      <c r="F207" s="228">
        <f t="shared" si="23"/>
        <v>9.2877610796635368E-2</v>
      </c>
      <c r="G207" s="269">
        <f>+F207*G206</f>
        <v>1.0155926837577482E-4</v>
      </c>
      <c r="H207" s="269"/>
      <c r="I207" s="269"/>
      <c r="J207" s="269"/>
      <c r="K207" s="269"/>
      <c r="L207" s="269"/>
      <c r="M207" s="269"/>
      <c r="N207" s="229">
        <v>1</v>
      </c>
      <c r="O207" s="229">
        <v>1</v>
      </c>
      <c r="P207" s="229">
        <v>1</v>
      </c>
      <c r="Q207" s="272">
        <v>0.85270909135365192</v>
      </c>
      <c r="R207" s="256">
        <f t="shared" si="22"/>
        <v>0.85270909135365192</v>
      </c>
      <c r="S207" s="256">
        <f t="shared" si="22"/>
        <v>0.85270909135365192</v>
      </c>
      <c r="T207" s="256">
        <f t="shared" si="22"/>
        <v>0.85270909135365192</v>
      </c>
      <c r="U207" s="216"/>
      <c r="V207" s="216"/>
    </row>
    <row r="208" spans="1:22" s="140" customFormat="1" ht="12.75" hidden="1" outlineLevel="2">
      <c r="A208" s="216"/>
      <c r="B208" s="255" t="s">
        <v>394</v>
      </c>
      <c r="C208" s="245" t="s">
        <v>52</v>
      </c>
      <c r="D208" s="227" t="s">
        <v>53</v>
      </c>
      <c r="E208" s="241"/>
      <c r="F208" s="228">
        <f t="shared" si="23"/>
        <v>5.8105219309829384E-2</v>
      </c>
      <c r="G208" s="269">
        <f>+F208*G206</f>
        <v>6.3536556456445724E-5</v>
      </c>
      <c r="H208" s="269"/>
      <c r="I208" s="269"/>
      <c r="J208" s="269"/>
      <c r="K208" s="269"/>
      <c r="L208" s="269"/>
      <c r="M208" s="269"/>
      <c r="N208" s="229">
        <v>1</v>
      </c>
      <c r="O208" s="229">
        <v>1</v>
      </c>
      <c r="P208" s="229">
        <v>1</v>
      </c>
      <c r="Q208" s="272">
        <v>0.99999999999999956</v>
      </c>
      <c r="R208" s="256">
        <f t="shared" si="22"/>
        <v>0.99999999999999956</v>
      </c>
      <c r="S208" s="256">
        <f t="shared" si="22"/>
        <v>0.99999999999999956</v>
      </c>
      <c r="T208" s="256">
        <f t="shared" si="22"/>
        <v>0.99999999999999956</v>
      </c>
      <c r="U208" s="216"/>
      <c r="V208" s="216"/>
    </row>
    <row r="209" spans="1:22" s="140" customFormat="1" ht="12.75" hidden="1" outlineLevel="2">
      <c r="A209" s="216"/>
      <c r="B209" s="255" t="s">
        <v>395</v>
      </c>
      <c r="C209" s="245" t="s">
        <v>55</v>
      </c>
      <c r="D209" s="227" t="s">
        <v>56</v>
      </c>
      <c r="E209" s="241"/>
      <c r="F209" s="228">
        <f t="shared" si="23"/>
        <v>2.7796911320762424E-2</v>
      </c>
      <c r="G209" s="269">
        <f>+F209*G206</f>
        <v>3.0395204534537757E-5</v>
      </c>
      <c r="H209" s="269"/>
      <c r="I209" s="269"/>
      <c r="J209" s="269"/>
      <c r="K209" s="269"/>
      <c r="L209" s="269"/>
      <c r="M209" s="269"/>
      <c r="N209" s="229">
        <v>1</v>
      </c>
      <c r="O209" s="229">
        <v>1</v>
      </c>
      <c r="P209" s="229">
        <v>1</v>
      </c>
      <c r="Q209" s="272">
        <v>1.0000000000000002</v>
      </c>
      <c r="R209" s="256">
        <f t="shared" si="22"/>
        <v>1.0000000000000002</v>
      </c>
      <c r="S209" s="256">
        <f t="shared" si="22"/>
        <v>1.0000000000000002</v>
      </c>
      <c r="T209" s="256">
        <f t="shared" si="22"/>
        <v>1.0000000000000002</v>
      </c>
      <c r="U209" s="216"/>
      <c r="V209" s="216"/>
    </row>
    <row r="210" spans="1:22" s="140" customFormat="1" ht="12.75" hidden="1" outlineLevel="2">
      <c r="A210" s="216"/>
      <c r="B210" s="255" t="s">
        <v>396</v>
      </c>
      <c r="C210" s="245" t="s">
        <v>58</v>
      </c>
      <c r="D210" s="227" t="s">
        <v>59</v>
      </c>
      <c r="E210" s="241"/>
      <c r="F210" s="228">
        <f t="shared" si="23"/>
        <v>2.9155300375276354E-2</v>
      </c>
      <c r="G210" s="269">
        <f>+F210*G206</f>
        <v>3.18805678784352E-5</v>
      </c>
      <c r="H210" s="269"/>
      <c r="I210" s="269"/>
      <c r="J210" s="269"/>
      <c r="K210" s="269"/>
      <c r="L210" s="269"/>
      <c r="M210" s="269"/>
      <c r="N210" s="229">
        <v>1</v>
      </c>
      <c r="O210" s="229">
        <v>1</v>
      </c>
      <c r="P210" s="229">
        <v>1</v>
      </c>
      <c r="Q210" s="272">
        <v>0.91666666666666674</v>
      </c>
      <c r="R210" s="256">
        <f t="shared" si="22"/>
        <v>0.91666666666666674</v>
      </c>
      <c r="S210" s="256">
        <f t="shared" si="22"/>
        <v>0.91666666666666674</v>
      </c>
      <c r="T210" s="256">
        <f t="shared" si="22"/>
        <v>0.91666666666666674</v>
      </c>
      <c r="U210" s="216"/>
      <c r="V210" s="216"/>
    </row>
    <row r="211" spans="1:22" s="140" customFormat="1" ht="12.75" hidden="1" outlineLevel="2">
      <c r="A211" s="216"/>
      <c r="B211" s="255" t="s">
        <v>397</v>
      </c>
      <c r="C211" s="245" t="s">
        <v>61</v>
      </c>
      <c r="D211" s="227" t="s">
        <v>62</v>
      </c>
      <c r="E211" s="241"/>
      <c r="F211" s="228">
        <f t="shared" si="23"/>
        <v>4.0182801717972776E-2</v>
      </c>
      <c r="G211" s="269">
        <f>+F211*G206</f>
        <v>4.393885575611707E-5</v>
      </c>
      <c r="H211" s="269"/>
      <c r="I211" s="269"/>
      <c r="J211" s="269"/>
      <c r="K211" s="269"/>
      <c r="L211" s="269"/>
      <c r="M211" s="269"/>
      <c r="N211" s="229">
        <v>1</v>
      </c>
      <c r="O211" s="229">
        <v>1</v>
      </c>
      <c r="P211" s="229">
        <v>1</v>
      </c>
      <c r="Q211" s="272">
        <v>0.99999999999999967</v>
      </c>
      <c r="R211" s="256">
        <f t="shared" si="22"/>
        <v>0.99999999999999967</v>
      </c>
      <c r="S211" s="256">
        <f t="shared" si="22"/>
        <v>0.99999999999999967</v>
      </c>
      <c r="T211" s="256">
        <f t="shared" si="22"/>
        <v>0.99999999999999967</v>
      </c>
      <c r="U211" s="216"/>
      <c r="V211" s="216"/>
    </row>
    <row r="212" spans="1:22" s="140" customFormat="1" ht="12.75" hidden="1" outlineLevel="2">
      <c r="A212" s="216"/>
      <c r="B212" s="255" t="s">
        <v>398</v>
      </c>
      <c r="C212" s="245" t="s">
        <v>64</v>
      </c>
      <c r="D212" s="227" t="s">
        <v>65</v>
      </c>
      <c r="E212" s="241"/>
      <c r="F212" s="228">
        <f t="shared" si="23"/>
        <v>9.8615013818202632E-2</v>
      </c>
      <c r="G212" s="269">
        <f>+F212*G206</f>
        <v>1.078329703826361E-4</v>
      </c>
      <c r="H212" s="269"/>
      <c r="I212" s="269"/>
      <c r="J212" s="269"/>
      <c r="K212" s="269"/>
      <c r="L212" s="269"/>
      <c r="M212" s="269"/>
      <c r="N212" s="229">
        <v>1</v>
      </c>
      <c r="O212" s="229">
        <v>1</v>
      </c>
      <c r="P212" s="229">
        <v>1</v>
      </c>
      <c r="Q212" s="272">
        <v>0.99999999999999967</v>
      </c>
      <c r="R212" s="256">
        <f t="shared" si="22"/>
        <v>0.99999999999999967</v>
      </c>
      <c r="S212" s="256">
        <f t="shared" si="22"/>
        <v>0.99999999999999967</v>
      </c>
      <c r="T212" s="256">
        <f t="shared" si="22"/>
        <v>0.99999999999999967</v>
      </c>
      <c r="U212" s="216"/>
      <c r="V212" s="216"/>
    </row>
    <row r="213" spans="1:22" s="140" customFormat="1" ht="12.75" hidden="1" outlineLevel="2">
      <c r="A213" s="216"/>
      <c r="B213" s="255" t="s">
        <v>399</v>
      </c>
      <c r="C213" s="245" t="s">
        <v>67</v>
      </c>
      <c r="D213" s="227" t="s">
        <v>68</v>
      </c>
      <c r="E213" s="241"/>
      <c r="F213" s="228">
        <f t="shared" si="23"/>
        <v>9.164980880972666E-2</v>
      </c>
      <c r="G213" s="269">
        <f>+F213*G206</f>
        <v>1.002166986172374E-4</v>
      </c>
      <c r="H213" s="269"/>
      <c r="I213" s="269"/>
      <c r="J213" s="269"/>
      <c r="K213" s="269"/>
      <c r="L213" s="269"/>
      <c r="M213" s="269"/>
      <c r="N213" s="229">
        <v>1</v>
      </c>
      <c r="O213" s="229">
        <v>1</v>
      </c>
      <c r="P213" s="229">
        <v>1</v>
      </c>
      <c r="Q213" s="272">
        <v>0.99999999999999967</v>
      </c>
      <c r="R213" s="256">
        <f t="shared" si="22"/>
        <v>0.99999999999999967</v>
      </c>
      <c r="S213" s="256">
        <f t="shared" si="22"/>
        <v>0.99999999999999967</v>
      </c>
      <c r="T213" s="256">
        <f t="shared" si="22"/>
        <v>0.99999999999999967</v>
      </c>
      <c r="U213" s="216"/>
      <c r="V213" s="216"/>
    </row>
    <row r="214" spans="1:22" s="140" customFormat="1" ht="25.5" hidden="1" outlineLevel="2">
      <c r="A214" s="216"/>
      <c r="B214" s="255" t="s">
        <v>400</v>
      </c>
      <c r="C214" s="245" t="s">
        <v>70</v>
      </c>
      <c r="D214" s="227" t="s">
        <v>71</v>
      </c>
      <c r="E214" s="241"/>
      <c r="F214" s="228">
        <f t="shared" si="23"/>
        <v>9.2909380612212003E-2</v>
      </c>
      <c r="G214" s="269">
        <f>+F214*G206</f>
        <v>1.0159400784849296E-4</v>
      </c>
      <c r="H214" s="269"/>
      <c r="I214" s="269"/>
      <c r="J214" s="269"/>
      <c r="K214" s="269"/>
      <c r="L214" s="269"/>
      <c r="M214" s="269"/>
      <c r="N214" s="229">
        <v>1</v>
      </c>
      <c r="O214" s="229">
        <v>1</v>
      </c>
      <c r="P214" s="229">
        <v>1</v>
      </c>
      <c r="Q214" s="272">
        <v>0.96197182771917034</v>
      </c>
      <c r="R214" s="256">
        <f t="shared" si="22"/>
        <v>0.96197182771917034</v>
      </c>
      <c r="S214" s="256">
        <f t="shared" si="22"/>
        <v>0.96197182771917034</v>
      </c>
      <c r="T214" s="256">
        <f t="shared" si="22"/>
        <v>0.96197182771917034</v>
      </c>
      <c r="U214" s="216"/>
      <c r="V214" s="216"/>
    </row>
    <row r="215" spans="1:22" s="140" customFormat="1" ht="12.75" hidden="1" outlineLevel="2">
      <c r="A215" s="216"/>
      <c r="B215" s="255" t="s">
        <v>401</v>
      </c>
      <c r="C215" s="245" t="s">
        <v>73</v>
      </c>
      <c r="D215" s="227" t="s">
        <v>74</v>
      </c>
      <c r="E215" s="241"/>
      <c r="F215" s="228">
        <f t="shared" si="23"/>
        <v>8.0887028733242702E-2</v>
      </c>
      <c r="G215" s="269">
        <f>+F215*G206</f>
        <v>8.8447876606403828E-5</v>
      </c>
      <c r="H215" s="269"/>
      <c r="I215" s="269"/>
      <c r="J215" s="269"/>
      <c r="K215" s="269"/>
      <c r="L215" s="269"/>
      <c r="M215" s="269"/>
      <c r="N215" s="229">
        <v>1</v>
      </c>
      <c r="O215" s="229">
        <v>1</v>
      </c>
      <c r="P215" s="229">
        <v>1</v>
      </c>
      <c r="Q215" s="272">
        <v>0.85270909135365192</v>
      </c>
      <c r="R215" s="256">
        <f t="shared" si="22"/>
        <v>0.85270909135365192</v>
      </c>
      <c r="S215" s="256">
        <f t="shared" si="22"/>
        <v>0.85270909135365192</v>
      </c>
      <c r="T215" s="256">
        <f t="shared" si="22"/>
        <v>0.85270909135365192</v>
      </c>
      <c r="U215" s="216"/>
      <c r="V215" s="216"/>
    </row>
    <row r="216" spans="1:22" s="140" customFormat="1" ht="12.75" hidden="1" outlineLevel="2">
      <c r="A216" s="216"/>
      <c r="B216" s="255" t="s">
        <v>402</v>
      </c>
      <c r="C216" s="245" t="s">
        <v>76</v>
      </c>
      <c r="D216" s="227" t="s">
        <v>77</v>
      </c>
      <c r="E216" s="241"/>
      <c r="F216" s="228">
        <f t="shared" si="23"/>
        <v>0.11788367881609482</v>
      </c>
      <c r="G216" s="269">
        <f>+F216*G206</f>
        <v>1.2890275784787012E-4</v>
      </c>
      <c r="H216" s="269"/>
      <c r="I216" s="269"/>
      <c r="J216" s="269"/>
      <c r="K216" s="269"/>
      <c r="L216" s="269"/>
      <c r="M216" s="269"/>
      <c r="N216" s="229">
        <v>1</v>
      </c>
      <c r="O216" s="229">
        <v>1</v>
      </c>
      <c r="P216" s="229">
        <v>1</v>
      </c>
      <c r="Q216" s="272">
        <v>0.99999999999999956</v>
      </c>
      <c r="R216" s="256">
        <f t="shared" si="22"/>
        <v>0.99999999999999956</v>
      </c>
      <c r="S216" s="256">
        <f t="shared" si="22"/>
        <v>0.99999999999999956</v>
      </c>
      <c r="T216" s="256">
        <f t="shared" si="22"/>
        <v>0.99999999999999956</v>
      </c>
      <c r="U216" s="216"/>
      <c r="V216" s="216"/>
    </row>
    <row r="217" spans="1:22" s="140" customFormat="1" ht="12.75" hidden="1" outlineLevel="2">
      <c r="A217" s="216"/>
      <c r="B217" s="255" t="s">
        <v>403</v>
      </c>
      <c r="C217" s="245" t="s">
        <v>79</v>
      </c>
      <c r="D217" s="227" t="s">
        <v>80</v>
      </c>
      <c r="E217" s="241"/>
      <c r="F217" s="228">
        <f t="shared" si="23"/>
        <v>4.1046638926131508E-2</v>
      </c>
      <c r="G217" s="269">
        <f>+F217*G206</f>
        <v>4.4883439430308124E-5</v>
      </c>
      <c r="H217" s="269"/>
      <c r="I217" s="269"/>
      <c r="J217" s="269"/>
      <c r="K217" s="269"/>
      <c r="L217" s="269"/>
      <c r="M217" s="269"/>
      <c r="N217" s="229">
        <v>1</v>
      </c>
      <c r="O217" s="229">
        <v>1</v>
      </c>
      <c r="P217" s="229">
        <v>1</v>
      </c>
      <c r="Q217" s="272">
        <v>1.0000000000000002</v>
      </c>
      <c r="R217" s="256">
        <f t="shared" si="22"/>
        <v>1.0000000000000002</v>
      </c>
      <c r="S217" s="256">
        <f t="shared" si="22"/>
        <v>1.0000000000000002</v>
      </c>
      <c r="T217" s="256">
        <f t="shared" si="22"/>
        <v>1.0000000000000002</v>
      </c>
      <c r="U217" s="216"/>
      <c r="V217" s="216"/>
    </row>
    <row r="218" spans="1:22" s="140" customFormat="1" ht="12.75" hidden="1" outlineLevel="2">
      <c r="A218" s="216"/>
      <c r="B218" s="255" t="s">
        <v>404</v>
      </c>
      <c r="C218" s="245" t="s">
        <v>82</v>
      </c>
      <c r="D218" s="227" t="s">
        <v>83</v>
      </c>
      <c r="E218" s="241"/>
      <c r="F218" s="228">
        <f t="shared" si="23"/>
        <v>5.3741978219236555E-2</v>
      </c>
      <c r="G218" s="269">
        <f>+F218*G206</f>
        <v>5.8765465026477778E-5</v>
      </c>
      <c r="H218" s="269"/>
      <c r="I218" s="269"/>
      <c r="J218" s="269"/>
      <c r="K218" s="269"/>
      <c r="L218" s="269"/>
      <c r="M218" s="269"/>
      <c r="N218" s="229">
        <v>1</v>
      </c>
      <c r="O218" s="229">
        <v>1</v>
      </c>
      <c r="P218" s="229">
        <v>1</v>
      </c>
      <c r="Q218" s="272">
        <v>0.91666666666666674</v>
      </c>
      <c r="R218" s="256">
        <f t="shared" si="22"/>
        <v>0.91666666666666674</v>
      </c>
      <c r="S218" s="256">
        <f t="shared" si="22"/>
        <v>0.91666666666666674</v>
      </c>
      <c r="T218" s="256">
        <f t="shared" si="22"/>
        <v>0.91666666666666674</v>
      </c>
      <c r="U218" s="216"/>
      <c r="V218" s="216"/>
    </row>
    <row r="219" spans="1:22" s="140" customFormat="1" ht="12.75" hidden="1" outlineLevel="2">
      <c r="A219" s="216"/>
      <c r="B219" s="255" t="s">
        <v>405</v>
      </c>
      <c r="C219" s="245" t="s">
        <v>85</v>
      </c>
      <c r="D219" s="227" t="s">
        <v>86</v>
      </c>
      <c r="E219" s="241"/>
      <c r="F219" s="228">
        <f t="shared" si="23"/>
        <v>5.8057394561842592E-2</v>
      </c>
      <c r="G219" s="269">
        <f>+F219*G206</f>
        <v>6.3484261329836261E-5</v>
      </c>
      <c r="H219" s="269"/>
      <c r="I219" s="269"/>
      <c r="J219" s="269"/>
      <c r="K219" s="269"/>
      <c r="L219" s="269"/>
      <c r="M219" s="269"/>
      <c r="N219" s="229">
        <v>1</v>
      </c>
      <c r="O219" s="229">
        <v>1</v>
      </c>
      <c r="P219" s="229">
        <v>1</v>
      </c>
      <c r="Q219" s="272">
        <v>0.99999999999999967</v>
      </c>
      <c r="R219" s="256">
        <f t="shared" si="22"/>
        <v>0.99999999999999967</v>
      </c>
      <c r="S219" s="256">
        <f t="shared" si="22"/>
        <v>0.99999999999999967</v>
      </c>
      <c r="T219" s="256">
        <f t="shared" si="22"/>
        <v>0.99999999999999967</v>
      </c>
      <c r="U219" s="216"/>
      <c r="V219" s="216"/>
    </row>
    <row r="220" spans="1:22" s="140" customFormat="1" ht="12.75" hidden="1" outlineLevel="2">
      <c r="A220" s="216"/>
      <c r="B220" s="255" t="s">
        <v>406</v>
      </c>
      <c r="C220" s="245" t="s">
        <v>88</v>
      </c>
      <c r="D220" s="227" t="s">
        <v>89</v>
      </c>
      <c r="E220" s="241"/>
      <c r="F220" s="228">
        <f t="shared" si="23"/>
        <v>6.1612726844928238E-2</v>
      </c>
      <c r="G220" s="269">
        <f>+F220*G206</f>
        <v>6.7371925347094037E-5</v>
      </c>
      <c r="H220" s="269"/>
      <c r="I220" s="269"/>
      <c r="J220" s="269"/>
      <c r="K220" s="269"/>
      <c r="L220" s="269"/>
      <c r="M220" s="269"/>
      <c r="N220" s="229">
        <v>1</v>
      </c>
      <c r="O220" s="229">
        <v>1</v>
      </c>
      <c r="P220" s="229">
        <v>1</v>
      </c>
      <c r="Q220" s="272">
        <v>0.99999999999999967</v>
      </c>
      <c r="R220" s="256">
        <f t="shared" si="22"/>
        <v>0.99999999999999967</v>
      </c>
      <c r="S220" s="256">
        <f t="shared" si="22"/>
        <v>0.99999999999999967</v>
      </c>
      <c r="T220" s="256">
        <f t="shared" si="22"/>
        <v>0.99999999999999967</v>
      </c>
      <c r="U220" s="216"/>
      <c r="V220" s="216"/>
    </row>
    <row r="221" spans="1:22" s="140" customFormat="1" ht="12.75" hidden="1" outlineLevel="2">
      <c r="A221" s="216"/>
      <c r="B221" s="255" t="s">
        <v>407</v>
      </c>
      <c r="C221" s="245" t="s">
        <v>91</v>
      </c>
      <c r="D221" s="227" t="s">
        <v>92</v>
      </c>
      <c r="E221" s="241"/>
      <c r="F221" s="228">
        <f t="shared" si="23"/>
        <v>5.5478507137905975E-2</v>
      </c>
      <c r="G221" s="269">
        <f>+F221*G206</f>
        <v>6.0664314544469796E-5</v>
      </c>
      <c r="H221" s="269"/>
      <c r="I221" s="269"/>
      <c r="J221" s="269"/>
      <c r="K221" s="269"/>
      <c r="L221" s="269"/>
      <c r="M221" s="269"/>
      <c r="N221" s="229">
        <v>1</v>
      </c>
      <c r="O221" s="229">
        <v>1</v>
      </c>
      <c r="P221" s="229">
        <v>1</v>
      </c>
      <c r="Q221" s="272">
        <v>0.99999999999999967</v>
      </c>
      <c r="R221" s="256">
        <f t="shared" si="22"/>
        <v>0.99999999999999967</v>
      </c>
      <c r="S221" s="256">
        <f t="shared" si="22"/>
        <v>0.99999999999999967</v>
      </c>
      <c r="T221" s="256">
        <f t="shared" si="22"/>
        <v>0.99999999999999967</v>
      </c>
      <c r="U221" s="216"/>
      <c r="V221" s="216"/>
    </row>
    <row r="222" spans="1:22" s="140" customFormat="1" ht="12.75" hidden="1" outlineLevel="2">
      <c r="A222" s="216"/>
      <c r="B222" s="300" t="s">
        <v>408</v>
      </c>
      <c r="C222" s="294"/>
      <c r="D222" s="294" t="s">
        <v>94</v>
      </c>
      <c r="E222" s="295"/>
      <c r="F222" s="296">
        <f t="shared" si="23"/>
        <v>0.16798918236757646</v>
      </c>
      <c r="G222" s="296">
        <f>+F222*G83</f>
        <v>5.0396754710272931E-3</v>
      </c>
      <c r="H222" s="296"/>
      <c r="I222" s="296"/>
      <c r="J222" s="296"/>
      <c r="K222" s="296"/>
      <c r="L222" s="296"/>
      <c r="M222" s="296"/>
      <c r="N222" s="296">
        <f>+$F223*N223+$F235*N235+$F243*N243+$F249*N249+$F253*N253</f>
        <v>1</v>
      </c>
      <c r="O222" s="296">
        <f>+$F223*O223+$F235*O235+$F243*O243+$F249*O249+$F253*O253</f>
        <v>1</v>
      </c>
      <c r="P222" s="296">
        <f>+$F223*P223+$F235*P235+$F243*P243+$F249*P249+$F253*P253</f>
        <v>1</v>
      </c>
      <c r="Q222" s="296">
        <f>+$F223*Q223+$F235*Q235+$F243*Q243+$F249*Q249+$F253*Q253</f>
        <v>0.93200000000000016</v>
      </c>
      <c r="R222" s="296">
        <f t="shared" si="22"/>
        <v>0.93200000000000016</v>
      </c>
      <c r="S222" s="296">
        <f t="shared" si="22"/>
        <v>0.93200000000000016</v>
      </c>
      <c r="T222" s="296">
        <f t="shared" si="22"/>
        <v>0.93200000000000016</v>
      </c>
      <c r="U222" s="216"/>
      <c r="V222" s="216"/>
    </row>
    <row r="223" spans="1:22" s="140" customFormat="1" ht="12.75" hidden="1" outlineLevel="2">
      <c r="B223" s="301" t="s">
        <v>409</v>
      </c>
      <c r="C223" s="251"/>
      <c r="D223" s="236" t="s">
        <v>97</v>
      </c>
      <c r="E223" s="242"/>
      <c r="F223" s="232">
        <f t="shared" si="23"/>
        <v>0.2064703407829992</v>
      </c>
      <c r="G223" s="232">
        <f>+F223*G222</f>
        <v>1.0405435119387272E-3</v>
      </c>
      <c r="H223" s="232"/>
      <c r="I223" s="232"/>
      <c r="J223" s="232"/>
      <c r="K223" s="232"/>
      <c r="L223" s="232"/>
      <c r="M223" s="232"/>
      <c r="N223" s="233">
        <f>+SUMPRODUCT($F224:$F234,N224:N234)</f>
        <v>1</v>
      </c>
      <c r="O223" s="233">
        <f>+SUMPRODUCT($F224:$F234,O224:O234)</f>
        <v>1</v>
      </c>
      <c r="P223" s="233">
        <f>+SUMPRODUCT($F224:$F234,P224:P234)</f>
        <v>1</v>
      </c>
      <c r="Q223" s="274">
        <f>+SUMPRODUCT($F224:$F234,Q224:Q234)</f>
        <v>0.93200000000000005</v>
      </c>
      <c r="R223" s="260">
        <f t="shared" si="22"/>
        <v>0.93200000000000005</v>
      </c>
      <c r="S223" s="260">
        <f t="shared" si="22"/>
        <v>0.93200000000000005</v>
      </c>
      <c r="T223" s="260">
        <f t="shared" si="22"/>
        <v>0.93200000000000005</v>
      </c>
    </row>
    <row r="224" spans="1:22" s="140" customFormat="1" ht="25.5" hidden="1" outlineLevel="3">
      <c r="A224" s="216"/>
      <c r="B224" s="255" t="s">
        <v>410</v>
      </c>
      <c r="C224" s="245" t="s">
        <v>99</v>
      </c>
      <c r="D224" s="227" t="s">
        <v>100</v>
      </c>
      <c r="E224" s="241"/>
      <c r="F224" s="228">
        <f t="shared" si="23"/>
        <v>5.8885812178438031E-2</v>
      </c>
      <c r="G224" s="269">
        <f>+F224*G223</f>
        <v>6.1273249807516179E-5</v>
      </c>
      <c r="H224" s="269"/>
      <c r="I224" s="269"/>
      <c r="J224" s="269"/>
      <c r="K224" s="269"/>
      <c r="L224" s="269"/>
      <c r="M224" s="269"/>
      <c r="N224" s="229">
        <v>1</v>
      </c>
      <c r="O224" s="229">
        <v>1</v>
      </c>
      <c r="P224" s="229">
        <v>1</v>
      </c>
      <c r="Q224" s="272">
        <v>0.93200000000000005</v>
      </c>
      <c r="R224" s="256">
        <f t="shared" si="22"/>
        <v>0.93200000000000005</v>
      </c>
      <c r="S224" s="256">
        <f t="shared" si="22"/>
        <v>0.93200000000000005</v>
      </c>
      <c r="T224" s="256">
        <f t="shared" si="22"/>
        <v>0.93200000000000005</v>
      </c>
      <c r="U224" s="216"/>
      <c r="V224" s="216"/>
    </row>
    <row r="225" spans="1:22" s="140" customFormat="1" ht="25.5" hidden="1" outlineLevel="3">
      <c r="A225" s="216"/>
      <c r="B225" s="255" t="s">
        <v>411</v>
      </c>
      <c r="C225" s="245" t="s">
        <v>102</v>
      </c>
      <c r="D225" s="227" t="s">
        <v>103</v>
      </c>
      <c r="E225" s="241"/>
      <c r="F225" s="228">
        <f t="shared" si="23"/>
        <v>9.5476860808951347E-2</v>
      </c>
      <c r="G225" s="269">
        <f>+F225*G223</f>
        <v>9.9347828055031264E-5</v>
      </c>
      <c r="H225" s="269"/>
      <c r="I225" s="269"/>
      <c r="J225" s="269"/>
      <c r="K225" s="269"/>
      <c r="L225" s="269"/>
      <c r="M225" s="269"/>
      <c r="N225" s="229">
        <v>1</v>
      </c>
      <c r="O225" s="229">
        <v>1</v>
      </c>
      <c r="P225" s="229">
        <v>1</v>
      </c>
      <c r="Q225" s="272">
        <v>0.93200000000000005</v>
      </c>
      <c r="R225" s="256">
        <f t="shared" ref="R225:T256" si="24">+IF(N225=0,0,$Q225/N225)</f>
        <v>0.93200000000000005</v>
      </c>
      <c r="S225" s="256">
        <f t="shared" si="24"/>
        <v>0.93200000000000005</v>
      </c>
      <c r="T225" s="256">
        <f t="shared" si="24"/>
        <v>0.93200000000000005</v>
      </c>
      <c r="U225" s="216"/>
      <c r="V225" s="216"/>
    </row>
    <row r="226" spans="1:22" s="140" customFormat="1" ht="25.5" hidden="1" outlineLevel="3">
      <c r="A226" s="216"/>
      <c r="B226" s="255" t="s">
        <v>412</v>
      </c>
      <c r="C226" s="245" t="s">
        <v>105</v>
      </c>
      <c r="D226" s="227" t="s">
        <v>106</v>
      </c>
      <c r="E226" s="241"/>
      <c r="F226" s="228">
        <f t="shared" si="23"/>
        <v>7.7851641421759807E-2</v>
      </c>
      <c r="G226" s="269">
        <f>+F226*G223</f>
        <v>8.100802037519244E-5</v>
      </c>
      <c r="H226" s="269"/>
      <c r="I226" s="269"/>
      <c r="J226" s="269"/>
      <c r="K226" s="269"/>
      <c r="L226" s="269"/>
      <c r="M226" s="269"/>
      <c r="N226" s="229">
        <v>1</v>
      </c>
      <c r="O226" s="229">
        <v>1</v>
      </c>
      <c r="P226" s="229">
        <v>1</v>
      </c>
      <c r="Q226" s="272">
        <v>0.93200000000000005</v>
      </c>
      <c r="R226" s="256">
        <f t="shared" si="24"/>
        <v>0.93200000000000005</v>
      </c>
      <c r="S226" s="256">
        <f t="shared" si="24"/>
        <v>0.93200000000000005</v>
      </c>
      <c r="T226" s="256">
        <f t="shared" si="24"/>
        <v>0.93200000000000005</v>
      </c>
      <c r="U226" s="216"/>
      <c r="V226" s="216"/>
    </row>
    <row r="227" spans="1:22" s="140" customFormat="1" ht="25.5" hidden="1" outlineLevel="3">
      <c r="A227" s="216"/>
      <c r="B227" s="255" t="s">
        <v>413</v>
      </c>
      <c r="C227" s="245" t="s">
        <v>108</v>
      </c>
      <c r="D227" s="227" t="s">
        <v>109</v>
      </c>
      <c r="E227" s="241"/>
      <c r="F227" s="228">
        <f t="shared" si="23"/>
        <v>9.6299858611877787E-2</v>
      </c>
      <c r="G227" s="269">
        <f>+F227*G223</f>
        <v>1.0020419307920619E-4</v>
      </c>
      <c r="H227" s="269"/>
      <c r="I227" s="269"/>
      <c r="J227" s="269"/>
      <c r="K227" s="269"/>
      <c r="L227" s="269"/>
      <c r="M227" s="269"/>
      <c r="N227" s="229">
        <v>1</v>
      </c>
      <c r="O227" s="229">
        <v>1</v>
      </c>
      <c r="P227" s="229">
        <v>1</v>
      </c>
      <c r="Q227" s="272">
        <v>0.93200000000000005</v>
      </c>
      <c r="R227" s="256">
        <f t="shared" si="24"/>
        <v>0.93200000000000005</v>
      </c>
      <c r="S227" s="256">
        <f t="shared" si="24"/>
        <v>0.93200000000000005</v>
      </c>
      <c r="T227" s="256">
        <f t="shared" si="24"/>
        <v>0.93200000000000005</v>
      </c>
      <c r="U227" s="216"/>
      <c r="V227" s="216"/>
    </row>
    <row r="228" spans="1:22" s="140" customFormat="1" ht="38.25" hidden="1" outlineLevel="3">
      <c r="A228" s="216"/>
      <c r="B228" s="255" t="s">
        <v>414</v>
      </c>
      <c r="C228" s="245" t="s">
        <v>111</v>
      </c>
      <c r="D228" s="227" t="s">
        <v>112</v>
      </c>
      <c r="E228" s="241"/>
      <c r="F228" s="228">
        <f t="shared" si="23"/>
        <v>0.2149063701910354</v>
      </c>
      <c r="G228" s="269">
        <f>+F228*G223</f>
        <v>2.2361942917658418E-4</v>
      </c>
      <c r="H228" s="269"/>
      <c r="I228" s="269"/>
      <c r="J228" s="269"/>
      <c r="K228" s="269"/>
      <c r="L228" s="269"/>
      <c r="M228" s="269"/>
      <c r="N228" s="229">
        <v>1</v>
      </c>
      <c r="O228" s="229">
        <v>1</v>
      </c>
      <c r="P228" s="229">
        <v>1</v>
      </c>
      <c r="Q228" s="272">
        <v>0.93200000000000005</v>
      </c>
      <c r="R228" s="256">
        <f t="shared" si="24"/>
        <v>0.93200000000000005</v>
      </c>
      <c r="S228" s="256">
        <f t="shared" si="24"/>
        <v>0.93200000000000005</v>
      </c>
      <c r="T228" s="256">
        <f t="shared" si="24"/>
        <v>0.93200000000000005</v>
      </c>
      <c r="U228" s="216"/>
      <c r="V228" s="216"/>
    </row>
    <row r="229" spans="1:22" s="140" customFormat="1" ht="38.25" hidden="1" outlineLevel="3">
      <c r="A229" s="216"/>
      <c r="B229" s="255" t="s">
        <v>415</v>
      </c>
      <c r="C229" s="245" t="s">
        <v>114</v>
      </c>
      <c r="D229" s="227" t="s">
        <v>115</v>
      </c>
      <c r="E229" s="241"/>
      <c r="F229" s="228">
        <f t="shared" si="23"/>
        <v>0.11738040352185054</v>
      </c>
      <c r="G229" s="269">
        <f>+F229*G223</f>
        <v>1.2213941731341132E-4</v>
      </c>
      <c r="H229" s="269"/>
      <c r="I229" s="269"/>
      <c r="J229" s="269"/>
      <c r="K229" s="269"/>
      <c r="L229" s="269"/>
      <c r="M229" s="269"/>
      <c r="N229" s="229">
        <v>1</v>
      </c>
      <c r="O229" s="229">
        <v>1</v>
      </c>
      <c r="P229" s="229">
        <v>1</v>
      </c>
      <c r="Q229" s="272">
        <v>0.93200000000000005</v>
      </c>
      <c r="R229" s="256">
        <f t="shared" si="24"/>
        <v>0.93200000000000005</v>
      </c>
      <c r="S229" s="256">
        <f t="shared" si="24"/>
        <v>0.93200000000000005</v>
      </c>
      <c r="T229" s="256">
        <f t="shared" si="24"/>
        <v>0.93200000000000005</v>
      </c>
      <c r="U229" s="216"/>
      <c r="V229" s="216"/>
    </row>
    <row r="230" spans="1:22" s="140" customFormat="1" ht="38.25" hidden="1" outlineLevel="3">
      <c r="A230" s="216"/>
      <c r="B230" s="255" t="s">
        <v>416</v>
      </c>
      <c r="C230" s="245" t="s">
        <v>117</v>
      </c>
      <c r="D230" s="227" t="s">
        <v>118</v>
      </c>
      <c r="E230" s="241"/>
      <c r="F230" s="228">
        <f t="shared" si="23"/>
        <v>0.11930471289964986</v>
      </c>
      <c r="G230" s="269">
        <f>+F230*G223</f>
        <v>1.2414174495144323E-4</v>
      </c>
      <c r="H230" s="269"/>
      <c r="I230" s="269"/>
      <c r="J230" s="269"/>
      <c r="K230" s="269"/>
      <c r="L230" s="269"/>
      <c r="M230" s="269"/>
      <c r="N230" s="229">
        <v>1</v>
      </c>
      <c r="O230" s="229">
        <v>1</v>
      </c>
      <c r="P230" s="229">
        <v>1</v>
      </c>
      <c r="Q230" s="272">
        <v>0.93200000000000005</v>
      </c>
      <c r="R230" s="256">
        <f t="shared" si="24"/>
        <v>0.93200000000000005</v>
      </c>
      <c r="S230" s="256">
        <f t="shared" si="24"/>
        <v>0.93200000000000005</v>
      </c>
      <c r="T230" s="256">
        <f t="shared" si="24"/>
        <v>0.93200000000000005</v>
      </c>
      <c r="U230" s="216"/>
      <c r="V230" s="216"/>
    </row>
    <row r="231" spans="1:22" s="140" customFormat="1" ht="38.25" hidden="1" outlineLevel="3">
      <c r="A231" s="216"/>
      <c r="B231" s="255" t="s">
        <v>417</v>
      </c>
      <c r="C231" s="245" t="s">
        <v>120</v>
      </c>
      <c r="D231" s="227" t="s">
        <v>121</v>
      </c>
      <c r="E231" s="241"/>
      <c r="F231" s="228">
        <f t="shared" si="23"/>
        <v>0.19167132064328818</v>
      </c>
      <c r="G231" s="269">
        <f>+F231*G223</f>
        <v>1.9944234912010094E-4</v>
      </c>
      <c r="H231" s="269"/>
      <c r="I231" s="269"/>
      <c r="J231" s="269"/>
      <c r="K231" s="269"/>
      <c r="L231" s="269"/>
      <c r="M231" s="269"/>
      <c r="N231" s="229">
        <v>1</v>
      </c>
      <c r="O231" s="229">
        <v>1</v>
      </c>
      <c r="P231" s="229">
        <v>1</v>
      </c>
      <c r="Q231" s="272">
        <v>0.93200000000000005</v>
      </c>
      <c r="R231" s="256">
        <f t="shared" si="24"/>
        <v>0.93200000000000005</v>
      </c>
      <c r="S231" s="256">
        <f t="shared" si="24"/>
        <v>0.93200000000000005</v>
      </c>
      <c r="T231" s="256">
        <f t="shared" si="24"/>
        <v>0.93200000000000005</v>
      </c>
      <c r="U231" s="216"/>
      <c r="V231" s="216"/>
    </row>
    <row r="232" spans="1:22" s="140" customFormat="1" ht="25.5" hidden="1" outlineLevel="3">
      <c r="A232" s="216"/>
      <c r="B232" s="255" t="s">
        <v>418</v>
      </c>
      <c r="C232" s="245" t="s">
        <v>123</v>
      </c>
      <c r="D232" s="227" t="s">
        <v>124</v>
      </c>
      <c r="E232" s="241"/>
      <c r="F232" s="228">
        <f t="shared" si="23"/>
        <v>5.2427274764052581E-3</v>
      </c>
      <c r="G232" s="269">
        <f>+F232*G223</f>
        <v>5.4552860604363879E-6</v>
      </c>
      <c r="H232" s="269"/>
      <c r="I232" s="269"/>
      <c r="J232" s="269"/>
      <c r="K232" s="269"/>
      <c r="L232" s="269"/>
      <c r="M232" s="269"/>
      <c r="N232" s="229">
        <v>1</v>
      </c>
      <c r="O232" s="229">
        <v>1</v>
      </c>
      <c r="P232" s="229">
        <v>1</v>
      </c>
      <c r="Q232" s="272">
        <v>0.93200000000000005</v>
      </c>
      <c r="R232" s="256">
        <f t="shared" si="24"/>
        <v>0.93200000000000005</v>
      </c>
      <c r="S232" s="256">
        <f t="shared" si="24"/>
        <v>0.93200000000000005</v>
      </c>
      <c r="T232" s="256">
        <f t="shared" si="24"/>
        <v>0.93200000000000005</v>
      </c>
      <c r="U232" s="216"/>
      <c r="V232" s="216"/>
    </row>
    <row r="233" spans="1:22" s="140" customFormat="1" ht="25.5" hidden="1" outlineLevel="3">
      <c r="A233" s="216"/>
      <c r="B233" s="255" t="s">
        <v>419</v>
      </c>
      <c r="C233" s="245" t="s">
        <v>126</v>
      </c>
      <c r="D233" s="227" t="s">
        <v>127</v>
      </c>
      <c r="E233" s="241"/>
      <c r="F233" s="228">
        <f>F869</f>
        <v>0</v>
      </c>
      <c r="G233" s="269">
        <f>+F233*G223</f>
        <v>0</v>
      </c>
      <c r="H233" s="269"/>
      <c r="I233" s="269"/>
      <c r="J233" s="269"/>
      <c r="K233" s="269"/>
      <c r="L233" s="269"/>
      <c r="M233" s="269"/>
      <c r="N233" s="229">
        <v>1</v>
      </c>
      <c r="O233" s="229">
        <v>1</v>
      </c>
      <c r="P233" s="229">
        <v>1</v>
      </c>
      <c r="Q233" s="272">
        <v>0.93200000000000005</v>
      </c>
      <c r="R233" s="256">
        <f t="shared" si="24"/>
        <v>0.93200000000000005</v>
      </c>
      <c r="S233" s="256">
        <f t="shared" si="24"/>
        <v>0.93200000000000005</v>
      </c>
      <c r="T233" s="256">
        <f t="shared" si="24"/>
        <v>0.93200000000000005</v>
      </c>
      <c r="U233" s="216"/>
      <c r="V233" s="216"/>
    </row>
    <row r="234" spans="1:22" s="140" customFormat="1" ht="38.25" hidden="1" outlineLevel="3">
      <c r="A234" s="216"/>
      <c r="B234" s="255" t="s">
        <v>420</v>
      </c>
      <c r="C234" s="245" t="s">
        <v>129</v>
      </c>
      <c r="D234" s="227" t="s">
        <v>130</v>
      </c>
      <c r="E234" s="241"/>
      <c r="F234" s="228">
        <f>F870</f>
        <v>2.2980292246743819E-2</v>
      </c>
      <c r="G234" s="269">
        <f>+F234*G223</f>
        <v>2.3911993999805116E-5</v>
      </c>
      <c r="H234" s="269"/>
      <c r="I234" s="269"/>
      <c r="J234" s="269"/>
      <c r="K234" s="269"/>
      <c r="L234" s="269"/>
      <c r="M234" s="269"/>
      <c r="N234" s="229">
        <v>1</v>
      </c>
      <c r="O234" s="229">
        <v>1</v>
      </c>
      <c r="P234" s="229">
        <v>1</v>
      </c>
      <c r="Q234" s="272">
        <v>0.93200000000000005</v>
      </c>
      <c r="R234" s="256">
        <f t="shared" si="24"/>
        <v>0.93200000000000005</v>
      </c>
      <c r="S234" s="256">
        <f t="shared" si="24"/>
        <v>0.93200000000000005</v>
      </c>
      <c r="T234" s="256">
        <f t="shared" si="24"/>
        <v>0.93200000000000005</v>
      </c>
      <c r="U234" s="216"/>
      <c r="V234" s="216"/>
    </row>
    <row r="235" spans="1:22" s="140" customFormat="1" ht="25.5" hidden="1" outlineLevel="2">
      <c r="B235" s="301" t="s">
        <v>421</v>
      </c>
      <c r="C235" s="251"/>
      <c r="D235" s="236" t="s">
        <v>133</v>
      </c>
      <c r="E235" s="242"/>
      <c r="F235" s="232">
        <f>F871</f>
        <v>0.15364965195292599</v>
      </c>
      <c r="G235" s="232">
        <f>+F235*G222</f>
        <v>7.7434438207904196E-4</v>
      </c>
      <c r="H235" s="232"/>
      <c r="I235" s="232"/>
      <c r="J235" s="232"/>
      <c r="K235" s="232"/>
      <c r="L235" s="232"/>
      <c r="M235" s="232"/>
      <c r="N235" s="233">
        <f>+SUMPRODUCT($F236:$F242,N236:N242)</f>
        <v>1.0000000000000002</v>
      </c>
      <c r="O235" s="233">
        <f>+SUMPRODUCT($F236:$F242,O236:O242)</f>
        <v>1.0000000000000002</v>
      </c>
      <c r="P235" s="233">
        <f>+SUMPRODUCT($F236:$F242,P236:P242)</f>
        <v>1.0000000000000002</v>
      </c>
      <c r="Q235" s="274">
        <f>+SUMPRODUCT($F236:$F242,Q236:Q242)</f>
        <v>0.93200000000000005</v>
      </c>
      <c r="R235" s="260">
        <f t="shared" si="24"/>
        <v>0.93199999999999983</v>
      </c>
      <c r="S235" s="260">
        <f t="shared" si="24"/>
        <v>0.93199999999999983</v>
      </c>
      <c r="T235" s="260">
        <f t="shared" si="24"/>
        <v>0.93199999999999983</v>
      </c>
    </row>
    <row r="236" spans="1:22" s="140" customFormat="1" ht="25.5" hidden="1" outlineLevel="3">
      <c r="A236" s="216"/>
      <c r="B236" s="255" t="s">
        <v>422</v>
      </c>
      <c r="C236" s="245" t="s">
        <v>135</v>
      </c>
      <c r="D236" s="227" t="s">
        <v>136</v>
      </c>
      <c r="E236" s="241"/>
      <c r="F236" s="228">
        <f>F872</f>
        <v>7.1676986389805894E-2</v>
      </c>
      <c r="G236" s="269">
        <f>+F236*G235</f>
        <v>5.5502671735302146E-5</v>
      </c>
      <c r="H236" s="269"/>
      <c r="I236" s="269"/>
      <c r="J236" s="269"/>
      <c r="K236" s="269"/>
      <c r="L236" s="269"/>
      <c r="M236" s="269"/>
      <c r="N236" s="229">
        <v>1</v>
      </c>
      <c r="O236" s="229">
        <v>1</v>
      </c>
      <c r="P236" s="229">
        <v>1</v>
      </c>
      <c r="Q236" s="272">
        <v>0.93200000000000005</v>
      </c>
      <c r="R236" s="256">
        <f t="shared" si="24"/>
        <v>0.93200000000000005</v>
      </c>
      <c r="S236" s="256">
        <f t="shared" si="24"/>
        <v>0.93200000000000005</v>
      </c>
      <c r="T236" s="256">
        <f t="shared" si="24"/>
        <v>0.93200000000000005</v>
      </c>
      <c r="U236" s="216"/>
      <c r="V236" s="216"/>
    </row>
    <row r="237" spans="1:22" s="140" customFormat="1" ht="25.5" hidden="1" outlineLevel="3">
      <c r="A237" s="216"/>
      <c r="B237" s="255" t="s">
        <v>423</v>
      </c>
      <c r="C237" s="245" t="s">
        <v>138</v>
      </c>
      <c r="D237" s="227" t="s">
        <v>139</v>
      </c>
      <c r="E237" s="241"/>
      <c r="F237" s="228">
        <f>F873</f>
        <v>0.15362856123913068</v>
      </c>
      <c r="G237" s="269">
        <f>+F237*G235</f>
        <v>1.189614133224069E-4</v>
      </c>
      <c r="H237" s="269"/>
      <c r="I237" s="269"/>
      <c r="J237" s="269"/>
      <c r="K237" s="269"/>
      <c r="L237" s="269"/>
      <c r="M237" s="269"/>
      <c r="N237" s="229">
        <v>1</v>
      </c>
      <c r="O237" s="229">
        <v>1</v>
      </c>
      <c r="P237" s="229">
        <v>1</v>
      </c>
      <c r="Q237" s="272">
        <v>0.93200000000000005</v>
      </c>
      <c r="R237" s="256">
        <f t="shared" si="24"/>
        <v>0.93200000000000005</v>
      </c>
      <c r="S237" s="256">
        <f t="shared" si="24"/>
        <v>0.93200000000000005</v>
      </c>
      <c r="T237" s="256">
        <f t="shared" si="24"/>
        <v>0.93200000000000005</v>
      </c>
      <c r="U237" s="216"/>
      <c r="V237" s="216"/>
    </row>
    <row r="238" spans="1:22" s="140" customFormat="1" ht="25.5" hidden="1" outlineLevel="3">
      <c r="A238" s="216"/>
      <c r="B238" s="255" t="s">
        <v>424</v>
      </c>
      <c r="C238" s="245" t="s">
        <v>141</v>
      </c>
      <c r="D238" s="227" t="s">
        <v>142</v>
      </c>
      <c r="E238" s="241"/>
      <c r="F238" s="228">
        <f t="shared" ref="F238:F267" si="25">F874</f>
        <v>0.20080921506999638</v>
      </c>
      <c r="G238" s="269">
        <f>+F238*G235</f>
        <v>1.5549548755915379E-4</v>
      </c>
      <c r="H238" s="269"/>
      <c r="I238" s="269"/>
      <c r="J238" s="269"/>
      <c r="K238" s="269"/>
      <c r="L238" s="269"/>
      <c r="M238" s="269"/>
      <c r="N238" s="229">
        <v>1</v>
      </c>
      <c r="O238" s="229">
        <v>1</v>
      </c>
      <c r="P238" s="229">
        <v>1</v>
      </c>
      <c r="Q238" s="272">
        <v>0.93200000000000005</v>
      </c>
      <c r="R238" s="256">
        <f t="shared" si="24"/>
        <v>0.93200000000000005</v>
      </c>
      <c r="S238" s="256">
        <f t="shared" si="24"/>
        <v>0.93200000000000005</v>
      </c>
      <c r="T238" s="256">
        <f t="shared" si="24"/>
        <v>0.93200000000000005</v>
      </c>
      <c r="U238" s="216"/>
      <c r="V238" s="216"/>
    </row>
    <row r="239" spans="1:22" s="140" customFormat="1" ht="25.5" hidden="1" outlineLevel="3">
      <c r="A239" s="216"/>
      <c r="B239" s="255" t="s">
        <v>425</v>
      </c>
      <c r="C239" s="245" t="s">
        <v>144</v>
      </c>
      <c r="D239" s="227" t="s">
        <v>145</v>
      </c>
      <c r="E239" s="241"/>
      <c r="F239" s="228">
        <f t="shared" si="25"/>
        <v>0.2365874770023029</v>
      </c>
      <c r="G239" s="269">
        <f>+F239*G235</f>
        <v>1.832001836869878E-4</v>
      </c>
      <c r="H239" s="269"/>
      <c r="I239" s="269"/>
      <c r="J239" s="269"/>
      <c r="K239" s="269"/>
      <c r="L239" s="269"/>
      <c r="M239" s="269"/>
      <c r="N239" s="229">
        <v>1</v>
      </c>
      <c r="O239" s="229">
        <v>1</v>
      </c>
      <c r="P239" s="229">
        <v>1</v>
      </c>
      <c r="Q239" s="272">
        <v>0.93200000000000005</v>
      </c>
      <c r="R239" s="256">
        <f t="shared" si="24"/>
        <v>0.93200000000000005</v>
      </c>
      <c r="S239" s="256">
        <f t="shared" si="24"/>
        <v>0.93200000000000005</v>
      </c>
      <c r="T239" s="256">
        <f t="shared" si="24"/>
        <v>0.93200000000000005</v>
      </c>
      <c r="U239" s="216"/>
      <c r="V239" s="216"/>
    </row>
    <row r="240" spans="1:22" s="140" customFormat="1" ht="12.75" hidden="1" outlineLevel="3">
      <c r="A240" s="216"/>
      <c r="B240" s="255" t="s">
        <v>426</v>
      </c>
      <c r="C240" s="245" t="s">
        <v>147</v>
      </c>
      <c r="D240" s="227" t="s">
        <v>148</v>
      </c>
      <c r="E240" s="241"/>
      <c r="F240" s="228">
        <f t="shared" si="25"/>
        <v>0.13605594911200233</v>
      </c>
      <c r="G240" s="269">
        <f>+F240*G235</f>
        <v>1.0535415984331103E-4</v>
      </c>
      <c r="H240" s="269"/>
      <c r="I240" s="269"/>
      <c r="J240" s="269"/>
      <c r="K240" s="269"/>
      <c r="L240" s="269"/>
      <c r="M240" s="269"/>
      <c r="N240" s="229">
        <v>1</v>
      </c>
      <c r="O240" s="229">
        <v>1</v>
      </c>
      <c r="P240" s="229">
        <v>1</v>
      </c>
      <c r="Q240" s="272">
        <v>0.93200000000000005</v>
      </c>
      <c r="R240" s="256">
        <f t="shared" si="24"/>
        <v>0.93200000000000005</v>
      </c>
      <c r="S240" s="256">
        <f t="shared" si="24"/>
        <v>0.93200000000000005</v>
      </c>
      <c r="T240" s="256">
        <f t="shared" si="24"/>
        <v>0.93200000000000005</v>
      </c>
      <c r="U240" s="216"/>
      <c r="V240" s="216"/>
    </row>
    <row r="241" spans="1:22" s="140" customFormat="1" ht="25.5" hidden="1" outlineLevel="3">
      <c r="A241" s="216"/>
      <c r="B241" s="255" t="s">
        <v>427</v>
      </c>
      <c r="C241" s="245" t="s">
        <v>150</v>
      </c>
      <c r="D241" s="227" t="s">
        <v>151</v>
      </c>
      <c r="E241" s="241"/>
      <c r="F241" s="228">
        <f t="shared" si="25"/>
        <v>0.10923085522251913</v>
      </c>
      <c r="G241" s="269">
        <f>+F241*G235</f>
        <v>8.458229909124687E-5</v>
      </c>
      <c r="H241" s="269"/>
      <c r="I241" s="269"/>
      <c r="J241" s="269"/>
      <c r="K241" s="269"/>
      <c r="L241" s="269"/>
      <c r="M241" s="269"/>
      <c r="N241" s="229">
        <v>1</v>
      </c>
      <c r="O241" s="229">
        <v>1</v>
      </c>
      <c r="P241" s="229">
        <v>1</v>
      </c>
      <c r="Q241" s="272">
        <v>0.93200000000000005</v>
      </c>
      <c r="R241" s="256">
        <f t="shared" si="24"/>
        <v>0.93200000000000005</v>
      </c>
      <c r="S241" s="256">
        <f t="shared" si="24"/>
        <v>0.93200000000000005</v>
      </c>
      <c r="T241" s="256">
        <f t="shared" si="24"/>
        <v>0.93200000000000005</v>
      </c>
      <c r="U241" s="216"/>
      <c r="V241" s="216"/>
    </row>
    <row r="242" spans="1:22" s="140" customFormat="1" ht="25.5" hidden="1" outlineLevel="3">
      <c r="A242" s="216"/>
      <c r="B242" s="255" t="s">
        <v>428</v>
      </c>
      <c r="C242" s="245" t="s">
        <v>153</v>
      </c>
      <c r="D242" s="227" t="s">
        <v>154</v>
      </c>
      <c r="E242" s="241"/>
      <c r="F242" s="228">
        <f t="shared" si="25"/>
        <v>9.2010955964242705E-2</v>
      </c>
      <c r="G242" s="269">
        <f>+F242*G235</f>
        <v>7.1248166840633451E-5</v>
      </c>
      <c r="H242" s="269"/>
      <c r="I242" s="269"/>
      <c r="J242" s="269"/>
      <c r="K242" s="269"/>
      <c r="L242" s="269"/>
      <c r="M242" s="269"/>
      <c r="N242" s="229">
        <v>1</v>
      </c>
      <c r="O242" s="229">
        <v>1</v>
      </c>
      <c r="P242" s="229">
        <v>1</v>
      </c>
      <c r="Q242" s="272">
        <v>0.93200000000000005</v>
      </c>
      <c r="R242" s="256">
        <f t="shared" si="24"/>
        <v>0.93200000000000005</v>
      </c>
      <c r="S242" s="256">
        <f t="shared" si="24"/>
        <v>0.93200000000000005</v>
      </c>
      <c r="T242" s="256">
        <f t="shared" si="24"/>
        <v>0.93200000000000005</v>
      </c>
      <c r="U242" s="216"/>
      <c r="V242" s="216"/>
    </row>
    <row r="243" spans="1:22" s="140" customFormat="1" ht="25.5" hidden="1" outlineLevel="1">
      <c r="B243" s="301" t="s">
        <v>429</v>
      </c>
      <c r="C243" s="251"/>
      <c r="D243" s="236" t="s">
        <v>157</v>
      </c>
      <c r="E243" s="242"/>
      <c r="F243" s="232">
        <f t="shared" si="25"/>
        <v>0.15245155571846505</v>
      </c>
      <c r="G243" s="232">
        <f>+F243*G222</f>
        <v>7.6830636587429902E-4</v>
      </c>
      <c r="H243" s="232"/>
      <c r="I243" s="232"/>
      <c r="J243" s="232"/>
      <c r="K243" s="232"/>
      <c r="L243" s="232"/>
      <c r="M243" s="232"/>
      <c r="N243" s="233">
        <f>+SUMPRODUCT($F244:$F248,N244:N248)</f>
        <v>1</v>
      </c>
      <c r="O243" s="233">
        <f>+SUMPRODUCT($F244:$F248,O244:O248)</f>
        <v>1</v>
      </c>
      <c r="P243" s="233">
        <f>+SUMPRODUCT($F244:$F248,P244:P248)</f>
        <v>1</v>
      </c>
      <c r="Q243" s="274">
        <f>+SUMPRODUCT($F244:$F248,Q244:Q248)</f>
        <v>0.93200000000000016</v>
      </c>
      <c r="R243" s="254">
        <f t="shared" si="24"/>
        <v>0.93200000000000016</v>
      </c>
      <c r="S243" s="254">
        <f t="shared" si="24"/>
        <v>0.93200000000000016</v>
      </c>
      <c r="T243" s="254">
        <f t="shared" si="24"/>
        <v>0.93200000000000016</v>
      </c>
    </row>
    <row r="244" spans="1:22" s="140" customFormat="1" ht="12.75" hidden="1" outlineLevel="2">
      <c r="A244" s="216"/>
      <c r="B244" s="255" t="s">
        <v>430</v>
      </c>
      <c r="C244" s="245" t="s">
        <v>181</v>
      </c>
      <c r="D244" s="227" t="s">
        <v>182</v>
      </c>
      <c r="E244" s="241"/>
      <c r="F244" s="228">
        <f t="shared" si="25"/>
        <v>0.81307686435397697</v>
      </c>
      <c r="G244" s="269">
        <f>+F244*G243</f>
        <v>6.2469213082827447E-4</v>
      </c>
      <c r="H244" s="269"/>
      <c r="I244" s="269"/>
      <c r="J244" s="269"/>
      <c r="K244" s="269"/>
      <c r="L244" s="269"/>
      <c r="M244" s="269"/>
      <c r="N244" s="229">
        <v>1</v>
      </c>
      <c r="O244" s="229">
        <v>1</v>
      </c>
      <c r="P244" s="229">
        <v>1</v>
      </c>
      <c r="Q244" s="272">
        <v>0.93200000000000005</v>
      </c>
      <c r="R244" s="256">
        <f t="shared" si="24"/>
        <v>0.93200000000000005</v>
      </c>
      <c r="S244" s="256">
        <f t="shared" si="24"/>
        <v>0.93200000000000005</v>
      </c>
      <c r="T244" s="256">
        <f t="shared" si="24"/>
        <v>0.93200000000000005</v>
      </c>
      <c r="U244" s="216"/>
      <c r="V244" s="216"/>
    </row>
    <row r="245" spans="1:22" s="140" customFormat="1" ht="25.5" hidden="1" outlineLevel="2">
      <c r="A245" s="216"/>
      <c r="B245" s="255" t="s">
        <v>431</v>
      </c>
      <c r="C245" s="245" t="s">
        <v>159</v>
      </c>
      <c r="D245" s="227" t="s">
        <v>160</v>
      </c>
      <c r="E245" s="241"/>
      <c r="F245" s="228">
        <f t="shared" si="25"/>
        <v>9.3460693266385869E-2</v>
      </c>
      <c r="G245" s="269">
        <f>+F245*G243</f>
        <v>7.1806445595589503E-5</v>
      </c>
      <c r="H245" s="269"/>
      <c r="I245" s="269"/>
      <c r="J245" s="269"/>
      <c r="K245" s="269"/>
      <c r="L245" s="269"/>
      <c r="M245" s="269"/>
      <c r="N245" s="229">
        <v>1</v>
      </c>
      <c r="O245" s="229">
        <v>1</v>
      </c>
      <c r="P245" s="229">
        <v>1</v>
      </c>
      <c r="Q245" s="272">
        <v>0.93200000000000005</v>
      </c>
      <c r="R245" s="256">
        <f t="shared" si="24"/>
        <v>0.93200000000000005</v>
      </c>
      <c r="S245" s="256">
        <f t="shared" si="24"/>
        <v>0.93200000000000005</v>
      </c>
      <c r="T245" s="256">
        <f t="shared" si="24"/>
        <v>0.93200000000000005</v>
      </c>
      <c r="U245" s="216"/>
      <c r="V245" s="216"/>
    </row>
    <row r="246" spans="1:22" s="140" customFormat="1" ht="25.5" hidden="1" outlineLevel="2">
      <c r="A246" s="216"/>
      <c r="B246" s="255" t="s">
        <v>432</v>
      </c>
      <c r="C246" s="245" t="s">
        <v>162</v>
      </c>
      <c r="D246" s="227" t="s">
        <v>163</v>
      </c>
      <c r="E246" s="241"/>
      <c r="F246" s="228">
        <f t="shared" si="25"/>
        <v>3.036845712708507E-2</v>
      </c>
      <c r="G246" s="269">
        <f>+F246*G243</f>
        <v>2.3332278932520185E-5</v>
      </c>
      <c r="H246" s="269"/>
      <c r="I246" s="269"/>
      <c r="J246" s="269"/>
      <c r="K246" s="269"/>
      <c r="L246" s="269"/>
      <c r="M246" s="269"/>
      <c r="N246" s="229">
        <v>1</v>
      </c>
      <c r="O246" s="229">
        <v>1</v>
      </c>
      <c r="P246" s="229">
        <v>1</v>
      </c>
      <c r="Q246" s="272">
        <v>0.93200000000000005</v>
      </c>
      <c r="R246" s="256">
        <f t="shared" si="24"/>
        <v>0.93200000000000005</v>
      </c>
      <c r="S246" s="256">
        <f t="shared" si="24"/>
        <v>0.93200000000000005</v>
      </c>
      <c r="T246" s="256">
        <f t="shared" si="24"/>
        <v>0.93200000000000005</v>
      </c>
      <c r="U246" s="216"/>
      <c r="V246" s="216"/>
    </row>
    <row r="247" spans="1:22" s="140" customFormat="1" ht="12.75" hidden="1" outlineLevel="2">
      <c r="A247" s="216"/>
      <c r="B247" s="255" t="s">
        <v>433</v>
      </c>
      <c r="C247" s="245" t="s">
        <v>165</v>
      </c>
      <c r="D247" s="227" t="s">
        <v>166</v>
      </c>
      <c r="E247" s="241"/>
      <c r="F247" s="228">
        <f t="shared" si="25"/>
        <v>3.6002086533741685E-2</v>
      </c>
      <c r="G247" s="269">
        <f>+F247*G243</f>
        <v>2.7660632268631114E-5</v>
      </c>
      <c r="H247" s="269"/>
      <c r="I247" s="269"/>
      <c r="J247" s="269"/>
      <c r="K247" s="269"/>
      <c r="L247" s="269"/>
      <c r="M247" s="269"/>
      <c r="N247" s="229">
        <v>1</v>
      </c>
      <c r="O247" s="229">
        <v>1</v>
      </c>
      <c r="P247" s="229">
        <v>1</v>
      </c>
      <c r="Q247" s="272">
        <v>0.93200000000000005</v>
      </c>
      <c r="R247" s="256">
        <f t="shared" si="24"/>
        <v>0.93200000000000005</v>
      </c>
      <c r="S247" s="256">
        <f t="shared" si="24"/>
        <v>0.93200000000000005</v>
      </c>
      <c r="T247" s="256">
        <f t="shared" si="24"/>
        <v>0.93200000000000005</v>
      </c>
      <c r="U247" s="216"/>
      <c r="V247" s="216"/>
    </row>
    <row r="248" spans="1:22" s="140" customFormat="1" ht="12.75" hidden="1" outlineLevel="2">
      <c r="A248" s="216"/>
      <c r="B248" s="255" t="s">
        <v>434</v>
      </c>
      <c r="C248" s="245" t="s">
        <v>168</v>
      </c>
      <c r="D248" s="227" t="s">
        <v>169</v>
      </c>
      <c r="E248" s="241"/>
      <c r="F248" s="228">
        <f t="shared" si="25"/>
        <v>2.7091898718810414E-2</v>
      </c>
      <c r="G248" s="269">
        <f>+F248*G243</f>
        <v>2.0814878249283808E-5</v>
      </c>
      <c r="H248" s="269"/>
      <c r="I248" s="269"/>
      <c r="J248" s="269"/>
      <c r="K248" s="269"/>
      <c r="L248" s="269"/>
      <c r="M248" s="269"/>
      <c r="N248" s="229">
        <v>1</v>
      </c>
      <c r="O248" s="229">
        <v>1</v>
      </c>
      <c r="P248" s="229">
        <v>1</v>
      </c>
      <c r="Q248" s="272">
        <v>0.93200000000000005</v>
      </c>
      <c r="R248" s="256">
        <f t="shared" si="24"/>
        <v>0.93200000000000005</v>
      </c>
      <c r="S248" s="256">
        <f t="shared" si="24"/>
        <v>0.93200000000000005</v>
      </c>
      <c r="T248" s="256">
        <f t="shared" si="24"/>
        <v>0.93200000000000005</v>
      </c>
      <c r="U248" s="216"/>
      <c r="V248" s="216"/>
    </row>
    <row r="249" spans="1:22" s="140" customFormat="1" ht="25.5" hidden="1" outlineLevel="1">
      <c r="B249" s="301" t="s">
        <v>435</v>
      </c>
      <c r="C249" s="251"/>
      <c r="D249" s="236" t="s">
        <v>173</v>
      </c>
      <c r="E249" s="242"/>
      <c r="F249" s="232">
        <f t="shared" si="25"/>
        <v>0.30792579068332282</v>
      </c>
      <c r="G249" s="232">
        <f>+F249*G222</f>
        <v>1.5518460542034266E-3</v>
      </c>
      <c r="H249" s="232"/>
      <c r="I249" s="232"/>
      <c r="J249" s="232"/>
      <c r="K249" s="232"/>
      <c r="L249" s="232"/>
      <c r="M249" s="232"/>
      <c r="N249" s="233">
        <f>+SUMPRODUCT($F250:$F252,N250:N252)</f>
        <v>1</v>
      </c>
      <c r="O249" s="233">
        <f>+SUMPRODUCT($F250:$F252,O250:O252)</f>
        <v>1</v>
      </c>
      <c r="P249" s="233">
        <f>+SUMPRODUCT($F250:$F252,P250:P252)</f>
        <v>1</v>
      </c>
      <c r="Q249" s="274">
        <f>+SUMPRODUCT($F250:$F252,Q250:Q252)</f>
        <v>0.93200000000000005</v>
      </c>
      <c r="R249" s="254">
        <f t="shared" si="24"/>
        <v>0.93200000000000005</v>
      </c>
      <c r="S249" s="254">
        <f t="shared" si="24"/>
        <v>0.93200000000000005</v>
      </c>
      <c r="T249" s="254">
        <f t="shared" si="24"/>
        <v>0.93200000000000005</v>
      </c>
    </row>
    <row r="250" spans="1:22" s="140" customFormat="1" ht="25.5" hidden="1" outlineLevel="2">
      <c r="A250" s="216"/>
      <c r="B250" s="255" t="s">
        <v>436</v>
      </c>
      <c r="C250" s="245" t="s">
        <v>175</v>
      </c>
      <c r="D250" s="227" t="s">
        <v>176</v>
      </c>
      <c r="E250" s="241"/>
      <c r="F250" s="228">
        <f t="shared" si="25"/>
        <v>0.16618782649623062</v>
      </c>
      <c r="G250" s="269">
        <f>+F250*G249</f>
        <v>2.5789792280481915E-4</v>
      </c>
      <c r="H250" s="269"/>
      <c r="I250" s="269"/>
      <c r="J250" s="269"/>
      <c r="K250" s="269"/>
      <c r="L250" s="269"/>
      <c r="M250" s="269"/>
      <c r="N250" s="229">
        <v>1</v>
      </c>
      <c r="O250" s="229">
        <v>1</v>
      </c>
      <c r="P250" s="229">
        <v>1</v>
      </c>
      <c r="Q250" s="272">
        <v>0.93200000000000005</v>
      </c>
      <c r="R250" s="256">
        <f t="shared" si="24"/>
        <v>0.93200000000000005</v>
      </c>
      <c r="S250" s="256">
        <f t="shared" si="24"/>
        <v>0.93200000000000005</v>
      </c>
      <c r="T250" s="256">
        <f t="shared" si="24"/>
        <v>0.93200000000000005</v>
      </c>
      <c r="U250" s="216"/>
      <c r="V250" s="216"/>
    </row>
    <row r="251" spans="1:22" s="140" customFormat="1" ht="25.5" hidden="1" outlineLevel="2">
      <c r="A251" s="216"/>
      <c r="B251" s="255" t="s">
        <v>437</v>
      </c>
      <c r="C251" s="245" t="s">
        <v>178</v>
      </c>
      <c r="D251" s="227" t="s">
        <v>179</v>
      </c>
      <c r="E251" s="241"/>
      <c r="F251" s="228">
        <f t="shared" si="25"/>
        <v>0.36085232777611836</v>
      </c>
      <c r="G251" s="269">
        <f>+F251*G249</f>
        <v>5.5998726100949089E-4</v>
      </c>
      <c r="H251" s="269"/>
      <c r="I251" s="269"/>
      <c r="J251" s="269"/>
      <c r="K251" s="269"/>
      <c r="L251" s="269"/>
      <c r="M251" s="269"/>
      <c r="N251" s="229">
        <v>1</v>
      </c>
      <c r="O251" s="229">
        <v>1</v>
      </c>
      <c r="P251" s="229">
        <v>1</v>
      </c>
      <c r="Q251" s="272">
        <v>0.93200000000000005</v>
      </c>
      <c r="R251" s="256">
        <f t="shared" si="24"/>
        <v>0.93200000000000005</v>
      </c>
      <c r="S251" s="256">
        <f t="shared" si="24"/>
        <v>0.93200000000000005</v>
      </c>
      <c r="T251" s="256">
        <f t="shared" si="24"/>
        <v>0.93200000000000005</v>
      </c>
      <c r="U251" s="216"/>
      <c r="V251" s="216"/>
    </row>
    <row r="252" spans="1:22" s="140" customFormat="1" ht="25.5" hidden="1" outlineLevel="2">
      <c r="A252" s="216"/>
      <c r="B252" s="255" t="s">
        <v>438</v>
      </c>
      <c r="C252" s="245"/>
      <c r="D252" s="227" t="s">
        <v>439</v>
      </c>
      <c r="E252" s="241"/>
      <c r="F252" s="228">
        <f t="shared" si="25"/>
        <v>0.47295984572765098</v>
      </c>
      <c r="G252" s="269">
        <f>+F252*G249</f>
        <v>7.3396087038911655E-4</v>
      </c>
      <c r="H252" s="269"/>
      <c r="I252" s="269"/>
      <c r="J252" s="269"/>
      <c r="K252" s="269"/>
      <c r="L252" s="269"/>
      <c r="M252" s="269"/>
      <c r="N252" s="229">
        <v>1</v>
      </c>
      <c r="O252" s="229">
        <v>1</v>
      </c>
      <c r="P252" s="229">
        <v>1</v>
      </c>
      <c r="Q252" s="272">
        <v>0.93200000000000005</v>
      </c>
      <c r="R252" s="256">
        <f t="shared" si="24"/>
        <v>0.93200000000000005</v>
      </c>
      <c r="S252" s="256">
        <f t="shared" si="24"/>
        <v>0.93200000000000005</v>
      </c>
      <c r="T252" s="256">
        <f t="shared" si="24"/>
        <v>0.93200000000000005</v>
      </c>
      <c r="U252" s="216"/>
      <c r="V252" s="216"/>
    </row>
    <row r="253" spans="1:22" s="140" customFormat="1" ht="12.75" hidden="1" outlineLevel="1">
      <c r="B253" s="301" t="s">
        <v>440</v>
      </c>
      <c r="C253" s="251"/>
      <c r="D253" s="236" t="s">
        <v>441</v>
      </c>
      <c r="E253" s="242"/>
      <c r="F253" s="232">
        <f t="shared" si="25"/>
        <v>0.17950266086228694</v>
      </c>
      <c r="G253" s="232">
        <f>+F253*G222</f>
        <v>9.0463515693179838E-4</v>
      </c>
      <c r="H253" s="232"/>
      <c r="I253" s="232"/>
      <c r="J253" s="232"/>
      <c r="K253" s="232"/>
      <c r="L253" s="232"/>
      <c r="M253" s="232"/>
      <c r="N253" s="233">
        <f>+SUMPRODUCT($F254:$F254,N254:N254)</f>
        <v>1</v>
      </c>
      <c r="O253" s="233">
        <f>+SUMPRODUCT($F254:$F254,O254:O254)</f>
        <v>1</v>
      </c>
      <c r="P253" s="233">
        <f>+SUMPRODUCT($F254:$F254,P254:P254)</f>
        <v>1</v>
      </c>
      <c r="Q253" s="274">
        <f>+SUMPRODUCT($F254:$F254,Q254:Q254)</f>
        <v>0.93200000000000005</v>
      </c>
      <c r="R253" s="254">
        <f t="shared" si="24"/>
        <v>0.93200000000000005</v>
      </c>
      <c r="S253" s="254">
        <f t="shared" si="24"/>
        <v>0.93200000000000005</v>
      </c>
      <c r="T253" s="254">
        <f t="shared" si="24"/>
        <v>0.93200000000000005</v>
      </c>
    </row>
    <row r="254" spans="1:22" s="140" customFormat="1" ht="12.75" hidden="1" outlineLevel="2">
      <c r="A254" s="216"/>
      <c r="B254" s="255" t="s">
        <v>442</v>
      </c>
      <c r="C254" s="245" t="s">
        <v>187</v>
      </c>
      <c r="D254" s="227" t="s">
        <v>443</v>
      </c>
      <c r="E254" s="241"/>
      <c r="F254" s="228">
        <f t="shared" si="25"/>
        <v>1</v>
      </c>
      <c r="G254" s="269">
        <f>+F254*G253</f>
        <v>9.0463515693179838E-4</v>
      </c>
      <c r="H254" s="269"/>
      <c r="I254" s="269"/>
      <c r="J254" s="269"/>
      <c r="K254" s="269"/>
      <c r="L254" s="269"/>
      <c r="M254" s="269"/>
      <c r="N254" s="229">
        <v>1</v>
      </c>
      <c r="O254" s="229">
        <v>1</v>
      </c>
      <c r="P254" s="229">
        <v>1</v>
      </c>
      <c r="Q254" s="272">
        <v>0.93200000000000005</v>
      </c>
      <c r="R254" s="256">
        <f t="shared" si="24"/>
        <v>0.93200000000000005</v>
      </c>
      <c r="S254" s="256">
        <f t="shared" si="24"/>
        <v>0.93200000000000005</v>
      </c>
      <c r="T254" s="256">
        <f t="shared" si="24"/>
        <v>0.93200000000000005</v>
      </c>
      <c r="U254" s="216"/>
      <c r="V254" s="216"/>
    </row>
    <row r="255" spans="1:22" s="140" customFormat="1" ht="12.75" hidden="1" outlineLevel="1">
      <c r="B255" s="300" t="s">
        <v>444</v>
      </c>
      <c r="C255" s="294"/>
      <c r="D255" s="294" t="s">
        <v>193</v>
      </c>
      <c r="E255" s="295"/>
      <c r="F255" s="296">
        <f t="shared" si="25"/>
        <v>6.6185886869288876E-2</v>
      </c>
      <c r="G255" s="296">
        <f>+F255*G83</f>
        <v>1.9855766060786662E-3</v>
      </c>
      <c r="H255" s="296"/>
      <c r="I255" s="296"/>
      <c r="J255" s="296"/>
      <c r="K255" s="296"/>
      <c r="L255" s="296"/>
      <c r="M255" s="296"/>
      <c r="N255" s="296">
        <f>+SUMPRODUCT($F256:$F267,N256:N267)</f>
        <v>1</v>
      </c>
      <c r="O255" s="296">
        <f>+SUMPRODUCT($F256:$F267,O256:O267)</f>
        <v>1</v>
      </c>
      <c r="P255" s="296">
        <f>+SUMPRODUCT($F256:$F267,P256:P267)</f>
        <v>1</v>
      </c>
      <c r="Q255" s="296">
        <f>+SUMPRODUCT($F256:$F267,Q256:Q267)</f>
        <v>0.93200000000000005</v>
      </c>
      <c r="R255" s="296">
        <f t="shared" si="24"/>
        <v>0.93200000000000005</v>
      </c>
      <c r="S255" s="296">
        <f t="shared" si="24"/>
        <v>0.93200000000000005</v>
      </c>
      <c r="T255" s="296">
        <f t="shared" si="24"/>
        <v>0.93200000000000005</v>
      </c>
    </row>
    <row r="256" spans="1:22" s="140" customFormat="1" ht="12.75" hidden="1" outlineLevel="1">
      <c r="A256" s="216"/>
      <c r="B256" s="255" t="s">
        <v>445</v>
      </c>
      <c r="C256" s="245" t="s">
        <v>195</v>
      </c>
      <c r="D256" s="227" t="s">
        <v>196</v>
      </c>
      <c r="E256" s="241"/>
      <c r="F256" s="228">
        <f t="shared" si="25"/>
        <v>0.11462043390407546</v>
      </c>
      <c r="G256" s="269">
        <f>+F256*G255</f>
        <v>2.2758765213851822E-4</v>
      </c>
      <c r="H256" s="269"/>
      <c r="I256" s="269"/>
      <c r="J256" s="269"/>
      <c r="K256" s="269"/>
      <c r="L256" s="269"/>
      <c r="M256" s="269"/>
      <c r="N256" s="229">
        <v>1</v>
      </c>
      <c r="O256" s="229">
        <v>1</v>
      </c>
      <c r="P256" s="229">
        <v>1</v>
      </c>
      <c r="Q256" s="272">
        <v>0.93200000000000005</v>
      </c>
      <c r="R256" s="256">
        <f t="shared" si="24"/>
        <v>0.93200000000000005</v>
      </c>
      <c r="S256" s="256">
        <f t="shared" si="24"/>
        <v>0.93200000000000005</v>
      </c>
      <c r="T256" s="256">
        <f t="shared" si="24"/>
        <v>0.93200000000000005</v>
      </c>
      <c r="U256" s="216"/>
      <c r="V256" s="216"/>
    </row>
    <row r="257" spans="1:22" s="140" customFormat="1" ht="12.75" hidden="1" outlineLevel="1">
      <c r="A257" s="216"/>
      <c r="B257" s="255" t="s">
        <v>446</v>
      </c>
      <c r="C257" s="245" t="s">
        <v>198</v>
      </c>
      <c r="D257" s="227" t="s">
        <v>199</v>
      </c>
      <c r="E257" s="241"/>
      <c r="F257" s="228">
        <f t="shared" si="25"/>
        <v>0.16914444012256166</v>
      </c>
      <c r="G257" s="269">
        <f>+F257*G255</f>
        <v>3.3584924335563213E-4</v>
      </c>
      <c r="H257" s="269"/>
      <c r="I257" s="269"/>
      <c r="J257" s="269"/>
      <c r="K257" s="269"/>
      <c r="L257" s="269"/>
      <c r="M257" s="269"/>
      <c r="N257" s="229">
        <v>1</v>
      </c>
      <c r="O257" s="229">
        <v>1</v>
      </c>
      <c r="P257" s="229">
        <v>1</v>
      </c>
      <c r="Q257" s="272">
        <v>0.93200000000000005</v>
      </c>
      <c r="R257" s="256">
        <f t="shared" ref="R257:T280" si="26">+IF(N257=0,0,$Q257/N257)</f>
        <v>0.93200000000000005</v>
      </c>
      <c r="S257" s="256">
        <f t="shared" si="26"/>
        <v>0.93200000000000005</v>
      </c>
      <c r="T257" s="256">
        <f t="shared" si="26"/>
        <v>0.93200000000000005</v>
      </c>
      <c r="U257" s="216"/>
      <c r="V257" s="216"/>
    </row>
    <row r="258" spans="1:22" s="140" customFormat="1" ht="12.75" hidden="1" outlineLevel="1">
      <c r="A258" s="216"/>
      <c r="B258" s="255" t="s">
        <v>447</v>
      </c>
      <c r="C258" s="245" t="s">
        <v>201</v>
      </c>
      <c r="D258" s="227" t="s">
        <v>202</v>
      </c>
      <c r="E258" s="241"/>
      <c r="F258" s="228">
        <f t="shared" si="25"/>
        <v>0.15393682703771108</v>
      </c>
      <c r="G258" s="269">
        <f>+F258*G255</f>
        <v>3.0565336258005704E-4</v>
      </c>
      <c r="H258" s="269"/>
      <c r="I258" s="269"/>
      <c r="J258" s="269"/>
      <c r="K258" s="269"/>
      <c r="L258" s="269"/>
      <c r="M258" s="269"/>
      <c r="N258" s="229">
        <v>1</v>
      </c>
      <c r="O258" s="229">
        <v>1</v>
      </c>
      <c r="P258" s="229">
        <v>1</v>
      </c>
      <c r="Q258" s="272">
        <v>0.93200000000000005</v>
      </c>
      <c r="R258" s="256">
        <f t="shared" si="26"/>
        <v>0.93200000000000005</v>
      </c>
      <c r="S258" s="256">
        <f t="shared" si="26"/>
        <v>0.93200000000000005</v>
      </c>
      <c r="T258" s="256">
        <f t="shared" si="26"/>
        <v>0.93200000000000005</v>
      </c>
      <c r="U258" s="216"/>
      <c r="V258" s="216"/>
    </row>
    <row r="259" spans="1:22" s="140" customFormat="1" ht="12.75" hidden="1" outlineLevel="1">
      <c r="A259" s="216"/>
      <c r="B259" s="255" t="s">
        <v>448</v>
      </c>
      <c r="C259" s="245" t="s">
        <v>204</v>
      </c>
      <c r="D259" s="227" t="s">
        <v>205</v>
      </c>
      <c r="E259" s="241"/>
      <c r="F259" s="228">
        <f t="shared" si="25"/>
        <v>3.9190487501575728E-2</v>
      </c>
      <c r="G259" s="269">
        <f>+F259*G255</f>
        <v>7.7815715163947119E-5</v>
      </c>
      <c r="H259" s="269"/>
      <c r="I259" s="269"/>
      <c r="J259" s="269"/>
      <c r="K259" s="269"/>
      <c r="L259" s="269"/>
      <c r="M259" s="269"/>
      <c r="N259" s="229">
        <v>1</v>
      </c>
      <c r="O259" s="229">
        <v>1</v>
      </c>
      <c r="P259" s="229">
        <v>1</v>
      </c>
      <c r="Q259" s="272">
        <v>0.93200000000000005</v>
      </c>
      <c r="R259" s="256">
        <f t="shared" si="26"/>
        <v>0.93200000000000005</v>
      </c>
      <c r="S259" s="256">
        <f t="shared" si="26"/>
        <v>0.93200000000000005</v>
      </c>
      <c r="T259" s="256">
        <f t="shared" si="26"/>
        <v>0.93200000000000005</v>
      </c>
      <c r="U259" s="216"/>
      <c r="V259" s="216"/>
    </row>
    <row r="260" spans="1:22" s="140" customFormat="1" ht="12.75" hidden="1" outlineLevel="1">
      <c r="A260" s="216"/>
      <c r="B260" s="255" t="s">
        <v>449</v>
      </c>
      <c r="C260" s="245" t="s">
        <v>207</v>
      </c>
      <c r="D260" s="227" t="s">
        <v>205</v>
      </c>
      <c r="E260" s="241"/>
      <c r="F260" s="228">
        <f t="shared" si="25"/>
        <v>3.9190487501575728E-2</v>
      </c>
      <c r="G260" s="269">
        <f>+F260*G255</f>
        <v>7.7815715163947119E-5</v>
      </c>
      <c r="H260" s="269"/>
      <c r="I260" s="269"/>
      <c r="J260" s="269"/>
      <c r="K260" s="269"/>
      <c r="L260" s="269"/>
      <c r="M260" s="269"/>
      <c r="N260" s="229">
        <v>1</v>
      </c>
      <c r="O260" s="229">
        <v>1</v>
      </c>
      <c r="P260" s="229">
        <v>1</v>
      </c>
      <c r="Q260" s="272">
        <v>0.93200000000000005</v>
      </c>
      <c r="R260" s="256">
        <f t="shared" si="26"/>
        <v>0.93200000000000005</v>
      </c>
      <c r="S260" s="256">
        <f t="shared" si="26"/>
        <v>0.93200000000000005</v>
      </c>
      <c r="T260" s="256">
        <f t="shared" si="26"/>
        <v>0.93200000000000005</v>
      </c>
      <c r="U260" s="216"/>
      <c r="V260" s="216"/>
    </row>
    <row r="261" spans="1:22" s="140" customFormat="1" ht="12.75" hidden="1" outlineLevel="1">
      <c r="A261" s="216"/>
      <c r="B261" s="255" t="s">
        <v>450</v>
      </c>
      <c r="C261" s="245" t="s">
        <v>209</v>
      </c>
      <c r="D261" s="227" t="s">
        <v>205</v>
      </c>
      <c r="E261" s="241"/>
      <c r="F261" s="228">
        <f t="shared" si="25"/>
        <v>3.9190487501575728E-2</v>
      </c>
      <c r="G261" s="269">
        <f>+F261*G255</f>
        <v>7.7815715163947119E-5</v>
      </c>
      <c r="H261" s="269"/>
      <c r="I261" s="269"/>
      <c r="J261" s="269"/>
      <c r="K261" s="269"/>
      <c r="L261" s="269"/>
      <c r="M261" s="269"/>
      <c r="N261" s="229">
        <v>1</v>
      </c>
      <c r="O261" s="229">
        <v>1</v>
      </c>
      <c r="P261" s="229">
        <v>1</v>
      </c>
      <c r="Q261" s="272">
        <v>0.93200000000000005</v>
      </c>
      <c r="R261" s="256">
        <f t="shared" si="26"/>
        <v>0.93200000000000005</v>
      </c>
      <c r="S261" s="256">
        <f t="shared" si="26"/>
        <v>0.93200000000000005</v>
      </c>
      <c r="T261" s="256">
        <f t="shared" si="26"/>
        <v>0.93200000000000005</v>
      </c>
      <c r="U261" s="216"/>
      <c r="V261" s="216"/>
    </row>
    <row r="262" spans="1:22" s="140" customFormat="1" ht="12.75" hidden="1" outlineLevel="1">
      <c r="A262" s="216"/>
      <c r="B262" s="255" t="s">
        <v>451</v>
      </c>
      <c r="C262" s="245" t="s">
        <v>211</v>
      </c>
      <c r="D262" s="227" t="s">
        <v>205</v>
      </c>
      <c r="E262" s="241"/>
      <c r="F262" s="228">
        <f t="shared" si="25"/>
        <v>3.9190487501575728E-2</v>
      </c>
      <c r="G262" s="269">
        <f>+F262*G255</f>
        <v>7.7815715163947119E-5</v>
      </c>
      <c r="H262" s="269"/>
      <c r="I262" s="269"/>
      <c r="J262" s="269"/>
      <c r="K262" s="269"/>
      <c r="L262" s="269"/>
      <c r="M262" s="269"/>
      <c r="N262" s="229">
        <v>1</v>
      </c>
      <c r="O262" s="229">
        <v>1</v>
      </c>
      <c r="P262" s="229">
        <v>1</v>
      </c>
      <c r="Q262" s="272">
        <v>0.93200000000000005</v>
      </c>
      <c r="R262" s="256">
        <f t="shared" si="26"/>
        <v>0.93200000000000005</v>
      </c>
      <c r="S262" s="256">
        <f t="shared" si="26"/>
        <v>0.93200000000000005</v>
      </c>
      <c r="T262" s="256">
        <f t="shared" si="26"/>
        <v>0.93200000000000005</v>
      </c>
      <c r="U262" s="216"/>
      <c r="V262" s="216"/>
    </row>
    <row r="263" spans="1:22" s="140" customFormat="1" ht="12.75" hidden="1" outlineLevel="1">
      <c r="A263" s="216"/>
      <c r="B263" s="255" t="s">
        <v>452</v>
      </c>
      <c r="C263" s="245" t="s">
        <v>213</v>
      </c>
      <c r="D263" s="227" t="s">
        <v>205</v>
      </c>
      <c r="E263" s="241"/>
      <c r="F263" s="228">
        <f t="shared" si="25"/>
        <v>3.9190487501575728E-2</v>
      </c>
      <c r="G263" s="269">
        <f>+F263*G255</f>
        <v>7.7815715163947119E-5</v>
      </c>
      <c r="H263" s="269"/>
      <c r="I263" s="269"/>
      <c r="J263" s="269"/>
      <c r="K263" s="269"/>
      <c r="L263" s="269"/>
      <c r="M263" s="269"/>
      <c r="N263" s="229">
        <v>1</v>
      </c>
      <c r="O263" s="229">
        <v>1</v>
      </c>
      <c r="P263" s="229">
        <v>1</v>
      </c>
      <c r="Q263" s="272">
        <v>0.93200000000000005</v>
      </c>
      <c r="R263" s="256">
        <f t="shared" si="26"/>
        <v>0.93200000000000005</v>
      </c>
      <c r="S263" s="256">
        <f t="shared" si="26"/>
        <v>0.93200000000000005</v>
      </c>
      <c r="T263" s="256">
        <f t="shared" si="26"/>
        <v>0.93200000000000005</v>
      </c>
      <c r="U263" s="216"/>
      <c r="V263" s="216"/>
    </row>
    <row r="264" spans="1:22" s="140" customFormat="1" ht="12.75" hidden="1" outlineLevel="1">
      <c r="A264" s="216"/>
      <c r="B264" s="255" t="s">
        <v>453</v>
      </c>
      <c r="C264" s="281" t="s">
        <v>215</v>
      </c>
      <c r="D264" s="282" t="s">
        <v>216</v>
      </c>
      <c r="E264" s="283"/>
      <c r="F264" s="284">
        <f t="shared" si="25"/>
        <v>4.0894421740774678E-2</v>
      </c>
      <c r="G264" s="285">
        <f>+F264*G255</f>
        <v>8.1199007127597008E-5</v>
      </c>
      <c r="H264" s="285"/>
      <c r="I264" s="285"/>
      <c r="J264" s="285"/>
      <c r="K264" s="285"/>
      <c r="L264" s="285"/>
      <c r="M264" s="285"/>
      <c r="N264" s="286">
        <v>1</v>
      </c>
      <c r="O264" s="286">
        <v>1</v>
      </c>
      <c r="P264" s="286">
        <v>1</v>
      </c>
      <c r="Q264" s="287">
        <v>0.93200000000000005</v>
      </c>
      <c r="R264" s="288">
        <f t="shared" si="26"/>
        <v>0.93200000000000005</v>
      </c>
      <c r="S264" s="288">
        <f t="shared" si="26"/>
        <v>0.93200000000000005</v>
      </c>
      <c r="T264" s="288">
        <f t="shared" si="26"/>
        <v>0.93200000000000005</v>
      </c>
      <c r="U264" s="216"/>
      <c r="V264" s="216"/>
    </row>
    <row r="265" spans="1:22" s="140" customFormat="1" ht="12.75" hidden="1" outlineLevel="1">
      <c r="A265" s="216"/>
      <c r="B265" s="255" t="s">
        <v>454</v>
      </c>
      <c r="C265" s="281" t="s">
        <v>218</v>
      </c>
      <c r="D265" s="282" t="s">
        <v>219</v>
      </c>
      <c r="E265" s="283"/>
      <c r="F265" s="284">
        <f t="shared" si="25"/>
        <v>0.13120293641831876</v>
      </c>
      <c r="G265" s="285">
        <f>+F265*G255</f>
        <v>2.6051348120104042E-4</v>
      </c>
      <c r="H265" s="285"/>
      <c r="I265" s="285"/>
      <c r="J265" s="285"/>
      <c r="K265" s="285"/>
      <c r="L265" s="285"/>
      <c r="M265" s="285"/>
      <c r="N265" s="286">
        <v>1</v>
      </c>
      <c r="O265" s="286">
        <v>1</v>
      </c>
      <c r="P265" s="286">
        <v>1</v>
      </c>
      <c r="Q265" s="287">
        <v>0.93200000000000005</v>
      </c>
      <c r="R265" s="288">
        <f t="shared" si="26"/>
        <v>0.93200000000000005</v>
      </c>
      <c r="S265" s="288">
        <f t="shared" si="26"/>
        <v>0.93200000000000005</v>
      </c>
      <c r="T265" s="288">
        <f t="shared" si="26"/>
        <v>0.93200000000000005</v>
      </c>
      <c r="U265" s="216"/>
      <c r="V265" s="216"/>
    </row>
    <row r="266" spans="1:22" s="140" customFormat="1" ht="12.75" hidden="1" outlineLevel="1">
      <c r="A266" s="216"/>
      <c r="B266" s="255" t="s">
        <v>455</v>
      </c>
      <c r="C266" s="281" t="s">
        <v>221</v>
      </c>
      <c r="D266" s="282" t="s">
        <v>222</v>
      </c>
      <c r="E266" s="283"/>
      <c r="F266" s="284">
        <f t="shared" si="25"/>
        <v>0.17039342391989448</v>
      </c>
      <c r="G266" s="285">
        <f>+F266*G255</f>
        <v>3.3832919636498748E-4</v>
      </c>
      <c r="H266" s="285"/>
      <c r="I266" s="285"/>
      <c r="J266" s="285"/>
      <c r="K266" s="285"/>
      <c r="L266" s="285"/>
      <c r="M266" s="285"/>
      <c r="N266" s="286">
        <v>1</v>
      </c>
      <c r="O266" s="286">
        <v>1</v>
      </c>
      <c r="P266" s="286">
        <v>1</v>
      </c>
      <c r="Q266" s="287">
        <v>0.93200000000000005</v>
      </c>
      <c r="R266" s="288">
        <f t="shared" si="26"/>
        <v>0.93200000000000005</v>
      </c>
      <c r="S266" s="288">
        <f t="shared" si="26"/>
        <v>0.93200000000000005</v>
      </c>
      <c r="T266" s="288">
        <f t="shared" si="26"/>
        <v>0.93200000000000005</v>
      </c>
      <c r="U266" s="216"/>
      <c r="V266" s="216"/>
    </row>
    <row r="267" spans="1:22" s="140" customFormat="1" ht="13.5" hidden="1" outlineLevel="1" thickBot="1">
      <c r="A267" s="216"/>
      <c r="B267" s="255" t="s">
        <v>456</v>
      </c>
      <c r="C267" s="281" t="s">
        <v>224</v>
      </c>
      <c r="D267" s="282" t="s">
        <v>225</v>
      </c>
      <c r="E267" s="283"/>
      <c r="F267" s="284">
        <f t="shared" si="25"/>
        <v>2.3855079348785228E-2</v>
      </c>
      <c r="G267" s="285">
        <f>+F267*G255</f>
        <v>4.7366087491098249E-5</v>
      </c>
      <c r="H267" s="285"/>
      <c r="I267" s="285"/>
      <c r="J267" s="285"/>
      <c r="K267" s="285"/>
      <c r="L267" s="285"/>
      <c r="M267" s="285"/>
      <c r="N267" s="286">
        <v>1</v>
      </c>
      <c r="O267" s="286">
        <v>1</v>
      </c>
      <c r="P267" s="286">
        <v>1</v>
      </c>
      <c r="Q267" s="287">
        <v>0.93200000000000005</v>
      </c>
      <c r="R267" s="288">
        <f t="shared" si="26"/>
        <v>0.93200000000000005</v>
      </c>
      <c r="S267" s="288">
        <f t="shared" si="26"/>
        <v>0.93200000000000005</v>
      </c>
      <c r="T267" s="288">
        <f t="shared" si="26"/>
        <v>0.93200000000000005</v>
      </c>
      <c r="U267" s="216"/>
      <c r="V267" s="216"/>
    </row>
    <row r="268" spans="1:22" s="140" customFormat="1" ht="12.75" collapsed="1">
      <c r="B268" s="312">
        <v>3</v>
      </c>
      <c r="C268" s="313"/>
      <c r="D268" s="314" t="s">
        <v>457</v>
      </c>
      <c r="E268" s="315"/>
      <c r="F268" s="316"/>
      <c r="G268" s="317">
        <v>0.01</v>
      </c>
      <c r="H268" s="317"/>
      <c r="I268" s="317"/>
      <c r="J268" s="317"/>
      <c r="K268" s="317"/>
      <c r="L268" s="317"/>
      <c r="M268" s="317"/>
      <c r="N268" s="318">
        <f>+($G269*N269+$G270*N270)/$G268</f>
        <v>0.97277219574970675</v>
      </c>
      <c r="O268" s="318">
        <f>+($G269*O269+$G270*O270)/$G268</f>
        <v>0.97277219574970675</v>
      </c>
      <c r="P268" s="318">
        <f>+($G269*P269+$G270*P270)/$G268</f>
        <v>0.97277219574970675</v>
      </c>
      <c r="Q268" s="319">
        <f>+($G269*Q269+$G270*Q270)/$G268</f>
        <v>0.82326230934214728</v>
      </c>
      <c r="R268" s="320">
        <f t="shared" si="26"/>
        <v>0.84630534562890791</v>
      </c>
      <c r="S268" s="320">
        <f t="shared" si="26"/>
        <v>0.84630534562890791</v>
      </c>
      <c r="T268" s="320">
        <f t="shared" si="26"/>
        <v>0.84630534562890791</v>
      </c>
    </row>
    <row r="269" spans="1:22" s="140" customFormat="1" ht="12.75" outlineLevel="1">
      <c r="B269" s="252">
        <v>3.1</v>
      </c>
      <c r="C269" s="244"/>
      <c r="D269" s="225" t="s">
        <v>458</v>
      </c>
      <c r="E269" s="239"/>
      <c r="F269" s="221">
        <v>0.2</v>
      </c>
      <c r="G269" s="226">
        <v>2E-3</v>
      </c>
      <c r="H269" s="226"/>
      <c r="I269" s="226"/>
      <c r="J269" s="226"/>
      <c r="K269" s="226"/>
      <c r="L269" s="226"/>
      <c r="M269" s="226"/>
      <c r="N269" s="222">
        <v>1</v>
      </c>
      <c r="O269" s="222">
        <v>1</v>
      </c>
      <c r="P269" s="222">
        <v>1</v>
      </c>
      <c r="Q269" s="250">
        <v>1</v>
      </c>
      <c r="R269" s="253">
        <f t="shared" si="26"/>
        <v>1</v>
      </c>
      <c r="S269" s="253">
        <f t="shared" si="26"/>
        <v>1</v>
      </c>
      <c r="T269" s="253">
        <f t="shared" si="26"/>
        <v>1</v>
      </c>
    </row>
    <row r="270" spans="1:22" s="140" customFormat="1" ht="12.75" outlineLevel="1">
      <c r="B270" s="252">
        <v>3.2</v>
      </c>
      <c r="C270" s="244"/>
      <c r="D270" s="225" t="s">
        <v>459</v>
      </c>
      <c r="E270" s="239"/>
      <c r="F270" s="221">
        <v>0.8</v>
      </c>
      <c r="G270" s="226">
        <v>8.0000000000000002E-3</v>
      </c>
      <c r="H270" s="226"/>
      <c r="I270" s="226"/>
      <c r="J270" s="226"/>
      <c r="K270" s="226"/>
      <c r="L270" s="226"/>
      <c r="M270" s="226"/>
      <c r="N270" s="222">
        <f>+($F271*N271+$F280*N280+$F296*N296+$F329*N329)</f>
        <v>0.96596524468713341</v>
      </c>
      <c r="O270" s="222">
        <f>+($F271*O271+$F280*O280+$F296*O296+$F329*O329)</f>
        <v>0.96596524468713341</v>
      </c>
      <c r="P270" s="222">
        <f>+($F271*P271+$F280*P280+$F296*P296+$F329*P329)</f>
        <v>0.96596524468713341</v>
      </c>
      <c r="Q270" s="250">
        <f>+($F271*Q271+$F280*Q280+$F296*Q296)</f>
        <v>0.77907788667768407</v>
      </c>
      <c r="R270" s="253">
        <f t="shared" si="26"/>
        <v>0.80652786522357722</v>
      </c>
      <c r="S270" s="253">
        <f t="shared" si="26"/>
        <v>0.80652786522357722</v>
      </c>
      <c r="T270" s="253">
        <f t="shared" si="26"/>
        <v>0.80652786522357722</v>
      </c>
    </row>
    <row r="271" spans="1:22" s="140" customFormat="1" ht="12.75" outlineLevel="2">
      <c r="B271" s="300" t="s">
        <v>393</v>
      </c>
      <c r="C271" s="294"/>
      <c r="D271" s="294" t="s">
        <v>31</v>
      </c>
      <c r="E271" s="295"/>
      <c r="F271" s="296">
        <f>F719</f>
        <v>0.72937579176373002</v>
      </c>
      <c r="G271" s="296">
        <f>+F271*G270</f>
        <v>5.8350063341098407E-3</v>
      </c>
      <c r="H271" s="297"/>
      <c r="I271" s="297"/>
      <c r="J271" s="297"/>
      <c r="K271" s="297"/>
      <c r="L271" s="297"/>
      <c r="M271" s="297"/>
      <c r="N271" s="296">
        <f>+$F272*N272+$F273*N273+$F274*N274+$F275*N275+$F276*N276+$F277*N277+$F278*N278+$F279*N279</f>
        <v>1.0000000000000002</v>
      </c>
      <c r="O271" s="296">
        <f>+$F272*O272+$F273*O273+$F274*O274+$F275*O275+$F276*O276+$F277*O277+$F278*O278+$F279*O279</f>
        <v>1.0000000000000002</v>
      </c>
      <c r="P271" s="296">
        <f>+$F272*P272+$F273*P273+$F274*P274+$F275*P275+$F276*P276+$F277*P277+$F278*P278+$F279*P279</f>
        <v>1.0000000000000002</v>
      </c>
      <c r="Q271" s="296">
        <f>+$F272*Q272+$F273*Q273+$F274*Q274+$F275*Q275+$F276*Q276+$F277*Q277+$F278*Q278+$F279*Q279</f>
        <v>1.0000000000000002</v>
      </c>
      <c r="R271" s="296">
        <f t="shared" si="26"/>
        <v>1</v>
      </c>
      <c r="S271" s="296">
        <f t="shared" si="26"/>
        <v>1</v>
      </c>
      <c r="T271" s="296">
        <f t="shared" si="26"/>
        <v>1</v>
      </c>
    </row>
    <row r="272" spans="1:22" s="140" customFormat="1" ht="25.5" outlineLevel="3">
      <c r="A272" s="216"/>
      <c r="B272" s="291" t="s">
        <v>460</v>
      </c>
      <c r="C272" s="292" t="s">
        <v>32</v>
      </c>
      <c r="D272" s="234" t="s">
        <v>33</v>
      </c>
      <c r="E272" s="240"/>
      <c r="F272" s="223">
        <f>F720</f>
        <v>0.19239834958539684</v>
      </c>
      <c r="G272" s="293">
        <f>+F272*G271</f>
        <v>1.1226455885030701E-3</v>
      </c>
      <c r="H272" s="298"/>
      <c r="I272" s="298"/>
      <c r="J272" s="298"/>
      <c r="K272" s="298"/>
      <c r="L272" s="298"/>
      <c r="M272" s="298"/>
      <c r="N272" s="224">
        <v>1</v>
      </c>
      <c r="O272" s="224">
        <v>1</v>
      </c>
      <c r="P272" s="224">
        <v>1</v>
      </c>
      <c r="Q272" s="270">
        <v>1</v>
      </c>
      <c r="R272" s="254">
        <f t="shared" si="26"/>
        <v>1</v>
      </c>
      <c r="S272" s="254">
        <f t="shared" si="26"/>
        <v>1</v>
      </c>
      <c r="T272" s="254">
        <f t="shared" si="26"/>
        <v>1</v>
      </c>
      <c r="U272" s="216"/>
      <c r="V272" s="216"/>
    </row>
    <row r="273" spans="1:22" s="140" customFormat="1" ht="25.5" outlineLevel="3">
      <c r="A273" s="216"/>
      <c r="B273" s="291" t="s">
        <v>461</v>
      </c>
      <c r="C273" s="292" t="s">
        <v>35</v>
      </c>
      <c r="D273" s="234" t="s">
        <v>33</v>
      </c>
      <c r="E273" s="240"/>
      <c r="F273" s="223">
        <f>F741</f>
        <v>0.23125330456717236</v>
      </c>
      <c r="G273" s="293">
        <f>+F273*G271</f>
        <v>1.349364496933283E-3</v>
      </c>
      <c r="H273" s="298"/>
      <c r="I273" s="298"/>
      <c r="J273" s="298"/>
      <c r="K273" s="298"/>
      <c r="L273" s="298"/>
      <c r="M273" s="298"/>
      <c r="N273" s="224">
        <v>1</v>
      </c>
      <c r="O273" s="224">
        <v>1</v>
      </c>
      <c r="P273" s="224">
        <v>1</v>
      </c>
      <c r="Q273" s="270">
        <v>1</v>
      </c>
      <c r="R273" s="254">
        <f t="shared" si="26"/>
        <v>1</v>
      </c>
      <c r="S273" s="254">
        <f t="shared" si="26"/>
        <v>1</v>
      </c>
      <c r="T273" s="254">
        <f t="shared" si="26"/>
        <v>1</v>
      </c>
      <c r="U273" s="216"/>
      <c r="V273" s="216"/>
    </row>
    <row r="274" spans="1:22" s="140" customFormat="1" ht="25.5" outlineLevel="3">
      <c r="A274" s="216"/>
      <c r="B274" s="291" t="s">
        <v>462</v>
      </c>
      <c r="C274" s="292" t="s">
        <v>37</v>
      </c>
      <c r="D274" s="234" t="s">
        <v>33</v>
      </c>
      <c r="E274" s="240"/>
      <c r="F274" s="223">
        <f>F768</f>
        <v>9.0647549000068411E-2</v>
      </c>
      <c r="G274" s="293">
        <f>+F274*G271</f>
        <v>5.2892902258693138E-4</v>
      </c>
      <c r="H274" s="298"/>
      <c r="I274" s="298"/>
      <c r="J274" s="298"/>
      <c r="K274" s="298"/>
      <c r="L274" s="298"/>
      <c r="M274" s="298"/>
      <c r="N274" s="224">
        <v>1</v>
      </c>
      <c r="O274" s="224">
        <v>1</v>
      </c>
      <c r="P274" s="224">
        <v>1</v>
      </c>
      <c r="Q274" s="270">
        <v>1</v>
      </c>
      <c r="R274" s="254">
        <f t="shared" si="26"/>
        <v>1</v>
      </c>
      <c r="S274" s="254">
        <f t="shared" si="26"/>
        <v>1</v>
      </c>
      <c r="T274" s="254">
        <f t="shared" si="26"/>
        <v>1</v>
      </c>
      <c r="U274" s="216"/>
      <c r="V274" s="216"/>
    </row>
    <row r="275" spans="1:22" s="140" customFormat="1" ht="25.5" outlineLevel="3">
      <c r="A275" s="216"/>
      <c r="B275" s="291" t="s">
        <v>463</v>
      </c>
      <c r="C275" s="292" t="s">
        <v>39</v>
      </c>
      <c r="D275" s="234" t="s">
        <v>33</v>
      </c>
      <c r="E275" s="240"/>
      <c r="F275" s="223">
        <f>F780</f>
        <v>9.6849312518274097E-2</v>
      </c>
      <c r="G275" s="293">
        <f>+F275*G271</f>
        <v>5.6511635199831282E-4</v>
      </c>
      <c r="H275" s="298"/>
      <c r="I275" s="298"/>
      <c r="J275" s="298"/>
      <c r="K275" s="298"/>
      <c r="L275" s="298"/>
      <c r="M275" s="298"/>
      <c r="N275" s="224">
        <v>1</v>
      </c>
      <c r="O275" s="224">
        <v>1</v>
      </c>
      <c r="P275" s="224">
        <v>1</v>
      </c>
      <c r="Q275" s="270">
        <v>1</v>
      </c>
      <c r="R275" s="254">
        <f t="shared" si="26"/>
        <v>1</v>
      </c>
      <c r="S275" s="254">
        <f t="shared" si="26"/>
        <v>1</v>
      </c>
      <c r="T275" s="254">
        <f t="shared" si="26"/>
        <v>1</v>
      </c>
      <c r="U275" s="216"/>
      <c r="V275" s="216"/>
    </row>
    <row r="276" spans="1:22" s="140" customFormat="1" ht="25.5" outlineLevel="3">
      <c r="A276" s="216"/>
      <c r="B276" s="291" t="s">
        <v>464</v>
      </c>
      <c r="C276" s="292" t="s">
        <v>41</v>
      </c>
      <c r="D276" s="234" t="s">
        <v>33</v>
      </c>
      <c r="E276" s="240"/>
      <c r="F276" s="223">
        <f>F793</f>
        <v>0.11049772843953055</v>
      </c>
      <c r="G276" s="293">
        <f>+F276*G271</f>
        <v>6.4475494534940985E-4</v>
      </c>
      <c r="H276" s="298"/>
      <c r="I276" s="298"/>
      <c r="J276" s="298"/>
      <c r="K276" s="298"/>
      <c r="L276" s="298"/>
      <c r="M276" s="298"/>
      <c r="N276" s="224">
        <v>1</v>
      </c>
      <c r="O276" s="224">
        <v>1</v>
      </c>
      <c r="P276" s="224">
        <v>1</v>
      </c>
      <c r="Q276" s="270">
        <v>1</v>
      </c>
      <c r="R276" s="254">
        <f t="shared" si="26"/>
        <v>1</v>
      </c>
      <c r="S276" s="254">
        <f t="shared" si="26"/>
        <v>1</v>
      </c>
      <c r="T276" s="254">
        <f t="shared" si="26"/>
        <v>1</v>
      </c>
      <c r="U276" s="216"/>
      <c r="V276" s="216"/>
    </row>
    <row r="277" spans="1:22" s="140" customFormat="1" ht="25.5" outlineLevel="3">
      <c r="A277" s="216"/>
      <c r="B277" s="291" t="s">
        <v>465</v>
      </c>
      <c r="C277" s="292" t="s">
        <v>43</v>
      </c>
      <c r="D277" s="234" t="s">
        <v>33</v>
      </c>
      <c r="E277" s="240"/>
      <c r="F277" s="223">
        <f>F808</f>
        <v>0.13388996515868054</v>
      </c>
      <c r="G277" s="293">
        <f>+F277*G271</f>
        <v>7.8124879477464682E-4</v>
      </c>
      <c r="H277" s="298"/>
      <c r="I277" s="298"/>
      <c r="J277" s="298"/>
      <c r="K277" s="298"/>
      <c r="L277" s="298"/>
      <c r="M277" s="298"/>
      <c r="N277" s="224">
        <v>1</v>
      </c>
      <c r="O277" s="224">
        <v>1</v>
      </c>
      <c r="P277" s="224">
        <v>1</v>
      </c>
      <c r="Q277" s="270">
        <v>1</v>
      </c>
      <c r="R277" s="254">
        <f t="shared" si="26"/>
        <v>1</v>
      </c>
      <c r="S277" s="254">
        <f t="shared" si="26"/>
        <v>1</v>
      </c>
      <c r="T277" s="254">
        <f t="shared" si="26"/>
        <v>1</v>
      </c>
      <c r="U277" s="216"/>
      <c r="V277" s="216"/>
    </row>
    <row r="278" spans="1:22" s="140" customFormat="1" ht="25.5" outlineLevel="3">
      <c r="A278" s="216"/>
      <c r="B278" s="291" t="s">
        <v>466</v>
      </c>
      <c r="C278" s="292" t="s">
        <v>45</v>
      </c>
      <c r="D278" s="234" t="s">
        <v>33</v>
      </c>
      <c r="E278" s="240"/>
      <c r="F278" s="223">
        <f>F826</f>
        <v>0.10189354851165684</v>
      </c>
      <c r="G278" s="293">
        <f>+F278*G271</f>
        <v>5.94549500970446E-4</v>
      </c>
      <c r="H278" s="298"/>
      <c r="I278" s="298"/>
      <c r="J278" s="298"/>
      <c r="K278" s="298"/>
      <c r="L278" s="298"/>
      <c r="M278" s="298"/>
      <c r="N278" s="224">
        <v>1</v>
      </c>
      <c r="O278" s="224">
        <v>1</v>
      </c>
      <c r="P278" s="224">
        <v>1</v>
      </c>
      <c r="Q278" s="270">
        <v>1</v>
      </c>
      <c r="R278" s="254">
        <f t="shared" si="26"/>
        <v>1</v>
      </c>
      <c r="S278" s="254">
        <f t="shared" si="26"/>
        <v>1</v>
      </c>
      <c r="T278" s="254">
        <f t="shared" si="26"/>
        <v>1</v>
      </c>
      <c r="U278" s="216"/>
      <c r="V278" s="216"/>
    </row>
    <row r="279" spans="1:22" s="140" customFormat="1" ht="12.75" outlineLevel="3">
      <c r="A279" s="216"/>
      <c r="B279" s="291" t="s">
        <v>467</v>
      </c>
      <c r="C279" s="292" t="s">
        <v>170</v>
      </c>
      <c r="D279" s="234" t="s">
        <v>171</v>
      </c>
      <c r="E279" s="240"/>
      <c r="F279" s="223">
        <f t="shared" ref="F279:F306" si="27">F841</f>
        <v>4.25702422192204E-2</v>
      </c>
      <c r="G279" s="293">
        <f>+F279*G271</f>
        <v>2.4839763299374122E-4</v>
      </c>
      <c r="H279" s="293"/>
      <c r="I279" s="293"/>
      <c r="J279" s="293"/>
      <c r="K279" s="293"/>
      <c r="L279" s="293"/>
      <c r="M279" s="293"/>
      <c r="N279" s="224">
        <v>1</v>
      </c>
      <c r="O279" s="224">
        <v>1</v>
      </c>
      <c r="P279" s="224">
        <v>1</v>
      </c>
      <c r="Q279" s="270">
        <v>1</v>
      </c>
      <c r="R279" s="254">
        <f t="shared" si="26"/>
        <v>1</v>
      </c>
      <c r="S279" s="254">
        <f t="shared" si="26"/>
        <v>1</v>
      </c>
      <c r="T279" s="254">
        <f t="shared" si="26"/>
        <v>1</v>
      </c>
      <c r="U279" s="216"/>
      <c r="V279" s="216"/>
    </row>
    <row r="280" spans="1:22" s="140" customFormat="1" ht="12.75" outlineLevel="2">
      <c r="B280" s="300" t="s">
        <v>394</v>
      </c>
      <c r="C280" s="294" t="s">
        <v>392</v>
      </c>
      <c r="D280" s="294" t="s">
        <v>47</v>
      </c>
      <c r="E280" s="295"/>
      <c r="F280" s="296">
        <f t="shared" si="27"/>
        <v>3.6449138999404565E-2</v>
      </c>
      <c r="G280" s="296">
        <f>+F280*G270</f>
        <v>2.9159311199523653E-4</v>
      </c>
      <c r="H280" s="296"/>
      <c r="I280" s="296"/>
      <c r="J280" s="296"/>
      <c r="K280" s="296"/>
      <c r="L280" s="296"/>
      <c r="M280" s="296"/>
      <c r="N280" s="296">
        <f>+SUMPRODUCT($F281:$F295,N281:N295)</f>
        <v>0.53129204676061759</v>
      </c>
      <c r="O280" s="296">
        <f>+SUMPRODUCT($F281:$F295,O281:O295)</f>
        <v>0.53129204676061759</v>
      </c>
      <c r="P280" s="296">
        <f>+SUMPRODUCT($F281:$F295,P281:P295)</f>
        <v>0.53129204676061759</v>
      </c>
      <c r="Q280" s="296">
        <f>+SUMPRODUCT($F281:$F295,Q281:Q295)</f>
        <v>0.4383826661484056</v>
      </c>
      <c r="R280" s="296">
        <f t="shared" si="26"/>
        <v>0.82512559489889403</v>
      </c>
      <c r="S280" s="296">
        <f t="shared" si="26"/>
        <v>0.82512559489889403</v>
      </c>
      <c r="T280" s="296">
        <f t="shared" si="26"/>
        <v>0.82512559489889403</v>
      </c>
    </row>
    <row r="281" spans="1:22" s="140" customFormat="1" ht="12.75" outlineLevel="3">
      <c r="A281" s="216"/>
      <c r="B281" s="255" t="s">
        <v>468</v>
      </c>
      <c r="C281" s="245" t="s">
        <v>49</v>
      </c>
      <c r="D281" s="227" t="s">
        <v>50</v>
      </c>
      <c r="E281" s="241"/>
      <c r="F281" s="228">
        <f t="shared" si="27"/>
        <v>9.2877610796635368E-2</v>
      </c>
      <c r="G281" s="269">
        <f>+F281*G280</f>
        <v>2.7082471566873287E-5</v>
      </c>
      <c r="H281" s="269"/>
      <c r="I281" s="269"/>
      <c r="J281" s="269"/>
      <c r="K281" s="269"/>
      <c r="L281" s="269"/>
      <c r="M281" s="269"/>
      <c r="N281" s="229">
        <v>1</v>
      </c>
      <c r="O281" s="229">
        <v>1</v>
      </c>
      <c r="P281" s="229">
        <v>1</v>
      </c>
      <c r="Q281" s="272">
        <v>1</v>
      </c>
      <c r="R281" s="256">
        <f t="shared" ref="R281:T312" si="28">+IF(N281=0,0,$Q281/N281)</f>
        <v>1</v>
      </c>
      <c r="S281" s="256">
        <f t="shared" si="28"/>
        <v>1</v>
      </c>
      <c r="T281" s="256">
        <f t="shared" si="28"/>
        <v>1</v>
      </c>
      <c r="U281" s="216"/>
      <c r="V281" s="216"/>
    </row>
    <row r="282" spans="1:22" s="140" customFormat="1" ht="12.75" outlineLevel="3">
      <c r="A282" s="216"/>
      <c r="B282" s="255" t="s">
        <v>469</v>
      </c>
      <c r="C282" s="245" t="s">
        <v>52</v>
      </c>
      <c r="D282" s="227" t="s">
        <v>53</v>
      </c>
      <c r="E282" s="241"/>
      <c r="F282" s="228">
        <f t="shared" si="27"/>
        <v>5.8105219309829384E-2</v>
      </c>
      <c r="G282" s="269">
        <f>+F282*G280</f>
        <v>1.694308172171886E-5</v>
      </c>
      <c r="H282" s="269"/>
      <c r="I282" s="269"/>
      <c r="J282" s="269"/>
      <c r="K282" s="269"/>
      <c r="L282" s="269"/>
      <c r="M282" s="269"/>
      <c r="N282" s="229">
        <v>1</v>
      </c>
      <c r="O282" s="229">
        <v>1</v>
      </c>
      <c r="P282" s="229">
        <v>1</v>
      </c>
      <c r="Q282" s="272">
        <v>1</v>
      </c>
      <c r="R282" s="256">
        <f t="shared" si="28"/>
        <v>1</v>
      </c>
      <c r="S282" s="256">
        <f t="shared" si="28"/>
        <v>1</v>
      </c>
      <c r="T282" s="256">
        <f t="shared" si="28"/>
        <v>1</v>
      </c>
      <c r="U282" s="216"/>
      <c r="V282" s="216"/>
    </row>
    <row r="283" spans="1:22" s="140" customFormat="1" ht="12.75" outlineLevel="3">
      <c r="A283" s="216"/>
      <c r="B283" s="255" t="s">
        <v>470</v>
      </c>
      <c r="C283" s="245" t="s">
        <v>55</v>
      </c>
      <c r="D283" s="227" t="s">
        <v>56</v>
      </c>
      <c r="E283" s="241"/>
      <c r="F283" s="228">
        <f t="shared" si="27"/>
        <v>2.7796911320762424E-2</v>
      </c>
      <c r="G283" s="269">
        <f>+F283*G280</f>
        <v>8.1053878758767364E-6</v>
      </c>
      <c r="H283" s="269"/>
      <c r="I283" s="269"/>
      <c r="J283" s="269"/>
      <c r="K283" s="269"/>
      <c r="L283" s="269"/>
      <c r="M283" s="269"/>
      <c r="N283" s="229">
        <v>1</v>
      </c>
      <c r="O283" s="229">
        <v>1</v>
      </c>
      <c r="P283" s="229">
        <v>1</v>
      </c>
      <c r="Q283" s="272">
        <v>1</v>
      </c>
      <c r="R283" s="256">
        <f t="shared" si="28"/>
        <v>1</v>
      </c>
      <c r="S283" s="256">
        <f t="shared" si="28"/>
        <v>1</v>
      </c>
      <c r="T283" s="256">
        <f t="shared" si="28"/>
        <v>1</v>
      </c>
      <c r="U283" s="216"/>
      <c r="V283" s="216"/>
    </row>
    <row r="284" spans="1:22" s="140" customFormat="1" ht="12.75" outlineLevel="3">
      <c r="A284" s="216"/>
      <c r="B284" s="255" t="s">
        <v>471</v>
      </c>
      <c r="C284" s="245" t="s">
        <v>58</v>
      </c>
      <c r="D284" s="227" t="s">
        <v>59</v>
      </c>
      <c r="E284" s="241"/>
      <c r="F284" s="228">
        <f t="shared" si="27"/>
        <v>2.9155300375276354E-2</v>
      </c>
      <c r="G284" s="269">
        <f>+F284*G280</f>
        <v>8.5014847675827199E-6</v>
      </c>
      <c r="H284" s="269"/>
      <c r="I284" s="269"/>
      <c r="J284" s="269"/>
      <c r="K284" s="269"/>
      <c r="L284" s="269"/>
      <c r="M284" s="269"/>
      <c r="N284" s="229">
        <v>1</v>
      </c>
      <c r="O284" s="229">
        <v>1</v>
      </c>
      <c r="P284" s="229">
        <v>1</v>
      </c>
      <c r="Q284" s="272">
        <v>1</v>
      </c>
      <c r="R284" s="256">
        <f t="shared" si="28"/>
        <v>1</v>
      </c>
      <c r="S284" s="256">
        <f t="shared" si="28"/>
        <v>1</v>
      </c>
      <c r="T284" s="256">
        <f t="shared" si="28"/>
        <v>1</v>
      </c>
      <c r="U284" s="216"/>
      <c r="V284" s="216"/>
    </row>
    <row r="285" spans="1:22" s="140" customFormat="1" ht="12.75" outlineLevel="3">
      <c r="A285" s="216"/>
      <c r="B285" s="255" t="s">
        <v>472</v>
      </c>
      <c r="C285" s="245" t="s">
        <v>61</v>
      </c>
      <c r="D285" s="227" t="s">
        <v>62</v>
      </c>
      <c r="E285" s="241"/>
      <c r="F285" s="228">
        <f t="shared" si="27"/>
        <v>4.0182801717972776E-2</v>
      </c>
      <c r="G285" s="269">
        <f>+F285*G280</f>
        <v>1.1717028201631219E-5</v>
      </c>
      <c r="H285" s="269"/>
      <c r="I285" s="269"/>
      <c r="J285" s="269"/>
      <c r="K285" s="269"/>
      <c r="L285" s="269"/>
      <c r="M285" s="269"/>
      <c r="N285" s="229">
        <v>1</v>
      </c>
      <c r="O285" s="229">
        <v>1</v>
      </c>
      <c r="P285" s="229">
        <v>1</v>
      </c>
      <c r="Q285" s="272">
        <v>1</v>
      </c>
      <c r="R285" s="256">
        <f t="shared" si="28"/>
        <v>1</v>
      </c>
      <c r="S285" s="256">
        <f t="shared" si="28"/>
        <v>1</v>
      </c>
      <c r="T285" s="256">
        <f t="shared" si="28"/>
        <v>1</v>
      </c>
      <c r="U285" s="216"/>
      <c r="V285" s="216"/>
    </row>
    <row r="286" spans="1:22" s="140" customFormat="1" ht="12.75" outlineLevel="3">
      <c r="A286" s="216"/>
      <c r="B286" s="255" t="s">
        <v>473</v>
      </c>
      <c r="C286" s="245" t="s">
        <v>64</v>
      </c>
      <c r="D286" s="227" t="s">
        <v>65</v>
      </c>
      <c r="E286" s="241"/>
      <c r="F286" s="228">
        <f t="shared" si="27"/>
        <v>9.8615013818202632E-2</v>
      </c>
      <c r="G286" s="269">
        <f>+F286*G280</f>
        <v>2.8755458768702957E-5</v>
      </c>
      <c r="H286" s="269"/>
      <c r="I286" s="269"/>
      <c r="J286" s="269"/>
      <c r="K286" s="269"/>
      <c r="L286" s="269"/>
      <c r="M286" s="269"/>
      <c r="N286" s="229">
        <v>1</v>
      </c>
      <c r="O286" s="229">
        <v>1</v>
      </c>
      <c r="P286" s="229">
        <v>1</v>
      </c>
      <c r="Q286" s="272">
        <v>1</v>
      </c>
      <c r="R286" s="256">
        <f t="shared" si="28"/>
        <v>1</v>
      </c>
      <c r="S286" s="256">
        <f t="shared" si="28"/>
        <v>1</v>
      </c>
      <c r="T286" s="256">
        <f t="shared" si="28"/>
        <v>1</v>
      </c>
      <c r="U286" s="216"/>
      <c r="V286" s="216"/>
    </row>
    <row r="287" spans="1:22" s="140" customFormat="1" ht="12.75" outlineLevel="3">
      <c r="A287" s="216"/>
      <c r="B287" s="255" t="s">
        <v>474</v>
      </c>
      <c r="C287" s="245" t="s">
        <v>67</v>
      </c>
      <c r="D287" s="227" t="s">
        <v>68</v>
      </c>
      <c r="E287" s="241"/>
      <c r="F287" s="228">
        <f t="shared" si="27"/>
        <v>9.164980880972666E-2</v>
      </c>
      <c r="G287" s="269">
        <f>+F287*G280</f>
        <v>2.6724452964596641E-5</v>
      </c>
      <c r="H287" s="269"/>
      <c r="I287" s="269"/>
      <c r="J287" s="269"/>
      <c r="K287" s="269"/>
      <c r="L287" s="269"/>
      <c r="M287" s="269"/>
      <c r="N287" s="229">
        <v>1</v>
      </c>
      <c r="O287" s="229">
        <v>1</v>
      </c>
      <c r="P287" s="229">
        <v>1</v>
      </c>
      <c r="Q287" s="272">
        <v>1</v>
      </c>
      <c r="R287" s="256">
        <f t="shared" si="28"/>
        <v>1</v>
      </c>
      <c r="S287" s="256">
        <f t="shared" si="28"/>
        <v>1</v>
      </c>
      <c r="T287" s="256">
        <f t="shared" si="28"/>
        <v>1</v>
      </c>
      <c r="U287" s="216"/>
      <c r="V287" s="216"/>
    </row>
    <row r="288" spans="1:22" s="140" customFormat="1" ht="25.5" outlineLevel="3">
      <c r="A288" s="216"/>
      <c r="B288" s="255" t="s">
        <v>475</v>
      </c>
      <c r="C288" s="245" t="s">
        <v>70</v>
      </c>
      <c r="D288" s="227" t="s">
        <v>71</v>
      </c>
      <c r="E288" s="241"/>
      <c r="F288" s="228">
        <f t="shared" si="27"/>
        <v>9.2909380612212003E-2</v>
      </c>
      <c r="G288" s="269">
        <f>+F288*G280</f>
        <v>2.7091735426264793E-5</v>
      </c>
      <c r="H288" s="269"/>
      <c r="I288" s="269"/>
      <c r="J288" s="269"/>
      <c r="K288" s="269"/>
      <c r="L288" s="269"/>
      <c r="M288" s="269"/>
      <c r="N288" s="229">
        <v>1</v>
      </c>
      <c r="O288" s="229">
        <v>1</v>
      </c>
      <c r="P288" s="229">
        <v>1</v>
      </c>
      <c r="Q288" s="272">
        <v>0</v>
      </c>
      <c r="R288" s="256">
        <f t="shared" si="28"/>
        <v>0</v>
      </c>
      <c r="S288" s="256">
        <f t="shared" si="28"/>
        <v>0</v>
      </c>
      <c r="T288" s="256">
        <f t="shared" si="28"/>
        <v>0</v>
      </c>
      <c r="U288" s="216"/>
      <c r="V288" s="216"/>
    </row>
    <row r="289" spans="1:22" s="140" customFormat="1" ht="12.75" outlineLevel="3">
      <c r="A289" s="216"/>
      <c r="B289" s="255" t="s">
        <v>476</v>
      </c>
      <c r="C289" s="245" t="s">
        <v>73</v>
      </c>
      <c r="D289" s="227" t="s">
        <v>74</v>
      </c>
      <c r="E289" s="241"/>
      <c r="F289" s="228">
        <f t="shared" si="27"/>
        <v>8.0887028733242702E-2</v>
      </c>
      <c r="G289" s="269">
        <f>+F289*G280</f>
        <v>2.3586100428374354E-5</v>
      </c>
      <c r="H289" s="269"/>
      <c r="I289" s="269"/>
      <c r="J289" s="269"/>
      <c r="K289" s="269"/>
      <c r="L289" s="269"/>
      <c r="M289" s="269"/>
      <c r="N289" s="229">
        <v>0</v>
      </c>
      <c r="O289" s="229">
        <v>0</v>
      </c>
      <c r="P289" s="229">
        <v>0</v>
      </c>
      <c r="Q289" s="272">
        <v>0</v>
      </c>
      <c r="R289" s="256">
        <f t="shared" si="28"/>
        <v>0</v>
      </c>
      <c r="S289" s="256">
        <f t="shared" si="28"/>
        <v>0</v>
      </c>
      <c r="T289" s="256">
        <f t="shared" si="28"/>
        <v>0</v>
      </c>
      <c r="U289" s="216"/>
      <c r="V289" s="216"/>
    </row>
    <row r="290" spans="1:22" s="140" customFormat="1" ht="12.75" outlineLevel="3">
      <c r="A290" s="216"/>
      <c r="B290" s="255" t="s">
        <v>477</v>
      </c>
      <c r="C290" s="245" t="s">
        <v>76</v>
      </c>
      <c r="D290" s="227" t="s">
        <v>77</v>
      </c>
      <c r="E290" s="241"/>
      <c r="F290" s="228">
        <f t="shared" si="27"/>
        <v>0.11788367881609482</v>
      </c>
      <c r="G290" s="269">
        <f>+F290*G280</f>
        <v>3.4374068759432027E-5</v>
      </c>
      <c r="H290" s="269"/>
      <c r="I290" s="269"/>
      <c r="J290" s="269"/>
      <c r="K290" s="269"/>
      <c r="L290" s="269"/>
      <c r="M290" s="269"/>
      <c r="N290" s="229">
        <v>0</v>
      </c>
      <c r="O290" s="229">
        <v>0</v>
      </c>
      <c r="P290" s="229">
        <v>0</v>
      </c>
      <c r="Q290" s="272">
        <v>0</v>
      </c>
      <c r="R290" s="256">
        <f t="shared" si="28"/>
        <v>0</v>
      </c>
      <c r="S290" s="256">
        <f t="shared" si="28"/>
        <v>0</v>
      </c>
      <c r="T290" s="256">
        <f t="shared" si="28"/>
        <v>0</v>
      </c>
      <c r="U290" s="216"/>
      <c r="V290" s="216"/>
    </row>
    <row r="291" spans="1:22" s="140" customFormat="1" ht="12.75" outlineLevel="3">
      <c r="A291" s="216"/>
      <c r="B291" s="255" t="s">
        <v>478</v>
      </c>
      <c r="C291" s="245" t="s">
        <v>79</v>
      </c>
      <c r="D291" s="227" t="s">
        <v>80</v>
      </c>
      <c r="E291" s="241"/>
      <c r="F291" s="228">
        <f t="shared" si="27"/>
        <v>4.1046638926131508E-2</v>
      </c>
      <c r="G291" s="269">
        <f>+F291*G280</f>
        <v>1.19689171814155E-5</v>
      </c>
      <c r="H291" s="269"/>
      <c r="I291" s="269"/>
      <c r="J291" s="269"/>
      <c r="K291" s="269"/>
      <c r="L291" s="269"/>
      <c r="M291" s="269"/>
      <c r="N291" s="229">
        <v>0</v>
      </c>
      <c r="O291" s="229">
        <v>0</v>
      </c>
      <c r="P291" s="229">
        <v>0</v>
      </c>
      <c r="Q291" s="272">
        <v>0</v>
      </c>
      <c r="R291" s="256">
        <f t="shared" si="28"/>
        <v>0</v>
      </c>
      <c r="S291" s="256">
        <f t="shared" si="28"/>
        <v>0</v>
      </c>
      <c r="T291" s="256">
        <f t="shared" si="28"/>
        <v>0</v>
      </c>
      <c r="U291" s="216"/>
      <c r="V291" s="216"/>
    </row>
    <row r="292" spans="1:22" s="140" customFormat="1" ht="12.75" outlineLevel="3">
      <c r="A292" s="216"/>
      <c r="B292" s="255" t="s">
        <v>479</v>
      </c>
      <c r="C292" s="245" t="s">
        <v>82</v>
      </c>
      <c r="D292" s="227" t="s">
        <v>83</v>
      </c>
      <c r="E292" s="241"/>
      <c r="F292" s="228">
        <f t="shared" si="27"/>
        <v>5.3741978219236555E-2</v>
      </c>
      <c r="G292" s="269">
        <f>+F292*G280</f>
        <v>1.5670790673727406E-5</v>
      </c>
      <c r="H292" s="269"/>
      <c r="I292" s="269"/>
      <c r="J292" s="269"/>
      <c r="K292" s="269"/>
      <c r="L292" s="269"/>
      <c r="M292" s="269"/>
      <c r="N292" s="229">
        <v>0</v>
      </c>
      <c r="O292" s="229">
        <v>0</v>
      </c>
      <c r="P292" s="229">
        <v>0</v>
      </c>
      <c r="Q292" s="272">
        <v>0</v>
      </c>
      <c r="R292" s="256">
        <f t="shared" si="28"/>
        <v>0</v>
      </c>
      <c r="S292" s="256">
        <f t="shared" si="28"/>
        <v>0</v>
      </c>
      <c r="T292" s="256">
        <f t="shared" si="28"/>
        <v>0</v>
      </c>
      <c r="U292" s="216"/>
      <c r="V292" s="216"/>
    </row>
    <row r="293" spans="1:22" s="140" customFormat="1" ht="12.75" outlineLevel="3">
      <c r="A293" s="216"/>
      <c r="B293" s="255" t="s">
        <v>480</v>
      </c>
      <c r="C293" s="245" t="s">
        <v>85</v>
      </c>
      <c r="D293" s="227" t="s">
        <v>86</v>
      </c>
      <c r="E293" s="241"/>
      <c r="F293" s="228">
        <f t="shared" si="27"/>
        <v>5.8057394561842592E-2</v>
      </c>
      <c r="G293" s="269">
        <f>+F293*G280</f>
        <v>1.6929136354623004E-5</v>
      </c>
      <c r="H293" s="269"/>
      <c r="I293" s="269"/>
      <c r="J293" s="269"/>
      <c r="K293" s="269"/>
      <c r="L293" s="269"/>
      <c r="M293" s="269"/>
      <c r="N293" s="229">
        <v>0</v>
      </c>
      <c r="O293" s="229">
        <v>0</v>
      </c>
      <c r="P293" s="229">
        <v>0</v>
      </c>
      <c r="Q293" s="272">
        <v>0</v>
      </c>
      <c r="R293" s="256">
        <f t="shared" si="28"/>
        <v>0</v>
      </c>
      <c r="S293" s="256">
        <f t="shared" si="28"/>
        <v>0</v>
      </c>
      <c r="T293" s="256">
        <f t="shared" si="28"/>
        <v>0</v>
      </c>
      <c r="U293" s="216"/>
      <c r="V293" s="216"/>
    </row>
    <row r="294" spans="1:22" s="140" customFormat="1" ht="12.75" outlineLevel="3">
      <c r="A294" s="216"/>
      <c r="B294" s="255" t="s">
        <v>481</v>
      </c>
      <c r="C294" s="245" t="s">
        <v>88</v>
      </c>
      <c r="D294" s="227" t="s">
        <v>89</v>
      </c>
      <c r="E294" s="241"/>
      <c r="F294" s="228">
        <f t="shared" si="27"/>
        <v>6.1612726844928238E-2</v>
      </c>
      <c r="G294" s="269">
        <f>+F294*G280</f>
        <v>1.7965846759225076E-5</v>
      </c>
      <c r="H294" s="269"/>
      <c r="I294" s="269"/>
      <c r="J294" s="269"/>
      <c r="K294" s="269"/>
      <c r="L294" s="269"/>
      <c r="M294" s="269"/>
      <c r="N294" s="229">
        <v>0</v>
      </c>
      <c r="O294" s="229">
        <v>0</v>
      </c>
      <c r="P294" s="229">
        <v>0</v>
      </c>
      <c r="Q294" s="272">
        <v>0</v>
      </c>
      <c r="R294" s="256">
        <f t="shared" si="28"/>
        <v>0</v>
      </c>
      <c r="S294" s="256">
        <f t="shared" si="28"/>
        <v>0</v>
      </c>
      <c r="T294" s="256">
        <f t="shared" si="28"/>
        <v>0</v>
      </c>
      <c r="U294" s="216"/>
      <c r="V294" s="216"/>
    </row>
    <row r="295" spans="1:22" s="140" customFormat="1" ht="12.75" outlineLevel="3">
      <c r="A295" s="216"/>
      <c r="B295" s="255" t="s">
        <v>482</v>
      </c>
      <c r="C295" s="245" t="s">
        <v>91</v>
      </c>
      <c r="D295" s="227" t="s">
        <v>92</v>
      </c>
      <c r="E295" s="241"/>
      <c r="F295" s="228">
        <f t="shared" si="27"/>
        <v>5.5478507137905975E-2</v>
      </c>
      <c r="G295" s="269">
        <f>+F295*G280</f>
        <v>1.6177150545191945E-5</v>
      </c>
      <c r="H295" s="269"/>
      <c r="I295" s="269"/>
      <c r="J295" s="269"/>
      <c r="K295" s="269"/>
      <c r="L295" s="269"/>
      <c r="M295" s="269"/>
      <c r="N295" s="229">
        <v>0</v>
      </c>
      <c r="O295" s="229">
        <v>0</v>
      </c>
      <c r="P295" s="229">
        <v>0</v>
      </c>
      <c r="Q295" s="272">
        <v>0</v>
      </c>
      <c r="R295" s="256">
        <f t="shared" si="28"/>
        <v>0</v>
      </c>
      <c r="S295" s="256">
        <f t="shared" si="28"/>
        <v>0</v>
      </c>
      <c r="T295" s="256">
        <f t="shared" si="28"/>
        <v>0</v>
      </c>
      <c r="U295" s="216"/>
      <c r="V295" s="216"/>
    </row>
    <row r="296" spans="1:22" s="140" customFormat="1" ht="12.75" outlineLevel="3">
      <c r="A296" s="216"/>
      <c r="B296" s="300" t="s">
        <v>395</v>
      </c>
      <c r="C296" s="294"/>
      <c r="D296" s="294" t="s">
        <v>94</v>
      </c>
      <c r="E296" s="295"/>
      <c r="F296" s="296">
        <f t="shared" si="27"/>
        <v>0.16798918236757646</v>
      </c>
      <c r="G296" s="296">
        <f>+F296*G270</f>
        <v>1.3439134589406116E-3</v>
      </c>
      <c r="H296" s="296"/>
      <c r="I296" s="296"/>
      <c r="J296" s="296"/>
      <c r="K296" s="296"/>
      <c r="L296" s="296"/>
      <c r="M296" s="296"/>
      <c r="N296" s="296">
        <f>+$F297*N297+$F309*N309+$F317*N317+$F323*N323+$F327*N327</f>
        <v>0.92273549653596099</v>
      </c>
      <c r="O296" s="296">
        <f>+$F297*O297+$F309*O309+$F317*O317+$F323*O323+$F327*O327</f>
        <v>0.92273549653596099</v>
      </c>
      <c r="P296" s="296">
        <f>+$F297*P297+$F309*P309+$F317*P317+$F323*P323+$F327*P327</f>
        <v>0.92273549653596099</v>
      </c>
      <c r="Q296" s="296">
        <f>+$F297*Q297+$F309*Q309+$F317*Q317+$F323*Q323+$F327*Q327</f>
        <v>0.20074759401347061</v>
      </c>
      <c r="R296" s="296">
        <f t="shared" si="28"/>
        <v>0.21755702990412382</v>
      </c>
      <c r="S296" s="296">
        <f t="shared" si="28"/>
        <v>0.21755702990412382</v>
      </c>
      <c r="T296" s="296">
        <f t="shared" si="28"/>
        <v>0.21755702990412382</v>
      </c>
      <c r="U296" s="216"/>
      <c r="V296" s="216"/>
    </row>
    <row r="297" spans="1:22" s="140" customFormat="1" ht="12.75" outlineLevel="3">
      <c r="B297" s="301" t="s">
        <v>483</v>
      </c>
      <c r="C297" s="251"/>
      <c r="D297" s="236" t="s">
        <v>97</v>
      </c>
      <c r="E297" s="242"/>
      <c r="F297" s="232">
        <f t="shared" si="27"/>
        <v>0.2064703407829992</v>
      </c>
      <c r="G297" s="232">
        <f>+F297*G296</f>
        <v>2.7747826985032725E-4</v>
      </c>
      <c r="H297" s="232"/>
      <c r="I297" s="232"/>
      <c r="J297" s="232"/>
      <c r="K297" s="232"/>
      <c r="L297" s="232"/>
      <c r="M297" s="232"/>
      <c r="N297" s="233">
        <f>+SUMPRODUCT($F298:$F308,N298:N308)</f>
        <v>0.92273212183948317</v>
      </c>
      <c r="O297" s="233">
        <f>+SUMPRODUCT($F298:$F308,O298:O308)</f>
        <v>0.92273212183948317</v>
      </c>
      <c r="P297" s="233">
        <f>+SUMPRODUCT($F298:$F308,P298:P308)</f>
        <v>0.92273212183948317</v>
      </c>
      <c r="Q297" s="274">
        <f>+SUMPRODUCT($F298:$F308,Q298:Q308)</f>
        <v>0.32851417302102698</v>
      </c>
      <c r="R297" s="260">
        <f t="shared" si="28"/>
        <v>0.35602334116875439</v>
      </c>
      <c r="S297" s="260">
        <f t="shared" si="28"/>
        <v>0.35602334116875439</v>
      </c>
      <c r="T297" s="260">
        <f t="shared" si="28"/>
        <v>0.35602334116875439</v>
      </c>
    </row>
    <row r="298" spans="1:22" s="140" customFormat="1" ht="25.5" outlineLevel="4">
      <c r="A298" s="216"/>
      <c r="B298" s="255" t="s">
        <v>484</v>
      </c>
      <c r="C298" s="245" t="s">
        <v>99</v>
      </c>
      <c r="D298" s="227" t="s">
        <v>100</v>
      </c>
      <c r="E298" s="241"/>
      <c r="F298" s="228">
        <f t="shared" si="27"/>
        <v>5.8885812178438031E-2</v>
      </c>
      <c r="G298" s="269">
        <f>+F298*G297</f>
        <v>1.6339533282004314E-5</v>
      </c>
      <c r="H298" s="269"/>
      <c r="I298" s="269"/>
      <c r="J298" s="269"/>
      <c r="K298" s="269"/>
      <c r="L298" s="269"/>
      <c r="M298" s="269"/>
      <c r="N298" s="229">
        <v>1</v>
      </c>
      <c r="O298" s="229">
        <v>1</v>
      </c>
      <c r="P298" s="229">
        <v>1</v>
      </c>
      <c r="Q298" s="272">
        <v>1</v>
      </c>
      <c r="R298" s="256">
        <f t="shared" si="28"/>
        <v>1</v>
      </c>
      <c r="S298" s="256">
        <f t="shared" si="28"/>
        <v>1</v>
      </c>
      <c r="T298" s="256">
        <f t="shared" si="28"/>
        <v>1</v>
      </c>
      <c r="U298" s="216"/>
      <c r="V298" s="216"/>
    </row>
    <row r="299" spans="1:22" s="140" customFormat="1" ht="25.5" outlineLevel="4">
      <c r="A299" s="216"/>
      <c r="B299" s="255" t="s">
        <v>485</v>
      </c>
      <c r="C299" s="245" t="s">
        <v>102</v>
      </c>
      <c r="D299" s="227" t="s">
        <v>103</v>
      </c>
      <c r="E299" s="241"/>
      <c r="F299" s="228">
        <f t="shared" si="27"/>
        <v>9.5476860808951347E-2</v>
      </c>
      <c r="G299" s="269">
        <f>+F299*G297</f>
        <v>2.6492754148008337E-5</v>
      </c>
      <c r="H299" s="269"/>
      <c r="I299" s="269"/>
      <c r="J299" s="269"/>
      <c r="K299" s="269"/>
      <c r="L299" s="269"/>
      <c r="M299" s="269"/>
      <c r="N299" s="229">
        <v>1</v>
      </c>
      <c r="O299" s="229">
        <v>1</v>
      </c>
      <c r="P299" s="229">
        <v>1</v>
      </c>
      <c r="Q299" s="272">
        <v>1</v>
      </c>
      <c r="R299" s="256">
        <f t="shared" si="28"/>
        <v>1</v>
      </c>
      <c r="S299" s="256">
        <f t="shared" si="28"/>
        <v>1</v>
      </c>
      <c r="T299" s="256">
        <f t="shared" si="28"/>
        <v>1</v>
      </c>
      <c r="U299" s="216"/>
      <c r="V299" s="216"/>
    </row>
    <row r="300" spans="1:22" s="140" customFormat="1" ht="25.5" outlineLevel="4">
      <c r="A300" s="216"/>
      <c r="B300" s="255" t="s">
        <v>486</v>
      </c>
      <c r="C300" s="245" t="s">
        <v>105</v>
      </c>
      <c r="D300" s="340" t="s">
        <v>106</v>
      </c>
      <c r="E300" s="334"/>
      <c r="F300" s="228">
        <f t="shared" si="27"/>
        <v>7.7851641421759807E-2</v>
      </c>
      <c r="G300" s="269">
        <f>+F300*G297</f>
        <v>2.1602138766717983E-5</v>
      </c>
      <c r="H300" s="269"/>
      <c r="I300" s="269"/>
      <c r="J300" s="269"/>
      <c r="K300" s="269"/>
      <c r="L300" s="269"/>
      <c r="M300" s="269"/>
      <c r="N300" s="229">
        <v>0.94</v>
      </c>
      <c r="O300" s="229">
        <v>0.94</v>
      </c>
      <c r="P300" s="229">
        <v>0.94</v>
      </c>
      <c r="Q300" s="336">
        <v>1</v>
      </c>
      <c r="R300" s="256">
        <f t="shared" si="28"/>
        <v>1.0638297872340425</v>
      </c>
      <c r="S300" s="256">
        <f t="shared" si="28"/>
        <v>1.0638297872340425</v>
      </c>
      <c r="T300" s="256">
        <f t="shared" si="28"/>
        <v>1.0638297872340425</v>
      </c>
      <c r="U300" s="216"/>
      <c r="V300" s="216"/>
    </row>
    <row r="301" spans="1:22" s="140" customFormat="1" ht="25.5" outlineLevel="4">
      <c r="A301" s="216"/>
      <c r="B301" s="255" t="s">
        <v>487</v>
      </c>
      <c r="C301" s="245" t="s">
        <v>108</v>
      </c>
      <c r="D301" s="340" t="s">
        <v>109</v>
      </c>
      <c r="E301" s="334"/>
      <c r="F301" s="228">
        <f t="shared" si="27"/>
        <v>9.6299858611877787E-2</v>
      </c>
      <c r="G301" s="269">
        <f>+F301*G297</f>
        <v>2.6721118154454984E-5</v>
      </c>
      <c r="H301" s="269"/>
      <c r="I301" s="269"/>
      <c r="J301" s="269"/>
      <c r="K301" s="269"/>
      <c r="L301" s="269"/>
      <c r="M301" s="269"/>
      <c r="N301" s="229">
        <v>0.94</v>
      </c>
      <c r="O301" s="229">
        <v>0.94</v>
      </c>
      <c r="P301" s="229">
        <v>0.94</v>
      </c>
      <c r="Q301" s="336">
        <v>1</v>
      </c>
      <c r="R301" s="256">
        <f t="shared" si="28"/>
        <v>1.0638297872340425</v>
      </c>
      <c r="S301" s="256">
        <f t="shared" si="28"/>
        <v>1.0638297872340425</v>
      </c>
      <c r="T301" s="256">
        <f t="shared" si="28"/>
        <v>1.0638297872340425</v>
      </c>
      <c r="U301" s="216"/>
      <c r="V301" s="216"/>
    </row>
    <row r="302" spans="1:22" s="140" customFormat="1" ht="38.25" outlineLevel="4">
      <c r="A302" s="216"/>
      <c r="B302" s="255" t="s">
        <v>488</v>
      </c>
      <c r="C302" s="245" t="s">
        <v>111</v>
      </c>
      <c r="D302" s="340" t="s">
        <v>112</v>
      </c>
      <c r="E302" s="334"/>
      <c r="F302" s="228">
        <f t="shared" si="27"/>
        <v>0.2149063701910354</v>
      </c>
      <c r="G302" s="269">
        <f>+F302*G297</f>
        <v>5.9631847780422441E-5</v>
      </c>
      <c r="H302" s="269"/>
      <c r="I302" s="269"/>
      <c r="J302" s="269"/>
      <c r="K302" s="269"/>
      <c r="L302" s="269"/>
      <c r="M302" s="269"/>
      <c r="N302" s="229">
        <v>0.94</v>
      </c>
      <c r="O302" s="229">
        <v>0.94</v>
      </c>
      <c r="P302" s="229">
        <v>0.94</v>
      </c>
      <c r="Q302" s="336">
        <v>0</v>
      </c>
      <c r="R302" s="256">
        <f t="shared" si="28"/>
        <v>0</v>
      </c>
      <c r="S302" s="256">
        <f t="shared" si="28"/>
        <v>0</v>
      </c>
      <c r="T302" s="256">
        <f t="shared" si="28"/>
        <v>0</v>
      </c>
      <c r="U302" s="216"/>
      <c r="V302" s="216"/>
    </row>
    <row r="303" spans="1:22" s="140" customFormat="1" ht="38.25" outlineLevel="4">
      <c r="A303" s="216"/>
      <c r="B303" s="255" t="s">
        <v>489</v>
      </c>
      <c r="C303" s="245" t="s">
        <v>114</v>
      </c>
      <c r="D303" s="340" t="s">
        <v>115</v>
      </c>
      <c r="E303" s="334"/>
      <c r="F303" s="228">
        <f t="shared" si="27"/>
        <v>0.11738040352185054</v>
      </c>
      <c r="G303" s="269">
        <f>+F303*G297</f>
        <v>3.2570511283576351E-5</v>
      </c>
      <c r="H303" s="269"/>
      <c r="I303" s="269"/>
      <c r="J303" s="269"/>
      <c r="K303" s="269"/>
      <c r="L303" s="269"/>
      <c r="M303" s="269"/>
      <c r="N303" s="229">
        <v>0.94</v>
      </c>
      <c r="O303" s="229">
        <v>0.94</v>
      </c>
      <c r="P303" s="229">
        <v>0.94</v>
      </c>
      <c r="Q303" s="336">
        <v>0</v>
      </c>
      <c r="R303" s="256">
        <f t="shared" si="28"/>
        <v>0</v>
      </c>
      <c r="S303" s="256">
        <f t="shared" si="28"/>
        <v>0</v>
      </c>
      <c r="T303" s="256">
        <f t="shared" si="28"/>
        <v>0</v>
      </c>
      <c r="U303" s="216"/>
      <c r="V303" s="216"/>
    </row>
    <row r="304" spans="1:22" s="140" customFormat="1" ht="38.25" outlineLevel="4">
      <c r="A304" s="216"/>
      <c r="B304" s="255" t="s">
        <v>490</v>
      </c>
      <c r="C304" s="245" t="s">
        <v>117</v>
      </c>
      <c r="D304" s="340" t="s">
        <v>118</v>
      </c>
      <c r="E304" s="334"/>
      <c r="F304" s="228">
        <f t="shared" si="27"/>
        <v>0.11930471289964986</v>
      </c>
      <c r="G304" s="269">
        <f>+F304*G297</f>
        <v>3.3104465320384865E-5</v>
      </c>
      <c r="H304" s="269"/>
      <c r="I304" s="269"/>
      <c r="J304" s="269"/>
      <c r="K304" s="269"/>
      <c r="L304" s="269"/>
      <c r="M304" s="269"/>
      <c r="N304" s="229">
        <v>0.94</v>
      </c>
      <c r="O304" s="229">
        <v>0.94</v>
      </c>
      <c r="P304" s="229">
        <v>0.94</v>
      </c>
      <c r="Q304" s="336">
        <v>0</v>
      </c>
      <c r="R304" s="256">
        <f t="shared" si="28"/>
        <v>0</v>
      </c>
      <c r="S304" s="256">
        <f t="shared" si="28"/>
        <v>0</v>
      </c>
      <c r="T304" s="256">
        <f t="shared" si="28"/>
        <v>0</v>
      </c>
      <c r="U304" s="216"/>
      <c r="V304" s="216"/>
    </row>
    <row r="305" spans="1:22" s="140" customFormat="1" ht="38.25" outlineLevel="4">
      <c r="A305" s="216"/>
      <c r="B305" s="255" t="s">
        <v>491</v>
      </c>
      <c r="C305" s="245" t="s">
        <v>120</v>
      </c>
      <c r="D305" s="340" t="s">
        <v>121</v>
      </c>
      <c r="E305" s="334"/>
      <c r="F305" s="228">
        <f t="shared" si="27"/>
        <v>0.19167132064328818</v>
      </c>
      <c r="G305" s="269">
        <f>+F305*G297</f>
        <v>5.3184626432026915E-5</v>
      </c>
      <c r="H305" s="269"/>
      <c r="I305" s="269"/>
      <c r="J305" s="269"/>
      <c r="K305" s="269"/>
      <c r="L305" s="269"/>
      <c r="M305" s="269"/>
      <c r="N305" s="229">
        <v>0.94</v>
      </c>
      <c r="O305" s="229">
        <v>0.94</v>
      </c>
      <c r="P305" s="229">
        <v>0.94</v>
      </c>
      <c r="Q305" s="336">
        <v>0</v>
      </c>
      <c r="R305" s="256">
        <f t="shared" si="28"/>
        <v>0</v>
      </c>
      <c r="S305" s="256">
        <f t="shared" si="28"/>
        <v>0</v>
      </c>
      <c r="T305" s="256">
        <f t="shared" si="28"/>
        <v>0</v>
      </c>
      <c r="U305" s="216"/>
      <c r="V305" s="216"/>
    </row>
    <row r="306" spans="1:22" s="140" customFormat="1" ht="25.5" outlineLevel="4">
      <c r="A306" s="216"/>
      <c r="B306" s="255" t="s">
        <v>492</v>
      </c>
      <c r="C306" s="245" t="s">
        <v>123</v>
      </c>
      <c r="D306" s="227" t="s">
        <v>124</v>
      </c>
      <c r="E306" s="241"/>
      <c r="F306" s="228">
        <f t="shared" si="27"/>
        <v>5.2427274764052581E-3</v>
      </c>
      <c r="G306" s="269">
        <f>+F306*G297</f>
        <v>1.4547429494497034E-6</v>
      </c>
      <c r="H306" s="269"/>
      <c r="I306" s="269"/>
      <c r="J306" s="269"/>
      <c r="K306" s="269"/>
      <c r="L306" s="269"/>
      <c r="M306" s="269"/>
      <c r="N306" s="229"/>
      <c r="O306" s="229"/>
      <c r="P306" s="229"/>
      <c r="Q306" s="272"/>
      <c r="R306" s="256">
        <f t="shared" si="28"/>
        <v>0</v>
      </c>
      <c r="S306" s="256">
        <f t="shared" si="28"/>
        <v>0</v>
      </c>
      <c r="T306" s="256">
        <f t="shared" si="28"/>
        <v>0</v>
      </c>
      <c r="U306" s="216"/>
      <c r="V306" s="216"/>
    </row>
    <row r="307" spans="1:22" s="140" customFormat="1" ht="25.5" outlineLevel="4">
      <c r="A307" s="216"/>
      <c r="B307" s="255" t="s">
        <v>493</v>
      </c>
      <c r="C307" s="245" t="s">
        <v>126</v>
      </c>
      <c r="D307" s="227" t="s">
        <v>127</v>
      </c>
      <c r="E307" s="241"/>
      <c r="F307" s="228">
        <f>F869</f>
        <v>0</v>
      </c>
      <c r="G307" s="269">
        <f>+F307*G297</f>
        <v>0</v>
      </c>
      <c r="H307" s="269"/>
      <c r="I307" s="269"/>
      <c r="J307" s="269"/>
      <c r="K307" s="269"/>
      <c r="L307" s="269"/>
      <c r="M307" s="269"/>
      <c r="N307" s="229"/>
      <c r="O307" s="229"/>
      <c r="P307" s="229"/>
      <c r="Q307" s="272"/>
      <c r="R307" s="256">
        <f t="shared" si="28"/>
        <v>0</v>
      </c>
      <c r="S307" s="256">
        <f t="shared" si="28"/>
        <v>0</v>
      </c>
      <c r="T307" s="256">
        <f t="shared" si="28"/>
        <v>0</v>
      </c>
      <c r="U307" s="216"/>
      <c r="V307" s="216"/>
    </row>
    <row r="308" spans="1:22" s="140" customFormat="1" ht="38.25" outlineLevel="4">
      <c r="A308" s="216"/>
      <c r="B308" s="255" t="s">
        <v>494</v>
      </c>
      <c r="C308" s="245" t="s">
        <v>129</v>
      </c>
      <c r="D308" s="227" t="s">
        <v>130</v>
      </c>
      <c r="E308" s="241"/>
      <c r="F308" s="228">
        <f>F870</f>
        <v>2.2980292246743819E-2</v>
      </c>
      <c r="G308" s="269">
        <f>+F308*G297</f>
        <v>6.3765317332813645E-6</v>
      </c>
      <c r="H308" s="269"/>
      <c r="I308" s="269"/>
      <c r="J308" s="269"/>
      <c r="K308" s="269"/>
      <c r="L308" s="269"/>
      <c r="M308" s="269"/>
      <c r="N308" s="229"/>
      <c r="O308" s="229"/>
      <c r="P308" s="229"/>
      <c r="Q308" s="272"/>
      <c r="R308" s="256">
        <f t="shared" si="28"/>
        <v>0</v>
      </c>
      <c r="S308" s="256">
        <f t="shared" si="28"/>
        <v>0</v>
      </c>
      <c r="T308" s="256">
        <f t="shared" si="28"/>
        <v>0</v>
      </c>
      <c r="U308" s="216"/>
      <c r="V308" s="216"/>
    </row>
    <row r="309" spans="1:22" s="140" customFormat="1" ht="25.5" outlineLevel="3">
      <c r="B309" s="301" t="s">
        <v>495</v>
      </c>
      <c r="C309" s="251"/>
      <c r="D309" s="236" t="s">
        <v>133</v>
      </c>
      <c r="E309" s="242"/>
      <c r="F309" s="232">
        <f>F871</f>
        <v>0.15364965195292599</v>
      </c>
      <c r="G309" s="232">
        <f>+F309*G296</f>
        <v>2.0649183522107787E-4</v>
      </c>
      <c r="H309" s="232"/>
      <c r="I309" s="232"/>
      <c r="J309" s="232"/>
      <c r="K309" s="232"/>
      <c r="L309" s="232"/>
      <c r="M309" s="232"/>
      <c r="N309" s="233">
        <f>+SUMPRODUCT($F310:$F316,N310:N316)</f>
        <v>0.85084132894856812</v>
      </c>
      <c r="O309" s="233">
        <f>+SUMPRODUCT($F310:$F316,O310:O316)</f>
        <v>0.85084132894856812</v>
      </c>
      <c r="P309" s="233">
        <f>+SUMPRODUCT($F310:$F316,P310:P316)</f>
        <v>0.85084132894856812</v>
      </c>
      <c r="Q309" s="274">
        <f>+SUMPRODUCT($F310:$F316,Q310:Q316)</f>
        <v>0.40775907168993258</v>
      </c>
      <c r="R309" s="260">
        <f t="shared" si="28"/>
        <v>0.47924220159101005</v>
      </c>
      <c r="S309" s="260">
        <f t="shared" si="28"/>
        <v>0.47924220159101005</v>
      </c>
      <c r="T309" s="260">
        <f t="shared" si="28"/>
        <v>0.47924220159101005</v>
      </c>
    </row>
    <row r="310" spans="1:22" s="140" customFormat="1" ht="25.5" outlineLevel="4">
      <c r="A310" s="216"/>
      <c r="B310" s="255" t="s">
        <v>496</v>
      </c>
      <c r="C310" s="245" t="s">
        <v>135</v>
      </c>
      <c r="D310" s="227" t="s">
        <v>136</v>
      </c>
      <c r="E310" s="241"/>
      <c r="F310" s="228">
        <f>F872</f>
        <v>7.1676986389805894E-2</v>
      </c>
      <c r="G310" s="269">
        <f>+F310*G309</f>
        <v>1.480071246274724E-5</v>
      </c>
      <c r="H310" s="269"/>
      <c r="I310" s="269"/>
      <c r="J310" s="269"/>
      <c r="K310" s="269"/>
      <c r="L310" s="269"/>
      <c r="M310" s="269"/>
      <c r="N310" s="229">
        <v>1</v>
      </c>
      <c r="O310" s="229">
        <v>1</v>
      </c>
      <c r="P310" s="229">
        <v>1</v>
      </c>
      <c r="Q310" s="336">
        <v>1</v>
      </c>
      <c r="R310" s="256">
        <f t="shared" si="28"/>
        <v>1</v>
      </c>
      <c r="S310" s="256">
        <f t="shared" si="28"/>
        <v>1</v>
      </c>
      <c r="T310" s="256">
        <f t="shared" si="28"/>
        <v>1</v>
      </c>
      <c r="U310" s="216"/>
      <c r="V310" s="216"/>
    </row>
    <row r="311" spans="1:22" s="140" customFormat="1" ht="25.5" outlineLevel="4">
      <c r="A311" s="216"/>
      <c r="B311" s="255" t="s">
        <v>497</v>
      </c>
      <c r="C311" s="245" t="s">
        <v>138</v>
      </c>
      <c r="D311" s="227" t="s">
        <v>139</v>
      </c>
      <c r="E311" s="241"/>
      <c r="F311" s="228">
        <f t="shared" ref="F311:F341" si="29">F873</f>
        <v>0.15362856123913068</v>
      </c>
      <c r="G311" s="269">
        <f>+F311*G309</f>
        <v>3.1723043552641847E-5</v>
      </c>
      <c r="H311" s="269"/>
      <c r="I311" s="269"/>
      <c r="J311" s="269"/>
      <c r="K311" s="269"/>
      <c r="L311" s="269"/>
      <c r="M311" s="269"/>
      <c r="N311" s="229">
        <v>1</v>
      </c>
      <c r="O311" s="229">
        <v>1</v>
      </c>
      <c r="P311" s="229">
        <v>1</v>
      </c>
      <c r="Q311" s="336">
        <v>1</v>
      </c>
      <c r="R311" s="256">
        <f t="shared" si="28"/>
        <v>1</v>
      </c>
      <c r="S311" s="256">
        <f t="shared" si="28"/>
        <v>1</v>
      </c>
      <c r="T311" s="256">
        <f t="shared" si="28"/>
        <v>1</v>
      </c>
      <c r="U311" s="216"/>
      <c r="V311" s="216"/>
    </row>
    <row r="312" spans="1:22" s="140" customFormat="1" ht="25.5" outlineLevel="4">
      <c r="A312" s="216"/>
      <c r="B312" s="255" t="s">
        <v>498</v>
      </c>
      <c r="C312" s="245" t="s">
        <v>141</v>
      </c>
      <c r="D312" s="227" t="s">
        <v>142</v>
      </c>
      <c r="E312" s="241"/>
      <c r="F312" s="228">
        <f t="shared" si="29"/>
        <v>0.20080921506999638</v>
      </c>
      <c r="G312" s="269">
        <f>+F312*G309</f>
        <v>4.1465463349107682E-5</v>
      </c>
      <c r="H312" s="269"/>
      <c r="I312" s="269"/>
      <c r="J312" s="269"/>
      <c r="K312" s="269"/>
      <c r="L312" s="269"/>
      <c r="M312" s="269"/>
      <c r="N312" s="229">
        <v>0.94</v>
      </c>
      <c r="O312" s="229">
        <v>0.94</v>
      </c>
      <c r="P312" s="229">
        <v>0.94</v>
      </c>
      <c r="Q312" s="336">
        <v>0</v>
      </c>
      <c r="R312" s="256">
        <f t="shared" si="28"/>
        <v>0</v>
      </c>
      <c r="S312" s="256">
        <f t="shared" si="28"/>
        <v>0</v>
      </c>
      <c r="T312" s="256">
        <f t="shared" si="28"/>
        <v>0</v>
      </c>
      <c r="U312" s="216"/>
      <c r="V312" s="216"/>
    </row>
    <row r="313" spans="1:22" s="140" customFormat="1" ht="25.5" outlineLevel="4">
      <c r="A313" s="216"/>
      <c r="B313" s="255" t="s">
        <v>499</v>
      </c>
      <c r="C313" s="245" t="s">
        <v>144</v>
      </c>
      <c r="D313" s="227" t="s">
        <v>145</v>
      </c>
      <c r="E313" s="241"/>
      <c r="F313" s="228">
        <f t="shared" si="29"/>
        <v>0.2365874770023029</v>
      </c>
      <c r="G313" s="269">
        <f>+F313*G309</f>
        <v>4.8853382316530079E-5</v>
      </c>
      <c r="H313" s="269"/>
      <c r="I313" s="269"/>
      <c r="J313" s="269"/>
      <c r="K313" s="269"/>
      <c r="L313" s="269"/>
      <c r="M313" s="269"/>
      <c r="N313" s="229">
        <v>0.94</v>
      </c>
      <c r="O313" s="229">
        <v>0.94</v>
      </c>
      <c r="P313" s="229">
        <v>0.94</v>
      </c>
      <c r="Q313" s="336">
        <v>0</v>
      </c>
      <c r="R313" s="256">
        <f t="shared" ref="R313:T344" si="30">+IF(N313=0,0,$Q313/N313)</f>
        <v>0</v>
      </c>
      <c r="S313" s="256">
        <f t="shared" si="30"/>
        <v>0</v>
      </c>
      <c r="T313" s="256">
        <f t="shared" si="30"/>
        <v>0</v>
      </c>
      <c r="U313" s="216"/>
      <c r="V313" s="216"/>
    </row>
    <row r="314" spans="1:22" s="140" customFormat="1" ht="12.75" outlineLevel="4">
      <c r="A314" s="216"/>
      <c r="B314" s="255" t="s">
        <v>500</v>
      </c>
      <c r="C314" s="245" t="s">
        <v>147</v>
      </c>
      <c r="D314" s="227" t="s">
        <v>148</v>
      </c>
      <c r="E314" s="241"/>
      <c r="F314" s="228">
        <f t="shared" si="29"/>
        <v>0.13605594911200233</v>
      </c>
      <c r="G314" s="269">
        <f>+F314*G309</f>
        <v>2.8094442624882942E-5</v>
      </c>
      <c r="H314" s="269"/>
      <c r="I314" s="269"/>
      <c r="J314" s="269"/>
      <c r="K314" s="269"/>
      <c r="L314" s="269"/>
      <c r="M314" s="269"/>
      <c r="N314" s="229">
        <v>0.94</v>
      </c>
      <c r="O314" s="229">
        <v>0.94</v>
      </c>
      <c r="P314" s="229">
        <v>0.94</v>
      </c>
      <c r="Q314" s="336">
        <v>0.8</v>
      </c>
      <c r="R314" s="256">
        <f t="shared" si="30"/>
        <v>0.85106382978723416</v>
      </c>
      <c r="S314" s="256">
        <f t="shared" si="30"/>
        <v>0.85106382978723416</v>
      </c>
      <c r="T314" s="256">
        <f t="shared" si="30"/>
        <v>0.85106382978723416</v>
      </c>
      <c r="U314" s="216"/>
      <c r="V314" s="216"/>
    </row>
    <row r="315" spans="1:22" s="140" customFormat="1" ht="25.5" outlineLevel="4">
      <c r="A315" s="216"/>
      <c r="B315" s="255" t="s">
        <v>501</v>
      </c>
      <c r="C315" s="245" t="s">
        <v>150</v>
      </c>
      <c r="D315" s="227" t="s">
        <v>151</v>
      </c>
      <c r="E315" s="241"/>
      <c r="F315" s="228">
        <f t="shared" si="29"/>
        <v>0.10923085522251913</v>
      </c>
      <c r="G315" s="269">
        <f>+F315*G309</f>
        <v>2.2555279757665835E-5</v>
      </c>
      <c r="H315" s="269"/>
      <c r="I315" s="269"/>
      <c r="J315" s="269"/>
      <c r="K315" s="269"/>
      <c r="L315" s="269"/>
      <c r="M315" s="269"/>
      <c r="N315" s="229"/>
      <c r="O315" s="229"/>
      <c r="P315" s="229"/>
      <c r="Q315" s="336"/>
      <c r="R315" s="256">
        <f t="shared" si="30"/>
        <v>0</v>
      </c>
      <c r="S315" s="256">
        <f t="shared" si="30"/>
        <v>0</v>
      </c>
      <c r="T315" s="256">
        <f t="shared" si="30"/>
        <v>0</v>
      </c>
      <c r="U315" s="216"/>
      <c r="V315" s="216"/>
    </row>
    <row r="316" spans="1:22" s="140" customFormat="1" ht="25.5" outlineLevel="4">
      <c r="A316" s="216"/>
      <c r="B316" s="255" t="s">
        <v>502</v>
      </c>
      <c r="C316" s="245" t="s">
        <v>153</v>
      </c>
      <c r="D316" s="227" t="s">
        <v>154</v>
      </c>
      <c r="E316" s="241"/>
      <c r="F316" s="228">
        <f t="shared" si="29"/>
        <v>9.2010955964242705E-2</v>
      </c>
      <c r="G316" s="269">
        <f>+F316*G309</f>
        <v>1.8999511157502256E-5</v>
      </c>
      <c r="H316" s="269"/>
      <c r="I316" s="269"/>
      <c r="J316" s="269"/>
      <c r="K316" s="269"/>
      <c r="L316" s="269"/>
      <c r="M316" s="269"/>
      <c r="N316" s="229">
        <v>0.94</v>
      </c>
      <c r="O316" s="229">
        <v>0.94</v>
      </c>
      <c r="P316" s="229">
        <v>0.94</v>
      </c>
      <c r="Q316" s="336">
        <v>0.8</v>
      </c>
      <c r="R316" s="256">
        <f t="shared" si="30"/>
        <v>0.85106382978723416</v>
      </c>
      <c r="S316" s="256">
        <f t="shared" si="30"/>
        <v>0.85106382978723416</v>
      </c>
      <c r="T316" s="256">
        <f t="shared" si="30"/>
        <v>0.85106382978723416</v>
      </c>
      <c r="U316" s="216"/>
      <c r="V316" s="216"/>
    </row>
    <row r="317" spans="1:22" s="140" customFormat="1" ht="25.5" outlineLevel="2">
      <c r="B317" s="301" t="s">
        <v>503</v>
      </c>
      <c r="C317" s="251"/>
      <c r="D317" s="236" t="s">
        <v>157</v>
      </c>
      <c r="E317" s="242"/>
      <c r="F317" s="232">
        <f t="shared" si="29"/>
        <v>0.15245155571846505</v>
      </c>
      <c r="G317" s="232">
        <f>+F317*G296</f>
        <v>2.0488169756647975E-4</v>
      </c>
      <c r="H317" s="232"/>
      <c r="I317" s="232"/>
      <c r="J317" s="232"/>
      <c r="K317" s="232"/>
      <c r="L317" s="232"/>
      <c r="M317" s="232"/>
      <c r="N317" s="233">
        <f>+SUMPRODUCT($F318:$F322,N318:N322)</f>
        <v>0.94</v>
      </c>
      <c r="O317" s="233">
        <f>+SUMPRODUCT($F318:$F322,O318:O322)</f>
        <v>0.94</v>
      </c>
      <c r="P317" s="233">
        <f>+SUMPRODUCT($F318:$F322,P318:P322)</f>
        <v>0.94</v>
      </c>
      <c r="Q317" s="274">
        <f>+SUMPRODUCT($F318:$F322,Q318:Q322)</f>
        <v>0.12524374281515038</v>
      </c>
      <c r="R317" s="254">
        <f t="shared" si="30"/>
        <v>0.13323802427143658</v>
      </c>
      <c r="S317" s="254">
        <f t="shared" si="30"/>
        <v>0.13323802427143658</v>
      </c>
      <c r="T317" s="254">
        <f t="shared" si="30"/>
        <v>0.13323802427143658</v>
      </c>
    </row>
    <row r="318" spans="1:22" s="140" customFormat="1" ht="12.75" outlineLevel="3">
      <c r="A318" s="216"/>
      <c r="B318" s="255" t="s">
        <v>504</v>
      </c>
      <c r="C318" s="245" t="s">
        <v>181</v>
      </c>
      <c r="D318" s="227" t="s">
        <v>182</v>
      </c>
      <c r="E318" s="241"/>
      <c r="F318" s="228">
        <f t="shared" si="29"/>
        <v>0.81307686435397697</v>
      </c>
      <c r="G318" s="269">
        <f>+F318*G317</f>
        <v>1.6658456822087319E-4</v>
      </c>
      <c r="H318" s="269"/>
      <c r="I318" s="269"/>
      <c r="J318" s="269"/>
      <c r="K318" s="269"/>
      <c r="L318" s="269"/>
      <c r="M318" s="269"/>
      <c r="N318" s="229">
        <v>0.94</v>
      </c>
      <c r="O318" s="229">
        <v>0.94</v>
      </c>
      <c r="P318" s="229">
        <v>0.94</v>
      </c>
      <c r="Q318" s="336">
        <v>0</v>
      </c>
      <c r="R318" s="256">
        <f t="shared" si="30"/>
        <v>0</v>
      </c>
      <c r="S318" s="256">
        <f t="shared" si="30"/>
        <v>0</v>
      </c>
      <c r="T318" s="256">
        <f t="shared" si="30"/>
        <v>0</v>
      </c>
      <c r="U318" s="216"/>
      <c r="V318" s="216"/>
    </row>
    <row r="319" spans="1:22" s="140" customFormat="1" ht="25.5" outlineLevel="3">
      <c r="A319" s="216"/>
      <c r="B319" s="255" t="s">
        <v>505</v>
      </c>
      <c r="C319" s="245" t="s">
        <v>159</v>
      </c>
      <c r="D319" s="227" t="s">
        <v>160</v>
      </c>
      <c r="E319" s="241"/>
      <c r="F319" s="228">
        <f t="shared" si="29"/>
        <v>9.3460693266385869E-2</v>
      </c>
      <c r="G319" s="269">
        <f>+F319*G317</f>
        <v>1.9148385492157201E-5</v>
      </c>
      <c r="H319" s="269"/>
      <c r="I319" s="269"/>
      <c r="J319" s="269"/>
      <c r="K319" s="269"/>
      <c r="L319" s="269"/>
      <c r="M319" s="269"/>
      <c r="N319" s="229">
        <v>0.94</v>
      </c>
      <c r="O319" s="229">
        <v>0.94</v>
      </c>
      <c r="P319" s="229">
        <v>0.94</v>
      </c>
      <c r="Q319" s="336">
        <v>0.8</v>
      </c>
      <c r="R319" s="256">
        <f t="shared" si="30"/>
        <v>0.85106382978723416</v>
      </c>
      <c r="S319" s="256">
        <f t="shared" si="30"/>
        <v>0.85106382978723416</v>
      </c>
      <c r="T319" s="256">
        <f t="shared" si="30"/>
        <v>0.85106382978723416</v>
      </c>
      <c r="U319" s="216"/>
      <c r="V319" s="216"/>
    </row>
    <row r="320" spans="1:22" s="140" customFormat="1" ht="25.5" outlineLevel="3">
      <c r="A320" s="216"/>
      <c r="B320" s="255" t="s">
        <v>506</v>
      </c>
      <c r="C320" s="245" t="s">
        <v>162</v>
      </c>
      <c r="D320" s="227" t="s">
        <v>163</v>
      </c>
      <c r="E320" s="241"/>
      <c r="F320" s="228">
        <f t="shared" si="29"/>
        <v>3.036845712708507E-2</v>
      </c>
      <c r="G320" s="269">
        <f>+F320*G317</f>
        <v>6.2219410486720498E-6</v>
      </c>
      <c r="H320" s="269"/>
      <c r="I320" s="269"/>
      <c r="J320" s="269"/>
      <c r="K320" s="269"/>
      <c r="L320" s="269"/>
      <c r="M320" s="269"/>
      <c r="N320" s="229">
        <v>0.94</v>
      </c>
      <c r="O320" s="229">
        <v>0.94</v>
      </c>
      <c r="P320" s="229">
        <v>0.94</v>
      </c>
      <c r="Q320" s="336">
        <v>0</v>
      </c>
      <c r="R320" s="256">
        <f t="shared" si="30"/>
        <v>0</v>
      </c>
      <c r="S320" s="256">
        <f t="shared" si="30"/>
        <v>0</v>
      </c>
      <c r="T320" s="256">
        <f t="shared" si="30"/>
        <v>0</v>
      </c>
      <c r="U320" s="216"/>
      <c r="V320" s="216"/>
    </row>
    <row r="321" spans="1:22" s="140" customFormat="1" ht="12.75" outlineLevel="3">
      <c r="A321" s="216"/>
      <c r="B321" s="255" t="s">
        <v>507</v>
      </c>
      <c r="C321" s="245" t="s">
        <v>165</v>
      </c>
      <c r="D321" s="227" t="s">
        <v>166</v>
      </c>
      <c r="E321" s="241"/>
      <c r="F321" s="228">
        <f t="shared" si="29"/>
        <v>3.6002086533741685E-2</v>
      </c>
      <c r="G321" s="269">
        <f>+F321*G317</f>
        <v>7.3761686049682974E-6</v>
      </c>
      <c r="H321" s="269"/>
      <c r="I321" s="269"/>
      <c r="J321" s="269"/>
      <c r="K321" s="269"/>
      <c r="L321" s="269"/>
      <c r="M321" s="269"/>
      <c r="N321" s="229">
        <v>0.94</v>
      </c>
      <c r="O321" s="229">
        <v>0.94</v>
      </c>
      <c r="P321" s="229">
        <v>0.94</v>
      </c>
      <c r="Q321" s="336">
        <v>0.8</v>
      </c>
      <c r="R321" s="256">
        <f t="shared" si="30"/>
        <v>0.85106382978723416</v>
      </c>
      <c r="S321" s="256">
        <f t="shared" si="30"/>
        <v>0.85106382978723416</v>
      </c>
      <c r="T321" s="256">
        <f t="shared" si="30"/>
        <v>0.85106382978723416</v>
      </c>
      <c r="U321" s="216"/>
      <c r="V321" s="216"/>
    </row>
    <row r="322" spans="1:22" s="140" customFormat="1" ht="12.75" outlineLevel="3">
      <c r="A322" s="216"/>
      <c r="B322" s="255" t="s">
        <v>508</v>
      </c>
      <c r="C322" s="245" t="s">
        <v>168</v>
      </c>
      <c r="D322" s="227" t="s">
        <v>169</v>
      </c>
      <c r="E322" s="241"/>
      <c r="F322" s="228">
        <f t="shared" si="29"/>
        <v>2.7091898718810414E-2</v>
      </c>
      <c r="G322" s="269">
        <f>+F322*G317</f>
        <v>5.5506341998090155E-6</v>
      </c>
      <c r="H322" s="269"/>
      <c r="I322" s="269"/>
      <c r="J322" s="269"/>
      <c r="K322" s="269"/>
      <c r="L322" s="269"/>
      <c r="M322" s="269"/>
      <c r="N322" s="229">
        <v>0.94</v>
      </c>
      <c r="O322" s="229">
        <v>0.94</v>
      </c>
      <c r="P322" s="229">
        <v>0.94</v>
      </c>
      <c r="Q322" s="336">
        <v>0.8</v>
      </c>
      <c r="R322" s="256">
        <f t="shared" si="30"/>
        <v>0.85106382978723416</v>
      </c>
      <c r="S322" s="256">
        <f t="shared" si="30"/>
        <v>0.85106382978723416</v>
      </c>
      <c r="T322" s="256">
        <f t="shared" si="30"/>
        <v>0.85106382978723416</v>
      </c>
      <c r="U322" s="216"/>
      <c r="V322" s="216"/>
    </row>
    <row r="323" spans="1:22" s="140" customFormat="1" ht="25.5" outlineLevel="2">
      <c r="B323" s="301" t="s">
        <v>509</v>
      </c>
      <c r="C323" s="251"/>
      <c r="D323" s="236" t="s">
        <v>173</v>
      </c>
      <c r="E323" s="242"/>
      <c r="F323" s="232">
        <f t="shared" si="29"/>
        <v>0.30792579068332282</v>
      </c>
      <c r="G323" s="232">
        <f>+F323*G296</f>
        <v>4.1382561445424713E-4</v>
      </c>
      <c r="H323" s="232"/>
      <c r="I323" s="232"/>
      <c r="J323" s="232"/>
      <c r="K323" s="232"/>
      <c r="L323" s="232"/>
      <c r="M323" s="232"/>
      <c r="N323" s="233">
        <f>+SUMPRODUCT($F324:$F326,N324:N326)</f>
        <v>0.94000000000000006</v>
      </c>
      <c r="O323" s="233">
        <f>+SUMPRODUCT($F324:$F326,O324:O326)</f>
        <v>0.94000000000000006</v>
      </c>
      <c r="P323" s="233">
        <f>+SUMPRODUCT($F324:$F326,P324:P326)</f>
        <v>0.94000000000000006</v>
      </c>
      <c r="Q323" s="274">
        <f>+SUMPRODUCT($F324:$F326,Q324:Q326)</f>
        <v>0.16618782649623062</v>
      </c>
      <c r="R323" s="254">
        <f t="shared" si="30"/>
        <v>0.17679556010237299</v>
      </c>
      <c r="S323" s="254">
        <f t="shared" si="30"/>
        <v>0.17679556010237299</v>
      </c>
      <c r="T323" s="254">
        <f t="shared" si="30"/>
        <v>0.17679556010237299</v>
      </c>
    </row>
    <row r="324" spans="1:22" s="140" customFormat="1" ht="25.5" outlineLevel="3">
      <c r="A324" s="216"/>
      <c r="B324" s="255" t="s">
        <v>510</v>
      </c>
      <c r="C324" s="245" t="s">
        <v>175</v>
      </c>
      <c r="D324" s="227" t="s">
        <v>176</v>
      </c>
      <c r="E324" s="241"/>
      <c r="F324" s="228">
        <f t="shared" si="29"/>
        <v>0.16618782649623062</v>
      </c>
      <c r="G324" s="269">
        <f>+F324*G323</f>
        <v>6.8772779414618456E-5</v>
      </c>
      <c r="H324" s="269"/>
      <c r="I324" s="269"/>
      <c r="J324" s="269"/>
      <c r="K324" s="269"/>
      <c r="L324" s="269"/>
      <c r="M324" s="269"/>
      <c r="N324" s="229">
        <v>0.94000000000000006</v>
      </c>
      <c r="O324" s="229">
        <v>0.94000000000000006</v>
      </c>
      <c r="P324" s="229">
        <v>0.94000000000000006</v>
      </c>
      <c r="Q324" s="272">
        <v>1</v>
      </c>
      <c r="R324" s="256">
        <f t="shared" si="30"/>
        <v>1.0638297872340425</v>
      </c>
      <c r="S324" s="256">
        <f t="shared" si="30"/>
        <v>1.0638297872340425</v>
      </c>
      <c r="T324" s="256">
        <f t="shared" si="30"/>
        <v>1.0638297872340425</v>
      </c>
      <c r="U324" s="216"/>
      <c r="V324" s="216"/>
    </row>
    <row r="325" spans="1:22" s="140" customFormat="1" ht="25.5" outlineLevel="3">
      <c r="A325" s="216"/>
      <c r="B325" s="255" t="s">
        <v>511</v>
      </c>
      <c r="C325" s="245" t="s">
        <v>178</v>
      </c>
      <c r="D325" s="227" t="s">
        <v>179</v>
      </c>
      <c r="E325" s="241"/>
      <c r="F325" s="228">
        <f t="shared" si="29"/>
        <v>0.36085232777611836</v>
      </c>
      <c r="G325" s="269">
        <f>+F325*G323</f>
        <v>1.4932993626919758E-4</v>
      </c>
      <c r="H325" s="269"/>
      <c r="I325" s="269"/>
      <c r="J325" s="269"/>
      <c r="K325" s="269"/>
      <c r="L325" s="269"/>
      <c r="M325" s="269"/>
      <c r="N325" s="229">
        <v>0.94000000000000006</v>
      </c>
      <c r="O325" s="229">
        <v>0.94000000000000006</v>
      </c>
      <c r="P325" s="229">
        <v>0.94000000000000006</v>
      </c>
      <c r="Q325" s="272">
        <v>0</v>
      </c>
      <c r="R325" s="256">
        <f t="shared" si="30"/>
        <v>0</v>
      </c>
      <c r="S325" s="256">
        <f t="shared" si="30"/>
        <v>0</v>
      </c>
      <c r="T325" s="256">
        <f t="shared" si="30"/>
        <v>0</v>
      </c>
      <c r="U325" s="216"/>
      <c r="V325" s="216"/>
    </row>
    <row r="326" spans="1:22" s="140" customFormat="1" ht="25.5" outlineLevel="3">
      <c r="A326" s="216"/>
      <c r="B326" s="255" t="s">
        <v>512</v>
      </c>
      <c r="C326" s="245"/>
      <c r="D326" s="227" t="s">
        <v>439</v>
      </c>
      <c r="E326" s="241"/>
      <c r="F326" s="228">
        <f t="shared" si="29"/>
        <v>0.47295984572765098</v>
      </c>
      <c r="G326" s="269">
        <f>+F326*G323</f>
        <v>1.9572289877043111E-4</v>
      </c>
      <c r="H326" s="269"/>
      <c r="I326" s="269"/>
      <c r="J326" s="269"/>
      <c r="K326" s="269"/>
      <c r="L326" s="269"/>
      <c r="M326" s="269"/>
      <c r="N326" s="229">
        <v>0.94000000000000006</v>
      </c>
      <c r="O326" s="229">
        <v>0.94000000000000006</v>
      </c>
      <c r="P326" s="229">
        <v>0.94000000000000006</v>
      </c>
      <c r="Q326" s="272">
        <v>0</v>
      </c>
      <c r="R326" s="256">
        <f t="shared" si="30"/>
        <v>0</v>
      </c>
      <c r="S326" s="256">
        <f t="shared" si="30"/>
        <v>0</v>
      </c>
      <c r="T326" s="256">
        <f t="shared" si="30"/>
        <v>0</v>
      </c>
      <c r="U326" s="216"/>
      <c r="V326" s="216"/>
    </row>
    <row r="327" spans="1:22" s="140" customFormat="1" ht="12.75" outlineLevel="2">
      <c r="B327" s="301" t="s">
        <v>513</v>
      </c>
      <c r="C327" s="251"/>
      <c r="D327" s="236" t="s">
        <v>441</v>
      </c>
      <c r="E327" s="242"/>
      <c r="F327" s="232">
        <f t="shared" si="29"/>
        <v>0.17950266086228694</v>
      </c>
      <c r="G327" s="232">
        <f>+F327*G296</f>
        <v>2.412360418484796E-4</v>
      </c>
      <c r="H327" s="232"/>
      <c r="I327" s="232"/>
      <c r="J327" s="232"/>
      <c r="K327" s="232"/>
      <c r="L327" s="232"/>
      <c r="M327" s="232"/>
      <c r="N327" s="233">
        <f>+SUMPRODUCT($F328:$F328,N328:N328)</f>
        <v>0.94</v>
      </c>
      <c r="O327" s="233">
        <f>+SUMPRODUCT($F328:$F328,O328:O328)</f>
        <v>0.94</v>
      </c>
      <c r="P327" s="233">
        <f>+SUMPRODUCT($F328:$F328,P328:P328)</f>
        <v>0.94</v>
      </c>
      <c r="Q327" s="274">
        <f>+SUMPRODUCT($F328:$F328,Q328:Q328)</f>
        <v>0</v>
      </c>
      <c r="R327" s="254">
        <f t="shared" si="30"/>
        <v>0</v>
      </c>
      <c r="S327" s="254">
        <f t="shared" si="30"/>
        <v>0</v>
      </c>
      <c r="T327" s="254">
        <f t="shared" si="30"/>
        <v>0</v>
      </c>
    </row>
    <row r="328" spans="1:22" s="140" customFormat="1" ht="12.75" outlineLevel="3">
      <c r="A328" s="216"/>
      <c r="B328" s="255" t="s">
        <v>514</v>
      </c>
      <c r="C328" s="245" t="s">
        <v>187</v>
      </c>
      <c r="D328" s="227" t="s">
        <v>443</v>
      </c>
      <c r="E328" s="241"/>
      <c r="F328" s="228">
        <f t="shared" si="29"/>
        <v>1</v>
      </c>
      <c r="G328" s="269">
        <f>+F328*G327</f>
        <v>2.412360418484796E-4</v>
      </c>
      <c r="H328" s="269"/>
      <c r="I328" s="269"/>
      <c r="J328" s="269"/>
      <c r="K328" s="269"/>
      <c r="L328" s="269"/>
      <c r="M328" s="269"/>
      <c r="N328" s="229">
        <v>0.94</v>
      </c>
      <c r="O328" s="229">
        <v>0.94</v>
      </c>
      <c r="P328" s="229">
        <v>0.94</v>
      </c>
      <c r="Q328" s="272">
        <v>0</v>
      </c>
      <c r="R328" s="256">
        <f t="shared" si="30"/>
        <v>0</v>
      </c>
      <c r="S328" s="256">
        <f t="shared" si="30"/>
        <v>0</v>
      </c>
      <c r="T328" s="256">
        <f t="shared" si="30"/>
        <v>0</v>
      </c>
      <c r="U328" s="216"/>
      <c r="V328" s="216"/>
    </row>
    <row r="329" spans="1:22" s="140" customFormat="1" ht="12.75" outlineLevel="2">
      <c r="B329" s="300" t="s">
        <v>396</v>
      </c>
      <c r="C329" s="294"/>
      <c r="D329" s="294" t="s">
        <v>193</v>
      </c>
      <c r="E329" s="295"/>
      <c r="F329" s="296">
        <f t="shared" si="29"/>
        <v>6.6185886869288876E-2</v>
      </c>
      <c r="G329" s="296">
        <f>+F329*G270</f>
        <v>5.2948709495431105E-4</v>
      </c>
      <c r="H329" s="296"/>
      <c r="I329" s="296"/>
      <c r="J329" s="296"/>
      <c r="K329" s="296"/>
      <c r="L329" s="296"/>
      <c r="M329" s="296"/>
      <c r="N329" s="296">
        <f>+SUMPRODUCT($F330:$F341,N330:N341)</f>
        <v>0.94</v>
      </c>
      <c r="O329" s="296">
        <f>+SUMPRODUCT($F330:$F341,O330:O341)</f>
        <v>0.94</v>
      </c>
      <c r="P329" s="296">
        <f>+SUMPRODUCT($F330:$F341,P330:P341)</f>
        <v>0.94</v>
      </c>
      <c r="Q329" s="296">
        <f>+SUMPRODUCT($F330:$F341,Q330:Q341)</f>
        <v>0</v>
      </c>
      <c r="R329" s="296">
        <f t="shared" si="30"/>
        <v>0</v>
      </c>
      <c r="S329" s="296">
        <f t="shared" si="30"/>
        <v>0</v>
      </c>
      <c r="T329" s="296">
        <f t="shared" si="30"/>
        <v>0</v>
      </c>
    </row>
    <row r="330" spans="1:22" s="140" customFormat="1" ht="12.75" outlineLevel="2">
      <c r="A330" s="216"/>
      <c r="B330" s="255" t="s">
        <v>515</v>
      </c>
      <c r="C330" s="245" t="s">
        <v>195</v>
      </c>
      <c r="D330" s="227" t="s">
        <v>196</v>
      </c>
      <c r="E330" s="241"/>
      <c r="F330" s="228">
        <f t="shared" si="29"/>
        <v>0.11462043390407546</v>
      </c>
      <c r="G330" s="269">
        <f>+F330*G329</f>
        <v>6.0690040570271538E-5</v>
      </c>
      <c r="H330" s="269"/>
      <c r="I330" s="269"/>
      <c r="J330" s="269"/>
      <c r="K330" s="269"/>
      <c r="L330" s="269"/>
      <c r="M330" s="269"/>
      <c r="N330" s="229">
        <v>0.94</v>
      </c>
      <c r="O330" s="229">
        <v>0.94</v>
      </c>
      <c r="P330" s="229">
        <v>0.94</v>
      </c>
      <c r="Q330" s="272">
        <v>0</v>
      </c>
      <c r="R330" s="256">
        <f t="shared" si="30"/>
        <v>0</v>
      </c>
      <c r="S330" s="256">
        <f t="shared" si="30"/>
        <v>0</v>
      </c>
      <c r="T330" s="256">
        <f t="shared" si="30"/>
        <v>0</v>
      </c>
      <c r="U330" s="216"/>
      <c r="V330" s="216"/>
    </row>
    <row r="331" spans="1:22" s="140" customFormat="1" ht="12.75" outlineLevel="2">
      <c r="A331" s="216"/>
      <c r="B331" s="255" t="s">
        <v>516</v>
      </c>
      <c r="C331" s="245" t="s">
        <v>198</v>
      </c>
      <c r="D331" s="227" t="s">
        <v>199</v>
      </c>
      <c r="E331" s="241"/>
      <c r="F331" s="228">
        <f t="shared" si="29"/>
        <v>0.16914444012256166</v>
      </c>
      <c r="G331" s="269">
        <f>+F331*G329</f>
        <v>8.9559798228168582E-5</v>
      </c>
      <c r="H331" s="269"/>
      <c r="I331" s="269"/>
      <c r="J331" s="269"/>
      <c r="K331" s="269"/>
      <c r="L331" s="269"/>
      <c r="M331" s="269"/>
      <c r="N331" s="229">
        <v>0.94</v>
      </c>
      <c r="O331" s="229">
        <v>0.94</v>
      </c>
      <c r="P331" s="229">
        <v>0.94</v>
      </c>
      <c r="Q331" s="272">
        <v>0</v>
      </c>
      <c r="R331" s="256">
        <f t="shared" si="30"/>
        <v>0</v>
      </c>
      <c r="S331" s="256">
        <f t="shared" si="30"/>
        <v>0</v>
      </c>
      <c r="T331" s="256">
        <f t="shared" si="30"/>
        <v>0</v>
      </c>
      <c r="U331" s="216"/>
      <c r="V331" s="216"/>
    </row>
    <row r="332" spans="1:22" s="140" customFormat="1" ht="12.75" outlineLevel="2">
      <c r="A332" s="216"/>
      <c r="B332" s="255" t="s">
        <v>517</v>
      </c>
      <c r="C332" s="245" t="s">
        <v>201</v>
      </c>
      <c r="D332" s="227" t="s">
        <v>202</v>
      </c>
      <c r="E332" s="241"/>
      <c r="F332" s="228">
        <f t="shared" si="29"/>
        <v>0.15393682703771108</v>
      </c>
      <c r="G332" s="269">
        <f>+F332*G329</f>
        <v>8.1507563354681891E-5</v>
      </c>
      <c r="H332" s="269"/>
      <c r="I332" s="269"/>
      <c r="J332" s="269"/>
      <c r="K332" s="269"/>
      <c r="L332" s="269"/>
      <c r="M332" s="269"/>
      <c r="N332" s="229">
        <v>0.94</v>
      </c>
      <c r="O332" s="229">
        <v>0.94</v>
      </c>
      <c r="P332" s="229">
        <v>0.94</v>
      </c>
      <c r="Q332" s="272">
        <v>0</v>
      </c>
      <c r="R332" s="256">
        <f t="shared" si="30"/>
        <v>0</v>
      </c>
      <c r="S332" s="256">
        <f t="shared" si="30"/>
        <v>0</v>
      </c>
      <c r="T332" s="256">
        <f t="shared" si="30"/>
        <v>0</v>
      </c>
      <c r="U332" s="216"/>
      <c r="V332" s="216"/>
    </row>
    <row r="333" spans="1:22" s="140" customFormat="1" ht="12.75" outlineLevel="2">
      <c r="A333" s="216"/>
      <c r="B333" s="255" t="s">
        <v>518</v>
      </c>
      <c r="C333" s="245" t="s">
        <v>204</v>
      </c>
      <c r="D333" s="227" t="s">
        <v>205</v>
      </c>
      <c r="E333" s="241"/>
      <c r="F333" s="228">
        <f t="shared" si="29"/>
        <v>3.9190487501575728E-2</v>
      </c>
      <c r="G333" s="269">
        <f>+F333*G329</f>
        <v>2.0750857377052567E-5</v>
      </c>
      <c r="H333" s="269"/>
      <c r="I333" s="269"/>
      <c r="J333" s="269"/>
      <c r="K333" s="269"/>
      <c r="L333" s="269"/>
      <c r="M333" s="269"/>
      <c r="N333" s="229">
        <v>0.94</v>
      </c>
      <c r="O333" s="229">
        <v>0.94</v>
      </c>
      <c r="P333" s="229">
        <v>0.94</v>
      </c>
      <c r="Q333" s="272">
        <v>0</v>
      </c>
      <c r="R333" s="256">
        <f t="shared" si="30"/>
        <v>0</v>
      </c>
      <c r="S333" s="256">
        <f t="shared" si="30"/>
        <v>0</v>
      </c>
      <c r="T333" s="256">
        <f t="shared" si="30"/>
        <v>0</v>
      </c>
      <c r="U333" s="216"/>
      <c r="V333" s="216"/>
    </row>
    <row r="334" spans="1:22" s="140" customFormat="1" ht="12.75" outlineLevel="2">
      <c r="A334" s="216"/>
      <c r="B334" s="255" t="s">
        <v>519</v>
      </c>
      <c r="C334" s="245" t="s">
        <v>207</v>
      </c>
      <c r="D334" s="227" t="s">
        <v>205</v>
      </c>
      <c r="E334" s="241"/>
      <c r="F334" s="228">
        <f t="shared" si="29"/>
        <v>3.9190487501575728E-2</v>
      </c>
      <c r="G334" s="269">
        <f>+F334*G329</f>
        <v>2.0750857377052567E-5</v>
      </c>
      <c r="H334" s="269"/>
      <c r="I334" s="269"/>
      <c r="J334" s="269"/>
      <c r="K334" s="269"/>
      <c r="L334" s="269"/>
      <c r="M334" s="269"/>
      <c r="N334" s="229">
        <v>0.94</v>
      </c>
      <c r="O334" s="229">
        <v>0.94</v>
      </c>
      <c r="P334" s="229">
        <v>0.94</v>
      </c>
      <c r="Q334" s="272">
        <v>0</v>
      </c>
      <c r="R334" s="256">
        <f t="shared" si="30"/>
        <v>0</v>
      </c>
      <c r="S334" s="256">
        <f t="shared" si="30"/>
        <v>0</v>
      </c>
      <c r="T334" s="256">
        <f t="shared" si="30"/>
        <v>0</v>
      </c>
      <c r="U334" s="216"/>
      <c r="V334" s="216"/>
    </row>
    <row r="335" spans="1:22" s="140" customFormat="1" ht="12.75" outlineLevel="2">
      <c r="A335" s="216"/>
      <c r="B335" s="255" t="s">
        <v>520</v>
      </c>
      <c r="C335" s="245" t="s">
        <v>209</v>
      </c>
      <c r="D335" s="227" t="s">
        <v>205</v>
      </c>
      <c r="E335" s="241"/>
      <c r="F335" s="228">
        <f t="shared" si="29"/>
        <v>3.9190487501575728E-2</v>
      </c>
      <c r="G335" s="269">
        <f>+F335*G329</f>
        <v>2.0750857377052567E-5</v>
      </c>
      <c r="H335" s="269"/>
      <c r="I335" s="269"/>
      <c r="J335" s="269"/>
      <c r="K335" s="269"/>
      <c r="L335" s="269"/>
      <c r="M335" s="269"/>
      <c r="N335" s="229">
        <v>0.94</v>
      </c>
      <c r="O335" s="229">
        <v>0.94</v>
      </c>
      <c r="P335" s="229">
        <v>0.94</v>
      </c>
      <c r="Q335" s="272">
        <v>0</v>
      </c>
      <c r="R335" s="256">
        <f t="shared" si="30"/>
        <v>0</v>
      </c>
      <c r="S335" s="256">
        <f t="shared" si="30"/>
        <v>0</v>
      </c>
      <c r="T335" s="256">
        <f t="shared" si="30"/>
        <v>0</v>
      </c>
      <c r="U335" s="216"/>
      <c r="V335" s="216"/>
    </row>
    <row r="336" spans="1:22" s="140" customFormat="1" ht="12.75" outlineLevel="2">
      <c r="A336" s="216"/>
      <c r="B336" s="255" t="s">
        <v>521</v>
      </c>
      <c r="C336" s="245" t="s">
        <v>211</v>
      </c>
      <c r="D336" s="227" t="s">
        <v>205</v>
      </c>
      <c r="E336" s="241"/>
      <c r="F336" s="228">
        <f t="shared" si="29"/>
        <v>3.9190487501575728E-2</v>
      </c>
      <c r="G336" s="269">
        <f>+F336*G329</f>
        <v>2.0750857377052567E-5</v>
      </c>
      <c r="H336" s="269"/>
      <c r="I336" s="269"/>
      <c r="J336" s="269"/>
      <c r="K336" s="269"/>
      <c r="L336" s="269"/>
      <c r="M336" s="269"/>
      <c r="N336" s="229">
        <v>0.94</v>
      </c>
      <c r="O336" s="229">
        <v>0.94</v>
      </c>
      <c r="P336" s="229">
        <v>0.94</v>
      </c>
      <c r="Q336" s="272">
        <v>0</v>
      </c>
      <c r="R336" s="256">
        <f t="shared" si="30"/>
        <v>0</v>
      </c>
      <c r="S336" s="256">
        <f t="shared" si="30"/>
        <v>0</v>
      </c>
      <c r="T336" s="256">
        <f t="shared" si="30"/>
        <v>0</v>
      </c>
      <c r="U336" s="216"/>
      <c r="V336" s="216"/>
    </row>
    <row r="337" spans="1:22" s="140" customFormat="1" ht="12.75" outlineLevel="2">
      <c r="A337" s="216"/>
      <c r="B337" s="255" t="s">
        <v>522</v>
      </c>
      <c r="C337" s="245" t="s">
        <v>213</v>
      </c>
      <c r="D337" s="227" t="s">
        <v>205</v>
      </c>
      <c r="E337" s="241"/>
      <c r="F337" s="228">
        <f t="shared" si="29"/>
        <v>3.9190487501575728E-2</v>
      </c>
      <c r="G337" s="269">
        <f>+F337*G329</f>
        <v>2.0750857377052567E-5</v>
      </c>
      <c r="H337" s="269"/>
      <c r="I337" s="269"/>
      <c r="J337" s="269"/>
      <c r="K337" s="269"/>
      <c r="L337" s="269"/>
      <c r="M337" s="269"/>
      <c r="N337" s="229">
        <v>0.94</v>
      </c>
      <c r="O337" s="229">
        <v>0.94</v>
      </c>
      <c r="P337" s="229">
        <v>0.94</v>
      </c>
      <c r="Q337" s="272">
        <v>0</v>
      </c>
      <c r="R337" s="256">
        <f t="shared" si="30"/>
        <v>0</v>
      </c>
      <c r="S337" s="256">
        <f t="shared" si="30"/>
        <v>0</v>
      </c>
      <c r="T337" s="256">
        <f t="shared" si="30"/>
        <v>0</v>
      </c>
      <c r="U337" s="216"/>
      <c r="V337" s="216"/>
    </row>
    <row r="338" spans="1:22" s="140" customFormat="1" ht="12.75" outlineLevel="2">
      <c r="A338" s="216"/>
      <c r="B338" s="255" t="s">
        <v>523</v>
      </c>
      <c r="C338" s="281" t="s">
        <v>215</v>
      </c>
      <c r="D338" s="282" t="s">
        <v>216</v>
      </c>
      <c r="E338" s="283"/>
      <c r="F338" s="284">
        <f t="shared" si="29"/>
        <v>4.0894421740774678E-2</v>
      </c>
      <c r="G338" s="285">
        <f>+F338*G329</f>
        <v>2.1653068567359206E-5</v>
      </c>
      <c r="H338" s="285"/>
      <c r="I338" s="285"/>
      <c r="J338" s="285"/>
      <c r="K338" s="285"/>
      <c r="L338" s="285"/>
      <c r="M338" s="285"/>
      <c r="N338" s="286">
        <v>0.94</v>
      </c>
      <c r="O338" s="286">
        <v>0.94</v>
      </c>
      <c r="P338" s="286">
        <v>0.94</v>
      </c>
      <c r="Q338" s="287">
        <v>0</v>
      </c>
      <c r="R338" s="288">
        <f t="shared" si="30"/>
        <v>0</v>
      </c>
      <c r="S338" s="288">
        <f t="shared" si="30"/>
        <v>0</v>
      </c>
      <c r="T338" s="288">
        <f t="shared" si="30"/>
        <v>0</v>
      </c>
      <c r="U338" s="216"/>
      <c r="V338" s="216"/>
    </row>
    <row r="339" spans="1:22" s="140" customFormat="1" ht="12.75" outlineLevel="2">
      <c r="A339" s="216"/>
      <c r="B339" s="255" t="s">
        <v>524</v>
      </c>
      <c r="C339" s="281" t="s">
        <v>218</v>
      </c>
      <c r="D339" s="282" t="s">
        <v>219</v>
      </c>
      <c r="E339" s="283"/>
      <c r="F339" s="284">
        <f t="shared" si="29"/>
        <v>0.13120293641831876</v>
      </c>
      <c r="G339" s="285">
        <f>+F339*G329</f>
        <v>6.9470261653610776E-5</v>
      </c>
      <c r="H339" s="285"/>
      <c r="I339" s="285"/>
      <c r="J339" s="285"/>
      <c r="K339" s="285"/>
      <c r="L339" s="285"/>
      <c r="M339" s="285"/>
      <c r="N339" s="286">
        <v>0.94</v>
      </c>
      <c r="O339" s="286">
        <v>0.94</v>
      </c>
      <c r="P339" s="286">
        <v>0.94</v>
      </c>
      <c r="Q339" s="287">
        <v>0</v>
      </c>
      <c r="R339" s="288">
        <f t="shared" si="30"/>
        <v>0</v>
      </c>
      <c r="S339" s="288">
        <f t="shared" si="30"/>
        <v>0</v>
      </c>
      <c r="T339" s="288">
        <f t="shared" si="30"/>
        <v>0</v>
      </c>
      <c r="U339" s="216"/>
      <c r="V339" s="216"/>
    </row>
    <row r="340" spans="1:22" s="140" customFormat="1" ht="12.75" outlineLevel="2">
      <c r="A340" s="216"/>
      <c r="B340" s="255" t="s">
        <v>525</v>
      </c>
      <c r="C340" s="281" t="s">
        <v>221</v>
      </c>
      <c r="D340" s="282" t="s">
        <v>222</v>
      </c>
      <c r="E340" s="283"/>
      <c r="F340" s="284">
        <f t="shared" si="29"/>
        <v>0.17039342391989448</v>
      </c>
      <c r="G340" s="285">
        <f>+F340*G329</f>
        <v>9.0221119030663339E-5</v>
      </c>
      <c r="H340" s="285"/>
      <c r="I340" s="285"/>
      <c r="J340" s="285"/>
      <c r="K340" s="285"/>
      <c r="L340" s="285"/>
      <c r="M340" s="285"/>
      <c r="N340" s="286">
        <v>0.94</v>
      </c>
      <c r="O340" s="286">
        <v>0.94</v>
      </c>
      <c r="P340" s="286">
        <v>0.94</v>
      </c>
      <c r="Q340" s="287">
        <v>0</v>
      </c>
      <c r="R340" s="288">
        <f t="shared" si="30"/>
        <v>0</v>
      </c>
      <c r="S340" s="288">
        <f t="shared" si="30"/>
        <v>0</v>
      </c>
      <c r="T340" s="288">
        <f t="shared" si="30"/>
        <v>0</v>
      </c>
      <c r="U340" s="216"/>
      <c r="V340" s="216"/>
    </row>
    <row r="341" spans="1:22" s="140" customFormat="1" ht="13.5" outlineLevel="2" thickBot="1">
      <c r="A341" s="216"/>
      <c r="B341" s="255" t="s">
        <v>526</v>
      </c>
      <c r="C341" s="281" t="s">
        <v>224</v>
      </c>
      <c r="D341" s="282" t="s">
        <v>225</v>
      </c>
      <c r="E341" s="283"/>
      <c r="F341" s="284">
        <f t="shared" si="29"/>
        <v>2.3855079348785228E-2</v>
      </c>
      <c r="G341" s="285">
        <f>+F341*G329</f>
        <v>1.2630956664292868E-5</v>
      </c>
      <c r="H341" s="285"/>
      <c r="I341" s="285"/>
      <c r="J341" s="285"/>
      <c r="K341" s="285"/>
      <c r="L341" s="285"/>
      <c r="M341" s="285"/>
      <c r="N341" s="286">
        <v>0.94</v>
      </c>
      <c r="O341" s="286">
        <v>0.94</v>
      </c>
      <c r="P341" s="286">
        <v>0.94</v>
      </c>
      <c r="Q341" s="287">
        <v>0</v>
      </c>
      <c r="R341" s="288">
        <f t="shared" si="30"/>
        <v>0</v>
      </c>
      <c r="S341" s="288">
        <f t="shared" si="30"/>
        <v>0</v>
      </c>
      <c r="T341" s="288">
        <f t="shared" si="30"/>
        <v>0</v>
      </c>
      <c r="U341" s="216"/>
      <c r="V341" s="216"/>
    </row>
    <row r="342" spans="1:22" s="140" customFormat="1" ht="13.5" thickBot="1">
      <c r="B342" s="312">
        <v>4</v>
      </c>
      <c r="C342" s="313"/>
      <c r="D342" s="314" t="s">
        <v>527</v>
      </c>
      <c r="E342" s="315"/>
      <c r="F342" s="316"/>
      <c r="G342" s="317">
        <v>0.01</v>
      </c>
      <c r="H342" s="317"/>
      <c r="I342" s="317"/>
      <c r="J342" s="317"/>
      <c r="K342" s="317"/>
      <c r="L342" s="317"/>
      <c r="M342" s="317"/>
      <c r="N342" s="318">
        <f>+($F343*N343+$F466*N466+$F482*N482+$F515*N515)</f>
        <v>0.97926838334224131</v>
      </c>
      <c r="O342" s="318">
        <f>+($F343*O343+$F466*O466+$F482*O482+$F515*O515)</f>
        <v>0.97926838334224131</v>
      </c>
      <c r="P342" s="318">
        <f>+($F343*P343+$F466*P466+$F482*P482+$F515*P515)</f>
        <v>0.97926838334224131</v>
      </c>
      <c r="Q342" s="319">
        <f>+($F343*Q343+$F466*Q466+$F482*Q482)</f>
        <v>0.8123504983441614</v>
      </c>
      <c r="R342" s="320">
        <f t="shared" si="30"/>
        <v>0.8295483773014406</v>
      </c>
      <c r="S342" s="320">
        <f t="shared" si="30"/>
        <v>0.8295483773014406</v>
      </c>
      <c r="T342" s="320">
        <f t="shared" si="30"/>
        <v>0.8295483773014406</v>
      </c>
    </row>
    <row r="343" spans="1:22" s="140" customFormat="1" ht="12.75" hidden="1" outlineLevel="1">
      <c r="B343" s="300" t="s">
        <v>528</v>
      </c>
      <c r="C343" s="294"/>
      <c r="D343" s="294" t="s">
        <v>31</v>
      </c>
      <c r="E343" s="295"/>
      <c r="F343" s="296">
        <f t="shared" ref="F343:F406" si="31">F719</f>
        <v>0.72937579176373002</v>
      </c>
      <c r="G343" s="296">
        <f>+F343*G342</f>
        <v>7.2937579176373E-3</v>
      </c>
      <c r="H343" s="297"/>
      <c r="I343" s="297"/>
      <c r="J343" s="297"/>
      <c r="K343" s="297"/>
      <c r="L343" s="297"/>
      <c r="M343" s="297"/>
      <c r="N343" s="296">
        <f>+$F344*N344+$F365*N365+$F392*N392+$F404*N404+$F417*N417+$F432*N432+$F450*N450+$F465*N465</f>
        <v>0.9974457854668467</v>
      </c>
      <c r="O343" s="296">
        <f>+$F344*O344+$F365*O365+$F392*O392+$F404*O404+$F417*O417+$F432*O432+$F450*O450+$F465*O465</f>
        <v>0.9974457854668467</v>
      </c>
      <c r="P343" s="296">
        <f>+$F344*P344+$F365*P365+$F392*P392+$F404*P404+$F417*P417+$F432*P432+$F450*P450+$F465*P465</f>
        <v>0.9974457854668467</v>
      </c>
      <c r="Q343" s="296">
        <f>+$F344*Q344+$F365*Q365+$F392*Q392+$F404*Q404+$F417*Q417+$F432*Q432+$F450*Q450+$F465*Q465</f>
        <v>0.99574297577807791</v>
      </c>
      <c r="R343" s="296">
        <f t="shared" si="30"/>
        <v>0.99829282983237855</v>
      </c>
      <c r="S343" s="296">
        <f t="shared" si="30"/>
        <v>0.99829282983237855</v>
      </c>
      <c r="T343" s="296">
        <f t="shared" si="30"/>
        <v>0.99829282983237855</v>
      </c>
    </row>
    <row r="344" spans="1:22" s="140" customFormat="1" ht="25.5" hidden="1" outlineLevel="2">
      <c r="A344" s="216"/>
      <c r="B344" s="291" t="s">
        <v>529</v>
      </c>
      <c r="C344" s="292" t="s">
        <v>32</v>
      </c>
      <c r="D344" s="234" t="s">
        <v>33</v>
      </c>
      <c r="E344" s="240"/>
      <c r="F344" s="223">
        <f t="shared" si="31"/>
        <v>0.19239834958539684</v>
      </c>
      <c r="G344" s="293">
        <f>+F344*G343</f>
        <v>1.4033069856288372E-3</v>
      </c>
      <c r="H344" s="298"/>
      <c r="I344" s="298"/>
      <c r="J344" s="298"/>
      <c r="K344" s="298"/>
      <c r="L344" s="298"/>
      <c r="M344" s="298"/>
      <c r="N344" s="224">
        <f>+SUMPRODUCT($F345:$F364,N345:N364)</f>
        <v>0.99999999999999978</v>
      </c>
      <c r="O344" s="224">
        <f>+SUMPRODUCT($F345:$F364,O345:O364)</f>
        <v>0.99999999999999978</v>
      </c>
      <c r="P344" s="224">
        <f>+SUMPRODUCT($F345:$F364,P345:P364)</f>
        <v>0.99999999999999978</v>
      </c>
      <c r="Q344" s="270">
        <f>+SUMPRODUCT($F345:$F364,Q345:Q364)</f>
        <v>0.99999999999999978</v>
      </c>
      <c r="R344" s="254">
        <f t="shared" si="30"/>
        <v>1</v>
      </c>
      <c r="S344" s="254">
        <f t="shared" si="30"/>
        <v>1</v>
      </c>
      <c r="T344" s="254">
        <f t="shared" si="30"/>
        <v>1</v>
      </c>
      <c r="U344" s="216"/>
      <c r="V344" s="216"/>
    </row>
    <row r="345" spans="1:22" s="140" customFormat="1" ht="25.5" hidden="1" outlineLevel="3">
      <c r="A345" s="216"/>
      <c r="B345" s="255" t="s">
        <v>530</v>
      </c>
      <c r="C345" s="290" t="s">
        <v>230</v>
      </c>
      <c r="D345" s="227" t="s">
        <v>231</v>
      </c>
      <c r="E345" s="241"/>
      <c r="F345" s="228">
        <f t="shared" si="31"/>
        <v>4.4581817293365446E-2</v>
      </c>
      <c r="G345" s="269">
        <f>+F345*G344</f>
        <v>6.2561975639808227E-5</v>
      </c>
      <c r="H345" s="299"/>
      <c r="I345" s="299"/>
      <c r="J345" s="299"/>
      <c r="K345" s="299"/>
      <c r="L345" s="299"/>
      <c r="M345" s="299"/>
      <c r="N345" s="229">
        <v>1</v>
      </c>
      <c r="O345" s="229">
        <v>1</v>
      </c>
      <c r="P345" s="229">
        <v>1</v>
      </c>
      <c r="Q345" s="272">
        <v>1</v>
      </c>
      <c r="R345" s="256">
        <f t="shared" ref="R345:T376" si="32">+IF(N345=0,0,$Q345/N345)</f>
        <v>1</v>
      </c>
      <c r="S345" s="256">
        <f t="shared" si="32"/>
        <v>1</v>
      </c>
      <c r="T345" s="256">
        <f t="shared" si="32"/>
        <v>1</v>
      </c>
      <c r="U345" s="216"/>
      <c r="V345" s="216"/>
    </row>
    <row r="346" spans="1:22" s="140" customFormat="1" ht="25.5" hidden="1" outlineLevel="3">
      <c r="A346" s="216"/>
      <c r="B346" s="255" t="s">
        <v>531</v>
      </c>
      <c r="C346" s="290" t="s">
        <v>233</v>
      </c>
      <c r="D346" s="227" t="s">
        <v>231</v>
      </c>
      <c r="E346" s="241"/>
      <c r="F346" s="228">
        <f t="shared" si="31"/>
        <v>4.4581817293365446E-2</v>
      </c>
      <c r="G346" s="269">
        <f>+F346*G344</f>
        <v>6.2561975639808227E-5</v>
      </c>
      <c r="H346" s="299"/>
      <c r="I346" s="299"/>
      <c r="J346" s="299"/>
      <c r="K346" s="299"/>
      <c r="L346" s="299"/>
      <c r="M346" s="299"/>
      <c r="N346" s="229">
        <v>1</v>
      </c>
      <c r="O346" s="229">
        <v>1</v>
      </c>
      <c r="P346" s="229">
        <v>1</v>
      </c>
      <c r="Q346" s="272">
        <v>1</v>
      </c>
      <c r="R346" s="256">
        <f t="shared" si="32"/>
        <v>1</v>
      </c>
      <c r="S346" s="256">
        <f t="shared" si="32"/>
        <v>1</v>
      </c>
      <c r="T346" s="256">
        <f t="shared" si="32"/>
        <v>1</v>
      </c>
      <c r="U346" s="216"/>
      <c r="V346" s="216"/>
    </row>
    <row r="347" spans="1:22" s="140" customFormat="1" ht="25.5" hidden="1" outlineLevel="3">
      <c r="A347" s="216"/>
      <c r="B347" s="255" t="s">
        <v>532</v>
      </c>
      <c r="C347" s="290" t="s">
        <v>235</v>
      </c>
      <c r="D347" s="227" t="s">
        <v>231</v>
      </c>
      <c r="E347" s="241"/>
      <c r="F347" s="228">
        <f t="shared" si="31"/>
        <v>4.4581817293365446E-2</v>
      </c>
      <c r="G347" s="269">
        <f>+F347*G344</f>
        <v>6.2561975639808227E-5</v>
      </c>
      <c r="H347" s="299"/>
      <c r="I347" s="299"/>
      <c r="J347" s="299"/>
      <c r="K347" s="299"/>
      <c r="L347" s="299"/>
      <c r="M347" s="299"/>
      <c r="N347" s="229">
        <v>1</v>
      </c>
      <c r="O347" s="229">
        <v>1</v>
      </c>
      <c r="P347" s="229">
        <v>1</v>
      </c>
      <c r="Q347" s="272">
        <v>1</v>
      </c>
      <c r="R347" s="256">
        <f t="shared" si="32"/>
        <v>1</v>
      </c>
      <c r="S347" s="256">
        <f t="shared" si="32"/>
        <v>1</v>
      </c>
      <c r="T347" s="256">
        <f t="shared" si="32"/>
        <v>1</v>
      </c>
      <c r="U347" s="216"/>
      <c r="V347" s="216"/>
    </row>
    <row r="348" spans="1:22" s="140" customFormat="1" ht="25.5" hidden="1" outlineLevel="3">
      <c r="A348" s="216"/>
      <c r="B348" s="255" t="s">
        <v>533</v>
      </c>
      <c r="C348" s="290" t="s">
        <v>237</v>
      </c>
      <c r="D348" s="227" t="s">
        <v>231</v>
      </c>
      <c r="E348" s="241"/>
      <c r="F348" s="228">
        <f t="shared" si="31"/>
        <v>4.4581817293365446E-2</v>
      </c>
      <c r="G348" s="269">
        <f>+F348*G344</f>
        <v>6.2561975639808227E-5</v>
      </c>
      <c r="H348" s="299"/>
      <c r="I348" s="299"/>
      <c r="J348" s="299"/>
      <c r="K348" s="299"/>
      <c r="L348" s="299"/>
      <c r="M348" s="299"/>
      <c r="N348" s="229">
        <v>1</v>
      </c>
      <c r="O348" s="229">
        <v>1</v>
      </c>
      <c r="P348" s="229">
        <v>1</v>
      </c>
      <c r="Q348" s="272">
        <v>1</v>
      </c>
      <c r="R348" s="256">
        <f t="shared" si="32"/>
        <v>1</v>
      </c>
      <c r="S348" s="256">
        <f t="shared" si="32"/>
        <v>1</v>
      </c>
      <c r="T348" s="256">
        <f t="shared" si="32"/>
        <v>1</v>
      </c>
      <c r="U348" s="216"/>
      <c r="V348" s="216"/>
    </row>
    <row r="349" spans="1:22" s="140" customFormat="1" ht="25.5" hidden="1" outlineLevel="3">
      <c r="A349" s="216"/>
      <c r="B349" s="255" t="s">
        <v>534</v>
      </c>
      <c r="C349" s="290" t="s">
        <v>239</v>
      </c>
      <c r="D349" s="227" t="s">
        <v>231</v>
      </c>
      <c r="E349" s="241"/>
      <c r="F349" s="228">
        <f t="shared" si="31"/>
        <v>4.4581817293365446E-2</v>
      </c>
      <c r="G349" s="269">
        <f>+F349*G344</f>
        <v>6.2561975639808227E-5</v>
      </c>
      <c r="H349" s="299"/>
      <c r="I349" s="299"/>
      <c r="J349" s="299"/>
      <c r="K349" s="299"/>
      <c r="L349" s="299"/>
      <c r="M349" s="299"/>
      <c r="N349" s="229">
        <v>1</v>
      </c>
      <c r="O349" s="229">
        <v>1</v>
      </c>
      <c r="P349" s="229">
        <v>1</v>
      </c>
      <c r="Q349" s="272">
        <v>1</v>
      </c>
      <c r="R349" s="256">
        <f t="shared" si="32"/>
        <v>1</v>
      </c>
      <c r="S349" s="256">
        <f t="shared" si="32"/>
        <v>1</v>
      </c>
      <c r="T349" s="256">
        <f t="shared" si="32"/>
        <v>1</v>
      </c>
      <c r="U349" s="216"/>
      <c r="V349" s="216"/>
    </row>
    <row r="350" spans="1:22" s="140" customFormat="1" ht="25.5" hidden="1" outlineLevel="3">
      <c r="A350" s="216"/>
      <c r="B350" s="255" t="s">
        <v>535</v>
      </c>
      <c r="C350" s="290" t="s">
        <v>241</v>
      </c>
      <c r="D350" s="227" t="s">
        <v>231</v>
      </c>
      <c r="E350" s="241"/>
      <c r="F350" s="228">
        <f t="shared" si="31"/>
        <v>4.4581817293365446E-2</v>
      </c>
      <c r="G350" s="269">
        <f>+F350*G344</f>
        <v>6.2561975639808227E-5</v>
      </c>
      <c r="H350" s="299"/>
      <c r="I350" s="299"/>
      <c r="J350" s="299"/>
      <c r="K350" s="299"/>
      <c r="L350" s="299"/>
      <c r="M350" s="299"/>
      <c r="N350" s="229">
        <v>1</v>
      </c>
      <c r="O350" s="229">
        <v>1</v>
      </c>
      <c r="P350" s="229">
        <v>1</v>
      </c>
      <c r="Q350" s="272">
        <v>1</v>
      </c>
      <c r="R350" s="256">
        <f t="shared" si="32"/>
        <v>1</v>
      </c>
      <c r="S350" s="256">
        <f t="shared" si="32"/>
        <v>1</v>
      </c>
      <c r="T350" s="256">
        <f t="shared" si="32"/>
        <v>1</v>
      </c>
      <c r="U350" s="216"/>
      <c r="V350" s="216"/>
    </row>
    <row r="351" spans="1:22" s="140" customFormat="1" ht="25.5" hidden="1" outlineLevel="3">
      <c r="A351" s="216"/>
      <c r="B351" s="255" t="s">
        <v>536</v>
      </c>
      <c r="C351" s="290" t="s">
        <v>243</v>
      </c>
      <c r="D351" s="227" t="s">
        <v>231</v>
      </c>
      <c r="E351" s="241"/>
      <c r="F351" s="228">
        <f t="shared" si="31"/>
        <v>4.4581817293365446E-2</v>
      </c>
      <c r="G351" s="269">
        <f>+F351*G344</f>
        <v>6.2561975639808227E-5</v>
      </c>
      <c r="H351" s="299"/>
      <c r="I351" s="299"/>
      <c r="J351" s="299"/>
      <c r="K351" s="299"/>
      <c r="L351" s="299"/>
      <c r="M351" s="299"/>
      <c r="N351" s="229">
        <v>1</v>
      </c>
      <c r="O351" s="229">
        <v>1</v>
      </c>
      <c r="P351" s="229">
        <v>1</v>
      </c>
      <c r="Q351" s="272">
        <v>1</v>
      </c>
      <c r="R351" s="256">
        <f t="shared" si="32"/>
        <v>1</v>
      </c>
      <c r="S351" s="256">
        <f t="shared" si="32"/>
        <v>1</v>
      </c>
      <c r="T351" s="256">
        <f t="shared" si="32"/>
        <v>1</v>
      </c>
      <c r="U351" s="216"/>
      <c r="V351" s="216"/>
    </row>
    <row r="352" spans="1:22" s="140" customFormat="1" ht="25.5" hidden="1" outlineLevel="3">
      <c r="A352" s="216"/>
      <c r="B352" s="255" t="s">
        <v>537</v>
      </c>
      <c r="C352" s="290" t="s">
        <v>245</v>
      </c>
      <c r="D352" s="227" t="s">
        <v>231</v>
      </c>
      <c r="E352" s="241"/>
      <c r="F352" s="228">
        <f t="shared" si="31"/>
        <v>4.4581817293365446E-2</v>
      </c>
      <c r="G352" s="269">
        <f>+F352*G344</f>
        <v>6.2561975639808227E-5</v>
      </c>
      <c r="H352" s="299"/>
      <c r="I352" s="299"/>
      <c r="J352" s="299"/>
      <c r="K352" s="299"/>
      <c r="L352" s="299"/>
      <c r="M352" s="299"/>
      <c r="N352" s="229">
        <v>1</v>
      </c>
      <c r="O352" s="229">
        <v>1</v>
      </c>
      <c r="P352" s="229">
        <v>1</v>
      </c>
      <c r="Q352" s="272">
        <v>1</v>
      </c>
      <c r="R352" s="256">
        <f t="shared" si="32"/>
        <v>1</v>
      </c>
      <c r="S352" s="256">
        <f t="shared" si="32"/>
        <v>1</v>
      </c>
      <c r="T352" s="256">
        <f t="shared" si="32"/>
        <v>1</v>
      </c>
      <c r="U352" s="216"/>
      <c r="V352" s="216"/>
    </row>
    <row r="353" spans="1:22" s="140" customFormat="1" ht="25.5" hidden="1" outlineLevel="3">
      <c r="A353" s="216"/>
      <c r="B353" s="255" t="s">
        <v>538</v>
      </c>
      <c r="C353" s="290" t="s">
        <v>247</v>
      </c>
      <c r="D353" s="227" t="s">
        <v>231</v>
      </c>
      <c r="E353" s="241"/>
      <c r="F353" s="228">
        <f t="shared" si="31"/>
        <v>4.4581817293365446E-2</v>
      </c>
      <c r="G353" s="269">
        <f>+F353*G344</f>
        <v>6.2561975639808227E-5</v>
      </c>
      <c r="H353" s="299"/>
      <c r="I353" s="299"/>
      <c r="J353" s="299"/>
      <c r="K353" s="299"/>
      <c r="L353" s="299"/>
      <c r="M353" s="299"/>
      <c r="N353" s="229">
        <v>1</v>
      </c>
      <c r="O353" s="229">
        <v>1</v>
      </c>
      <c r="P353" s="229">
        <v>1</v>
      </c>
      <c r="Q353" s="272">
        <v>1</v>
      </c>
      <c r="R353" s="256">
        <f t="shared" si="32"/>
        <v>1</v>
      </c>
      <c r="S353" s="256">
        <f t="shared" si="32"/>
        <v>1</v>
      </c>
      <c r="T353" s="256">
        <f t="shared" si="32"/>
        <v>1</v>
      </c>
      <c r="U353" s="216"/>
      <c r="V353" s="216"/>
    </row>
    <row r="354" spans="1:22" s="140" customFormat="1" ht="25.5" hidden="1" outlineLevel="3">
      <c r="A354" s="216"/>
      <c r="B354" s="255" t="s">
        <v>539</v>
      </c>
      <c r="C354" s="290" t="s">
        <v>249</v>
      </c>
      <c r="D354" s="227" t="s">
        <v>231</v>
      </c>
      <c r="E354" s="241"/>
      <c r="F354" s="228">
        <f t="shared" si="31"/>
        <v>4.4581817293365446E-2</v>
      </c>
      <c r="G354" s="269">
        <f>+F354*G344</f>
        <v>6.2561975639808227E-5</v>
      </c>
      <c r="H354" s="299"/>
      <c r="I354" s="299"/>
      <c r="J354" s="299"/>
      <c r="K354" s="299"/>
      <c r="L354" s="299"/>
      <c r="M354" s="299"/>
      <c r="N354" s="229">
        <v>1</v>
      </c>
      <c r="O354" s="229">
        <v>1</v>
      </c>
      <c r="P354" s="229">
        <v>1</v>
      </c>
      <c r="Q354" s="272">
        <v>1</v>
      </c>
      <c r="R354" s="256">
        <f t="shared" si="32"/>
        <v>1</v>
      </c>
      <c r="S354" s="256">
        <f t="shared" si="32"/>
        <v>1</v>
      </c>
      <c r="T354" s="256">
        <f t="shared" si="32"/>
        <v>1</v>
      </c>
      <c r="U354" s="216"/>
      <c r="V354" s="216"/>
    </row>
    <row r="355" spans="1:22" s="140" customFormat="1" ht="25.5" hidden="1" outlineLevel="3">
      <c r="A355" s="216"/>
      <c r="B355" s="255" t="s">
        <v>540</v>
      </c>
      <c r="C355" s="290" t="s">
        <v>251</v>
      </c>
      <c r="D355" s="227" t="s">
        <v>231</v>
      </c>
      <c r="E355" s="241"/>
      <c r="F355" s="228">
        <f t="shared" si="31"/>
        <v>4.4581817293365446E-2</v>
      </c>
      <c r="G355" s="269">
        <f>+F355*G344</f>
        <v>6.2561975639808227E-5</v>
      </c>
      <c r="H355" s="299"/>
      <c r="I355" s="299"/>
      <c r="J355" s="299"/>
      <c r="K355" s="299"/>
      <c r="L355" s="299"/>
      <c r="M355" s="299"/>
      <c r="N355" s="229">
        <v>1</v>
      </c>
      <c r="O355" s="229">
        <v>1</v>
      </c>
      <c r="P355" s="229">
        <v>1</v>
      </c>
      <c r="Q355" s="272">
        <v>1</v>
      </c>
      <c r="R355" s="256">
        <f t="shared" si="32"/>
        <v>1</v>
      </c>
      <c r="S355" s="256">
        <f t="shared" si="32"/>
        <v>1</v>
      </c>
      <c r="T355" s="256">
        <f t="shared" si="32"/>
        <v>1</v>
      </c>
      <c r="U355" s="216"/>
      <c r="V355" s="216"/>
    </row>
    <row r="356" spans="1:22" s="140" customFormat="1" ht="25.5" hidden="1" outlineLevel="3">
      <c r="A356" s="216"/>
      <c r="B356" s="255" t="s">
        <v>541</v>
      </c>
      <c r="C356" s="290" t="s">
        <v>253</v>
      </c>
      <c r="D356" s="227" t="s">
        <v>231</v>
      </c>
      <c r="E356" s="241"/>
      <c r="F356" s="228">
        <f t="shared" si="31"/>
        <v>4.4581817293365446E-2</v>
      </c>
      <c r="G356" s="269">
        <f>+F356*G344</f>
        <v>6.2561975639808227E-5</v>
      </c>
      <c r="H356" s="299"/>
      <c r="I356" s="299"/>
      <c r="J356" s="299"/>
      <c r="K356" s="299"/>
      <c r="L356" s="299"/>
      <c r="M356" s="299"/>
      <c r="N356" s="229">
        <v>1</v>
      </c>
      <c r="O356" s="229">
        <v>1</v>
      </c>
      <c r="P356" s="229">
        <v>1</v>
      </c>
      <c r="Q356" s="272">
        <v>1</v>
      </c>
      <c r="R356" s="256">
        <f t="shared" si="32"/>
        <v>1</v>
      </c>
      <c r="S356" s="256">
        <f t="shared" si="32"/>
        <v>1</v>
      </c>
      <c r="T356" s="256">
        <f t="shared" si="32"/>
        <v>1</v>
      </c>
      <c r="U356" s="216"/>
      <c r="V356" s="216"/>
    </row>
    <row r="357" spans="1:22" s="140" customFormat="1" ht="25.5" hidden="1" outlineLevel="3">
      <c r="A357" s="216"/>
      <c r="B357" s="255" t="s">
        <v>542</v>
      </c>
      <c r="C357" s="290" t="s">
        <v>255</v>
      </c>
      <c r="D357" s="227" t="s">
        <v>256</v>
      </c>
      <c r="E357" s="241"/>
      <c r="F357" s="228">
        <f t="shared" si="31"/>
        <v>5.8127274059616978E-2</v>
      </c>
      <c r="G357" s="269">
        <f>+F357*G344</f>
        <v>8.1570409743422399E-5</v>
      </c>
      <c r="H357" s="299"/>
      <c r="I357" s="299"/>
      <c r="J357" s="299"/>
      <c r="K357" s="299"/>
      <c r="L357" s="299"/>
      <c r="M357" s="299"/>
      <c r="N357" s="229">
        <v>1</v>
      </c>
      <c r="O357" s="229">
        <v>1</v>
      </c>
      <c r="P357" s="229">
        <v>1</v>
      </c>
      <c r="Q357" s="272">
        <v>1</v>
      </c>
      <c r="R357" s="256">
        <f t="shared" si="32"/>
        <v>1</v>
      </c>
      <c r="S357" s="256">
        <f t="shared" si="32"/>
        <v>1</v>
      </c>
      <c r="T357" s="256">
        <f t="shared" si="32"/>
        <v>1</v>
      </c>
      <c r="U357" s="216"/>
      <c r="V357" s="216"/>
    </row>
    <row r="358" spans="1:22" s="140" customFormat="1" ht="25.5" hidden="1" outlineLevel="3">
      <c r="A358" s="216"/>
      <c r="B358" s="255" t="s">
        <v>543</v>
      </c>
      <c r="C358" s="290" t="s">
        <v>258</v>
      </c>
      <c r="D358" s="227" t="s">
        <v>256</v>
      </c>
      <c r="E358" s="241"/>
      <c r="F358" s="228">
        <f t="shared" si="31"/>
        <v>5.8127274059616978E-2</v>
      </c>
      <c r="G358" s="269">
        <f>+F358*G344</f>
        <v>8.1570409743422399E-5</v>
      </c>
      <c r="H358" s="299"/>
      <c r="I358" s="299"/>
      <c r="J358" s="299"/>
      <c r="K358" s="299"/>
      <c r="L358" s="299"/>
      <c r="M358" s="299"/>
      <c r="N358" s="229">
        <v>1</v>
      </c>
      <c r="O358" s="229">
        <v>1</v>
      </c>
      <c r="P358" s="229">
        <v>1</v>
      </c>
      <c r="Q358" s="272">
        <v>1</v>
      </c>
      <c r="R358" s="256">
        <f t="shared" si="32"/>
        <v>1</v>
      </c>
      <c r="S358" s="256">
        <f t="shared" si="32"/>
        <v>1</v>
      </c>
      <c r="T358" s="256">
        <f t="shared" si="32"/>
        <v>1</v>
      </c>
      <c r="U358" s="216"/>
      <c r="V358" s="216"/>
    </row>
    <row r="359" spans="1:22" s="140" customFormat="1" ht="25.5" hidden="1" outlineLevel="3">
      <c r="A359" s="216"/>
      <c r="B359" s="255" t="s">
        <v>544</v>
      </c>
      <c r="C359" s="290" t="s">
        <v>260</v>
      </c>
      <c r="D359" s="227" t="s">
        <v>256</v>
      </c>
      <c r="E359" s="241"/>
      <c r="F359" s="228">
        <f t="shared" si="31"/>
        <v>5.8127274059616978E-2</v>
      </c>
      <c r="G359" s="269">
        <f>+F359*G344</f>
        <v>8.1570409743422399E-5</v>
      </c>
      <c r="H359" s="299"/>
      <c r="I359" s="299"/>
      <c r="J359" s="299"/>
      <c r="K359" s="299"/>
      <c r="L359" s="299"/>
      <c r="M359" s="299"/>
      <c r="N359" s="229">
        <v>1</v>
      </c>
      <c r="O359" s="229">
        <v>1</v>
      </c>
      <c r="P359" s="229">
        <v>1</v>
      </c>
      <c r="Q359" s="272">
        <v>1</v>
      </c>
      <c r="R359" s="256">
        <f t="shared" si="32"/>
        <v>1</v>
      </c>
      <c r="S359" s="256">
        <f t="shared" si="32"/>
        <v>1</v>
      </c>
      <c r="T359" s="256">
        <f t="shared" si="32"/>
        <v>1</v>
      </c>
      <c r="U359" s="216"/>
      <c r="V359" s="216"/>
    </row>
    <row r="360" spans="1:22" s="140" customFormat="1" ht="25.5" hidden="1" outlineLevel="3">
      <c r="A360" s="216"/>
      <c r="B360" s="255" t="s">
        <v>545</v>
      </c>
      <c r="C360" s="290" t="s">
        <v>262</v>
      </c>
      <c r="D360" s="227" t="s">
        <v>256</v>
      </c>
      <c r="E360" s="241"/>
      <c r="F360" s="228">
        <f t="shared" si="31"/>
        <v>5.8127274059616978E-2</v>
      </c>
      <c r="G360" s="269">
        <f>+F360*G344</f>
        <v>8.1570409743422399E-5</v>
      </c>
      <c r="H360" s="299"/>
      <c r="I360" s="299"/>
      <c r="J360" s="299"/>
      <c r="K360" s="299"/>
      <c r="L360" s="299"/>
      <c r="M360" s="299"/>
      <c r="N360" s="229">
        <v>1</v>
      </c>
      <c r="O360" s="229">
        <v>1</v>
      </c>
      <c r="P360" s="229">
        <v>1</v>
      </c>
      <c r="Q360" s="272">
        <v>1</v>
      </c>
      <c r="R360" s="256">
        <f t="shared" si="32"/>
        <v>1</v>
      </c>
      <c r="S360" s="256">
        <f t="shared" si="32"/>
        <v>1</v>
      </c>
      <c r="T360" s="256">
        <f t="shared" si="32"/>
        <v>1</v>
      </c>
      <c r="U360" s="216"/>
      <c r="V360" s="216"/>
    </row>
    <row r="361" spans="1:22" s="140" customFormat="1" ht="25.5" hidden="1" outlineLevel="3">
      <c r="A361" s="216"/>
      <c r="B361" s="255" t="s">
        <v>546</v>
      </c>
      <c r="C361" s="290" t="s">
        <v>264</v>
      </c>
      <c r="D361" s="227" t="s">
        <v>256</v>
      </c>
      <c r="E361" s="241"/>
      <c r="F361" s="228">
        <f t="shared" si="31"/>
        <v>5.8127274059616978E-2</v>
      </c>
      <c r="G361" s="269">
        <f>+F361*G344</f>
        <v>8.1570409743422399E-5</v>
      </c>
      <c r="H361" s="299"/>
      <c r="I361" s="299"/>
      <c r="J361" s="299"/>
      <c r="K361" s="299"/>
      <c r="L361" s="299"/>
      <c r="M361" s="299"/>
      <c r="N361" s="229">
        <v>1</v>
      </c>
      <c r="O361" s="229">
        <v>1</v>
      </c>
      <c r="P361" s="229">
        <v>1</v>
      </c>
      <c r="Q361" s="272">
        <v>1</v>
      </c>
      <c r="R361" s="256">
        <f t="shared" si="32"/>
        <v>1</v>
      </c>
      <c r="S361" s="256">
        <f t="shared" si="32"/>
        <v>1</v>
      </c>
      <c r="T361" s="256">
        <f t="shared" si="32"/>
        <v>1</v>
      </c>
      <c r="U361" s="216"/>
      <c r="V361" s="216"/>
    </row>
    <row r="362" spans="1:22" s="140" customFormat="1" ht="25.5" hidden="1" outlineLevel="3">
      <c r="A362" s="216"/>
      <c r="B362" s="255" t="s">
        <v>547</v>
      </c>
      <c r="C362" s="290" t="s">
        <v>266</v>
      </c>
      <c r="D362" s="227" t="s">
        <v>256</v>
      </c>
      <c r="E362" s="241"/>
      <c r="F362" s="228">
        <f t="shared" si="31"/>
        <v>5.8127274059616978E-2</v>
      </c>
      <c r="G362" s="269">
        <f>+F362*G344</f>
        <v>8.1570409743422399E-5</v>
      </c>
      <c r="H362" s="299"/>
      <c r="I362" s="299"/>
      <c r="J362" s="299"/>
      <c r="K362" s="299"/>
      <c r="L362" s="299"/>
      <c r="M362" s="299"/>
      <c r="N362" s="229">
        <v>1</v>
      </c>
      <c r="O362" s="229">
        <v>1</v>
      </c>
      <c r="P362" s="229">
        <v>1</v>
      </c>
      <c r="Q362" s="272">
        <v>1</v>
      </c>
      <c r="R362" s="256">
        <f t="shared" si="32"/>
        <v>1</v>
      </c>
      <c r="S362" s="256">
        <f t="shared" si="32"/>
        <v>1</v>
      </c>
      <c r="T362" s="256">
        <f t="shared" si="32"/>
        <v>1</v>
      </c>
      <c r="U362" s="216"/>
      <c r="V362" s="216"/>
    </row>
    <row r="363" spans="1:22" s="140" customFormat="1" ht="25.5" hidden="1" outlineLevel="3">
      <c r="A363" s="216"/>
      <c r="B363" s="255" t="s">
        <v>548</v>
      </c>
      <c r="C363" s="290" t="s">
        <v>268</v>
      </c>
      <c r="D363" s="227" t="s">
        <v>256</v>
      </c>
      <c r="E363" s="241"/>
      <c r="F363" s="228">
        <f t="shared" si="31"/>
        <v>5.8127274059616978E-2</v>
      </c>
      <c r="G363" s="269">
        <f>+F363*G344</f>
        <v>8.1570409743422399E-5</v>
      </c>
      <c r="H363" s="299"/>
      <c r="I363" s="299"/>
      <c r="J363" s="299"/>
      <c r="K363" s="299"/>
      <c r="L363" s="299"/>
      <c r="M363" s="299"/>
      <c r="N363" s="229">
        <v>1</v>
      </c>
      <c r="O363" s="229">
        <v>1</v>
      </c>
      <c r="P363" s="229">
        <v>1</v>
      </c>
      <c r="Q363" s="272">
        <v>1</v>
      </c>
      <c r="R363" s="256">
        <f t="shared" si="32"/>
        <v>1</v>
      </c>
      <c r="S363" s="256">
        <f t="shared" si="32"/>
        <v>1</v>
      </c>
      <c r="T363" s="256">
        <f t="shared" si="32"/>
        <v>1</v>
      </c>
      <c r="U363" s="216"/>
      <c r="V363" s="216"/>
    </row>
    <row r="364" spans="1:22" s="140" customFormat="1" ht="25.5" hidden="1" outlineLevel="3">
      <c r="A364" s="216"/>
      <c r="B364" s="255" t="s">
        <v>549</v>
      </c>
      <c r="C364" s="290" t="s">
        <v>270</v>
      </c>
      <c r="D364" s="227" t="s">
        <v>256</v>
      </c>
      <c r="E364" s="241"/>
      <c r="F364" s="228">
        <f t="shared" si="31"/>
        <v>5.8127274062295807E-2</v>
      </c>
      <c r="G364" s="269">
        <f>+F364*G344</f>
        <v>8.1570409747181626E-5</v>
      </c>
      <c r="H364" s="299"/>
      <c r="I364" s="299"/>
      <c r="J364" s="299"/>
      <c r="K364" s="299"/>
      <c r="L364" s="299"/>
      <c r="M364" s="299"/>
      <c r="N364" s="229">
        <v>1</v>
      </c>
      <c r="O364" s="229">
        <v>1</v>
      </c>
      <c r="P364" s="229">
        <v>1</v>
      </c>
      <c r="Q364" s="272">
        <v>1</v>
      </c>
      <c r="R364" s="256">
        <f t="shared" si="32"/>
        <v>1</v>
      </c>
      <c r="S364" s="256">
        <f t="shared" si="32"/>
        <v>1</v>
      </c>
      <c r="T364" s="256">
        <f t="shared" si="32"/>
        <v>1</v>
      </c>
      <c r="U364" s="216"/>
      <c r="V364" s="216"/>
    </row>
    <row r="365" spans="1:22" s="140" customFormat="1" ht="25.5" hidden="1" outlineLevel="2">
      <c r="A365" s="216"/>
      <c r="B365" s="291" t="s">
        <v>550</v>
      </c>
      <c r="C365" s="292" t="s">
        <v>35</v>
      </c>
      <c r="D365" s="234" t="s">
        <v>33</v>
      </c>
      <c r="E365" s="240"/>
      <c r="F365" s="223">
        <f t="shared" si="31"/>
        <v>0.23125330456717236</v>
      </c>
      <c r="G365" s="293">
        <f>+F365*G343</f>
        <v>1.6867056211666033E-3</v>
      </c>
      <c r="H365" s="298"/>
      <c r="I365" s="298"/>
      <c r="J365" s="298"/>
      <c r="K365" s="298"/>
      <c r="L365" s="298"/>
      <c r="M365" s="298"/>
      <c r="N365" s="224">
        <f>+SUMPRODUCT($F366:$F391,N366:N391)</f>
        <v>0.99999999999999956</v>
      </c>
      <c r="O365" s="224">
        <f>+SUMPRODUCT($F366:$F391,O366:O391)</f>
        <v>0.99999999999999956</v>
      </c>
      <c r="P365" s="224">
        <f>+SUMPRODUCT($F366:$F391,P366:P391)</f>
        <v>0.99999999999999956</v>
      </c>
      <c r="Q365" s="270">
        <f>+SUMPRODUCT($F366:$F391,Q366:Q391)</f>
        <v>0.99999999999999956</v>
      </c>
      <c r="R365" s="254">
        <f t="shared" si="32"/>
        <v>1</v>
      </c>
      <c r="S365" s="254">
        <f t="shared" si="32"/>
        <v>1</v>
      </c>
      <c r="T365" s="254">
        <f t="shared" si="32"/>
        <v>1</v>
      </c>
      <c r="U365" s="216"/>
      <c r="V365" s="216"/>
    </row>
    <row r="366" spans="1:22" s="140" customFormat="1" ht="25.5" hidden="1" outlineLevel="3">
      <c r="A366" s="216"/>
      <c r="B366" s="255" t="s">
        <v>551</v>
      </c>
      <c r="C366" s="290" t="s">
        <v>230</v>
      </c>
      <c r="D366" s="227" t="s">
        <v>231</v>
      </c>
      <c r="E366" s="241"/>
      <c r="F366" s="228">
        <f t="shared" si="31"/>
        <v>3.6801995565609057E-2</v>
      </c>
      <c r="G366" s="269">
        <f>+F366*G365</f>
        <v>6.20741327906612E-5</v>
      </c>
      <c r="H366" s="299"/>
      <c r="I366" s="299"/>
      <c r="J366" s="299"/>
      <c r="K366" s="299"/>
      <c r="L366" s="299"/>
      <c r="M366" s="299"/>
      <c r="N366" s="229">
        <v>1</v>
      </c>
      <c r="O366" s="229">
        <v>1</v>
      </c>
      <c r="P366" s="229">
        <v>1</v>
      </c>
      <c r="Q366" s="272">
        <v>1</v>
      </c>
      <c r="R366" s="256">
        <f t="shared" si="32"/>
        <v>1</v>
      </c>
      <c r="S366" s="256">
        <f t="shared" si="32"/>
        <v>1</v>
      </c>
      <c r="T366" s="256">
        <f t="shared" si="32"/>
        <v>1</v>
      </c>
      <c r="U366" s="216"/>
      <c r="V366" s="216"/>
    </row>
    <row r="367" spans="1:22" s="140" customFormat="1" ht="25.5" hidden="1" outlineLevel="3">
      <c r="A367" s="216"/>
      <c r="B367" s="255" t="s">
        <v>552</v>
      </c>
      <c r="C367" s="290" t="s">
        <v>233</v>
      </c>
      <c r="D367" s="227" t="s">
        <v>231</v>
      </c>
      <c r="E367" s="241"/>
      <c r="F367" s="228">
        <f t="shared" si="31"/>
        <v>3.6801995565609057E-2</v>
      </c>
      <c r="G367" s="269">
        <f>+F367*G365</f>
        <v>6.20741327906612E-5</v>
      </c>
      <c r="H367" s="299"/>
      <c r="I367" s="299"/>
      <c r="J367" s="299"/>
      <c r="K367" s="299"/>
      <c r="L367" s="299"/>
      <c r="M367" s="299"/>
      <c r="N367" s="229">
        <v>1</v>
      </c>
      <c r="O367" s="229">
        <v>1</v>
      </c>
      <c r="P367" s="229">
        <v>1</v>
      </c>
      <c r="Q367" s="272">
        <v>1</v>
      </c>
      <c r="R367" s="256">
        <f t="shared" si="32"/>
        <v>1</v>
      </c>
      <c r="S367" s="256">
        <f t="shared" si="32"/>
        <v>1</v>
      </c>
      <c r="T367" s="256">
        <f t="shared" si="32"/>
        <v>1</v>
      </c>
      <c r="U367" s="216"/>
      <c r="V367" s="216"/>
    </row>
    <row r="368" spans="1:22" s="140" customFormat="1" ht="25.5" hidden="1" outlineLevel="3">
      <c r="A368" s="216"/>
      <c r="B368" s="255" t="s">
        <v>553</v>
      </c>
      <c r="C368" s="290" t="s">
        <v>235</v>
      </c>
      <c r="D368" s="227" t="s">
        <v>231</v>
      </c>
      <c r="E368" s="241"/>
      <c r="F368" s="228">
        <f t="shared" si="31"/>
        <v>3.6801995565609057E-2</v>
      </c>
      <c r="G368" s="269">
        <f>+F368*G365</f>
        <v>6.20741327906612E-5</v>
      </c>
      <c r="H368" s="299"/>
      <c r="I368" s="299"/>
      <c r="J368" s="299"/>
      <c r="K368" s="299"/>
      <c r="L368" s="299"/>
      <c r="M368" s="299"/>
      <c r="N368" s="229">
        <v>1</v>
      </c>
      <c r="O368" s="229">
        <v>1</v>
      </c>
      <c r="P368" s="229">
        <v>1</v>
      </c>
      <c r="Q368" s="272">
        <v>1</v>
      </c>
      <c r="R368" s="256">
        <f t="shared" si="32"/>
        <v>1</v>
      </c>
      <c r="S368" s="256">
        <f t="shared" si="32"/>
        <v>1</v>
      </c>
      <c r="T368" s="256">
        <f t="shared" si="32"/>
        <v>1</v>
      </c>
      <c r="U368" s="216"/>
      <c r="V368" s="216"/>
    </row>
    <row r="369" spans="1:22" s="140" customFormat="1" ht="25.5" hidden="1" outlineLevel="3">
      <c r="A369" s="216"/>
      <c r="B369" s="255" t="s">
        <v>554</v>
      </c>
      <c r="C369" s="290" t="s">
        <v>237</v>
      </c>
      <c r="D369" s="227" t="s">
        <v>231</v>
      </c>
      <c r="E369" s="241"/>
      <c r="F369" s="228">
        <f t="shared" si="31"/>
        <v>3.6801995565609057E-2</v>
      </c>
      <c r="G369" s="269">
        <f>+F369*G365</f>
        <v>6.20741327906612E-5</v>
      </c>
      <c r="H369" s="299"/>
      <c r="I369" s="299"/>
      <c r="J369" s="299"/>
      <c r="K369" s="299"/>
      <c r="L369" s="299"/>
      <c r="M369" s="299"/>
      <c r="N369" s="229">
        <v>1</v>
      </c>
      <c r="O369" s="229">
        <v>1</v>
      </c>
      <c r="P369" s="229">
        <v>1</v>
      </c>
      <c r="Q369" s="272">
        <v>1</v>
      </c>
      <c r="R369" s="256">
        <f t="shared" si="32"/>
        <v>1</v>
      </c>
      <c r="S369" s="256">
        <f t="shared" si="32"/>
        <v>1</v>
      </c>
      <c r="T369" s="256">
        <f t="shared" si="32"/>
        <v>1</v>
      </c>
      <c r="U369" s="216"/>
      <c r="V369" s="216"/>
    </row>
    <row r="370" spans="1:22" s="140" customFormat="1" ht="25.5" hidden="1" outlineLevel="3">
      <c r="A370" s="216"/>
      <c r="B370" s="255" t="s">
        <v>555</v>
      </c>
      <c r="C370" s="290" t="s">
        <v>239</v>
      </c>
      <c r="D370" s="227" t="s">
        <v>231</v>
      </c>
      <c r="E370" s="241"/>
      <c r="F370" s="228">
        <f t="shared" si="31"/>
        <v>3.6801995565609057E-2</v>
      </c>
      <c r="G370" s="269">
        <f>+F370*G365</f>
        <v>6.20741327906612E-5</v>
      </c>
      <c r="H370" s="299"/>
      <c r="I370" s="299"/>
      <c r="J370" s="299"/>
      <c r="K370" s="299"/>
      <c r="L370" s="299"/>
      <c r="M370" s="299"/>
      <c r="N370" s="229">
        <v>1</v>
      </c>
      <c r="O370" s="229">
        <v>1</v>
      </c>
      <c r="P370" s="229">
        <v>1</v>
      </c>
      <c r="Q370" s="272">
        <v>1</v>
      </c>
      <c r="R370" s="256">
        <f t="shared" si="32"/>
        <v>1</v>
      </c>
      <c r="S370" s="256">
        <f t="shared" si="32"/>
        <v>1</v>
      </c>
      <c r="T370" s="256">
        <f t="shared" si="32"/>
        <v>1</v>
      </c>
      <c r="U370" s="216"/>
      <c r="V370" s="216"/>
    </row>
    <row r="371" spans="1:22" s="140" customFormat="1" ht="25.5" hidden="1" outlineLevel="3">
      <c r="A371" s="216"/>
      <c r="B371" s="255" t="s">
        <v>556</v>
      </c>
      <c r="C371" s="290" t="s">
        <v>241</v>
      </c>
      <c r="D371" s="227" t="s">
        <v>231</v>
      </c>
      <c r="E371" s="241"/>
      <c r="F371" s="228">
        <f t="shared" si="31"/>
        <v>3.6801995565609057E-2</v>
      </c>
      <c r="G371" s="269">
        <f>+F371*G365</f>
        <v>6.20741327906612E-5</v>
      </c>
      <c r="H371" s="299"/>
      <c r="I371" s="299"/>
      <c r="J371" s="299"/>
      <c r="K371" s="299"/>
      <c r="L371" s="299"/>
      <c r="M371" s="299"/>
      <c r="N371" s="229">
        <v>1</v>
      </c>
      <c r="O371" s="229">
        <v>1</v>
      </c>
      <c r="P371" s="229">
        <v>1</v>
      </c>
      <c r="Q371" s="272">
        <v>1</v>
      </c>
      <c r="R371" s="256">
        <f t="shared" si="32"/>
        <v>1</v>
      </c>
      <c r="S371" s="256">
        <f t="shared" si="32"/>
        <v>1</v>
      </c>
      <c r="T371" s="256">
        <f t="shared" si="32"/>
        <v>1</v>
      </c>
      <c r="U371" s="216"/>
      <c r="V371" s="216"/>
    </row>
    <row r="372" spans="1:22" s="140" customFormat="1" ht="25.5" hidden="1" outlineLevel="3">
      <c r="A372" s="216"/>
      <c r="B372" s="255" t="s">
        <v>557</v>
      </c>
      <c r="C372" s="290" t="s">
        <v>243</v>
      </c>
      <c r="D372" s="227" t="s">
        <v>231</v>
      </c>
      <c r="E372" s="241"/>
      <c r="F372" s="228">
        <f t="shared" si="31"/>
        <v>3.6801995565609057E-2</v>
      </c>
      <c r="G372" s="269">
        <f>+F372*G365</f>
        <v>6.20741327906612E-5</v>
      </c>
      <c r="H372" s="299"/>
      <c r="I372" s="299"/>
      <c r="J372" s="299"/>
      <c r="K372" s="299"/>
      <c r="L372" s="299"/>
      <c r="M372" s="299"/>
      <c r="N372" s="229">
        <v>1</v>
      </c>
      <c r="O372" s="229">
        <v>1</v>
      </c>
      <c r="P372" s="229">
        <v>1</v>
      </c>
      <c r="Q372" s="272">
        <v>1</v>
      </c>
      <c r="R372" s="256">
        <f t="shared" si="32"/>
        <v>1</v>
      </c>
      <c r="S372" s="256">
        <f t="shared" si="32"/>
        <v>1</v>
      </c>
      <c r="T372" s="256">
        <f t="shared" si="32"/>
        <v>1</v>
      </c>
      <c r="U372" s="216"/>
      <c r="V372" s="216"/>
    </row>
    <row r="373" spans="1:22" s="140" customFormat="1" ht="25.5" hidden="1" outlineLevel="3">
      <c r="A373" s="216"/>
      <c r="B373" s="255" t="s">
        <v>558</v>
      </c>
      <c r="C373" s="290" t="s">
        <v>245</v>
      </c>
      <c r="D373" s="227" t="s">
        <v>231</v>
      </c>
      <c r="E373" s="241"/>
      <c r="F373" s="228">
        <f t="shared" si="31"/>
        <v>3.6801995565609057E-2</v>
      </c>
      <c r="G373" s="269">
        <f>+F373*G365</f>
        <v>6.20741327906612E-5</v>
      </c>
      <c r="H373" s="299"/>
      <c r="I373" s="299"/>
      <c r="J373" s="299"/>
      <c r="K373" s="299"/>
      <c r="L373" s="299"/>
      <c r="M373" s="299"/>
      <c r="N373" s="229">
        <v>1</v>
      </c>
      <c r="O373" s="229">
        <v>1</v>
      </c>
      <c r="P373" s="229">
        <v>1</v>
      </c>
      <c r="Q373" s="272">
        <v>1</v>
      </c>
      <c r="R373" s="256">
        <f t="shared" si="32"/>
        <v>1</v>
      </c>
      <c r="S373" s="256">
        <f t="shared" si="32"/>
        <v>1</v>
      </c>
      <c r="T373" s="256">
        <f t="shared" si="32"/>
        <v>1</v>
      </c>
      <c r="U373" s="216"/>
      <c r="V373" s="216"/>
    </row>
    <row r="374" spans="1:22" s="140" customFormat="1" ht="25.5" hidden="1" outlineLevel="3">
      <c r="A374" s="216"/>
      <c r="B374" s="255" t="s">
        <v>559</v>
      </c>
      <c r="C374" s="290" t="s">
        <v>247</v>
      </c>
      <c r="D374" s="227" t="s">
        <v>231</v>
      </c>
      <c r="E374" s="241"/>
      <c r="F374" s="228">
        <f t="shared" si="31"/>
        <v>3.6801995565609057E-2</v>
      </c>
      <c r="G374" s="269">
        <f>+F374*G365</f>
        <v>6.20741327906612E-5</v>
      </c>
      <c r="H374" s="299"/>
      <c r="I374" s="299"/>
      <c r="J374" s="299"/>
      <c r="K374" s="299"/>
      <c r="L374" s="299"/>
      <c r="M374" s="299"/>
      <c r="N374" s="229">
        <v>1</v>
      </c>
      <c r="O374" s="229">
        <v>1</v>
      </c>
      <c r="P374" s="229">
        <v>1</v>
      </c>
      <c r="Q374" s="272">
        <v>1</v>
      </c>
      <c r="R374" s="256">
        <f t="shared" si="32"/>
        <v>1</v>
      </c>
      <c r="S374" s="256">
        <f t="shared" si="32"/>
        <v>1</v>
      </c>
      <c r="T374" s="256">
        <f t="shared" si="32"/>
        <v>1</v>
      </c>
      <c r="U374" s="216"/>
      <c r="V374" s="216"/>
    </row>
    <row r="375" spans="1:22" s="140" customFormat="1" ht="25.5" hidden="1" outlineLevel="3">
      <c r="A375" s="216"/>
      <c r="B375" s="255" t="s">
        <v>560</v>
      </c>
      <c r="C375" s="290" t="s">
        <v>249</v>
      </c>
      <c r="D375" s="227" t="s">
        <v>231</v>
      </c>
      <c r="E375" s="241"/>
      <c r="F375" s="228">
        <f t="shared" si="31"/>
        <v>3.6801995565609057E-2</v>
      </c>
      <c r="G375" s="269">
        <f>+F375*G365</f>
        <v>6.20741327906612E-5</v>
      </c>
      <c r="H375" s="299"/>
      <c r="I375" s="299"/>
      <c r="J375" s="299"/>
      <c r="K375" s="299"/>
      <c r="L375" s="299"/>
      <c r="M375" s="299"/>
      <c r="N375" s="229">
        <v>1</v>
      </c>
      <c r="O375" s="229">
        <v>1</v>
      </c>
      <c r="P375" s="229">
        <v>1</v>
      </c>
      <c r="Q375" s="272">
        <v>1</v>
      </c>
      <c r="R375" s="256">
        <f t="shared" si="32"/>
        <v>1</v>
      </c>
      <c r="S375" s="256">
        <f t="shared" si="32"/>
        <v>1</v>
      </c>
      <c r="T375" s="256">
        <f t="shared" si="32"/>
        <v>1</v>
      </c>
      <c r="U375" s="216"/>
      <c r="V375" s="216"/>
    </row>
    <row r="376" spans="1:22" s="140" customFormat="1" ht="25.5" hidden="1" outlineLevel="3">
      <c r="A376" s="216"/>
      <c r="B376" s="255" t="s">
        <v>561</v>
      </c>
      <c r="C376" s="290" t="s">
        <v>251</v>
      </c>
      <c r="D376" s="227" t="s">
        <v>231</v>
      </c>
      <c r="E376" s="241"/>
      <c r="F376" s="228">
        <f t="shared" si="31"/>
        <v>3.6801995565609057E-2</v>
      </c>
      <c r="G376" s="269">
        <f>+F376*G365</f>
        <v>6.20741327906612E-5</v>
      </c>
      <c r="H376" s="299"/>
      <c r="I376" s="299"/>
      <c r="J376" s="299"/>
      <c r="K376" s="299"/>
      <c r="L376" s="299"/>
      <c r="M376" s="299"/>
      <c r="N376" s="229">
        <v>1</v>
      </c>
      <c r="O376" s="229">
        <v>1</v>
      </c>
      <c r="P376" s="229">
        <v>1</v>
      </c>
      <c r="Q376" s="272">
        <v>1</v>
      </c>
      <c r="R376" s="256">
        <f t="shared" si="32"/>
        <v>1</v>
      </c>
      <c r="S376" s="256">
        <f t="shared" si="32"/>
        <v>1</v>
      </c>
      <c r="T376" s="256">
        <f t="shared" si="32"/>
        <v>1</v>
      </c>
      <c r="U376" s="216"/>
      <c r="V376" s="216"/>
    </row>
    <row r="377" spans="1:22" s="140" customFormat="1" ht="25.5" hidden="1" outlineLevel="3">
      <c r="A377" s="216"/>
      <c r="B377" s="255" t="s">
        <v>562</v>
      </c>
      <c r="C377" s="290" t="s">
        <v>253</v>
      </c>
      <c r="D377" s="227" t="s">
        <v>231</v>
      </c>
      <c r="E377" s="241"/>
      <c r="F377" s="228">
        <f t="shared" si="31"/>
        <v>3.6801995565609057E-2</v>
      </c>
      <c r="G377" s="269">
        <f>+F377*G365</f>
        <v>6.20741327906612E-5</v>
      </c>
      <c r="H377" s="299"/>
      <c r="I377" s="299"/>
      <c r="J377" s="299"/>
      <c r="K377" s="299"/>
      <c r="L377" s="299"/>
      <c r="M377" s="299"/>
      <c r="N377" s="229">
        <v>1</v>
      </c>
      <c r="O377" s="229">
        <v>1</v>
      </c>
      <c r="P377" s="229">
        <v>1</v>
      </c>
      <c r="Q377" s="272">
        <v>1</v>
      </c>
      <c r="R377" s="256">
        <f t="shared" ref="R377:T408" si="33">+IF(N377=0,0,$Q377/N377)</f>
        <v>1</v>
      </c>
      <c r="S377" s="256">
        <f t="shared" si="33"/>
        <v>1</v>
      </c>
      <c r="T377" s="256">
        <f t="shared" si="33"/>
        <v>1</v>
      </c>
      <c r="U377" s="216"/>
      <c r="V377" s="216"/>
    </row>
    <row r="378" spans="1:22" s="140" customFormat="1" ht="25.5" hidden="1" outlineLevel="3">
      <c r="A378" s="216"/>
      <c r="B378" s="255" t="s">
        <v>563</v>
      </c>
      <c r="C378" s="290" t="s">
        <v>285</v>
      </c>
      <c r="D378" s="227" t="s">
        <v>231</v>
      </c>
      <c r="E378" s="241"/>
      <c r="F378" s="228">
        <f t="shared" si="31"/>
        <v>3.6801995565609057E-2</v>
      </c>
      <c r="G378" s="269">
        <f>+F378*G365</f>
        <v>6.20741327906612E-5</v>
      </c>
      <c r="H378" s="299"/>
      <c r="I378" s="299"/>
      <c r="J378" s="299"/>
      <c r="K378" s="299"/>
      <c r="L378" s="299"/>
      <c r="M378" s="299"/>
      <c r="N378" s="229">
        <v>1</v>
      </c>
      <c r="O378" s="229">
        <v>1</v>
      </c>
      <c r="P378" s="229">
        <v>1</v>
      </c>
      <c r="Q378" s="272">
        <v>1</v>
      </c>
      <c r="R378" s="256">
        <f t="shared" si="33"/>
        <v>1</v>
      </c>
      <c r="S378" s="256">
        <f t="shared" si="33"/>
        <v>1</v>
      </c>
      <c r="T378" s="256">
        <f t="shared" si="33"/>
        <v>1</v>
      </c>
      <c r="U378" s="216"/>
      <c r="V378" s="216"/>
    </row>
    <row r="379" spans="1:22" s="140" customFormat="1" ht="25.5" hidden="1" outlineLevel="3">
      <c r="A379" s="216"/>
      <c r="B379" s="255" t="s">
        <v>564</v>
      </c>
      <c r="C379" s="290" t="s">
        <v>287</v>
      </c>
      <c r="D379" s="227" t="s">
        <v>231</v>
      </c>
      <c r="E379" s="241"/>
      <c r="F379" s="228">
        <f t="shared" si="31"/>
        <v>3.6801995565609057E-2</v>
      </c>
      <c r="G379" s="269">
        <f>+F379*G365</f>
        <v>6.20741327906612E-5</v>
      </c>
      <c r="H379" s="299"/>
      <c r="I379" s="299"/>
      <c r="J379" s="299"/>
      <c r="K379" s="299"/>
      <c r="L379" s="299"/>
      <c r="M379" s="299"/>
      <c r="N379" s="229">
        <v>1</v>
      </c>
      <c r="O379" s="229">
        <v>1</v>
      </c>
      <c r="P379" s="229">
        <v>1</v>
      </c>
      <c r="Q379" s="272">
        <v>1</v>
      </c>
      <c r="R379" s="256">
        <f t="shared" si="33"/>
        <v>1</v>
      </c>
      <c r="S379" s="256">
        <f t="shared" si="33"/>
        <v>1</v>
      </c>
      <c r="T379" s="256">
        <f t="shared" si="33"/>
        <v>1</v>
      </c>
      <c r="U379" s="216"/>
      <c r="V379" s="216"/>
    </row>
    <row r="380" spans="1:22" s="140" customFormat="1" ht="25.5" hidden="1" outlineLevel="3">
      <c r="A380" s="216"/>
      <c r="B380" s="255" t="s">
        <v>565</v>
      </c>
      <c r="C380" s="290" t="s">
        <v>289</v>
      </c>
      <c r="D380" s="227" t="s">
        <v>231</v>
      </c>
      <c r="E380" s="241"/>
      <c r="F380" s="228">
        <f t="shared" si="31"/>
        <v>3.6801995565609057E-2</v>
      </c>
      <c r="G380" s="269">
        <f>+F380*G365</f>
        <v>6.20741327906612E-5</v>
      </c>
      <c r="H380" s="299"/>
      <c r="I380" s="299"/>
      <c r="J380" s="299"/>
      <c r="K380" s="299"/>
      <c r="L380" s="299"/>
      <c r="M380" s="299"/>
      <c r="N380" s="229">
        <v>1</v>
      </c>
      <c r="O380" s="229">
        <v>1</v>
      </c>
      <c r="P380" s="229">
        <v>1</v>
      </c>
      <c r="Q380" s="272">
        <v>1</v>
      </c>
      <c r="R380" s="256">
        <f t="shared" si="33"/>
        <v>1</v>
      </c>
      <c r="S380" s="256">
        <f t="shared" si="33"/>
        <v>1</v>
      </c>
      <c r="T380" s="256">
        <f t="shared" si="33"/>
        <v>1</v>
      </c>
      <c r="U380" s="216"/>
      <c r="V380" s="216"/>
    </row>
    <row r="381" spans="1:22" s="140" customFormat="1" ht="25.5" hidden="1" outlineLevel="3">
      <c r="A381" s="216"/>
      <c r="B381" s="255" t="s">
        <v>566</v>
      </c>
      <c r="C381" s="290" t="s">
        <v>291</v>
      </c>
      <c r="D381" s="227" t="s">
        <v>231</v>
      </c>
      <c r="E381" s="241"/>
      <c r="F381" s="228">
        <f t="shared" si="31"/>
        <v>3.6801995565609057E-2</v>
      </c>
      <c r="G381" s="269">
        <f>+F381*G365</f>
        <v>6.20741327906612E-5</v>
      </c>
      <c r="H381" s="299"/>
      <c r="I381" s="299"/>
      <c r="J381" s="299"/>
      <c r="K381" s="299"/>
      <c r="L381" s="299"/>
      <c r="M381" s="299"/>
      <c r="N381" s="229">
        <v>1</v>
      </c>
      <c r="O381" s="229">
        <v>1</v>
      </c>
      <c r="P381" s="229">
        <v>1</v>
      </c>
      <c r="Q381" s="272">
        <v>1</v>
      </c>
      <c r="R381" s="256">
        <f t="shared" si="33"/>
        <v>1</v>
      </c>
      <c r="S381" s="256">
        <f t="shared" si="33"/>
        <v>1</v>
      </c>
      <c r="T381" s="256">
        <f t="shared" si="33"/>
        <v>1</v>
      </c>
      <c r="U381" s="216"/>
      <c r="V381" s="216"/>
    </row>
    <row r="382" spans="1:22" s="140" customFormat="1" ht="25.5" hidden="1" outlineLevel="3">
      <c r="A382" s="216"/>
      <c r="B382" s="255" t="s">
        <v>567</v>
      </c>
      <c r="C382" s="290" t="s">
        <v>293</v>
      </c>
      <c r="D382" s="227" t="s">
        <v>231</v>
      </c>
      <c r="E382" s="241"/>
      <c r="F382" s="228">
        <f t="shared" si="31"/>
        <v>3.6801995565609057E-2</v>
      </c>
      <c r="G382" s="269">
        <f>+F382*G365</f>
        <v>6.20741327906612E-5</v>
      </c>
      <c r="H382" s="299"/>
      <c r="I382" s="299"/>
      <c r="J382" s="299"/>
      <c r="K382" s="299"/>
      <c r="L382" s="299"/>
      <c r="M382" s="299"/>
      <c r="N382" s="229">
        <v>1</v>
      </c>
      <c r="O382" s="229">
        <v>1</v>
      </c>
      <c r="P382" s="229">
        <v>1</v>
      </c>
      <c r="Q382" s="272">
        <v>1</v>
      </c>
      <c r="R382" s="256">
        <f t="shared" si="33"/>
        <v>1</v>
      </c>
      <c r="S382" s="256">
        <f t="shared" si="33"/>
        <v>1</v>
      </c>
      <c r="T382" s="256">
        <f t="shared" si="33"/>
        <v>1</v>
      </c>
      <c r="U382" s="216"/>
      <c r="V382" s="216"/>
    </row>
    <row r="383" spans="1:22" s="140" customFormat="1" ht="25.5" hidden="1" outlineLevel="3">
      <c r="A383" s="216"/>
      <c r="B383" s="255" t="s">
        <v>568</v>
      </c>
      <c r="C383" s="290" t="s">
        <v>295</v>
      </c>
      <c r="D383" s="227" t="s">
        <v>231</v>
      </c>
      <c r="E383" s="241"/>
      <c r="F383" s="228">
        <f t="shared" si="31"/>
        <v>3.6801995565609057E-2</v>
      </c>
      <c r="G383" s="269">
        <f>+F383*G365</f>
        <v>6.20741327906612E-5</v>
      </c>
      <c r="H383" s="299"/>
      <c r="I383" s="299"/>
      <c r="J383" s="299"/>
      <c r="K383" s="299"/>
      <c r="L383" s="299"/>
      <c r="M383" s="299"/>
      <c r="N383" s="229">
        <v>1</v>
      </c>
      <c r="O383" s="229">
        <v>1</v>
      </c>
      <c r="P383" s="229">
        <v>1</v>
      </c>
      <c r="Q383" s="272">
        <v>1</v>
      </c>
      <c r="R383" s="256">
        <f t="shared" si="33"/>
        <v>1</v>
      </c>
      <c r="S383" s="256">
        <f t="shared" si="33"/>
        <v>1</v>
      </c>
      <c r="T383" s="256">
        <f t="shared" si="33"/>
        <v>1</v>
      </c>
      <c r="U383" s="216"/>
      <c r="V383" s="216"/>
    </row>
    <row r="384" spans="1:22" s="140" customFormat="1" ht="25.5" hidden="1" outlineLevel="3">
      <c r="A384" s="216"/>
      <c r="B384" s="255" t="s">
        <v>569</v>
      </c>
      <c r="C384" s="290" t="s">
        <v>297</v>
      </c>
      <c r="D384" s="227" t="s">
        <v>231</v>
      </c>
      <c r="E384" s="241"/>
      <c r="F384" s="228">
        <f t="shared" si="31"/>
        <v>3.6801995565609057E-2</v>
      </c>
      <c r="G384" s="269">
        <f>+F384*G365</f>
        <v>6.20741327906612E-5</v>
      </c>
      <c r="H384" s="299"/>
      <c r="I384" s="299"/>
      <c r="J384" s="299"/>
      <c r="K384" s="299"/>
      <c r="L384" s="299"/>
      <c r="M384" s="299"/>
      <c r="N384" s="229">
        <v>1</v>
      </c>
      <c r="O384" s="229">
        <v>1</v>
      </c>
      <c r="P384" s="229">
        <v>1</v>
      </c>
      <c r="Q384" s="272">
        <v>1</v>
      </c>
      <c r="R384" s="256">
        <f t="shared" si="33"/>
        <v>1</v>
      </c>
      <c r="S384" s="256">
        <f t="shared" si="33"/>
        <v>1</v>
      </c>
      <c r="T384" s="256">
        <f t="shared" si="33"/>
        <v>1</v>
      </c>
      <c r="U384" s="216"/>
      <c r="V384" s="216"/>
    </row>
    <row r="385" spans="1:22" s="140" customFormat="1" ht="25.5" hidden="1" outlineLevel="3">
      <c r="A385" s="216"/>
      <c r="B385" s="255" t="s">
        <v>570</v>
      </c>
      <c r="C385" s="290" t="s">
        <v>299</v>
      </c>
      <c r="D385" s="227" t="s">
        <v>231</v>
      </c>
      <c r="E385" s="241"/>
      <c r="F385" s="228">
        <f t="shared" si="31"/>
        <v>3.6801995565609057E-2</v>
      </c>
      <c r="G385" s="269">
        <f>+F385*G365</f>
        <v>6.20741327906612E-5</v>
      </c>
      <c r="H385" s="299"/>
      <c r="I385" s="299"/>
      <c r="J385" s="299"/>
      <c r="K385" s="299"/>
      <c r="L385" s="299"/>
      <c r="M385" s="299"/>
      <c r="N385" s="229">
        <v>1</v>
      </c>
      <c r="O385" s="229">
        <v>1</v>
      </c>
      <c r="P385" s="229">
        <v>1</v>
      </c>
      <c r="Q385" s="272">
        <v>1</v>
      </c>
      <c r="R385" s="256">
        <f t="shared" si="33"/>
        <v>1</v>
      </c>
      <c r="S385" s="256">
        <f t="shared" si="33"/>
        <v>1</v>
      </c>
      <c r="T385" s="256">
        <f t="shared" si="33"/>
        <v>1</v>
      </c>
      <c r="U385" s="216"/>
      <c r="V385" s="216"/>
    </row>
    <row r="386" spans="1:22" s="140" customFormat="1" ht="25.5" hidden="1" outlineLevel="3">
      <c r="A386" s="216"/>
      <c r="B386" s="255" t="s">
        <v>571</v>
      </c>
      <c r="C386" s="290" t="s">
        <v>301</v>
      </c>
      <c r="D386" s="227" t="s">
        <v>231</v>
      </c>
      <c r="E386" s="241"/>
      <c r="F386" s="228">
        <f t="shared" si="31"/>
        <v>3.6801995565609057E-2</v>
      </c>
      <c r="G386" s="269">
        <f>+F386*G365</f>
        <v>6.20741327906612E-5</v>
      </c>
      <c r="H386" s="299"/>
      <c r="I386" s="299"/>
      <c r="J386" s="299"/>
      <c r="K386" s="299"/>
      <c r="L386" s="299"/>
      <c r="M386" s="299"/>
      <c r="N386" s="229">
        <v>1</v>
      </c>
      <c r="O386" s="229">
        <v>1</v>
      </c>
      <c r="P386" s="229">
        <v>1</v>
      </c>
      <c r="Q386" s="272">
        <v>1</v>
      </c>
      <c r="R386" s="256">
        <f t="shared" si="33"/>
        <v>1</v>
      </c>
      <c r="S386" s="256">
        <f t="shared" si="33"/>
        <v>1</v>
      </c>
      <c r="T386" s="256">
        <f t="shared" si="33"/>
        <v>1</v>
      </c>
      <c r="U386" s="216"/>
      <c r="V386" s="216"/>
    </row>
    <row r="387" spans="1:22" s="140" customFormat="1" ht="25.5" hidden="1" outlineLevel="3">
      <c r="A387" s="216"/>
      <c r="B387" s="255" t="s">
        <v>572</v>
      </c>
      <c r="C387" s="290" t="s">
        <v>303</v>
      </c>
      <c r="D387" s="227" t="s">
        <v>231</v>
      </c>
      <c r="E387" s="241"/>
      <c r="F387" s="228">
        <f t="shared" si="31"/>
        <v>3.6801995565609057E-2</v>
      </c>
      <c r="G387" s="269">
        <f>+F387*G365</f>
        <v>6.20741327906612E-5</v>
      </c>
      <c r="H387" s="299"/>
      <c r="I387" s="299"/>
      <c r="J387" s="299"/>
      <c r="K387" s="299"/>
      <c r="L387" s="299"/>
      <c r="M387" s="299"/>
      <c r="N387" s="229">
        <v>1</v>
      </c>
      <c r="O387" s="229">
        <v>1</v>
      </c>
      <c r="P387" s="229">
        <v>1</v>
      </c>
      <c r="Q387" s="272">
        <v>1</v>
      </c>
      <c r="R387" s="256">
        <f t="shared" si="33"/>
        <v>1</v>
      </c>
      <c r="S387" s="256">
        <f t="shared" si="33"/>
        <v>1</v>
      </c>
      <c r="T387" s="256">
        <f t="shared" si="33"/>
        <v>1</v>
      </c>
      <c r="U387" s="216"/>
      <c r="V387" s="216"/>
    </row>
    <row r="388" spans="1:22" s="140" customFormat="1" ht="25.5" hidden="1" outlineLevel="3">
      <c r="A388" s="216"/>
      <c r="B388" s="255" t="s">
        <v>573</v>
      </c>
      <c r="C388" s="290" t="s">
        <v>255</v>
      </c>
      <c r="D388" s="227" t="s">
        <v>256</v>
      </c>
      <c r="E388" s="241"/>
      <c r="F388" s="228">
        <f t="shared" si="31"/>
        <v>4.7589024389150178E-2</v>
      </c>
      <c r="G388" s="269">
        <f>+F388*G365</f>
        <v>8.0268674943014182E-5</v>
      </c>
      <c r="H388" s="299"/>
      <c r="I388" s="299"/>
      <c r="J388" s="299"/>
      <c r="K388" s="299"/>
      <c r="L388" s="299"/>
      <c r="M388" s="299"/>
      <c r="N388" s="229">
        <v>1</v>
      </c>
      <c r="O388" s="229">
        <v>1</v>
      </c>
      <c r="P388" s="229">
        <v>1</v>
      </c>
      <c r="Q388" s="272">
        <v>1</v>
      </c>
      <c r="R388" s="256">
        <f t="shared" si="33"/>
        <v>1</v>
      </c>
      <c r="S388" s="256">
        <f t="shared" si="33"/>
        <v>1</v>
      </c>
      <c r="T388" s="256">
        <f t="shared" si="33"/>
        <v>1</v>
      </c>
      <c r="U388" s="216"/>
      <c r="V388" s="216"/>
    </row>
    <row r="389" spans="1:22" s="140" customFormat="1" ht="25.5" hidden="1" outlineLevel="3">
      <c r="A389" s="216"/>
      <c r="B389" s="255" t="s">
        <v>574</v>
      </c>
      <c r="C389" s="290" t="s">
        <v>258</v>
      </c>
      <c r="D389" s="227" t="s">
        <v>256</v>
      </c>
      <c r="E389" s="241"/>
      <c r="F389" s="228">
        <f t="shared" si="31"/>
        <v>4.7589024389150178E-2</v>
      </c>
      <c r="G389" s="269">
        <f>+F389*G365</f>
        <v>8.0268674943014182E-5</v>
      </c>
      <c r="H389" s="299"/>
      <c r="I389" s="299"/>
      <c r="J389" s="299"/>
      <c r="K389" s="299"/>
      <c r="L389" s="299"/>
      <c r="M389" s="299"/>
      <c r="N389" s="229">
        <v>1</v>
      </c>
      <c r="O389" s="229">
        <v>1</v>
      </c>
      <c r="P389" s="229">
        <v>1</v>
      </c>
      <c r="Q389" s="272">
        <v>1</v>
      </c>
      <c r="R389" s="256">
        <f t="shared" si="33"/>
        <v>1</v>
      </c>
      <c r="S389" s="256">
        <f t="shared" si="33"/>
        <v>1</v>
      </c>
      <c r="T389" s="256">
        <f t="shared" si="33"/>
        <v>1</v>
      </c>
      <c r="U389" s="216"/>
      <c r="V389" s="216"/>
    </row>
    <row r="390" spans="1:22" s="140" customFormat="1" ht="25.5" hidden="1" outlineLevel="3">
      <c r="A390" s="216"/>
      <c r="B390" s="255" t="s">
        <v>575</v>
      </c>
      <c r="C390" s="290" t="s">
        <v>260</v>
      </c>
      <c r="D390" s="227" t="s">
        <v>256</v>
      </c>
      <c r="E390" s="241"/>
      <c r="F390" s="228">
        <f t="shared" si="31"/>
        <v>4.7589024389150178E-2</v>
      </c>
      <c r="G390" s="269">
        <f>+F390*G365</f>
        <v>8.0268674943014182E-5</v>
      </c>
      <c r="H390" s="299"/>
      <c r="I390" s="299"/>
      <c r="J390" s="299"/>
      <c r="K390" s="299"/>
      <c r="L390" s="299"/>
      <c r="M390" s="299"/>
      <c r="N390" s="229">
        <v>1</v>
      </c>
      <c r="O390" s="229">
        <v>1</v>
      </c>
      <c r="P390" s="229">
        <v>1</v>
      </c>
      <c r="Q390" s="272">
        <v>1</v>
      </c>
      <c r="R390" s="256">
        <f t="shared" si="33"/>
        <v>1</v>
      </c>
      <c r="S390" s="256">
        <f t="shared" si="33"/>
        <v>1</v>
      </c>
      <c r="T390" s="256">
        <f t="shared" si="33"/>
        <v>1</v>
      </c>
      <c r="U390" s="216"/>
      <c r="V390" s="216"/>
    </row>
    <row r="391" spans="1:22" s="140" customFormat="1" ht="25.5" hidden="1" outlineLevel="3">
      <c r="A391" s="216"/>
      <c r="B391" s="255" t="s">
        <v>576</v>
      </c>
      <c r="C391" s="290" t="s">
        <v>262</v>
      </c>
      <c r="D391" s="227" t="s">
        <v>256</v>
      </c>
      <c r="E391" s="241"/>
      <c r="F391" s="228">
        <f t="shared" si="31"/>
        <v>4.7589024389150178E-2</v>
      </c>
      <c r="G391" s="269">
        <f>+F391*G365</f>
        <v>8.0268674943014182E-5</v>
      </c>
      <c r="H391" s="299"/>
      <c r="I391" s="299"/>
      <c r="J391" s="299"/>
      <c r="K391" s="299"/>
      <c r="L391" s="299"/>
      <c r="M391" s="299"/>
      <c r="N391" s="229">
        <v>1</v>
      </c>
      <c r="O391" s="229">
        <v>1</v>
      </c>
      <c r="P391" s="229">
        <v>1</v>
      </c>
      <c r="Q391" s="272">
        <v>1</v>
      </c>
      <c r="R391" s="256">
        <f t="shared" si="33"/>
        <v>1</v>
      </c>
      <c r="S391" s="256">
        <f t="shared" si="33"/>
        <v>1</v>
      </c>
      <c r="T391" s="256">
        <f t="shared" si="33"/>
        <v>1</v>
      </c>
      <c r="U391" s="216"/>
      <c r="V391" s="216"/>
    </row>
    <row r="392" spans="1:22" s="140" customFormat="1" ht="25.5" hidden="1" outlineLevel="2">
      <c r="A392" s="216"/>
      <c r="B392" s="291" t="s">
        <v>577</v>
      </c>
      <c r="C392" s="292" t="s">
        <v>37</v>
      </c>
      <c r="D392" s="234" t="s">
        <v>33</v>
      </c>
      <c r="E392" s="240"/>
      <c r="F392" s="223">
        <f t="shared" si="31"/>
        <v>9.0647549000068411E-2</v>
      </c>
      <c r="G392" s="293">
        <f>+F392*G343</f>
        <v>6.6116127823366414E-4</v>
      </c>
      <c r="H392" s="298"/>
      <c r="I392" s="298"/>
      <c r="J392" s="298"/>
      <c r="K392" s="298"/>
      <c r="L392" s="298"/>
      <c r="M392" s="298"/>
      <c r="N392" s="224">
        <f>+SUMPRODUCT($F393:$F403,N393:N403)</f>
        <v>1.0000000000000002</v>
      </c>
      <c r="O392" s="224">
        <f>+SUMPRODUCT($F393:$F403,O393:O403)</f>
        <v>1.0000000000000002</v>
      </c>
      <c r="P392" s="224">
        <f>+SUMPRODUCT($F393:$F403,P393:P403)</f>
        <v>1.0000000000000002</v>
      </c>
      <c r="Q392" s="270">
        <f>+SUMPRODUCT($F393:$F403,Q393:Q403)</f>
        <v>1.0000000000000002</v>
      </c>
      <c r="R392" s="254">
        <f t="shared" si="33"/>
        <v>1</v>
      </c>
      <c r="S392" s="254">
        <f t="shared" si="33"/>
        <v>1</v>
      </c>
      <c r="T392" s="254">
        <f t="shared" si="33"/>
        <v>1</v>
      </c>
      <c r="U392" s="216"/>
      <c r="V392" s="216"/>
    </row>
    <row r="393" spans="1:22" s="140" customFormat="1" ht="25.5" hidden="1" outlineLevel="3">
      <c r="A393" s="216"/>
      <c r="B393" s="255" t="s">
        <v>578</v>
      </c>
      <c r="C393" s="290" t="s">
        <v>230</v>
      </c>
      <c r="D393" s="227" t="s">
        <v>231</v>
      </c>
      <c r="E393" s="241"/>
      <c r="F393" s="228">
        <f t="shared" si="31"/>
        <v>9.0909090909090912E-2</v>
      </c>
      <c r="G393" s="269">
        <f>+F393*G392</f>
        <v>6.0105570748514925E-5</v>
      </c>
      <c r="H393" s="299"/>
      <c r="I393" s="299"/>
      <c r="J393" s="299"/>
      <c r="K393" s="299"/>
      <c r="L393" s="299"/>
      <c r="M393" s="299"/>
      <c r="N393" s="229">
        <v>1</v>
      </c>
      <c r="O393" s="229">
        <v>1</v>
      </c>
      <c r="P393" s="229">
        <v>1</v>
      </c>
      <c r="Q393" s="272">
        <v>1</v>
      </c>
      <c r="R393" s="256">
        <f t="shared" si="33"/>
        <v>1</v>
      </c>
      <c r="S393" s="256">
        <f t="shared" si="33"/>
        <v>1</v>
      </c>
      <c r="T393" s="256">
        <f t="shared" si="33"/>
        <v>1</v>
      </c>
      <c r="U393" s="216"/>
      <c r="V393" s="216"/>
    </row>
    <row r="394" spans="1:22" s="140" customFormat="1" ht="25.5" hidden="1" outlineLevel="3">
      <c r="A394" s="216"/>
      <c r="B394" s="255" t="s">
        <v>579</v>
      </c>
      <c r="C394" s="290" t="s">
        <v>233</v>
      </c>
      <c r="D394" s="227" t="s">
        <v>231</v>
      </c>
      <c r="E394" s="241"/>
      <c r="F394" s="228">
        <f t="shared" si="31"/>
        <v>9.0909090909090912E-2</v>
      </c>
      <c r="G394" s="269">
        <f>+F394*G392</f>
        <v>6.0105570748514925E-5</v>
      </c>
      <c r="H394" s="299"/>
      <c r="I394" s="299"/>
      <c r="J394" s="299"/>
      <c r="K394" s="299"/>
      <c r="L394" s="299"/>
      <c r="M394" s="299"/>
      <c r="N394" s="229">
        <v>1</v>
      </c>
      <c r="O394" s="229">
        <v>1</v>
      </c>
      <c r="P394" s="229">
        <v>1</v>
      </c>
      <c r="Q394" s="272">
        <v>1</v>
      </c>
      <c r="R394" s="256">
        <f t="shared" si="33"/>
        <v>1</v>
      </c>
      <c r="S394" s="256">
        <f t="shared" si="33"/>
        <v>1</v>
      </c>
      <c r="T394" s="256">
        <f t="shared" si="33"/>
        <v>1</v>
      </c>
      <c r="U394" s="216"/>
      <c r="V394" s="216"/>
    </row>
    <row r="395" spans="1:22" s="140" customFormat="1" ht="25.5" hidden="1" outlineLevel="3">
      <c r="A395" s="216"/>
      <c r="B395" s="255" t="s">
        <v>580</v>
      </c>
      <c r="C395" s="290" t="s">
        <v>235</v>
      </c>
      <c r="D395" s="227" t="s">
        <v>231</v>
      </c>
      <c r="E395" s="241"/>
      <c r="F395" s="228">
        <f t="shared" si="31"/>
        <v>9.0909090909090912E-2</v>
      </c>
      <c r="G395" s="269">
        <f>+F395*G392</f>
        <v>6.0105570748514925E-5</v>
      </c>
      <c r="H395" s="299"/>
      <c r="I395" s="299"/>
      <c r="J395" s="299"/>
      <c r="K395" s="299"/>
      <c r="L395" s="299"/>
      <c r="M395" s="299"/>
      <c r="N395" s="229">
        <v>1</v>
      </c>
      <c r="O395" s="229">
        <v>1</v>
      </c>
      <c r="P395" s="229">
        <v>1</v>
      </c>
      <c r="Q395" s="272">
        <v>1</v>
      </c>
      <c r="R395" s="256">
        <f t="shared" si="33"/>
        <v>1</v>
      </c>
      <c r="S395" s="256">
        <f t="shared" si="33"/>
        <v>1</v>
      </c>
      <c r="T395" s="256">
        <f t="shared" si="33"/>
        <v>1</v>
      </c>
      <c r="U395" s="216"/>
      <c r="V395" s="216"/>
    </row>
    <row r="396" spans="1:22" s="140" customFormat="1" ht="25.5" hidden="1" outlineLevel="3">
      <c r="A396" s="216"/>
      <c r="B396" s="255" t="s">
        <v>581</v>
      </c>
      <c r="C396" s="290" t="s">
        <v>237</v>
      </c>
      <c r="D396" s="227" t="s">
        <v>231</v>
      </c>
      <c r="E396" s="241"/>
      <c r="F396" s="228">
        <f t="shared" si="31"/>
        <v>9.0909090909090912E-2</v>
      </c>
      <c r="G396" s="269">
        <f>+F396*G392</f>
        <v>6.0105570748514925E-5</v>
      </c>
      <c r="H396" s="299"/>
      <c r="I396" s="299"/>
      <c r="J396" s="299"/>
      <c r="K396" s="299"/>
      <c r="L396" s="299"/>
      <c r="M396" s="299"/>
      <c r="N396" s="229">
        <v>1</v>
      </c>
      <c r="O396" s="229">
        <v>1</v>
      </c>
      <c r="P396" s="229">
        <v>1</v>
      </c>
      <c r="Q396" s="272">
        <v>1</v>
      </c>
      <c r="R396" s="256">
        <f t="shared" si="33"/>
        <v>1</v>
      </c>
      <c r="S396" s="256">
        <f t="shared" si="33"/>
        <v>1</v>
      </c>
      <c r="T396" s="256">
        <f t="shared" si="33"/>
        <v>1</v>
      </c>
      <c r="U396" s="216"/>
      <c r="V396" s="216"/>
    </row>
    <row r="397" spans="1:22" s="140" customFormat="1" ht="25.5" hidden="1" outlineLevel="3">
      <c r="A397" s="216"/>
      <c r="B397" s="255" t="s">
        <v>582</v>
      </c>
      <c r="C397" s="290" t="s">
        <v>239</v>
      </c>
      <c r="D397" s="227" t="s">
        <v>231</v>
      </c>
      <c r="E397" s="241"/>
      <c r="F397" s="228">
        <f t="shared" si="31"/>
        <v>9.0909090909090912E-2</v>
      </c>
      <c r="G397" s="269">
        <f>+F397*G392</f>
        <v>6.0105570748514925E-5</v>
      </c>
      <c r="H397" s="299"/>
      <c r="I397" s="299"/>
      <c r="J397" s="299"/>
      <c r="K397" s="299"/>
      <c r="L397" s="299"/>
      <c r="M397" s="299"/>
      <c r="N397" s="229">
        <v>1</v>
      </c>
      <c r="O397" s="229">
        <v>1</v>
      </c>
      <c r="P397" s="229">
        <v>1</v>
      </c>
      <c r="Q397" s="272">
        <v>1</v>
      </c>
      <c r="R397" s="256">
        <f t="shared" si="33"/>
        <v>1</v>
      </c>
      <c r="S397" s="256">
        <f t="shared" si="33"/>
        <v>1</v>
      </c>
      <c r="T397" s="256">
        <f t="shared" si="33"/>
        <v>1</v>
      </c>
      <c r="U397" s="216"/>
      <c r="V397" s="216"/>
    </row>
    <row r="398" spans="1:22" s="140" customFormat="1" ht="25.5" hidden="1" outlineLevel="3">
      <c r="A398" s="216"/>
      <c r="B398" s="255" t="s">
        <v>583</v>
      </c>
      <c r="C398" s="290" t="s">
        <v>241</v>
      </c>
      <c r="D398" s="227" t="s">
        <v>231</v>
      </c>
      <c r="E398" s="241"/>
      <c r="F398" s="228">
        <f t="shared" si="31"/>
        <v>9.0909090909090912E-2</v>
      </c>
      <c r="G398" s="269">
        <f>+F398*G392</f>
        <v>6.0105570748514925E-5</v>
      </c>
      <c r="H398" s="299"/>
      <c r="I398" s="299"/>
      <c r="J398" s="299"/>
      <c r="K398" s="299"/>
      <c r="L398" s="299"/>
      <c r="M398" s="299"/>
      <c r="N398" s="229">
        <v>1</v>
      </c>
      <c r="O398" s="229">
        <v>1</v>
      </c>
      <c r="P398" s="229">
        <v>1</v>
      </c>
      <c r="Q398" s="272">
        <v>1</v>
      </c>
      <c r="R398" s="256">
        <f t="shared" si="33"/>
        <v>1</v>
      </c>
      <c r="S398" s="256">
        <f t="shared" si="33"/>
        <v>1</v>
      </c>
      <c r="T398" s="256">
        <f t="shared" si="33"/>
        <v>1</v>
      </c>
      <c r="U398" s="216"/>
      <c r="V398" s="216"/>
    </row>
    <row r="399" spans="1:22" s="140" customFormat="1" ht="25.5" hidden="1" outlineLevel="3">
      <c r="A399" s="216"/>
      <c r="B399" s="255" t="s">
        <v>584</v>
      </c>
      <c r="C399" s="290" t="s">
        <v>243</v>
      </c>
      <c r="D399" s="227" t="s">
        <v>231</v>
      </c>
      <c r="E399" s="241"/>
      <c r="F399" s="228">
        <f t="shared" si="31"/>
        <v>9.0909090909090912E-2</v>
      </c>
      <c r="G399" s="269">
        <f>+F399*G392</f>
        <v>6.0105570748514925E-5</v>
      </c>
      <c r="H399" s="299"/>
      <c r="I399" s="299"/>
      <c r="J399" s="299"/>
      <c r="K399" s="299"/>
      <c r="L399" s="299"/>
      <c r="M399" s="299"/>
      <c r="N399" s="229">
        <v>1</v>
      </c>
      <c r="O399" s="229">
        <v>1</v>
      </c>
      <c r="P399" s="229">
        <v>1</v>
      </c>
      <c r="Q399" s="272">
        <v>1</v>
      </c>
      <c r="R399" s="256">
        <f t="shared" si="33"/>
        <v>1</v>
      </c>
      <c r="S399" s="256">
        <f t="shared" si="33"/>
        <v>1</v>
      </c>
      <c r="T399" s="256">
        <f t="shared" si="33"/>
        <v>1</v>
      </c>
      <c r="U399" s="216"/>
      <c r="V399" s="216"/>
    </row>
    <row r="400" spans="1:22" s="140" customFormat="1" ht="25.5" hidden="1" outlineLevel="3">
      <c r="A400" s="216"/>
      <c r="B400" s="255" t="s">
        <v>585</v>
      </c>
      <c r="C400" s="290" t="s">
        <v>245</v>
      </c>
      <c r="D400" s="227" t="s">
        <v>231</v>
      </c>
      <c r="E400" s="241"/>
      <c r="F400" s="228">
        <f t="shared" si="31"/>
        <v>9.0909090909090912E-2</v>
      </c>
      <c r="G400" s="269">
        <f>+F400*G392</f>
        <v>6.0105570748514925E-5</v>
      </c>
      <c r="H400" s="299"/>
      <c r="I400" s="299"/>
      <c r="J400" s="299"/>
      <c r="K400" s="299"/>
      <c r="L400" s="299"/>
      <c r="M400" s="299"/>
      <c r="N400" s="229">
        <v>1</v>
      </c>
      <c r="O400" s="229">
        <v>1</v>
      </c>
      <c r="P400" s="229">
        <v>1</v>
      </c>
      <c r="Q400" s="272">
        <v>1</v>
      </c>
      <c r="R400" s="256">
        <f t="shared" si="33"/>
        <v>1</v>
      </c>
      <c r="S400" s="256">
        <f t="shared" si="33"/>
        <v>1</v>
      </c>
      <c r="T400" s="256">
        <f t="shared" si="33"/>
        <v>1</v>
      </c>
      <c r="U400" s="216"/>
      <c r="V400" s="216"/>
    </row>
    <row r="401" spans="1:22" s="140" customFormat="1" ht="25.5" hidden="1" outlineLevel="3">
      <c r="A401" s="216"/>
      <c r="B401" s="255" t="s">
        <v>586</v>
      </c>
      <c r="C401" s="290" t="s">
        <v>247</v>
      </c>
      <c r="D401" s="227" t="s">
        <v>231</v>
      </c>
      <c r="E401" s="241"/>
      <c r="F401" s="228">
        <f t="shared" si="31"/>
        <v>9.0909090909090912E-2</v>
      </c>
      <c r="G401" s="269">
        <f>+F401*G392</f>
        <v>6.0105570748514925E-5</v>
      </c>
      <c r="H401" s="299"/>
      <c r="I401" s="299"/>
      <c r="J401" s="299"/>
      <c r="K401" s="299"/>
      <c r="L401" s="299"/>
      <c r="M401" s="299"/>
      <c r="N401" s="229">
        <v>1</v>
      </c>
      <c r="O401" s="229">
        <v>1</v>
      </c>
      <c r="P401" s="229">
        <v>1</v>
      </c>
      <c r="Q401" s="272">
        <v>1</v>
      </c>
      <c r="R401" s="256">
        <f t="shared" si="33"/>
        <v>1</v>
      </c>
      <c r="S401" s="256">
        <f t="shared" si="33"/>
        <v>1</v>
      </c>
      <c r="T401" s="256">
        <f t="shared" si="33"/>
        <v>1</v>
      </c>
      <c r="U401" s="216"/>
      <c r="V401" s="216"/>
    </row>
    <row r="402" spans="1:22" s="140" customFormat="1" ht="25.5" hidden="1" outlineLevel="3">
      <c r="A402" s="216"/>
      <c r="B402" s="255" t="s">
        <v>587</v>
      </c>
      <c r="C402" s="290" t="s">
        <v>249</v>
      </c>
      <c r="D402" s="227" t="s">
        <v>231</v>
      </c>
      <c r="E402" s="241"/>
      <c r="F402" s="228">
        <f t="shared" si="31"/>
        <v>9.0909090909090912E-2</v>
      </c>
      <c r="G402" s="269">
        <f>+F402*G392</f>
        <v>6.0105570748514925E-5</v>
      </c>
      <c r="H402" s="299"/>
      <c r="I402" s="299"/>
      <c r="J402" s="299"/>
      <c r="K402" s="299"/>
      <c r="L402" s="299"/>
      <c r="M402" s="299"/>
      <c r="N402" s="229">
        <v>1</v>
      </c>
      <c r="O402" s="229">
        <v>1</v>
      </c>
      <c r="P402" s="229">
        <v>1</v>
      </c>
      <c r="Q402" s="272">
        <v>1</v>
      </c>
      <c r="R402" s="256">
        <f t="shared" si="33"/>
        <v>1</v>
      </c>
      <c r="S402" s="256">
        <f t="shared" si="33"/>
        <v>1</v>
      </c>
      <c r="T402" s="256">
        <f t="shared" si="33"/>
        <v>1</v>
      </c>
      <c r="U402" s="216"/>
      <c r="V402" s="216"/>
    </row>
    <row r="403" spans="1:22" s="140" customFormat="1" ht="25.5" hidden="1" outlineLevel="3">
      <c r="A403" s="216"/>
      <c r="B403" s="255" t="s">
        <v>588</v>
      </c>
      <c r="C403" s="290" t="s">
        <v>251</v>
      </c>
      <c r="D403" s="227" t="s">
        <v>231</v>
      </c>
      <c r="E403" s="241"/>
      <c r="F403" s="228">
        <f t="shared" si="31"/>
        <v>9.0909090909090912E-2</v>
      </c>
      <c r="G403" s="269">
        <f>+F403*G392</f>
        <v>6.0105570748514925E-5</v>
      </c>
      <c r="H403" s="299"/>
      <c r="I403" s="299"/>
      <c r="J403" s="299"/>
      <c r="K403" s="299"/>
      <c r="L403" s="299"/>
      <c r="M403" s="299"/>
      <c r="N403" s="229">
        <v>1</v>
      </c>
      <c r="O403" s="229">
        <v>1</v>
      </c>
      <c r="P403" s="229">
        <v>1</v>
      </c>
      <c r="Q403" s="272">
        <v>1</v>
      </c>
      <c r="R403" s="256">
        <f t="shared" si="33"/>
        <v>1</v>
      </c>
      <c r="S403" s="256">
        <f t="shared" si="33"/>
        <v>1</v>
      </c>
      <c r="T403" s="256">
        <f t="shared" si="33"/>
        <v>1</v>
      </c>
      <c r="U403" s="216"/>
      <c r="V403" s="216"/>
    </row>
    <row r="404" spans="1:22" s="140" customFormat="1" ht="25.5" hidden="1" outlineLevel="2">
      <c r="A404" s="216"/>
      <c r="B404" s="291" t="s">
        <v>589</v>
      </c>
      <c r="C404" s="292" t="s">
        <v>39</v>
      </c>
      <c r="D404" s="234" t="s">
        <v>33</v>
      </c>
      <c r="E404" s="240"/>
      <c r="F404" s="223">
        <f t="shared" si="31"/>
        <v>9.6849312518274097E-2</v>
      </c>
      <c r="G404" s="293">
        <f>+F404*G343</f>
        <v>7.0639543999789095E-4</v>
      </c>
      <c r="H404" s="298"/>
      <c r="I404" s="298"/>
      <c r="J404" s="298"/>
      <c r="K404" s="298"/>
      <c r="L404" s="298"/>
      <c r="M404" s="298"/>
      <c r="N404" s="224">
        <f>+SUMPRODUCT($F405:$F416,N405:N416)</f>
        <v>1</v>
      </c>
      <c r="O404" s="224">
        <f>+SUMPRODUCT($F405:$F416,O405:O416)</f>
        <v>1</v>
      </c>
      <c r="P404" s="224">
        <f>+SUMPRODUCT($F405:$F416,P405:P416)</f>
        <v>1</v>
      </c>
      <c r="Q404" s="270">
        <f>+SUMPRODUCT($F405:$F416,Q405:Q416)</f>
        <v>1</v>
      </c>
      <c r="R404" s="254">
        <f t="shared" si="33"/>
        <v>1</v>
      </c>
      <c r="S404" s="254">
        <f t="shared" si="33"/>
        <v>1</v>
      </c>
      <c r="T404" s="254">
        <f t="shared" si="33"/>
        <v>1</v>
      </c>
      <c r="U404" s="216"/>
      <c r="V404" s="216"/>
    </row>
    <row r="405" spans="1:22" s="140" customFormat="1" ht="25.5" hidden="1" outlineLevel="3">
      <c r="A405" s="216"/>
      <c r="B405" s="255" t="s">
        <v>590</v>
      </c>
      <c r="C405" s="290" t="s">
        <v>230</v>
      </c>
      <c r="D405" s="227" t="s">
        <v>231</v>
      </c>
      <c r="E405" s="241"/>
      <c r="F405" s="228">
        <f t="shared" si="31"/>
        <v>8.3333333333333329E-2</v>
      </c>
      <c r="G405" s="269">
        <f>+F405*G404</f>
        <v>5.8866286666490908E-5</v>
      </c>
      <c r="H405" s="299"/>
      <c r="I405" s="299"/>
      <c r="J405" s="299"/>
      <c r="K405" s="299"/>
      <c r="L405" s="299"/>
      <c r="M405" s="299"/>
      <c r="N405" s="229">
        <v>1</v>
      </c>
      <c r="O405" s="229">
        <v>1</v>
      </c>
      <c r="P405" s="229">
        <v>1</v>
      </c>
      <c r="Q405" s="272">
        <v>1</v>
      </c>
      <c r="R405" s="256">
        <f t="shared" si="33"/>
        <v>1</v>
      </c>
      <c r="S405" s="256">
        <f t="shared" si="33"/>
        <v>1</v>
      </c>
      <c r="T405" s="256">
        <f t="shared" si="33"/>
        <v>1</v>
      </c>
      <c r="U405" s="216"/>
      <c r="V405" s="216"/>
    </row>
    <row r="406" spans="1:22" s="140" customFormat="1" ht="25.5" hidden="1" outlineLevel="3">
      <c r="A406" s="216"/>
      <c r="B406" s="255" t="s">
        <v>591</v>
      </c>
      <c r="C406" s="290" t="s">
        <v>233</v>
      </c>
      <c r="D406" s="227" t="s">
        <v>231</v>
      </c>
      <c r="E406" s="241"/>
      <c r="F406" s="228">
        <f t="shared" si="31"/>
        <v>8.3333333333333329E-2</v>
      </c>
      <c r="G406" s="269">
        <f>+F406*G404</f>
        <v>5.8866286666490908E-5</v>
      </c>
      <c r="H406" s="299"/>
      <c r="I406" s="299"/>
      <c r="J406" s="299"/>
      <c r="K406" s="299"/>
      <c r="L406" s="299"/>
      <c r="M406" s="299"/>
      <c r="N406" s="229">
        <v>1</v>
      </c>
      <c r="O406" s="229">
        <v>1</v>
      </c>
      <c r="P406" s="229">
        <v>1</v>
      </c>
      <c r="Q406" s="272">
        <v>1</v>
      </c>
      <c r="R406" s="256">
        <f t="shared" si="33"/>
        <v>1</v>
      </c>
      <c r="S406" s="256">
        <f t="shared" si="33"/>
        <v>1</v>
      </c>
      <c r="T406" s="256">
        <f t="shared" si="33"/>
        <v>1</v>
      </c>
      <c r="U406" s="216"/>
      <c r="V406" s="216"/>
    </row>
    <row r="407" spans="1:22" s="140" customFormat="1" ht="25.5" hidden="1" outlineLevel="3">
      <c r="A407" s="216"/>
      <c r="B407" s="255" t="s">
        <v>592</v>
      </c>
      <c r="C407" s="290" t="s">
        <v>235</v>
      </c>
      <c r="D407" s="227" t="s">
        <v>231</v>
      </c>
      <c r="E407" s="241"/>
      <c r="F407" s="228">
        <f t="shared" ref="F407:F470" si="34">F783</f>
        <v>8.3333333333333329E-2</v>
      </c>
      <c r="G407" s="269">
        <f>+F407*G404</f>
        <v>5.8866286666490908E-5</v>
      </c>
      <c r="H407" s="299"/>
      <c r="I407" s="299"/>
      <c r="J407" s="299"/>
      <c r="K407" s="299"/>
      <c r="L407" s="299"/>
      <c r="M407" s="299"/>
      <c r="N407" s="229">
        <v>1</v>
      </c>
      <c r="O407" s="229">
        <v>1</v>
      </c>
      <c r="P407" s="229">
        <v>1</v>
      </c>
      <c r="Q407" s="272">
        <v>1</v>
      </c>
      <c r="R407" s="256">
        <f t="shared" si="33"/>
        <v>1</v>
      </c>
      <c r="S407" s="256">
        <f t="shared" si="33"/>
        <v>1</v>
      </c>
      <c r="T407" s="256">
        <f t="shared" si="33"/>
        <v>1</v>
      </c>
      <c r="U407" s="216"/>
      <c r="V407" s="216"/>
    </row>
    <row r="408" spans="1:22" s="140" customFormat="1" ht="25.5" hidden="1" outlineLevel="3">
      <c r="A408" s="216"/>
      <c r="B408" s="255" t="s">
        <v>593</v>
      </c>
      <c r="C408" s="290" t="s">
        <v>237</v>
      </c>
      <c r="D408" s="227" t="s">
        <v>231</v>
      </c>
      <c r="E408" s="241"/>
      <c r="F408" s="228">
        <f t="shared" si="34"/>
        <v>8.3333333333333329E-2</v>
      </c>
      <c r="G408" s="269">
        <f>+F408*G404</f>
        <v>5.8866286666490908E-5</v>
      </c>
      <c r="H408" s="299"/>
      <c r="I408" s="299"/>
      <c r="J408" s="299"/>
      <c r="K408" s="299"/>
      <c r="L408" s="299"/>
      <c r="M408" s="299"/>
      <c r="N408" s="229">
        <v>1</v>
      </c>
      <c r="O408" s="229">
        <v>1</v>
      </c>
      <c r="P408" s="229">
        <v>1</v>
      </c>
      <c r="Q408" s="272">
        <v>1</v>
      </c>
      <c r="R408" s="256">
        <f t="shared" si="33"/>
        <v>1</v>
      </c>
      <c r="S408" s="256">
        <f t="shared" si="33"/>
        <v>1</v>
      </c>
      <c r="T408" s="256">
        <f t="shared" si="33"/>
        <v>1</v>
      </c>
      <c r="U408" s="216"/>
      <c r="V408" s="216"/>
    </row>
    <row r="409" spans="1:22" s="140" customFormat="1" ht="25.5" hidden="1" outlineLevel="3">
      <c r="A409" s="216"/>
      <c r="B409" s="255" t="s">
        <v>594</v>
      </c>
      <c r="C409" s="290" t="s">
        <v>239</v>
      </c>
      <c r="D409" s="227" t="s">
        <v>231</v>
      </c>
      <c r="E409" s="241"/>
      <c r="F409" s="228">
        <f t="shared" si="34"/>
        <v>8.3333333333333329E-2</v>
      </c>
      <c r="G409" s="269">
        <f>+F409*G404</f>
        <v>5.8866286666490908E-5</v>
      </c>
      <c r="H409" s="299"/>
      <c r="I409" s="299"/>
      <c r="J409" s="299"/>
      <c r="K409" s="299"/>
      <c r="L409" s="299"/>
      <c r="M409" s="299"/>
      <c r="N409" s="229">
        <v>1</v>
      </c>
      <c r="O409" s="229">
        <v>1</v>
      </c>
      <c r="P409" s="229">
        <v>1</v>
      </c>
      <c r="Q409" s="272">
        <v>1</v>
      </c>
      <c r="R409" s="256">
        <f t="shared" ref="R409:T440" si="35">+IF(N409=0,0,$Q409/N409)</f>
        <v>1</v>
      </c>
      <c r="S409" s="256">
        <f t="shared" si="35"/>
        <v>1</v>
      </c>
      <c r="T409" s="256">
        <f t="shared" si="35"/>
        <v>1</v>
      </c>
      <c r="U409" s="216"/>
      <c r="V409" s="216"/>
    </row>
    <row r="410" spans="1:22" s="140" customFormat="1" ht="25.5" hidden="1" outlineLevel="3">
      <c r="A410" s="216"/>
      <c r="B410" s="255" t="s">
        <v>595</v>
      </c>
      <c r="C410" s="290" t="s">
        <v>241</v>
      </c>
      <c r="D410" s="227" t="s">
        <v>231</v>
      </c>
      <c r="E410" s="241"/>
      <c r="F410" s="228">
        <f t="shared" si="34"/>
        <v>8.3333333333333329E-2</v>
      </c>
      <c r="G410" s="269">
        <f>+F410*G404</f>
        <v>5.8866286666490908E-5</v>
      </c>
      <c r="H410" s="299"/>
      <c r="I410" s="299"/>
      <c r="J410" s="299"/>
      <c r="K410" s="299"/>
      <c r="L410" s="299"/>
      <c r="M410" s="299"/>
      <c r="N410" s="229">
        <v>1</v>
      </c>
      <c r="O410" s="229">
        <v>1</v>
      </c>
      <c r="P410" s="229">
        <v>1</v>
      </c>
      <c r="Q410" s="272">
        <v>1</v>
      </c>
      <c r="R410" s="256">
        <f t="shared" si="35"/>
        <v>1</v>
      </c>
      <c r="S410" s="256">
        <f t="shared" si="35"/>
        <v>1</v>
      </c>
      <c r="T410" s="256">
        <f t="shared" si="35"/>
        <v>1</v>
      </c>
      <c r="U410" s="216"/>
      <c r="V410" s="216"/>
    </row>
    <row r="411" spans="1:22" s="140" customFormat="1" ht="25.5" hidden="1" outlineLevel="3">
      <c r="A411" s="216"/>
      <c r="B411" s="255" t="s">
        <v>596</v>
      </c>
      <c r="C411" s="290" t="s">
        <v>243</v>
      </c>
      <c r="D411" s="227" t="s">
        <v>231</v>
      </c>
      <c r="E411" s="241"/>
      <c r="F411" s="228">
        <f t="shared" si="34"/>
        <v>8.3333333333333329E-2</v>
      </c>
      <c r="G411" s="269">
        <f>+F411*G404</f>
        <v>5.8866286666490908E-5</v>
      </c>
      <c r="H411" s="299"/>
      <c r="I411" s="299"/>
      <c r="J411" s="299"/>
      <c r="K411" s="299"/>
      <c r="L411" s="299"/>
      <c r="M411" s="299"/>
      <c r="N411" s="229">
        <v>1</v>
      </c>
      <c r="O411" s="229">
        <v>1</v>
      </c>
      <c r="P411" s="229">
        <v>1</v>
      </c>
      <c r="Q411" s="272">
        <v>1</v>
      </c>
      <c r="R411" s="256">
        <f t="shared" si="35"/>
        <v>1</v>
      </c>
      <c r="S411" s="256">
        <f t="shared" si="35"/>
        <v>1</v>
      </c>
      <c r="T411" s="256">
        <f t="shared" si="35"/>
        <v>1</v>
      </c>
      <c r="U411" s="216"/>
      <c r="V411" s="216"/>
    </row>
    <row r="412" spans="1:22" s="140" customFormat="1" ht="25.5" hidden="1" outlineLevel="3">
      <c r="A412" s="216"/>
      <c r="B412" s="255" t="s">
        <v>597</v>
      </c>
      <c r="C412" s="290" t="s">
        <v>245</v>
      </c>
      <c r="D412" s="227" t="s">
        <v>231</v>
      </c>
      <c r="E412" s="241"/>
      <c r="F412" s="228">
        <f t="shared" si="34"/>
        <v>8.3333333333333329E-2</v>
      </c>
      <c r="G412" s="269">
        <f>+F412*G404</f>
        <v>5.8866286666490908E-5</v>
      </c>
      <c r="H412" s="299"/>
      <c r="I412" s="299"/>
      <c r="J412" s="299"/>
      <c r="K412" s="299"/>
      <c r="L412" s="299"/>
      <c r="M412" s="299"/>
      <c r="N412" s="229">
        <v>1</v>
      </c>
      <c r="O412" s="229">
        <v>1</v>
      </c>
      <c r="P412" s="229">
        <v>1</v>
      </c>
      <c r="Q412" s="272">
        <v>1</v>
      </c>
      <c r="R412" s="256">
        <f t="shared" si="35"/>
        <v>1</v>
      </c>
      <c r="S412" s="256">
        <f t="shared" si="35"/>
        <v>1</v>
      </c>
      <c r="T412" s="256">
        <f t="shared" si="35"/>
        <v>1</v>
      </c>
      <c r="U412" s="216"/>
      <c r="V412" s="216"/>
    </row>
    <row r="413" spans="1:22" s="140" customFormat="1" ht="25.5" hidden="1" outlineLevel="3">
      <c r="A413" s="216"/>
      <c r="B413" s="255" t="s">
        <v>598</v>
      </c>
      <c r="C413" s="290" t="s">
        <v>247</v>
      </c>
      <c r="D413" s="227" t="s">
        <v>231</v>
      </c>
      <c r="E413" s="241"/>
      <c r="F413" s="228">
        <f t="shared" si="34"/>
        <v>8.3333333333333329E-2</v>
      </c>
      <c r="G413" s="269">
        <f>+F413*G404</f>
        <v>5.8866286666490908E-5</v>
      </c>
      <c r="H413" s="299"/>
      <c r="I413" s="299"/>
      <c r="J413" s="299"/>
      <c r="K413" s="299"/>
      <c r="L413" s="299"/>
      <c r="M413" s="299"/>
      <c r="N413" s="229">
        <v>1</v>
      </c>
      <c r="O413" s="229">
        <v>1</v>
      </c>
      <c r="P413" s="229">
        <v>1</v>
      </c>
      <c r="Q413" s="272">
        <v>1</v>
      </c>
      <c r="R413" s="256">
        <f t="shared" si="35"/>
        <v>1</v>
      </c>
      <c r="S413" s="256">
        <f t="shared" si="35"/>
        <v>1</v>
      </c>
      <c r="T413" s="256">
        <f t="shared" si="35"/>
        <v>1</v>
      </c>
      <c r="U413" s="216"/>
      <c r="V413" s="216"/>
    </row>
    <row r="414" spans="1:22" s="140" customFormat="1" ht="25.5" hidden="1" outlineLevel="3">
      <c r="A414" s="216"/>
      <c r="B414" s="255" t="s">
        <v>599</v>
      </c>
      <c r="C414" s="290" t="s">
        <v>249</v>
      </c>
      <c r="D414" s="227" t="s">
        <v>231</v>
      </c>
      <c r="E414" s="241"/>
      <c r="F414" s="228">
        <f t="shared" si="34"/>
        <v>8.3333333333333329E-2</v>
      </c>
      <c r="G414" s="269">
        <f>+F414*G404</f>
        <v>5.8866286666490908E-5</v>
      </c>
      <c r="H414" s="299"/>
      <c r="I414" s="299"/>
      <c r="J414" s="299"/>
      <c r="K414" s="299"/>
      <c r="L414" s="299"/>
      <c r="M414" s="299"/>
      <c r="N414" s="229">
        <v>1</v>
      </c>
      <c r="O414" s="229">
        <v>1</v>
      </c>
      <c r="P414" s="229">
        <v>1</v>
      </c>
      <c r="Q414" s="272">
        <v>1</v>
      </c>
      <c r="R414" s="256">
        <f t="shared" si="35"/>
        <v>1</v>
      </c>
      <c r="S414" s="256">
        <f t="shared" si="35"/>
        <v>1</v>
      </c>
      <c r="T414" s="256">
        <f t="shared" si="35"/>
        <v>1</v>
      </c>
      <c r="U414" s="216"/>
      <c r="V414" s="216"/>
    </row>
    <row r="415" spans="1:22" s="140" customFormat="1" ht="25.5" hidden="1" outlineLevel="3">
      <c r="A415" s="216"/>
      <c r="B415" s="255" t="s">
        <v>600</v>
      </c>
      <c r="C415" s="290" t="s">
        <v>251</v>
      </c>
      <c r="D415" s="227" t="s">
        <v>231</v>
      </c>
      <c r="E415" s="241"/>
      <c r="F415" s="228">
        <f t="shared" si="34"/>
        <v>8.3333333333333329E-2</v>
      </c>
      <c r="G415" s="269">
        <f>+F415*G404</f>
        <v>5.8866286666490908E-5</v>
      </c>
      <c r="H415" s="299"/>
      <c r="I415" s="299"/>
      <c r="J415" s="299"/>
      <c r="K415" s="299"/>
      <c r="L415" s="299"/>
      <c r="M415" s="299"/>
      <c r="N415" s="229">
        <v>1</v>
      </c>
      <c r="O415" s="229">
        <v>1</v>
      </c>
      <c r="P415" s="229">
        <v>1</v>
      </c>
      <c r="Q415" s="272">
        <v>1</v>
      </c>
      <c r="R415" s="256">
        <f t="shared" si="35"/>
        <v>1</v>
      </c>
      <c r="S415" s="256">
        <f t="shared" si="35"/>
        <v>1</v>
      </c>
      <c r="T415" s="256">
        <f t="shared" si="35"/>
        <v>1</v>
      </c>
      <c r="U415" s="216"/>
      <c r="V415" s="216"/>
    </row>
    <row r="416" spans="1:22" s="140" customFormat="1" ht="25.5" hidden="1" outlineLevel="3">
      <c r="A416" s="216"/>
      <c r="B416" s="255" t="s">
        <v>601</v>
      </c>
      <c r="C416" s="290" t="s">
        <v>253</v>
      </c>
      <c r="D416" s="227" t="s">
        <v>231</v>
      </c>
      <c r="E416" s="241"/>
      <c r="F416" s="228">
        <f t="shared" si="34"/>
        <v>8.3333333333333329E-2</v>
      </c>
      <c r="G416" s="269">
        <f>+F416*G404</f>
        <v>5.8866286666490908E-5</v>
      </c>
      <c r="H416" s="299"/>
      <c r="I416" s="299"/>
      <c r="J416" s="299"/>
      <c r="K416" s="299"/>
      <c r="L416" s="299"/>
      <c r="M416" s="299"/>
      <c r="N416" s="229">
        <v>1</v>
      </c>
      <c r="O416" s="229">
        <v>1</v>
      </c>
      <c r="P416" s="229">
        <v>1</v>
      </c>
      <c r="Q416" s="272">
        <v>1</v>
      </c>
      <c r="R416" s="256">
        <f t="shared" si="35"/>
        <v>1</v>
      </c>
      <c r="S416" s="256">
        <f t="shared" si="35"/>
        <v>1</v>
      </c>
      <c r="T416" s="256">
        <f t="shared" si="35"/>
        <v>1</v>
      </c>
      <c r="U416" s="216"/>
      <c r="V416" s="216"/>
    </row>
    <row r="417" spans="1:22" s="140" customFormat="1" ht="25.5" hidden="1" outlineLevel="2">
      <c r="A417" s="216"/>
      <c r="B417" s="291" t="s">
        <v>602</v>
      </c>
      <c r="C417" s="292" t="s">
        <v>41</v>
      </c>
      <c r="D417" s="234" t="s">
        <v>33</v>
      </c>
      <c r="E417" s="240"/>
      <c r="F417" s="223">
        <f t="shared" si="34"/>
        <v>0.11049772843953055</v>
      </c>
      <c r="G417" s="293">
        <f>+F417*G343</f>
        <v>8.0594368168676221E-4</v>
      </c>
      <c r="H417" s="298"/>
      <c r="I417" s="298"/>
      <c r="J417" s="298"/>
      <c r="K417" s="298"/>
      <c r="L417" s="298"/>
      <c r="M417" s="298"/>
      <c r="N417" s="224">
        <f>+SUMPRODUCT($F418:$F431,N418:N431)</f>
        <v>0.99999999999999967</v>
      </c>
      <c r="O417" s="224">
        <f>+SUMPRODUCT($F418:$F431,O418:O431)</f>
        <v>0.99999999999999967</v>
      </c>
      <c r="P417" s="224">
        <f>+SUMPRODUCT($F418:$F431,P418:P431)</f>
        <v>0.99999999999999967</v>
      </c>
      <c r="Q417" s="270">
        <f>+SUMPRODUCT($F418:$F431,Q418:Q431)</f>
        <v>0.99999999999999967</v>
      </c>
      <c r="R417" s="254">
        <f t="shared" si="35"/>
        <v>1</v>
      </c>
      <c r="S417" s="254">
        <f t="shared" si="35"/>
        <v>1</v>
      </c>
      <c r="T417" s="254">
        <f t="shared" si="35"/>
        <v>1</v>
      </c>
      <c r="U417" s="216"/>
      <c r="V417" s="216"/>
    </row>
    <row r="418" spans="1:22" s="140" customFormat="1" ht="25.5" hidden="1" outlineLevel="3">
      <c r="A418" s="216"/>
      <c r="B418" s="255" t="s">
        <v>603</v>
      </c>
      <c r="C418" s="290" t="s">
        <v>230</v>
      </c>
      <c r="D418" s="227" t="s">
        <v>231</v>
      </c>
      <c r="E418" s="241"/>
      <c r="F418" s="228">
        <f t="shared" si="34"/>
        <v>7.1428571428571411E-2</v>
      </c>
      <c r="G418" s="269">
        <f>+F418*G417</f>
        <v>5.7567405834768717E-5</v>
      </c>
      <c r="H418" s="299"/>
      <c r="I418" s="299"/>
      <c r="J418" s="299"/>
      <c r="K418" s="299"/>
      <c r="L418" s="299"/>
      <c r="M418" s="299"/>
      <c r="N418" s="229">
        <v>1</v>
      </c>
      <c r="O418" s="229">
        <v>1</v>
      </c>
      <c r="P418" s="229">
        <v>1</v>
      </c>
      <c r="Q418" s="272">
        <v>1</v>
      </c>
      <c r="R418" s="256">
        <f t="shared" si="35"/>
        <v>1</v>
      </c>
      <c r="S418" s="256">
        <f t="shared" si="35"/>
        <v>1</v>
      </c>
      <c r="T418" s="256">
        <f t="shared" si="35"/>
        <v>1</v>
      </c>
      <c r="U418" s="216"/>
      <c r="V418" s="216"/>
    </row>
    <row r="419" spans="1:22" s="140" customFormat="1" ht="25.5" hidden="1" outlineLevel="3">
      <c r="A419" s="216"/>
      <c r="B419" s="255" t="s">
        <v>604</v>
      </c>
      <c r="C419" s="290" t="s">
        <v>233</v>
      </c>
      <c r="D419" s="227" t="s">
        <v>231</v>
      </c>
      <c r="E419" s="241"/>
      <c r="F419" s="228">
        <f t="shared" si="34"/>
        <v>7.1428571428571411E-2</v>
      </c>
      <c r="G419" s="269">
        <f>+F419*G417</f>
        <v>5.7567405834768717E-5</v>
      </c>
      <c r="H419" s="299"/>
      <c r="I419" s="299"/>
      <c r="J419" s="299"/>
      <c r="K419" s="299"/>
      <c r="L419" s="299"/>
      <c r="M419" s="299"/>
      <c r="N419" s="229">
        <v>1</v>
      </c>
      <c r="O419" s="229">
        <v>1</v>
      </c>
      <c r="P419" s="229">
        <v>1</v>
      </c>
      <c r="Q419" s="272">
        <v>1</v>
      </c>
      <c r="R419" s="256">
        <f t="shared" si="35"/>
        <v>1</v>
      </c>
      <c r="S419" s="256">
        <f t="shared" si="35"/>
        <v>1</v>
      </c>
      <c r="T419" s="256">
        <f t="shared" si="35"/>
        <v>1</v>
      </c>
      <c r="U419" s="216"/>
      <c r="V419" s="216"/>
    </row>
    <row r="420" spans="1:22" s="140" customFormat="1" ht="25.5" hidden="1" outlineLevel="3">
      <c r="A420" s="216"/>
      <c r="B420" s="255" t="s">
        <v>605</v>
      </c>
      <c r="C420" s="290" t="s">
        <v>235</v>
      </c>
      <c r="D420" s="227" t="s">
        <v>231</v>
      </c>
      <c r="E420" s="241"/>
      <c r="F420" s="228">
        <f t="shared" si="34"/>
        <v>7.1428571428571411E-2</v>
      </c>
      <c r="G420" s="269">
        <f>+F420*G417</f>
        <v>5.7567405834768717E-5</v>
      </c>
      <c r="H420" s="299"/>
      <c r="I420" s="299"/>
      <c r="J420" s="299"/>
      <c r="K420" s="299"/>
      <c r="L420" s="299"/>
      <c r="M420" s="299"/>
      <c r="N420" s="229">
        <v>1</v>
      </c>
      <c r="O420" s="229">
        <v>1</v>
      </c>
      <c r="P420" s="229">
        <v>1</v>
      </c>
      <c r="Q420" s="272">
        <v>1</v>
      </c>
      <c r="R420" s="256">
        <f t="shared" si="35"/>
        <v>1</v>
      </c>
      <c r="S420" s="256">
        <f t="shared" si="35"/>
        <v>1</v>
      </c>
      <c r="T420" s="256">
        <f t="shared" si="35"/>
        <v>1</v>
      </c>
      <c r="U420" s="216"/>
      <c r="V420" s="216"/>
    </row>
    <row r="421" spans="1:22" s="140" customFormat="1" ht="25.5" hidden="1" outlineLevel="3">
      <c r="A421" s="216"/>
      <c r="B421" s="255" t="s">
        <v>606</v>
      </c>
      <c r="C421" s="290" t="s">
        <v>237</v>
      </c>
      <c r="D421" s="227" t="s">
        <v>231</v>
      </c>
      <c r="E421" s="241"/>
      <c r="F421" s="228">
        <f t="shared" si="34"/>
        <v>7.1428571428571411E-2</v>
      </c>
      <c r="G421" s="269">
        <f>+F421*G417</f>
        <v>5.7567405834768717E-5</v>
      </c>
      <c r="H421" s="299"/>
      <c r="I421" s="299"/>
      <c r="J421" s="299"/>
      <c r="K421" s="299"/>
      <c r="L421" s="299"/>
      <c r="M421" s="299"/>
      <c r="N421" s="229">
        <v>1</v>
      </c>
      <c r="O421" s="229">
        <v>1</v>
      </c>
      <c r="P421" s="229">
        <v>1</v>
      </c>
      <c r="Q421" s="272">
        <v>1</v>
      </c>
      <c r="R421" s="256">
        <f t="shared" si="35"/>
        <v>1</v>
      </c>
      <c r="S421" s="256">
        <f t="shared" si="35"/>
        <v>1</v>
      </c>
      <c r="T421" s="256">
        <f t="shared" si="35"/>
        <v>1</v>
      </c>
      <c r="U421" s="216"/>
      <c r="V421" s="216"/>
    </row>
    <row r="422" spans="1:22" s="140" customFormat="1" ht="25.5" hidden="1" outlineLevel="3">
      <c r="A422" s="216"/>
      <c r="B422" s="255" t="s">
        <v>607</v>
      </c>
      <c r="C422" s="290" t="s">
        <v>239</v>
      </c>
      <c r="D422" s="227" t="s">
        <v>231</v>
      </c>
      <c r="E422" s="241"/>
      <c r="F422" s="228">
        <f t="shared" si="34"/>
        <v>7.1428571428571411E-2</v>
      </c>
      <c r="G422" s="269">
        <f>+F422*G417</f>
        <v>5.7567405834768717E-5</v>
      </c>
      <c r="H422" s="299"/>
      <c r="I422" s="299"/>
      <c r="J422" s="299"/>
      <c r="K422" s="299"/>
      <c r="L422" s="299"/>
      <c r="M422" s="299"/>
      <c r="N422" s="229">
        <v>1</v>
      </c>
      <c r="O422" s="229">
        <v>1</v>
      </c>
      <c r="P422" s="229">
        <v>1</v>
      </c>
      <c r="Q422" s="272">
        <v>1</v>
      </c>
      <c r="R422" s="256">
        <f t="shared" si="35"/>
        <v>1</v>
      </c>
      <c r="S422" s="256">
        <f t="shared" si="35"/>
        <v>1</v>
      </c>
      <c r="T422" s="256">
        <f t="shared" si="35"/>
        <v>1</v>
      </c>
      <c r="U422" s="216"/>
      <c r="V422" s="216"/>
    </row>
    <row r="423" spans="1:22" s="140" customFormat="1" ht="25.5" hidden="1" outlineLevel="3">
      <c r="A423" s="216"/>
      <c r="B423" s="255" t="s">
        <v>608</v>
      </c>
      <c r="C423" s="290" t="s">
        <v>241</v>
      </c>
      <c r="D423" s="227" t="s">
        <v>231</v>
      </c>
      <c r="E423" s="241"/>
      <c r="F423" s="228">
        <f t="shared" si="34"/>
        <v>7.1428571428571411E-2</v>
      </c>
      <c r="G423" s="269">
        <f>+F423*G417</f>
        <v>5.7567405834768717E-5</v>
      </c>
      <c r="H423" s="299"/>
      <c r="I423" s="299"/>
      <c r="J423" s="299"/>
      <c r="K423" s="299"/>
      <c r="L423" s="299"/>
      <c r="M423" s="299"/>
      <c r="N423" s="229">
        <v>1</v>
      </c>
      <c r="O423" s="229">
        <v>1</v>
      </c>
      <c r="P423" s="229">
        <v>1</v>
      </c>
      <c r="Q423" s="272">
        <v>1</v>
      </c>
      <c r="R423" s="256">
        <f t="shared" si="35"/>
        <v>1</v>
      </c>
      <c r="S423" s="256">
        <f t="shared" si="35"/>
        <v>1</v>
      </c>
      <c r="T423" s="256">
        <f t="shared" si="35"/>
        <v>1</v>
      </c>
      <c r="U423" s="216"/>
      <c r="V423" s="216"/>
    </row>
    <row r="424" spans="1:22" s="140" customFormat="1" ht="25.5" hidden="1" outlineLevel="3">
      <c r="A424" s="216"/>
      <c r="B424" s="255" t="s">
        <v>609</v>
      </c>
      <c r="C424" s="290" t="s">
        <v>243</v>
      </c>
      <c r="D424" s="227" t="s">
        <v>231</v>
      </c>
      <c r="E424" s="241"/>
      <c r="F424" s="228">
        <f t="shared" si="34"/>
        <v>7.1428571428571411E-2</v>
      </c>
      <c r="G424" s="269">
        <f>+F424*G417</f>
        <v>5.7567405834768717E-5</v>
      </c>
      <c r="H424" s="299"/>
      <c r="I424" s="299"/>
      <c r="J424" s="299"/>
      <c r="K424" s="299"/>
      <c r="L424" s="299"/>
      <c r="M424" s="299"/>
      <c r="N424" s="229">
        <v>1</v>
      </c>
      <c r="O424" s="229">
        <v>1</v>
      </c>
      <c r="P424" s="229">
        <v>1</v>
      </c>
      <c r="Q424" s="272">
        <v>1</v>
      </c>
      <c r="R424" s="256">
        <f t="shared" si="35"/>
        <v>1</v>
      </c>
      <c r="S424" s="256">
        <f t="shared" si="35"/>
        <v>1</v>
      </c>
      <c r="T424" s="256">
        <f t="shared" si="35"/>
        <v>1</v>
      </c>
      <c r="U424" s="216"/>
      <c r="V424" s="216"/>
    </row>
    <row r="425" spans="1:22" s="140" customFormat="1" ht="25.5" hidden="1" outlineLevel="3">
      <c r="A425" s="216"/>
      <c r="B425" s="255" t="s">
        <v>610</v>
      </c>
      <c r="C425" s="290" t="s">
        <v>245</v>
      </c>
      <c r="D425" s="227" t="s">
        <v>231</v>
      </c>
      <c r="E425" s="241"/>
      <c r="F425" s="228">
        <f t="shared" si="34"/>
        <v>7.1428571428571411E-2</v>
      </c>
      <c r="G425" s="269">
        <f>+F425*G417</f>
        <v>5.7567405834768717E-5</v>
      </c>
      <c r="H425" s="299"/>
      <c r="I425" s="299"/>
      <c r="J425" s="299"/>
      <c r="K425" s="299"/>
      <c r="L425" s="299"/>
      <c r="M425" s="299"/>
      <c r="N425" s="229">
        <v>1</v>
      </c>
      <c r="O425" s="229">
        <v>1</v>
      </c>
      <c r="P425" s="229">
        <v>1</v>
      </c>
      <c r="Q425" s="272">
        <v>1</v>
      </c>
      <c r="R425" s="256">
        <f t="shared" si="35"/>
        <v>1</v>
      </c>
      <c r="S425" s="256">
        <f t="shared" si="35"/>
        <v>1</v>
      </c>
      <c r="T425" s="256">
        <f t="shared" si="35"/>
        <v>1</v>
      </c>
      <c r="U425" s="216"/>
      <c r="V425" s="216"/>
    </row>
    <row r="426" spans="1:22" s="140" customFormat="1" ht="25.5" hidden="1" outlineLevel="3">
      <c r="A426" s="216"/>
      <c r="B426" s="255" t="s">
        <v>611</v>
      </c>
      <c r="C426" s="290" t="s">
        <v>247</v>
      </c>
      <c r="D426" s="227" t="s">
        <v>231</v>
      </c>
      <c r="E426" s="241"/>
      <c r="F426" s="228">
        <f t="shared" si="34"/>
        <v>7.1428571428571411E-2</v>
      </c>
      <c r="G426" s="269">
        <f>+F426*G417</f>
        <v>5.7567405834768717E-5</v>
      </c>
      <c r="H426" s="299"/>
      <c r="I426" s="299"/>
      <c r="J426" s="299"/>
      <c r="K426" s="299"/>
      <c r="L426" s="299"/>
      <c r="M426" s="299"/>
      <c r="N426" s="229">
        <v>1</v>
      </c>
      <c r="O426" s="229">
        <v>1</v>
      </c>
      <c r="P426" s="229">
        <v>1</v>
      </c>
      <c r="Q426" s="272">
        <v>1</v>
      </c>
      <c r="R426" s="256">
        <f t="shared" si="35"/>
        <v>1</v>
      </c>
      <c r="S426" s="256">
        <f t="shared" si="35"/>
        <v>1</v>
      </c>
      <c r="T426" s="256">
        <f t="shared" si="35"/>
        <v>1</v>
      </c>
      <c r="U426" s="216"/>
      <c r="V426" s="216"/>
    </row>
    <row r="427" spans="1:22" s="140" customFormat="1" ht="25.5" hidden="1" outlineLevel="3">
      <c r="A427" s="216"/>
      <c r="B427" s="255" t="s">
        <v>612</v>
      </c>
      <c r="C427" s="290" t="s">
        <v>249</v>
      </c>
      <c r="D427" s="227" t="s">
        <v>231</v>
      </c>
      <c r="E427" s="241"/>
      <c r="F427" s="228">
        <f t="shared" si="34"/>
        <v>7.1428571428571411E-2</v>
      </c>
      <c r="G427" s="269">
        <f>+F427*G417</f>
        <v>5.7567405834768717E-5</v>
      </c>
      <c r="H427" s="299"/>
      <c r="I427" s="299"/>
      <c r="J427" s="299"/>
      <c r="K427" s="299"/>
      <c r="L427" s="299"/>
      <c r="M427" s="299"/>
      <c r="N427" s="229">
        <v>1</v>
      </c>
      <c r="O427" s="229">
        <v>1</v>
      </c>
      <c r="P427" s="229">
        <v>1</v>
      </c>
      <c r="Q427" s="272">
        <v>1</v>
      </c>
      <c r="R427" s="256">
        <f t="shared" si="35"/>
        <v>1</v>
      </c>
      <c r="S427" s="256">
        <f t="shared" si="35"/>
        <v>1</v>
      </c>
      <c r="T427" s="256">
        <f t="shared" si="35"/>
        <v>1</v>
      </c>
      <c r="U427" s="216"/>
      <c r="V427" s="216"/>
    </row>
    <row r="428" spans="1:22" s="140" customFormat="1" ht="25.5" hidden="1" outlineLevel="3">
      <c r="A428" s="216"/>
      <c r="B428" s="255" t="s">
        <v>613</v>
      </c>
      <c r="C428" s="290" t="s">
        <v>251</v>
      </c>
      <c r="D428" s="227" t="s">
        <v>231</v>
      </c>
      <c r="E428" s="241"/>
      <c r="F428" s="228">
        <f t="shared" si="34"/>
        <v>7.1428571428571411E-2</v>
      </c>
      <c r="G428" s="269">
        <f>+F428*G417</f>
        <v>5.7567405834768717E-5</v>
      </c>
      <c r="H428" s="299"/>
      <c r="I428" s="299"/>
      <c r="J428" s="299"/>
      <c r="K428" s="299"/>
      <c r="L428" s="299"/>
      <c r="M428" s="299"/>
      <c r="N428" s="229">
        <v>1</v>
      </c>
      <c r="O428" s="229">
        <v>1</v>
      </c>
      <c r="P428" s="229">
        <v>1</v>
      </c>
      <c r="Q428" s="272">
        <v>1</v>
      </c>
      <c r="R428" s="256">
        <f t="shared" si="35"/>
        <v>1</v>
      </c>
      <c r="S428" s="256">
        <f t="shared" si="35"/>
        <v>1</v>
      </c>
      <c r="T428" s="256">
        <f t="shared" si="35"/>
        <v>1</v>
      </c>
      <c r="U428" s="216"/>
      <c r="V428" s="216"/>
    </row>
    <row r="429" spans="1:22" s="140" customFormat="1" ht="25.5" hidden="1" outlineLevel="3">
      <c r="A429" s="216"/>
      <c r="B429" s="255" t="s">
        <v>614</v>
      </c>
      <c r="C429" s="290" t="s">
        <v>253</v>
      </c>
      <c r="D429" s="227" t="s">
        <v>231</v>
      </c>
      <c r="E429" s="241"/>
      <c r="F429" s="228">
        <f t="shared" si="34"/>
        <v>7.1428571428571411E-2</v>
      </c>
      <c r="G429" s="269">
        <f>+F429*G417</f>
        <v>5.7567405834768717E-5</v>
      </c>
      <c r="H429" s="299"/>
      <c r="I429" s="299"/>
      <c r="J429" s="299"/>
      <c r="K429" s="299"/>
      <c r="L429" s="299"/>
      <c r="M429" s="299"/>
      <c r="N429" s="229">
        <v>1</v>
      </c>
      <c r="O429" s="229">
        <v>1</v>
      </c>
      <c r="P429" s="229">
        <v>1</v>
      </c>
      <c r="Q429" s="272">
        <v>1</v>
      </c>
      <c r="R429" s="256">
        <f t="shared" si="35"/>
        <v>1</v>
      </c>
      <c r="S429" s="256">
        <f t="shared" si="35"/>
        <v>1</v>
      </c>
      <c r="T429" s="256">
        <f t="shared" si="35"/>
        <v>1</v>
      </c>
      <c r="U429" s="216"/>
      <c r="V429" s="216"/>
    </row>
    <row r="430" spans="1:22" s="140" customFormat="1" ht="25.5" hidden="1" outlineLevel="3">
      <c r="A430" s="216"/>
      <c r="B430" s="255" t="s">
        <v>615</v>
      </c>
      <c r="C430" s="290" t="s">
        <v>285</v>
      </c>
      <c r="D430" s="227" t="s">
        <v>231</v>
      </c>
      <c r="E430" s="241"/>
      <c r="F430" s="228">
        <f t="shared" si="34"/>
        <v>7.1428571428571411E-2</v>
      </c>
      <c r="G430" s="269">
        <f>+F430*G417</f>
        <v>5.7567405834768717E-5</v>
      </c>
      <c r="H430" s="299"/>
      <c r="I430" s="299"/>
      <c r="J430" s="299"/>
      <c r="K430" s="299"/>
      <c r="L430" s="299"/>
      <c r="M430" s="299"/>
      <c r="N430" s="229">
        <v>1</v>
      </c>
      <c r="O430" s="229">
        <v>1</v>
      </c>
      <c r="P430" s="229">
        <v>1</v>
      </c>
      <c r="Q430" s="272">
        <v>1</v>
      </c>
      <c r="R430" s="256">
        <f t="shared" si="35"/>
        <v>1</v>
      </c>
      <c r="S430" s="256">
        <f t="shared" si="35"/>
        <v>1</v>
      </c>
      <c r="T430" s="256">
        <f t="shared" si="35"/>
        <v>1</v>
      </c>
      <c r="U430" s="216"/>
      <c r="V430" s="216"/>
    </row>
    <row r="431" spans="1:22" s="140" customFormat="1" ht="25.5" hidden="1" outlineLevel="3">
      <c r="A431" s="216"/>
      <c r="B431" s="255" t="s">
        <v>616</v>
      </c>
      <c r="C431" s="290" t="s">
        <v>287</v>
      </c>
      <c r="D431" s="227" t="s">
        <v>231</v>
      </c>
      <c r="E431" s="241"/>
      <c r="F431" s="228">
        <f t="shared" si="34"/>
        <v>7.1428571428571411E-2</v>
      </c>
      <c r="G431" s="269">
        <f>+F431*G417</f>
        <v>5.7567405834768717E-5</v>
      </c>
      <c r="H431" s="299"/>
      <c r="I431" s="299"/>
      <c r="J431" s="299"/>
      <c r="K431" s="299"/>
      <c r="L431" s="299"/>
      <c r="M431" s="299"/>
      <c r="N431" s="229">
        <v>1</v>
      </c>
      <c r="O431" s="229">
        <v>1</v>
      </c>
      <c r="P431" s="229">
        <v>1</v>
      </c>
      <c r="Q431" s="272">
        <v>1</v>
      </c>
      <c r="R431" s="256">
        <f t="shared" si="35"/>
        <v>1</v>
      </c>
      <c r="S431" s="256">
        <f t="shared" si="35"/>
        <v>1</v>
      </c>
      <c r="T431" s="256">
        <f t="shared" si="35"/>
        <v>1</v>
      </c>
      <c r="U431" s="216"/>
      <c r="V431" s="216"/>
    </row>
    <row r="432" spans="1:22" s="140" customFormat="1" ht="25.5" hidden="1" outlineLevel="2">
      <c r="A432" s="216"/>
      <c r="B432" s="291" t="s">
        <v>617</v>
      </c>
      <c r="C432" s="292" t="s">
        <v>43</v>
      </c>
      <c r="D432" s="234" t="s">
        <v>33</v>
      </c>
      <c r="E432" s="240"/>
      <c r="F432" s="223">
        <f t="shared" si="34"/>
        <v>0.13388996515868054</v>
      </c>
      <c r="G432" s="293">
        <f>+F432*G343</f>
        <v>9.7656099346830839E-4</v>
      </c>
      <c r="H432" s="298"/>
      <c r="I432" s="298"/>
      <c r="J432" s="298"/>
      <c r="K432" s="298"/>
      <c r="L432" s="298"/>
      <c r="M432" s="298"/>
      <c r="N432" s="224">
        <f>+SUMPRODUCT($F433:$F449,N433:N449)</f>
        <v>1.0000000000000002</v>
      </c>
      <c r="O432" s="224">
        <f>+SUMPRODUCT($F433:$F449,O433:O449)</f>
        <v>1.0000000000000002</v>
      </c>
      <c r="P432" s="224">
        <f>+SUMPRODUCT($F433:$F449,P433:P449)</f>
        <v>1.0000000000000002</v>
      </c>
      <c r="Q432" s="270">
        <f>+SUMPRODUCT($F433:$F449,Q433:Q449)</f>
        <v>1.0000000000000002</v>
      </c>
      <c r="R432" s="254">
        <f t="shared" si="35"/>
        <v>1</v>
      </c>
      <c r="S432" s="254">
        <f t="shared" si="35"/>
        <v>1</v>
      </c>
      <c r="T432" s="254">
        <f t="shared" si="35"/>
        <v>1</v>
      </c>
      <c r="U432" s="216"/>
      <c r="V432" s="216"/>
    </row>
    <row r="433" spans="1:22" s="140" customFormat="1" ht="25.5" hidden="1" outlineLevel="3">
      <c r="A433" s="216"/>
      <c r="B433" s="255" t="s">
        <v>618</v>
      </c>
      <c r="C433" s="290" t="s">
        <v>230</v>
      </c>
      <c r="D433" s="227" t="s">
        <v>231</v>
      </c>
      <c r="E433" s="241"/>
      <c r="F433" s="228">
        <f t="shared" si="34"/>
        <v>6.2251019714089834E-2</v>
      </c>
      <c r="G433" s="269">
        <f>+F433*G432</f>
        <v>6.0791917656406817E-5</v>
      </c>
      <c r="H433" s="299"/>
      <c r="I433" s="299"/>
      <c r="J433" s="299"/>
      <c r="K433" s="299"/>
      <c r="L433" s="299"/>
      <c r="M433" s="299"/>
      <c r="N433" s="229">
        <v>1</v>
      </c>
      <c r="O433" s="229">
        <v>1</v>
      </c>
      <c r="P433" s="229">
        <v>1</v>
      </c>
      <c r="Q433" s="272">
        <v>1</v>
      </c>
      <c r="R433" s="256">
        <f t="shared" si="35"/>
        <v>1</v>
      </c>
      <c r="S433" s="256">
        <f t="shared" si="35"/>
        <v>1</v>
      </c>
      <c r="T433" s="256">
        <f t="shared" si="35"/>
        <v>1</v>
      </c>
      <c r="U433" s="216"/>
      <c r="V433" s="216"/>
    </row>
    <row r="434" spans="1:22" s="140" customFormat="1" ht="25.5" hidden="1" outlineLevel="3">
      <c r="A434" s="216"/>
      <c r="B434" s="255" t="s">
        <v>619</v>
      </c>
      <c r="C434" s="290" t="s">
        <v>233</v>
      </c>
      <c r="D434" s="227" t="s">
        <v>231</v>
      </c>
      <c r="E434" s="241"/>
      <c r="F434" s="228">
        <f t="shared" si="34"/>
        <v>6.2251019714089834E-2</v>
      </c>
      <c r="G434" s="269">
        <f>+F434*G432</f>
        <v>6.0791917656406817E-5</v>
      </c>
      <c r="H434" s="299"/>
      <c r="I434" s="299"/>
      <c r="J434" s="299"/>
      <c r="K434" s="299"/>
      <c r="L434" s="299"/>
      <c r="M434" s="299"/>
      <c r="N434" s="229">
        <v>1</v>
      </c>
      <c r="O434" s="229">
        <v>1</v>
      </c>
      <c r="P434" s="229">
        <v>1</v>
      </c>
      <c r="Q434" s="272">
        <v>1</v>
      </c>
      <c r="R434" s="256">
        <f t="shared" si="35"/>
        <v>1</v>
      </c>
      <c r="S434" s="256">
        <f t="shared" si="35"/>
        <v>1</v>
      </c>
      <c r="T434" s="256">
        <f t="shared" si="35"/>
        <v>1</v>
      </c>
      <c r="U434" s="216"/>
      <c r="V434" s="216"/>
    </row>
    <row r="435" spans="1:22" s="140" customFormat="1" ht="25.5" hidden="1" outlineLevel="3">
      <c r="A435" s="216"/>
      <c r="B435" s="255" t="s">
        <v>620</v>
      </c>
      <c r="C435" s="290" t="s">
        <v>235</v>
      </c>
      <c r="D435" s="227" t="s">
        <v>231</v>
      </c>
      <c r="E435" s="241"/>
      <c r="F435" s="228">
        <f t="shared" si="34"/>
        <v>6.2251019714089834E-2</v>
      </c>
      <c r="G435" s="269">
        <f>+F435*G432</f>
        <v>6.0791917656406817E-5</v>
      </c>
      <c r="H435" s="299"/>
      <c r="I435" s="299"/>
      <c r="J435" s="299"/>
      <c r="K435" s="299"/>
      <c r="L435" s="299"/>
      <c r="M435" s="299"/>
      <c r="N435" s="229">
        <v>1</v>
      </c>
      <c r="O435" s="229">
        <v>1</v>
      </c>
      <c r="P435" s="229">
        <v>1</v>
      </c>
      <c r="Q435" s="272">
        <v>1</v>
      </c>
      <c r="R435" s="256">
        <f t="shared" si="35"/>
        <v>1</v>
      </c>
      <c r="S435" s="256">
        <f t="shared" si="35"/>
        <v>1</v>
      </c>
      <c r="T435" s="256">
        <f t="shared" si="35"/>
        <v>1</v>
      </c>
      <c r="U435" s="216"/>
      <c r="V435" s="216"/>
    </row>
    <row r="436" spans="1:22" s="140" customFormat="1" ht="25.5" hidden="1" outlineLevel="3">
      <c r="A436" s="216"/>
      <c r="B436" s="255" t="s">
        <v>621</v>
      </c>
      <c r="C436" s="290" t="s">
        <v>237</v>
      </c>
      <c r="D436" s="227" t="s">
        <v>231</v>
      </c>
      <c r="E436" s="241"/>
      <c r="F436" s="228">
        <f t="shared" si="34"/>
        <v>6.2251019714089834E-2</v>
      </c>
      <c r="G436" s="269">
        <f>+F436*G432</f>
        <v>6.0791917656406817E-5</v>
      </c>
      <c r="H436" s="299"/>
      <c r="I436" s="299"/>
      <c r="J436" s="299"/>
      <c r="K436" s="299"/>
      <c r="L436" s="299"/>
      <c r="M436" s="299"/>
      <c r="N436" s="229">
        <v>1</v>
      </c>
      <c r="O436" s="229">
        <v>1</v>
      </c>
      <c r="P436" s="229">
        <v>1</v>
      </c>
      <c r="Q436" s="272">
        <v>1</v>
      </c>
      <c r="R436" s="256">
        <f t="shared" si="35"/>
        <v>1</v>
      </c>
      <c r="S436" s="256">
        <f t="shared" si="35"/>
        <v>1</v>
      </c>
      <c r="T436" s="256">
        <f t="shared" si="35"/>
        <v>1</v>
      </c>
      <c r="U436" s="216"/>
      <c r="V436" s="216"/>
    </row>
    <row r="437" spans="1:22" s="140" customFormat="1" ht="25.5" hidden="1" outlineLevel="3">
      <c r="A437" s="216"/>
      <c r="B437" s="255" t="s">
        <v>622</v>
      </c>
      <c r="C437" s="290" t="s">
        <v>239</v>
      </c>
      <c r="D437" s="227" t="s">
        <v>231</v>
      </c>
      <c r="E437" s="241"/>
      <c r="F437" s="228">
        <f t="shared" si="34"/>
        <v>6.2251019714089834E-2</v>
      </c>
      <c r="G437" s="269">
        <f>+F437*G432</f>
        <v>6.0791917656406817E-5</v>
      </c>
      <c r="H437" s="299"/>
      <c r="I437" s="299"/>
      <c r="J437" s="299"/>
      <c r="K437" s="299"/>
      <c r="L437" s="299"/>
      <c r="M437" s="299"/>
      <c r="N437" s="229">
        <v>1</v>
      </c>
      <c r="O437" s="229">
        <v>1</v>
      </c>
      <c r="P437" s="229">
        <v>1</v>
      </c>
      <c r="Q437" s="272">
        <v>1</v>
      </c>
      <c r="R437" s="256">
        <f t="shared" si="35"/>
        <v>1</v>
      </c>
      <c r="S437" s="256">
        <f t="shared" si="35"/>
        <v>1</v>
      </c>
      <c r="T437" s="256">
        <f t="shared" si="35"/>
        <v>1</v>
      </c>
      <c r="U437" s="216"/>
      <c r="V437" s="216"/>
    </row>
    <row r="438" spans="1:22" s="140" customFormat="1" ht="25.5" hidden="1" outlineLevel="3">
      <c r="A438" s="216"/>
      <c r="B438" s="255" t="s">
        <v>623</v>
      </c>
      <c r="C438" s="290" t="s">
        <v>241</v>
      </c>
      <c r="D438" s="227" t="s">
        <v>231</v>
      </c>
      <c r="E438" s="241"/>
      <c r="F438" s="228">
        <f t="shared" si="34"/>
        <v>6.2251019714089834E-2</v>
      </c>
      <c r="G438" s="269">
        <f>+F438*G432</f>
        <v>6.0791917656406817E-5</v>
      </c>
      <c r="H438" s="299"/>
      <c r="I438" s="299"/>
      <c r="J438" s="299"/>
      <c r="K438" s="299"/>
      <c r="L438" s="299"/>
      <c r="M438" s="299"/>
      <c r="N438" s="229">
        <v>1</v>
      </c>
      <c r="O438" s="229">
        <v>1</v>
      </c>
      <c r="P438" s="229">
        <v>1</v>
      </c>
      <c r="Q438" s="272">
        <v>1</v>
      </c>
      <c r="R438" s="256">
        <f t="shared" si="35"/>
        <v>1</v>
      </c>
      <c r="S438" s="256">
        <f t="shared" si="35"/>
        <v>1</v>
      </c>
      <c r="T438" s="256">
        <f t="shared" si="35"/>
        <v>1</v>
      </c>
      <c r="U438" s="216"/>
      <c r="V438" s="216"/>
    </row>
    <row r="439" spans="1:22" s="140" customFormat="1" ht="25.5" hidden="1" outlineLevel="3">
      <c r="A439" s="216"/>
      <c r="B439" s="255" t="s">
        <v>624</v>
      </c>
      <c r="C439" s="290" t="s">
        <v>243</v>
      </c>
      <c r="D439" s="227" t="s">
        <v>231</v>
      </c>
      <c r="E439" s="241"/>
      <c r="F439" s="228">
        <f t="shared" si="34"/>
        <v>6.2251019714089834E-2</v>
      </c>
      <c r="G439" s="269">
        <f>+F439*G432</f>
        <v>6.0791917656406817E-5</v>
      </c>
      <c r="H439" s="299"/>
      <c r="I439" s="299"/>
      <c r="J439" s="299"/>
      <c r="K439" s="299"/>
      <c r="L439" s="299"/>
      <c r="M439" s="299"/>
      <c r="N439" s="229">
        <v>1</v>
      </c>
      <c r="O439" s="229">
        <v>1</v>
      </c>
      <c r="P439" s="229">
        <v>1</v>
      </c>
      <c r="Q439" s="272">
        <v>1</v>
      </c>
      <c r="R439" s="256">
        <f t="shared" si="35"/>
        <v>1</v>
      </c>
      <c r="S439" s="256">
        <f t="shared" si="35"/>
        <v>1</v>
      </c>
      <c r="T439" s="256">
        <f t="shared" si="35"/>
        <v>1</v>
      </c>
      <c r="U439" s="216"/>
      <c r="V439" s="216"/>
    </row>
    <row r="440" spans="1:22" s="140" customFormat="1" ht="25.5" hidden="1" outlineLevel="3">
      <c r="A440" s="216"/>
      <c r="B440" s="255" t="s">
        <v>625</v>
      </c>
      <c r="C440" s="290" t="s">
        <v>245</v>
      </c>
      <c r="D440" s="227" t="s">
        <v>231</v>
      </c>
      <c r="E440" s="241"/>
      <c r="F440" s="228">
        <f t="shared" si="34"/>
        <v>6.2251019714089834E-2</v>
      </c>
      <c r="G440" s="269">
        <f>+F440*G432</f>
        <v>6.0791917656406817E-5</v>
      </c>
      <c r="H440" s="299"/>
      <c r="I440" s="299"/>
      <c r="J440" s="299"/>
      <c r="K440" s="299"/>
      <c r="L440" s="299"/>
      <c r="M440" s="299"/>
      <c r="N440" s="229">
        <v>1</v>
      </c>
      <c r="O440" s="229">
        <v>1</v>
      </c>
      <c r="P440" s="229">
        <v>1</v>
      </c>
      <c r="Q440" s="272">
        <v>1</v>
      </c>
      <c r="R440" s="256">
        <f t="shared" si="35"/>
        <v>1</v>
      </c>
      <c r="S440" s="256">
        <f t="shared" si="35"/>
        <v>1</v>
      </c>
      <c r="T440" s="256">
        <f t="shared" si="35"/>
        <v>1</v>
      </c>
      <c r="U440" s="216"/>
      <c r="V440" s="216"/>
    </row>
    <row r="441" spans="1:22" s="140" customFormat="1" ht="25.5" hidden="1" outlineLevel="3">
      <c r="A441" s="216"/>
      <c r="B441" s="255" t="s">
        <v>626</v>
      </c>
      <c r="C441" s="290" t="s">
        <v>247</v>
      </c>
      <c r="D441" s="227" t="s">
        <v>231</v>
      </c>
      <c r="E441" s="241"/>
      <c r="F441" s="228">
        <f t="shared" si="34"/>
        <v>6.2251019714089834E-2</v>
      </c>
      <c r="G441" s="269">
        <f>+F441*G432</f>
        <v>6.0791917656406817E-5</v>
      </c>
      <c r="H441" s="299"/>
      <c r="I441" s="299"/>
      <c r="J441" s="299"/>
      <c r="K441" s="299"/>
      <c r="L441" s="299"/>
      <c r="M441" s="299"/>
      <c r="N441" s="229">
        <v>1</v>
      </c>
      <c r="O441" s="229">
        <v>1</v>
      </c>
      <c r="P441" s="229">
        <v>1</v>
      </c>
      <c r="Q441" s="272">
        <v>1</v>
      </c>
      <c r="R441" s="256">
        <f t="shared" ref="R441:T472" si="36">+IF(N441=0,0,$Q441/N441)</f>
        <v>1</v>
      </c>
      <c r="S441" s="256">
        <f t="shared" si="36"/>
        <v>1</v>
      </c>
      <c r="T441" s="256">
        <f t="shared" si="36"/>
        <v>1</v>
      </c>
      <c r="U441" s="216"/>
      <c r="V441" s="216"/>
    </row>
    <row r="442" spans="1:22" s="140" customFormat="1" ht="25.5" hidden="1" outlineLevel="3">
      <c r="A442" s="216"/>
      <c r="B442" s="255" t="s">
        <v>627</v>
      </c>
      <c r="C442" s="290" t="s">
        <v>249</v>
      </c>
      <c r="D442" s="227" t="s">
        <v>231</v>
      </c>
      <c r="E442" s="241"/>
      <c r="F442" s="228">
        <f t="shared" si="34"/>
        <v>6.2251019714089834E-2</v>
      </c>
      <c r="G442" s="269">
        <f>+F442*G432</f>
        <v>6.0791917656406817E-5</v>
      </c>
      <c r="H442" s="299"/>
      <c r="I442" s="299"/>
      <c r="J442" s="299"/>
      <c r="K442" s="299"/>
      <c r="L442" s="299"/>
      <c r="M442" s="299"/>
      <c r="N442" s="229">
        <v>1</v>
      </c>
      <c r="O442" s="229">
        <v>1</v>
      </c>
      <c r="P442" s="229">
        <v>1</v>
      </c>
      <c r="Q442" s="272">
        <v>1</v>
      </c>
      <c r="R442" s="256">
        <f t="shared" si="36"/>
        <v>1</v>
      </c>
      <c r="S442" s="256">
        <f t="shared" si="36"/>
        <v>1</v>
      </c>
      <c r="T442" s="256">
        <f t="shared" si="36"/>
        <v>1</v>
      </c>
      <c r="U442" s="216"/>
      <c r="V442" s="216"/>
    </row>
    <row r="443" spans="1:22" s="140" customFormat="1" ht="25.5" hidden="1" outlineLevel="3">
      <c r="A443" s="216"/>
      <c r="B443" s="255" t="s">
        <v>628</v>
      </c>
      <c r="C443" s="290" t="s">
        <v>251</v>
      </c>
      <c r="D443" s="227" t="s">
        <v>231</v>
      </c>
      <c r="E443" s="241"/>
      <c r="F443" s="228">
        <f t="shared" si="34"/>
        <v>6.2251019714089834E-2</v>
      </c>
      <c r="G443" s="269">
        <f>+F443*G432</f>
        <v>6.0791917656406817E-5</v>
      </c>
      <c r="H443" s="299"/>
      <c r="I443" s="299"/>
      <c r="J443" s="299"/>
      <c r="K443" s="299"/>
      <c r="L443" s="299"/>
      <c r="M443" s="299"/>
      <c r="N443" s="229">
        <v>1</v>
      </c>
      <c r="O443" s="229">
        <v>1</v>
      </c>
      <c r="P443" s="229">
        <v>1</v>
      </c>
      <c r="Q443" s="272">
        <v>1</v>
      </c>
      <c r="R443" s="256">
        <f t="shared" si="36"/>
        <v>1</v>
      </c>
      <c r="S443" s="256">
        <f t="shared" si="36"/>
        <v>1</v>
      </c>
      <c r="T443" s="256">
        <f t="shared" si="36"/>
        <v>1</v>
      </c>
      <c r="U443" s="216"/>
      <c r="V443" s="216"/>
    </row>
    <row r="444" spans="1:22" s="140" customFormat="1" ht="25.5" hidden="1" outlineLevel="3">
      <c r="A444" s="216"/>
      <c r="B444" s="255" t="s">
        <v>629</v>
      </c>
      <c r="C444" s="290" t="s">
        <v>253</v>
      </c>
      <c r="D444" s="227" t="s">
        <v>231</v>
      </c>
      <c r="E444" s="241"/>
      <c r="F444" s="228">
        <f t="shared" si="34"/>
        <v>6.2251019714089834E-2</v>
      </c>
      <c r="G444" s="269">
        <f>+F444*G432</f>
        <v>6.0791917656406817E-5</v>
      </c>
      <c r="H444" s="299"/>
      <c r="I444" s="299"/>
      <c r="J444" s="299"/>
      <c r="K444" s="299"/>
      <c r="L444" s="299"/>
      <c r="M444" s="299"/>
      <c r="N444" s="229">
        <v>1</v>
      </c>
      <c r="O444" s="229">
        <v>1</v>
      </c>
      <c r="P444" s="229">
        <v>1</v>
      </c>
      <c r="Q444" s="272">
        <v>1</v>
      </c>
      <c r="R444" s="256">
        <f t="shared" si="36"/>
        <v>1</v>
      </c>
      <c r="S444" s="256">
        <f t="shared" si="36"/>
        <v>1</v>
      </c>
      <c r="T444" s="256">
        <f t="shared" si="36"/>
        <v>1</v>
      </c>
      <c r="U444" s="216"/>
      <c r="V444" s="216"/>
    </row>
    <row r="445" spans="1:22" s="140" customFormat="1" ht="25.5" hidden="1" outlineLevel="3">
      <c r="A445" s="216"/>
      <c r="B445" s="255" t="s">
        <v>630</v>
      </c>
      <c r="C445" s="290" t="s">
        <v>285</v>
      </c>
      <c r="D445" s="227" t="s">
        <v>231</v>
      </c>
      <c r="E445" s="241"/>
      <c r="F445" s="228">
        <f t="shared" si="34"/>
        <v>6.2251019714089834E-2</v>
      </c>
      <c r="G445" s="269">
        <f>+F445*G432</f>
        <v>6.0791917656406817E-5</v>
      </c>
      <c r="H445" s="299"/>
      <c r="I445" s="299"/>
      <c r="J445" s="299"/>
      <c r="K445" s="299"/>
      <c r="L445" s="299"/>
      <c r="M445" s="299"/>
      <c r="N445" s="229">
        <v>1</v>
      </c>
      <c r="O445" s="229">
        <v>1</v>
      </c>
      <c r="P445" s="229">
        <v>1</v>
      </c>
      <c r="Q445" s="272">
        <v>1</v>
      </c>
      <c r="R445" s="256">
        <f t="shared" si="36"/>
        <v>1</v>
      </c>
      <c r="S445" s="256">
        <f t="shared" si="36"/>
        <v>1</v>
      </c>
      <c r="T445" s="256">
        <f t="shared" si="36"/>
        <v>1</v>
      </c>
      <c r="U445" s="216"/>
      <c r="V445" s="216"/>
    </row>
    <row r="446" spans="1:22" s="140" customFormat="1" ht="25.5" hidden="1" outlineLevel="3">
      <c r="A446" s="216"/>
      <c r="B446" s="255" t="s">
        <v>631</v>
      </c>
      <c r="C446" s="290" t="s">
        <v>287</v>
      </c>
      <c r="D446" s="227" t="s">
        <v>231</v>
      </c>
      <c r="E446" s="241"/>
      <c r="F446" s="228">
        <f t="shared" si="34"/>
        <v>6.2251019714089834E-2</v>
      </c>
      <c r="G446" s="269">
        <f>+F446*G432</f>
        <v>6.0791917656406817E-5</v>
      </c>
      <c r="H446" s="299"/>
      <c r="I446" s="299"/>
      <c r="J446" s="299"/>
      <c r="K446" s="299"/>
      <c r="L446" s="299"/>
      <c r="M446" s="299"/>
      <c r="N446" s="229">
        <v>1</v>
      </c>
      <c r="O446" s="229">
        <v>1</v>
      </c>
      <c r="P446" s="229">
        <v>1</v>
      </c>
      <c r="Q446" s="272">
        <v>1</v>
      </c>
      <c r="R446" s="256">
        <f t="shared" si="36"/>
        <v>1</v>
      </c>
      <c r="S446" s="256">
        <f t="shared" si="36"/>
        <v>1</v>
      </c>
      <c r="T446" s="256">
        <f t="shared" si="36"/>
        <v>1</v>
      </c>
      <c r="U446" s="216"/>
      <c r="V446" s="216"/>
    </row>
    <row r="447" spans="1:22" s="140" customFormat="1" ht="25.5" hidden="1" outlineLevel="3">
      <c r="A447" s="216"/>
      <c r="B447" s="255" t="s">
        <v>632</v>
      </c>
      <c r="C447" s="290" t="s">
        <v>289</v>
      </c>
      <c r="D447" s="227" t="s">
        <v>231</v>
      </c>
      <c r="E447" s="241"/>
      <c r="F447" s="228">
        <f t="shared" si="34"/>
        <v>6.2251019714089834E-2</v>
      </c>
      <c r="G447" s="269">
        <f>+F447*G432</f>
        <v>6.0791917656406817E-5</v>
      </c>
      <c r="H447" s="299"/>
      <c r="I447" s="299"/>
      <c r="J447" s="299"/>
      <c r="K447" s="299"/>
      <c r="L447" s="299"/>
      <c r="M447" s="299"/>
      <c r="N447" s="229">
        <v>1</v>
      </c>
      <c r="O447" s="229">
        <v>1</v>
      </c>
      <c r="P447" s="229">
        <v>1</v>
      </c>
      <c r="Q447" s="272">
        <v>1</v>
      </c>
      <c r="R447" s="256">
        <f t="shared" si="36"/>
        <v>1</v>
      </c>
      <c r="S447" s="256">
        <f t="shared" si="36"/>
        <v>1</v>
      </c>
      <c r="T447" s="256">
        <f t="shared" si="36"/>
        <v>1</v>
      </c>
      <c r="U447" s="216"/>
      <c r="V447" s="216"/>
    </row>
    <row r="448" spans="1:22" s="140" customFormat="1" ht="25.5" hidden="1" outlineLevel="3">
      <c r="A448" s="216"/>
      <c r="B448" s="255" t="s">
        <v>633</v>
      </c>
      <c r="C448" s="290" t="s">
        <v>291</v>
      </c>
      <c r="D448" s="227" t="s">
        <v>231</v>
      </c>
      <c r="E448" s="241"/>
      <c r="F448" s="228">
        <f t="shared" si="34"/>
        <v>6.2251019714089834E-2</v>
      </c>
      <c r="G448" s="269">
        <f>+F448*G432</f>
        <v>6.0791917656406817E-5</v>
      </c>
      <c r="H448" s="299"/>
      <c r="I448" s="299"/>
      <c r="J448" s="299"/>
      <c r="K448" s="299"/>
      <c r="L448" s="299"/>
      <c r="M448" s="299"/>
      <c r="N448" s="229">
        <v>1</v>
      </c>
      <c r="O448" s="229">
        <v>1</v>
      </c>
      <c r="P448" s="229">
        <v>1</v>
      </c>
      <c r="Q448" s="272">
        <v>1</v>
      </c>
      <c r="R448" s="256">
        <f t="shared" si="36"/>
        <v>1</v>
      </c>
      <c r="S448" s="256">
        <f t="shared" si="36"/>
        <v>1</v>
      </c>
      <c r="T448" s="256">
        <f t="shared" si="36"/>
        <v>1</v>
      </c>
      <c r="U448" s="216"/>
      <c r="V448" s="216"/>
    </row>
    <row r="449" spans="1:22" s="140" customFormat="1" ht="25.5" hidden="1" outlineLevel="3">
      <c r="A449" s="216"/>
      <c r="B449" s="255" t="s">
        <v>634</v>
      </c>
      <c r="C449" s="290" t="s">
        <v>366</v>
      </c>
      <c r="D449" s="227" t="s">
        <v>367</v>
      </c>
      <c r="E449" s="241"/>
      <c r="F449" s="228">
        <f t="shared" si="34"/>
        <v>3.9836845745626157E-3</v>
      </c>
      <c r="G449" s="269">
        <f>+F449*G432</f>
        <v>3.8903109657992439E-6</v>
      </c>
      <c r="H449" s="299"/>
      <c r="I449" s="299"/>
      <c r="J449" s="299"/>
      <c r="K449" s="299"/>
      <c r="L449" s="299"/>
      <c r="M449" s="299"/>
      <c r="N449" s="229">
        <v>1</v>
      </c>
      <c r="O449" s="229">
        <v>1</v>
      </c>
      <c r="P449" s="229">
        <v>1</v>
      </c>
      <c r="Q449" s="272">
        <v>1</v>
      </c>
      <c r="R449" s="256">
        <f t="shared" si="36"/>
        <v>1</v>
      </c>
      <c r="S449" s="256">
        <f t="shared" si="36"/>
        <v>1</v>
      </c>
      <c r="T449" s="256">
        <f t="shared" si="36"/>
        <v>1</v>
      </c>
      <c r="U449" s="216"/>
      <c r="V449" s="216"/>
    </row>
    <row r="450" spans="1:22" s="140" customFormat="1" ht="25.5" hidden="1" outlineLevel="2">
      <c r="A450" s="216"/>
      <c r="B450" s="291" t="s">
        <v>635</v>
      </c>
      <c r="C450" s="292" t="s">
        <v>45</v>
      </c>
      <c r="D450" s="234" t="s">
        <v>33</v>
      </c>
      <c r="E450" s="240"/>
      <c r="F450" s="223">
        <f t="shared" si="34"/>
        <v>0.10189354851165684</v>
      </c>
      <c r="G450" s="293">
        <f>+F450*G343</f>
        <v>7.4318687621305747E-4</v>
      </c>
      <c r="H450" s="298"/>
      <c r="I450" s="298"/>
      <c r="J450" s="298"/>
      <c r="K450" s="298"/>
      <c r="L450" s="298"/>
      <c r="M450" s="298"/>
      <c r="N450" s="224">
        <f>+SUMPRODUCT($F451:$F464,N451:N464)</f>
        <v>1.0000000000000002</v>
      </c>
      <c r="O450" s="224">
        <f>+SUMPRODUCT($F451:$F464,O451:O464)</f>
        <v>1.0000000000000002</v>
      </c>
      <c r="P450" s="224">
        <f>+SUMPRODUCT($F451:$F464,P451:P464)</f>
        <v>1.0000000000000002</v>
      </c>
      <c r="Q450" s="270">
        <f>+SUMPRODUCT($F451:$F464,Q451:Q464)</f>
        <v>1.0000000000000002</v>
      </c>
      <c r="R450" s="254">
        <f t="shared" si="36"/>
        <v>1</v>
      </c>
      <c r="S450" s="254">
        <f t="shared" si="36"/>
        <v>1</v>
      </c>
      <c r="T450" s="254">
        <f t="shared" si="36"/>
        <v>1</v>
      </c>
      <c r="U450" s="216"/>
      <c r="V450" s="216"/>
    </row>
    <row r="451" spans="1:22" s="140" customFormat="1" ht="25.5" hidden="1" outlineLevel="3">
      <c r="A451" s="216"/>
      <c r="B451" s="255" t="s">
        <v>636</v>
      </c>
      <c r="C451" s="290" t="s">
        <v>230</v>
      </c>
      <c r="D451" s="227" t="s">
        <v>231</v>
      </c>
      <c r="E451" s="241"/>
      <c r="F451" s="228">
        <f t="shared" si="34"/>
        <v>7.4469037330616245E-2</v>
      </c>
      <c r="G451" s="269">
        <f>+F451*G450</f>
        <v>5.5344411228334253E-5</v>
      </c>
      <c r="H451" s="299"/>
      <c r="I451" s="299"/>
      <c r="J451" s="299"/>
      <c r="K451" s="299"/>
      <c r="L451" s="299"/>
      <c r="M451" s="299"/>
      <c r="N451" s="229">
        <v>1</v>
      </c>
      <c r="O451" s="229">
        <v>1</v>
      </c>
      <c r="P451" s="229">
        <v>1</v>
      </c>
      <c r="Q451" s="272">
        <v>1</v>
      </c>
      <c r="R451" s="256">
        <f t="shared" si="36"/>
        <v>1</v>
      </c>
      <c r="S451" s="256">
        <f t="shared" si="36"/>
        <v>1</v>
      </c>
      <c r="T451" s="256">
        <f t="shared" si="36"/>
        <v>1</v>
      </c>
      <c r="U451" s="216"/>
      <c r="V451" s="216"/>
    </row>
    <row r="452" spans="1:22" s="140" customFormat="1" ht="25.5" hidden="1" outlineLevel="3">
      <c r="A452" s="216"/>
      <c r="B452" s="255" t="s">
        <v>637</v>
      </c>
      <c r="C452" s="290" t="s">
        <v>233</v>
      </c>
      <c r="D452" s="227" t="s">
        <v>231</v>
      </c>
      <c r="E452" s="241"/>
      <c r="F452" s="228">
        <f t="shared" si="34"/>
        <v>7.4469037330616245E-2</v>
      </c>
      <c r="G452" s="269">
        <f>+F452*G450</f>
        <v>5.5344411228334253E-5</v>
      </c>
      <c r="H452" s="299"/>
      <c r="I452" s="299"/>
      <c r="J452" s="299"/>
      <c r="K452" s="299"/>
      <c r="L452" s="299"/>
      <c r="M452" s="299"/>
      <c r="N452" s="229">
        <v>1</v>
      </c>
      <c r="O452" s="229">
        <v>1</v>
      </c>
      <c r="P452" s="229">
        <v>1</v>
      </c>
      <c r="Q452" s="272">
        <v>1</v>
      </c>
      <c r="R452" s="256">
        <f t="shared" si="36"/>
        <v>1</v>
      </c>
      <c r="S452" s="256">
        <f t="shared" si="36"/>
        <v>1</v>
      </c>
      <c r="T452" s="256">
        <f t="shared" si="36"/>
        <v>1</v>
      </c>
      <c r="U452" s="216"/>
      <c r="V452" s="216"/>
    </row>
    <row r="453" spans="1:22" s="140" customFormat="1" ht="25.5" hidden="1" outlineLevel="3">
      <c r="A453" s="216"/>
      <c r="B453" s="255" t="s">
        <v>638</v>
      </c>
      <c r="C453" s="290" t="s">
        <v>235</v>
      </c>
      <c r="D453" s="227" t="s">
        <v>231</v>
      </c>
      <c r="E453" s="241"/>
      <c r="F453" s="228">
        <f t="shared" si="34"/>
        <v>7.4469037330616245E-2</v>
      </c>
      <c r="G453" s="269">
        <f>+F453*G450</f>
        <v>5.5344411228334253E-5</v>
      </c>
      <c r="H453" s="299"/>
      <c r="I453" s="299"/>
      <c r="J453" s="299"/>
      <c r="K453" s="299"/>
      <c r="L453" s="299"/>
      <c r="M453" s="299"/>
      <c r="N453" s="229">
        <v>1</v>
      </c>
      <c r="O453" s="229">
        <v>1</v>
      </c>
      <c r="P453" s="229">
        <v>1</v>
      </c>
      <c r="Q453" s="272">
        <v>1</v>
      </c>
      <c r="R453" s="256">
        <f t="shared" si="36"/>
        <v>1</v>
      </c>
      <c r="S453" s="256">
        <f t="shared" si="36"/>
        <v>1</v>
      </c>
      <c r="T453" s="256">
        <f t="shared" si="36"/>
        <v>1</v>
      </c>
      <c r="U453" s="216"/>
      <c r="V453" s="216"/>
    </row>
    <row r="454" spans="1:22" s="140" customFormat="1" ht="25.5" hidden="1" outlineLevel="3">
      <c r="A454" s="216"/>
      <c r="B454" s="255" t="s">
        <v>639</v>
      </c>
      <c r="C454" s="290" t="s">
        <v>237</v>
      </c>
      <c r="D454" s="227" t="s">
        <v>231</v>
      </c>
      <c r="E454" s="241"/>
      <c r="F454" s="228">
        <f t="shared" si="34"/>
        <v>7.4469037330616245E-2</v>
      </c>
      <c r="G454" s="269">
        <f>+F454*G450</f>
        <v>5.5344411228334253E-5</v>
      </c>
      <c r="H454" s="299"/>
      <c r="I454" s="299"/>
      <c r="J454" s="299"/>
      <c r="K454" s="299"/>
      <c r="L454" s="299"/>
      <c r="M454" s="299"/>
      <c r="N454" s="229">
        <v>1</v>
      </c>
      <c r="O454" s="229">
        <v>1</v>
      </c>
      <c r="P454" s="229">
        <v>1</v>
      </c>
      <c r="Q454" s="272">
        <v>1</v>
      </c>
      <c r="R454" s="256">
        <f t="shared" si="36"/>
        <v>1</v>
      </c>
      <c r="S454" s="256">
        <f t="shared" si="36"/>
        <v>1</v>
      </c>
      <c r="T454" s="256">
        <f t="shared" si="36"/>
        <v>1</v>
      </c>
      <c r="U454" s="216"/>
      <c r="V454" s="216"/>
    </row>
    <row r="455" spans="1:22" s="140" customFormat="1" ht="25.5" hidden="1" outlineLevel="3">
      <c r="A455" s="216"/>
      <c r="B455" s="255" t="s">
        <v>640</v>
      </c>
      <c r="C455" s="290" t="s">
        <v>239</v>
      </c>
      <c r="D455" s="227" t="s">
        <v>231</v>
      </c>
      <c r="E455" s="241"/>
      <c r="F455" s="228">
        <f t="shared" si="34"/>
        <v>7.4469037330616245E-2</v>
      </c>
      <c r="G455" s="269">
        <f>+F455*G450</f>
        <v>5.5344411228334253E-5</v>
      </c>
      <c r="H455" s="299"/>
      <c r="I455" s="299"/>
      <c r="J455" s="299"/>
      <c r="K455" s="299"/>
      <c r="L455" s="299"/>
      <c r="M455" s="299"/>
      <c r="N455" s="229">
        <v>1</v>
      </c>
      <c r="O455" s="229">
        <v>1</v>
      </c>
      <c r="P455" s="229">
        <v>1</v>
      </c>
      <c r="Q455" s="272">
        <v>1</v>
      </c>
      <c r="R455" s="256">
        <f t="shared" si="36"/>
        <v>1</v>
      </c>
      <c r="S455" s="256">
        <f t="shared" si="36"/>
        <v>1</v>
      </c>
      <c r="T455" s="256">
        <f t="shared" si="36"/>
        <v>1</v>
      </c>
      <c r="U455" s="216"/>
      <c r="V455" s="216"/>
    </row>
    <row r="456" spans="1:22" s="140" customFormat="1" ht="25.5" hidden="1" outlineLevel="3">
      <c r="A456" s="216"/>
      <c r="B456" s="255" t="s">
        <v>641</v>
      </c>
      <c r="C456" s="290" t="s">
        <v>241</v>
      </c>
      <c r="D456" s="227" t="s">
        <v>231</v>
      </c>
      <c r="E456" s="241"/>
      <c r="F456" s="228">
        <f t="shared" si="34"/>
        <v>7.4469037330616245E-2</v>
      </c>
      <c r="G456" s="269">
        <f>+F456*G450</f>
        <v>5.5344411228334253E-5</v>
      </c>
      <c r="H456" s="299"/>
      <c r="I456" s="299"/>
      <c r="J456" s="299"/>
      <c r="K456" s="299"/>
      <c r="L456" s="299"/>
      <c r="M456" s="299"/>
      <c r="N456" s="229">
        <v>1</v>
      </c>
      <c r="O456" s="229">
        <v>1</v>
      </c>
      <c r="P456" s="229">
        <v>1</v>
      </c>
      <c r="Q456" s="272">
        <v>1</v>
      </c>
      <c r="R456" s="256">
        <f t="shared" si="36"/>
        <v>1</v>
      </c>
      <c r="S456" s="256">
        <f t="shared" si="36"/>
        <v>1</v>
      </c>
      <c r="T456" s="256">
        <f t="shared" si="36"/>
        <v>1</v>
      </c>
      <c r="U456" s="216"/>
      <c r="V456" s="216"/>
    </row>
    <row r="457" spans="1:22" s="140" customFormat="1" ht="25.5" hidden="1" outlineLevel="3">
      <c r="A457" s="216"/>
      <c r="B457" s="255" t="s">
        <v>642</v>
      </c>
      <c r="C457" s="290" t="s">
        <v>376</v>
      </c>
      <c r="D457" s="227" t="s">
        <v>256</v>
      </c>
      <c r="E457" s="241"/>
      <c r="F457" s="228">
        <f t="shared" si="34"/>
        <v>6.9148222002037796E-2</v>
      </c>
      <c r="G457" s="269">
        <f>+F457*G450</f>
        <v>5.1390051105381484E-5</v>
      </c>
      <c r="H457" s="299"/>
      <c r="I457" s="299"/>
      <c r="J457" s="299"/>
      <c r="K457" s="299"/>
      <c r="L457" s="299"/>
      <c r="M457" s="299"/>
      <c r="N457" s="229">
        <v>1</v>
      </c>
      <c r="O457" s="229">
        <v>1</v>
      </c>
      <c r="P457" s="229">
        <v>1</v>
      </c>
      <c r="Q457" s="272">
        <v>1</v>
      </c>
      <c r="R457" s="256">
        <f t="shared" si="36"/>
        <v>1</v>
      </c>
      <c r="S457" s="256">
        <f t="shared" si="36"/>
        <v>1</v>
      </c>
      <c r="T457" s="256">
        <f t="shared" si="36"/>
        <v>1</v>
      </c>
      <c r="U457" s="216"/>
      <c r="V457" s="216"/>
    </row>
    <row r="458" spans="1:22" s="140" customFormat="1" ht="25.5" hidden="1" outlineLevel="3">
      <c r="A458" s="216"/>
      <c r="B458" s="255" t="s">
        <v>643</v>
      </c>
      <c r="C458" s="290" t="s">
        <v>378</v>
      </c>
      <c r="D458" s="227" t="s">
        <v>256</v>
      </c>
      <c r="E458" s="241"/>
      <c r="F458" s="228">
        <f t="shared" si="34"/>
        <v>6.9148222002037796E-2</v>
      </c>
      <c r="G458" s="269">
        <f>+F458*G450</f>
        <v>5.1390051105381484E-5</v>
      </c>
      <c r="H458" s="299"/>
      <c r="I458" s="299"/>
      <c r="J458" s="299"/>
      <c r="K458" s="299"/>
      <c r="L458" s="299"/>
      <c r="M458" s="299"/>
      <c r="N458" s="229">
        <v>1</v>
      </c>
      <c r="O458" s="229">
        <v>1</v>
      </c>
      <c r="P458" s="229">
        <v>1</v>
      </c>
      <c r="Q458" s="272">
        <v>1</v>
      </c>
      <c r="R458" s="256">
        <f t="shared" si="36"/>
        <v>1</v>
      </c>
      <c r="S458" s="256">
        <f t="shared" si="36"/>
        <v>1</v>
      </c>
      <c r="T458" s="256">
        <f t="shared" si="36"/>
        <v>1</v>
      </c>
      <c r="U458" s="216"/>
      <c r="V458" s="216"/>
    </row>
    <row r="459" spans="1:22" s="140" customFormat="1" ht="25.5" hidden="1" outlineLevel="3">
      <c r="A459" s="216"/>
      <c r="B459" s="255" t="s">
        <v>644</v>
      </c>
      <c r="C459" s="290" t="s">
        <v>380</v>
      </c>
      <c r="D459" s="227" t="s">
        <v>256</v>
      </c>
      <c r="E459" s="241"/>
      <c r="F459" s="228">
        <f t="shared" si="34"/>
        <v>6.9148222002037796E-2</v>
      </c>
      <c r="G459" s="269">
        <f>+F459*G450</f>
        <v>5.1390051105381484E-5</v>
      </c>
      <c r="H459" s="299"/>
      <c r="I459" s="299"/>
      <c r="J459" s="299"/>
      <c r="K459" s="299"/>
      <c r="L459" s="299"/>
      <c r="M459" s="299"/>
      <c r="N459" s="229">
        <v>1</v>
      </c>
      <c r="O459" s="229">
        <v>1</v>
      </c>
      <c r="P459" s="229">
        <v>1</v>
      </c>
      <c r="Q459" s="272">
        <v>1</v>
      </c>
      <c r="R459" s="256">
        <f t="shared" si="36"/>
        <v>1</v>
      </c>
      <c r="S459" s="256">
        <f t="shared" si="36"/>
        <v>1</v>
      </c>
      <c r="T459" s="256">
        <f t="shared" si="36"/>
        <v>1</v>
      </c>
      <c r="U459" s="216"/>
      <c r="V459" s="216"/>
    </row>
    <row r="460" spans="1:22" s="140" customFormat="1" ht="25.5" hidden="1" outlineLevel="3">
      <c r="A460" s="216"/>
      <c r="B460" s="255" t="s">
        <v>645</v>
      </c>
      <c r="C460" s="290" t="s">
        <v>382</v>
      </c>
      <c r="D460" s="227" t="s">
        <v>256</v>
      </c>
      <c r="E460" s="241"/>
      <c r="F460" s="228">
        <f t="shared" si="34"/>
        <v>6.9148222002037796E-2</v>
      </c>
      <c r="G460" s="269">
        <f>+F460*G450</f>
        <v>5.1390051105381484E-5</v>
      </c>
      <c r="H460" s="299"/>
      <c r="I460" s="299"/>
      <c r="J460" s="299"/>
      <c r="K460" s="299"/>
      <c r="L460" s="299"/>
      <c r="M460" s="299"/>
      <c r="N460" s="229">
        <v>1</v>
      </c>
      <c r="O460" s="229">
        <v>1</v>
      </c>
      <c r="P460" s="229">
        <v>1</v>
      </c>
      <c r="Q460" s="272">
        <v>1</v>
      </c>
      <c r="R460" s="256">
        <f t="shared" si="36"/>
        <v>1</v>
      </c>
      <c r="S460" s="256">
        <f t="shared" si="36"/>
        <v>1</v>
      </c>
      <c r="T460" s="256">
        <f t="shared" si="36"/>
        <v>1</v>
      </c>
      <c r="U460" s="216"/>
      <c r="V460" s="216"/>
    </row>
    <row r="461" spans="1:22" s="140" customFormat="1" ht="25.5" hidden="1" outlineLevel="3">
      <c r="A461" s="216"/>
      <c r="B461" s="255" t="s">
        <v>646</v>
      </c>
      <c r="C461" s="290" t="s">
        <v>384</v>
      </c>
      <c r="D461" s="227" t="s">
        <v>256</v>
      </c>
      <c r="E461" s="241"/>
      <c r="F461" s="228">
        <f t="shared" si="34"/>
        <v>6.9148222002037796E-2</v>
      </c>
      <c r="G461" s="269">
        <f>+F461*G450</f>
        <v>5.1390051105381484E-5</v>
      </c>
      <c r="H461" s="299"/>
      <c r="I461" s="299"/>
      <c r="J461" s="299"/>
      <c r="K461" s="299"/>
      <c r="L461" s="299"/>
      <c r="M461" s="299"/>
      <c r="N461" s="229">
        <v>1</v>
      </c>
      <c r="O461" s="229">
        <v>1</v>
      </c>
      <c r="P461" s="229">
        <v>1</v>
      </c>
      <c r="Q461" s="272">
        <v>1</v>
      </c>
      <c r="R461" s="256">
        <f t="shared" si="36"/>
        <v>1</v>
      </c>
      <c r="S461" s="256">
        <f t="shared" si="36"/>
        <v>1</v>
      </c>
      <c r="T461" s="256">
        <f t="shared" si="36"/>
        <v>1</v>
      </c>
      <c r="U461" s="216"/>
      <c r="V461" s="216"/>
    </row>
    <row r="462" spans="1:22" s="140" customFormat="1" ht="25.5" hidden="1" outlineLevel="3">
      <c r="A462" s="216"/>
      <c r="B462" s="255" t="s">
        <v>647</v>
      </c>
      <c r="C462" s="290" t="s">
        <v>386</v>
      </c>
      <c r="D462" s="227" t="s">
        <v>256</v>
      </c>
      <c r="E462" s="241"/>
      <c r="F462" s="228">
        <f t="shared" si="34"/>
        <v>6.9148222002037796E-2</v>
      </c>
      <c r="G462" s="269">
        <f>+F462*G450</f>
        <v>5.1390051105381484E-5</v>
      </c>
      <c r="H462" s="299"/>
      <c r="I462" s="299"/>
      <c r="J462" s="299"/>
      <c r="K462" s="299"/>
      <c r="L462" s="299"/>
      <c r="M462" s="299"/>
      <c r="N462" s="229">
        <v>1</v>
      </c>
      <c r="O462" s="229">
        <v>1</v>
      </c>
      <c r="P462" s="229">
        <v>1</v>
      </c>
      <c r="Q462" s="272">
        <v>1</v>
      </c>
      <c r="R462" s="256">
        <f t="shared" si="36"/>
        <v>1</v>
      </c>
      <c r="S462" s="256">
        <f t="shared" si="36"/>
        <v>1</v>
      </c>
      <c r="T462" s="256">
        <f t="shared" si="36"/>
        <v>1</v>
      </c>
      <c r="U462" s="216"/>
      <c r="V462" s="216"/>
    </row>
    <row r="463" spans="1:22" s="140" customFormat="1" ht="25.5" hidden="1" outlineLevel="3">
      <c r="A463" s="216"/>
      <c r="B463" s="255" t="s">
        <v>648</v>
      </c>
      <c r="C463" s="290" t="s">
        <v>388</v>
      </c>
      <c r="D463" s="227" t="s">
        <v>256</v>
      </c>
      <c r="E463" s="241"/>
      <c r="F463" s="228">
        <f t="shared" si="34"/>
        <v>6.9148222002037796E-2</v>
      </c>
      <c r="G463" s="269">
        <f>+F463*G450</f>
        <v>5.1390051105381484E-5</v>
      </c>
      <c r="H463" s="299"/>
      <c r="I463" s="299"/>
      <c r="J463" s="299"/>
      <c r="K463" s="299"/>
      <c r="L463" s="299"/>
      <c r="M463" s="299"/>
      <c r="N463" s="229">
        <v>1</v>
      </c>
      <c r="O463" s="229">
        <v>1</v>
      </c>
      <c r="P463" s="229">
        <v>1</v>
      </c>
      <c r="Q463" s="272">
        <v>1</v>
      </c>
      <c r="R463" s="256">
        <f t="shared" si="36"/>
        <v>1</v>
      </c>
      <c r="S463" s="256">
        <f t="shared" si="36"/>
        <v>1</v>
      </c>
      <c r="T463" s="256">
        <f t="shared" si="36"/>
        <v>1</v>
      </c>
      <c r="U463" s="216"/>
      <c r="V463" s="216"/>
    </row>
    <row r="464" spans="1:22" s="140" customFormat="1" ht="25.5" hidden="1" outlineLevel="3">
      <c r="A464" s="216"/>
      <c r="B464" s="255" t="s">
        <v>649</v>
      </c>
      <c r="C464" s="290" t="s">
        <v>390</v>
      </c>
      <c r="D464" s="227" t="s">
        <v>256</v>
      </c>
      <c r="E464" s="241"/>
      <c r="F464" s="228">
        <f t="shared" si="34"/>
        <v>6.9148222002037796E-2</v>
      </c>
      <c r="G464" s="269">
        <f>+F464*G450</f>
        <v>5.1390051105381484E-5</v>
      </c>
      <c r="H464" s="299"/>
      <c r="I464" s="299"/>
      <c r="J464" s="299"/>
      <c r="K464" s="299"/>
      <c r="L464" s="299"/>
      <c r="M464" s="299"/>
      <c r="N464" s="229">
        <v>1</v>
      </c>
      <c r="O464" s="229">
        <v>1</v>
      </c>
      <c r="P464" s="229">
        <v>1</v>
      </c>
      <c r="Q464" s="272">
        <v>1</v>
      </c>
      <c r="R464" s="256">
        <f t="shared" si="36"/>
        <v>1</v>
      </c>
      <c r="S464" s="256">
        <f t="shared" si="36"/>
        <v>1</v>
      </c>
      <c r="T464" s="256">
        <f t="shared" si="36"/>
        <v>1</v>
      </c>
      <c r="U464" s="216"/>
      <c r="V464" s="216"/>
    </row>
    <row r="465" spans="1:22" s="140" customFormat="1" ht="12.75" hidden="1" outlineLevel="2">
      <c r="A465" s="216"/>
      <c r="B465" s="291" t="s">
        <v>650</v>
      </c>
      <c r="C465" s="292" t="s">
        <v>170</v>
      </c>
      <c r="D465" s="234" t="s">
        <v>171</v>
      </c>
      <c r="E465" s="240"/>
      <c r="F465" s="223">
        <f t="shared" si="34"/>
        <v>4.25702422192204E-2</v>
      </c>
      <c r="G465" s="293">
        <f>+F465*G343</f>
        <v>3.1049704124217647E-4</v>
      </c>
      <c r="H465" s="293"/>
      <c r="I465" s="293"/>
      <c r="J465" s="293"/>
      <c r="K465" s="293"/>
      <c r="L465" s="293"/>
      <c r="M465" s="293"/>
      <c r="N465" s="224">
        <v>0.94</v>
      </c>
      <c r="O465" s="224">
        <v>0.94</v>
      </c>
      <c r="P465" s="224">
        <v>0.94</v>
      </c>
      <c r="Q465" s="270">
        <v>0.9</v>
      </c>
      <c r="R465" s="254">
        <f t="shared" si="36"/>
        <v>0.95744680851063835</v>
      </c>
      <c r="S465" s="254">
        <f t="shared" si="36"/>
        <v>0.95744680851063835</v>
      </c>
      <c r="T465" s="254">
        <f t="shared" si="36"/>
        <v>0.95744680851063835</v>
      </c>
      <c r="U465" s="216"/>
      <c r="V465" s="216"/>
    </row>
    <row r="466" spans="1:22" s="140" customFormat="1" ht="12.75" hidden="1" outlineLevel="1">
      <c r="B466" s="300" t="s">
        <v>651</v>
      </c>
      <c r="C466" s="294" t="s">
        <v>392</v>
      </c>
      <c r="D466" s="294" t="s">
        <v>47</v>
      </c>
      <c r="E466" s="295"/>
      <c r="F466" s="296">
        <f t="shared" si="34"/>
        <v>3.6449138999404565E-2</v>
      </c>
      <c r="G466" s="296">
        <f>+F466*G342</f>
        <v>3.6449138999404567E-4</v>
      </c>
      <c r="H466" s="296"/>
      <c r="I466" s="296"/>
      <c r="J466" s="296"/>
      <c r="K466" s="296"/>
      <c r="L466" s="296"/>
      <c r="M466" s="296"/>
      <c r="N466" s="296">
        <f>+SUMPRODUCT($F467:$F481,N467:N481)</f>
        <v>0.93999999999999972</v>
      </c>
      <c r="O466" s="296">
        <f>+SUMPRODUCT($F467:$F481,O467:O481)</f>
        <v>0.93999999999999972</v>
      </c>
      <c r="P466" s="296">
        <f>+SUMPRODUCT($F467:$F481,P467:P481)</f>
        <v>0.93999999999999972</v>
      </c>
      <c r="Q466" s="296">
        <f>+SUMPRODUCT($F467:$F481,Q467:Q481)</f>
        <v>0.4383826661484056</v>
      </c>
      <c r="R466" s="296">
        <f t="shared" si="36"/>
        <v>0.46636453845575077</v>
      </c>
      <c r="S466" s="296">
        <f t="shared" si="36"/>
        <v>0.46636453845575077</v>
      </c>
      <c r="T466" s="296">
        <f t="shared" si="36"/>
        <v>0.46636453845575077</v>
      </c>
    </row>
    <row r="467" spans="1:22" s="140" customFormat="1" ht="12.75" hidden="1" outlineLevel="2">
      <c r="A467" s="216"/>
      <c r="B467" s="255" t="s">
        <v>652</v>
      </c>
      <c r="C467" s="245" t="s">
        <v>49</v>
      </c>
      <c r="D467" s="227" t="s">
        <v>50</v>
      </c>
      <c r="E467" s="241"/>
      <c r="F467" s="228">
        <f t="shared" si="34"/>
        <v>9.2877610796635368E-2</v>
      </c>
      <c r="G467" s="269">
        <f>+F467*G466</f>
        <v>3.3853089458591606E-5</v>
      </c>
      <c r="H467" s="269"/>
      <c r="I467" s="269"/>
      <c r="J467" s="269"/>
      <c r="K467" s="269"/>
      <c r="L467" s="269"/>
      <c r="M467" s="269"/>
      <c r="N467" s="229">
        <v>0.94</v>
      </c>
      <c r="O467" s="229">
        <v>0.94</v>
      </c>
      <c r="P467" s="229">
        <v>0.94</v>
      </c>
      <c r="Q467" s="272">
        <v>1</v>
      </c>
      <c r="R467" s="256">
        <f t="shared" si="36"/>
        <v>1.0638297872340425</v>
      </c>
      <c r="S467" s="256">
        <f t="shared" si="36"/>
        <v>1.0638297872340425</v>
      </c>
      <c r="T467" s="256">
        <f t="shared" si="36"/>
        <v>1.0638297872340425</v>
      </c>
      <c r="U467" s="216"/>
      <c r="V467" s="216"/>
    </row>
    <row r="468" spans="1:22" s="140" customFormat="1" ht="12.75" hidden="1" outlineLevel="2">
      <c r="A468" s="216"/>
      <c r="B468" s="255" t="s">
        <v>653</v>
      </c>
      <c r="C468" s="245" t="s">
        <v>52</v>
      </c>
      <c r="D468" s="227" t="s">
        <v>53</v>
      </c>
      <c r="E468" s="241"/>
      <c r="F468" s="228">
        <f t="shared" si="34"/>
        <v>5.8105219309829384E-2</v>
      </c>
      <c r="G468" s="269">
        <f>+F468*G466</f>
        <v>2.1178852152148575E-5</v>
      </c>
      <c r="H468" s="269"/>
      <c r="I468" s="269"/>
      <c r="J468" s="269"/>
      <c r="K468" s="269"/>
      <c r="L468" s="269"/>
      <c r="M468" s="269"/>
      <c r="N468" s="229">
        <v>0.94</v>
      </c>
      <c r="O468" s="229">
        <v>0.94</v>
      </c>
      <c r="P468" s="229">
        <v>0.94</v>
      </c>
      <c r="Q468" s="272">
        <v>1</v>
      </c>
      <c r="R468" s="256">
        <f t="shared" si="36"/>
        <v>1.0638297872340425</v>
      </c>
      <c r="S468" s="256">
        <f t="shared" si="36"/>
        <v>1.0638297872340425</v>
      </c>
      <c r="T468" s="256">
        <f t="shared" si="36"/>
        <v>1.0638297872340425</v>
      </c>
      <c r="U468" s="216"/>
      <c r="V468" s="216"/>
    </row>
    <row r="469" spans="1:22" s="140" customFormat="1" ht="12.75" hidden="1" outlineLevel="2">
      <c r="A469" s="216"/>
      <c r="B469" s="255" t="s">
        <v>654</v>
      </c>
      <c r="C469" s="245" t="s">
        <v>55</v>
      </c>
      <c r="D469" s="227" t="s">
        <v>56</v>
      </c>
      <c r="E469" s="241"/>
      <c r="F469" s="228">
        <f t="shared" si="34"/>
        <v>2.7796911320762424E-2</v>
      </c>
      <c r="G469" s="269">
        <f>+F469*G466</f>
        <v>1.013173484484592E-5</v>
      </c>
      <c r="H469" s="269"/>
      <c r="I469" s="269"/>
      <c r="J469" s="269"/>
      <c r="K469" s="269"/>
      <c r="L469" s="269"/>
      <c r="M469" s="269"/>
      <c r="N469" s="229">
        <v>0.94</v>
      </c>
      <c r="O469" s="229">
        <v>0.94</v>
      </c>
      <c r="P469" s="229">
        <v>0.94</v>
      </c>
      <c r="Q469" s="272">
        <v>1</v>
      </c>
      <c r="R469" s="256">
        <f t="shared" si="36"/>
        <v>1.0638297872340425</v>
      </c>
      <c r="S469" s="256">
        <f t="shared" si="36"/>
        <v>1.0638297872340425</v>
      </c>
      <c r="T469" s="256">
        <f t="shared" si="36"/>
        <v>1.0638297872340425</v>
      </c>
      <c r="U469" s="216"/>
      <c r="V469" s="216"/>
    </row>
    <row r="470" spans="1:22" s="140" customFormat="1" ht="12.75" hidden="1" outlineLevel="2">
      <c r="A470" s="216"/>
      <c r="B470" s="255" t="s">
        <v>655</v>
      </c>
      <c r="C470" s="245" t="s">
        <v>58</v>
      </c>
      <c r="D470" s="227" t="s">
        <v>59</v>
      </c>
      <c r="E470" s="241"/>
      <c r="F470" s="228">
        <f t="shared" si="34"/>
        <v>2.9155300375276354E-2</v>
      </c>
      <c r="G470" s="269">
        <f>+F470*G466</f>
        <v>1.0626855959478399E-5</v>
      </c>
      <c r="H470" s="269"/>
      <c r="I470" s="269"/>
      <c r="J470" s="269"/>
      <c r="K470" s="269"/>
      <c r="L470" s="269"/>
      <c r="M470" s="269"/>
      <c r="N470" s="229">
        <v>0.94</v>
      </c>
      <c r="O470" s="229">
        <v>0.94</v>
      </c>
      <c r="P470" s="229">
        <v>0.94</v>
      </c>
      <c r="Q470" s="272">
        <v>1</v>
      </c>
      <c r="R470" s="256">
        <f t="shared" si="36"/>
        <v>1.0638297872340425</v>
      </c>
      <c r="S470" s="256">
        <f t="shared" si="36"/>
        <v>1.0638297872340425</v>
      </c>
      <c r="T470" s="256">
        <f t="shared" si="36"/>
        <v>1.0638297872340425</v>
      </c>
      <c r="U470" s="216"/>
      <c r="V470" s="216"/>
    </row>
    <row r="471" spans="1:22" s="140" customFormat="1" ht="12.75" hidden="1" outlineLevel="2">
      <c r="A471" s="216"/>
      <c r="B471" s="255" t="s">
        <v>656</v>
      </c>
      <c r="C471" s="245" t="s">
        <v>61</v>
      </c>
      <c r="D471" s="227" t="s">
        <v>62</v>
      </c>
      <c r="E471" s="241"/>
      <c r="F471" s="228">
        <f t="shared" ref="F471:F492" si="37">F847</f>
        <v>4.0182801717972776E-2</v>
      </c>
      <c r="G471" s="269">
        <f>+F471*G466</f>
        <v>1.4646285252039024E-5</v>
      </c>
      <c r="H471" s="269"/>
      <c r="I471" s="269"/>
      <c r="J471" s="269"/>
      <c r="K471" s="269"/>
      <c r="L471" s="269"/>
      <c r="M471" s="269"/>
      <c r="N471" s="229">
        <v>0.93999999999999984</v>
      </c>
      <c r="O471" s="229">
        <v>0.93999999999999984</v>
      </c>
      <c r="P471" s="229">
        <v>0.93999999999999984</v>
      </c>
      <c r="Q471" s="272">
        <v>1</v>
      </c>
      <c r="R471" s="256">
        <f t="shared" si="36"/>
        <v>1.0638297872340428</v>
      </c>
      <c r="S471" s="256">
        <f t="shared" si="36"/>
        <v>1.0638297872340428</v>
      </c>
      <c r="T471" s="256">
        <f t="shared" si="36"/>
        <v>1.0638297872340428</v>
      </c>
      <c r="U471" s="216"/>
      <c r="V471" s="216"/>
    </row>
    <row r="472" spans="1:22" s="140" customFormat="1" ht="12.75" hidden="1" outlineLevel="2">
      <c r="A472" s="216"/>
      <c r="B472" s="255" t="s">
        <v>657</v>
      </c>
      <c r="C472" s="245" t="s">
        <v>64</v>
      </c>
      <c r="D472" s="227" t="s">
        <v>65</v>
      </c>
      <c r="E472" s="241"/>
      <c r="F472" s="228">
        <f t="shared" si="37"/>
        <v>9.8615013818202632E-2</v>
      </c>
      <c r="G472" s="269">
        <f>+F472*G466</f>
        <v>3.5944323460878701E-5</v>
      </c>
      <c r="H472" s="269"/>
      <c r="I472" s="269"/>
      <c r="J472" s="269"/>
      <c r="K472" s="269"/>
      <c r="L472" s="269"/>
      <c r="M472" s="269"/>
      <c r="N472" s="229">
        <v>0.93999999999999984</v>
      </c>
      <c r="O472" s="229">
        <v>0.93999999999999984</v>
      </c>
      <c r="P472" s="229">
        <v>0.93999999999999984</v>
      </c>
      <c r="Q472" s="272">
        <v>1</v>
      </c>
      <c r="R472" s="256">
        <f t="shared" si="36"/>
        <v>1.0638297872340428</v>
      </c>
      <c r="S472" s="256">
        <f t="shared" si="36"/>
        <v>1.0638297872340428</v>
      </c>
      <c r="T472" s="256">
        <f t="shared" si="36"/>
        <v>1.0638297872340428</v>
      </c>
      <c r="U472" s="216"/>
      <c r="V472" s="216"/>
    </row>
    <row r="473" spans="1:22" s="140" customFormat="1" ht="12.75" hidden="1" outlineLevel="2">
      <c r="A473" s="216"/>
      <c r="B473" s="255" t="s">
        <v>658</v>
      </c>
      <c r="C473" s="245" t="s">
        <v>67</v>
      </c>
      <c r="D473" s="227" t="s">
        <v>68</v>
      </c>
      <c r="E473" s="241"/>
      <c r="F473" s="228">
        <f t="shared" si="37"/>
        <v>9.164980880972666E-2</v>
      </c>
      <c r="G473" s="269">
        <f>+F473*G466</f>
        <v>3.3405566205745805E-5</v>
      </c>
      <c r="H473" s="269"/>
      <c r="I473" s="269"/>
      <c r="J473" s="269"/>
      <c r="K473" s="269"/>
      <c r="L473" s="269"/>
      <c r="M473" s="269"/>
      <c r="N473" s="229">
        <v>0.93999999999999984</v>
      </c>
      <c r="O473" s="229">
        <v>0.93999999999999984</v>
      </c>
      <c r="P473" s="229">
        <v>0.93999999999999984</v>
      </c>
      <c r="Q473" s="272">
        <v>1</v>
      </c>
      <c r="R473" s="256">
        <f t="shared" ref="R473:T504" si="38">+IF(N473=0,0,$Q473/N473)</f>
        <v>1.0638297872340428</v>
      </c>
      <c r="S473" s="256">
        <f t="shared" si="38"/>
        <v>1.0638297872340428</v>
      </c>
      <c r="T473" s="256">
        <f t="shared" si="38"/>
        <v>1.0638297872340428</v>
      </c>
      <c r="U473" s="216"/>
      <c r="V473" s="216"/>
    </row>
    <row r="474" spans="1:22" s="140" customFormat="1" ht="25.5" hidden="1" outlineLevel="2">
      <c r="A474" s="216"/>
      <c r="B474" s="255" t="s">
        <v>659</v>
      </c>
      <c r="C474" s="245" t="s">
        <v>70</v>
      </c>
      <c r="D474" s="227" t="s">
        <v>71</v>
      </c>
      <c r="E474" s="241"/>
      <c r="F474" s="228">
        <f t="shared" si="37"/>
        <v>9.2909380612212003E-2</v>
      </c>
      <c r="G474" s="269">
        <f>+F474*G466</f>
        <v>3.3864669282830992E-5</v>
      </c>
      <c r="H474" s="269"/>
      <c r="I474" s="269"/>
      <c r="J474" s="269"/>
      <c r="K474" s="269"/>
      <c r="L474" s="269"/>
      <c r="M474" s="269"/>
      <c r="N474" s="229">
        <v>0.93999999999999984</v>
      </c>
      <c r="O474" s="229">
        <v>0.93999999999999984</v>
      </c>
      <c r="P474" s="229">
        <v>0.93999999999999984</v>
      </c>
      <c r="Q474" s="272">
        <v>0</v>
      </c>
      <c r="R474" s="256">
        <f t="shared" si="38"/>
        <v>0</v>
      </c>
      <c r="S474" s="256">
        <f t="shared" si="38"/>
        <v>0</v>
      </c>
      <c r="T474" s="256">
        <f t="shared" si="38"/>
        <v>0</v>
      </c>
      <c r="U474" s="216"/>
      <c r="V474" s="216"/>
    </row>
    <row r="475" spans="1:22" s="140" customFormat="1" ht="12.75" hidden="1" outlineLevel="2">
      <c r="A475" s="216"/>
      <c r="B475" s="255" t="s">
        <v>660</v>
      </c>
      <c r="C475" s="245" t="s">
        <v>73</v>
      </c>
      <c r="D475" s="227" t="s">
        <v>74</v>
      </c>
      <c r="E475" s="241"/>
      <c r="F475" s="228">
        <f t="shared" si="37"/>
        <v>8.0887028733242702E-2</v>
      </c>
      <c r="G475" s="269">
        <f>+F475*G466</f>
        <v>2.9482625535467944E-5</v>
      </c>
      <c r="H475" s="269"/>
      <c r="I475" s="269"/>
      <c r="J475" s="269"/>
      <c r="K475" s="269"/>
      <c r="L475" s="269"/>
      <c r="M475" s="269"/>
      <c r="N475" s="229">
        <v>0.94</v>
      </c>
      <c r="O475" s="229">
        <v>0.94</v>
      </c>
      <c r="P475" s="229">
        <v>0.94</v>
      </c>
      <c r="Q475" s="272">
        <v>0</v>
      </c>
      <c r="R475" s="256">
        <f t="shared" si="38"/>
        <v>0</v>
      </c>
      <c r="S475" s="256">
        <f t="shared" si="38"/>
        <v>0</v>
      </c>
      <c r="T475" s="256">
        <f t="shared" si="38"/>
        <v>0</v>
      </c>
      <c r="U475" s="216"/>
      <c r="V475" s="216"/>
    </row>
    <row r="476" spans="1:22" s="140" customFormat="1" ht="12.75" hidden="1" outlineLevel="2">
      <c r="A476" s="216"/>
      <c r="B476" s="255" t="s">
        <v>661</v>
      </c>
      <c r="C476" s="245" t="s">
        <v>76</v>
      </c>
      <c r="D476" s="227" t="s">
        <v>77</v>
      </c>
      <c r="E476" s="241"/>
      <c r="F476" s="228">
        <f t="shared" si="37"/>
        <v>0.11788367881609482</v>
      </c>
      <c r="G476" s="269">
        <f>+F476*G466</f>
        <v>4.2967585949290042E-5</v>
      </c>
      <c r="H476" s="269"/>
      <c r="I476" s="269"/>
      <c r="J476" s="269"/>
      <c r="K476" s="269"/>
      <c r="L476" s="269"/>
      <c r="M476" s="269"/>
      <c r="N476" s="229">
        <v>0.94</v>
      </c>
      <c r="O476" s="229">
        <v>0.94</v>
      </c>
      <c r="P476" s="229">
        <v>0.94</v>
      </c>
      <c r="Q476" s="272">
        <v>0</v>
      </c>
      <c r="R476" s="256">
        <f t="shared" si="38"/>
        <v>0</v>
      </c>
      <c r="S476" s="256">
        <f t="shared" si="38"/>
        <v>0</v>
      </c>
      <c r="T476" s="256">
        <f t="shared" si="38"/>
        <v>0</v>
      </c>
      <c r="U476" s="216"/>
      <c r="V476" s="216"/>
    </row>
    <row r="477" spans="1:22" s="140" customFormat="1" ht="12.75" hidden="1" outlineLevel="2">
      <c r="A477" s="216"/>
      <c r="B477" s="255" t="s">
        <v>662</v>
      </c>
      <c r="C477" s="245" t="s">
        <v>79</v>
      </c>
      <c r="D477" s="227" t="s">
        <v>80</v>
      </c>
      <c r="E477" s="241"/>
      <c r="F477" s="228">
        <f t="shared" si="37"/>
        <v>4.1046638926131508E-2</v>
      </c>
      <c r="G477" s="269">
        <f>+F477*G466</f>
        <v>1.4961146476769376E-5</v>
      </c>
      <c r="H477" s="269"/>
      <c r="I477" s="269"/>
      <c r="J477" s="269"/>
      <c r="K477" s="269"/>
      <c r="L477" s="269"/>
      <c r="M477" s="269"/>
      <c r="N477" s="229">
        <v>0.94</v>
      </c>
      <c r="O477" s="229">
        <v>0.94</v>
      </c>
      <c r="P477" s="229">
        <v>0.94</v>
      </c>
      <c r="Q477" s="272">
        <v>0</v>
      </c>
      <c r="R477" s="256">
        <f t="shared" si="38"/>
        <v>0</v>
      </c>
      <c r="S477" s="256">
        <f t="shared" si="38"/>
        <v>0</v>
      </c>
      <c r="T477" s="256">
        <f t="shared" si="38"/>
        <v>0</v>
      </c>
      <c r="U477" s="216"/>
      <c r="V477" s="216"/>
    </row>
    <row r="478" spans="1:22" s="140" customFormat="1" ht="12.75" hidden="1" outlineLevel="2">
      <c r="A478" s="216"/>
      <c r="B478" s="255" t="s">
        <v>663</v>
      </c>
      <c r="C478" s="245" t="s">
        <v>82</v>
      </c>
      <c r="D478" s="227" t="s">
        <v>83</v>
      </c>
      <c r="E478" s="241"/>
      <c r="F478" s="228">
        <f t="shared" si="37"/>
        <v>5.3741978219236555E-2</v>
      </c>
      <c r="G478" s="269">
        <f>+F478*G466</f>
        <v>1.9588488342159258E-5</v>
      </c>
      <c r="H478" s="269"/>
      <c r="I478" s="269"/>
      <c r="J478" s="269"/>
      <c r="K478" s="269"/>
      <c r="L478" s="269"/>
      <c r="M478" s="269"/>
      <c r="N478" s="229">
        <v>0.94</v>
      </c>
      <c r="O478" s="229">
        <v>0.94</v>
      </c>
      <c r="P478" s="229">
        <v>0.94</v>
      </c>
      <c r="Q478" s="272">
        <v>0</v>
      </c>
      <c r="R478" s="256">
        <f t="shared" si="38"/>
        <v>0</v>
      </c>
      <c r="S478" s="256">
        <f t="shared" si="38"/>
        <v>0</v>
      </c>
      <c r="T478" s="256">
        <f t="shared" si="38"/>
        <v>0</v>
      </c>
      <c r="U478" s="216"/>
      <c r="V478" s="216"/>
    </row>
    <row r="479" spans="1:22" s="140" customFormat="1" ht="12.75" hidden="1" outlineLevel="2">
      <c r="A479" s="216"/>
      <c r="B479" s="255" t="s">
        <v>664</v>
      </c>
      <c r="C479" s="245" t="s">
        <v>85</v>
      </c>
      <c r="D479" s="227" t="s">
        <v>86</v>
      </c>
      <c r="E479" s="241"/>
      <c r="F479" s="228">
        <f t="shared" si="37"/>
        <v>5.8057394561842592E-2</v>
      </c>
      <c r="G479" s="269">
        <f>+F479*G466</f>
        <v>2.1161420443278754E-5</v>
      </c>
      <c r="H479" s="269"/>
      <c r="I479" s="269"/>
      <c r="J479" s="269"/>
      <c r="K479" s="269"/>
      <c r="L479" s="269"/>
      <c r="M479" s="269"/>
      <c r="N479" s="229">
        <v>0.93999999999999984</v>
      </c>
      <c r="O479" s="229">
        <v>0.93999999999999984</v>
      </c>
      <c r="P479" s="229">
        <v>0.93999999999999984</v>
      </c>
      <c r="Q479" s="272">
        <v>0</v>
      </c>
      <c r="R479" s="256">
        <f t="shared" si="38"/>
        <v>0</v>
      </c>
      <c r="S479" s="256">
        <f t="shared" si="38"/>
        <v>0</v>
      </c>
      <c r="T479" s="256">
        <f t="shared" si="38"/>
        <v>0</v>
      </c>
      <c r="U479" s="216"/>
      <c r="V479" s="216"/>
    </row>
    <row r="480" spans="1:22" s="140" customFormat="1" ht="12.75" hidden="1" outlineLevel="2">
      <c r="A480" s="216"/>
      <c r="B480" s="255" t="s">
        <v>665</v>
      </c>
      <c r="C480" s="245" t="s">
        <v>88</v>
      </c>
      <c r="D480" s="227" t="s">
        <v>89</v>
      </c>
      <c r="E480" s="241"/>
      <c r="F480" s="228">
        <f t="shared" si="37"/>
        <v>6.1612726844928238E-2</v>
      </c>
      <c r="G480" s="269">
        <f>+F480*G466</f>
        <v>2.2457308449031347E-5</v>
      </c>
      <c r="H480" s="269"/>
      <c r="I480" s="269"/>
      <c r="J480" s="269"/>
      <c r="K480" s="269"/>
      <c r="L480" s="269"/>
      <c r="M480" s="269"/>
      <c r="N480" s="229">
        <v>0.93999999999999984</v>
      </c>
      <c r="O480" s="229">
        <v>0.93999999999999984</v>
      </c>
      <c r="P480" s="229">
        <v>0.93999999999999984</v>
      </c>
      <c r="Q480" s="272">
        <v>0</v>
      </c>
      <c r="R480" s="256">
        <f t="shared" si="38"/>
        <v>0</v>
      </c>
      <c r="S480" s="256">
        <f t="shared" si="38"/>
        <v>0</v>
      </c>
      <c r="T480" s="256">
        <f t="shared" si="38"/>
        <v>0</v>
      </c>
      <c r="U480" s="216"/>
      <c r="V480" s="216"/>
    </row>
    <row r="481" spans="1:22" s="140" customFormat="1" ht="12.75" hidden="1" outlineLevel="2">
      <c r="A481" s="216"/>
      <c r="B481" s="255" t="s">
        <v>666</v>
      </c>
      <c r="C481" s="245" t="s">
        <v>91</v>
      </c>
      <c r="D481" s="227" t="s">
        <v>92</v>
      </c>
      <c r="E481" s="241"/>
      <c r="F481" s="228">
        <f t="shared" si="37"/>
        <v>5.5478507137905975E-2</v>
      </c>
      <c r="G481" s="269">
        <f>+F481*G466</f>
        <v>2.0221438181489934E-5</v>
      </c>
      <c r="H481" s="269"/>
      <c r="I481" s="269"/>
      <c r="J481" s="269"/>
      <c r="K481" s="269"/>
      <c r="L481" s="269"/>
      <c r="M481" s="269"/>
      <c r="N481" s="229">
        <v>0.93999999999999984</v>
      </c>
      <c r="O481" s="229">
        <v>0.93999999999999984</v>
      </c>
      <c r="P481" s="229">
        <v>0.93999999999999984</v>
      </c>
      <c r="Q481" s="272">
        <v>0</v>
      </c>
      <c r="R481" s="256">
        <f t="shared" si="38"/>
        <v>0</v>
      </c>
      <c r="S481" s="256">
        <f t="shared" si="38"/>
        <v>0</v>
      </c>
      <c r="T481" s="256">
        <f t="shared" si="38"/>
        <v>0</v>
      </c>
      <c r="U481" s="216"/>
      <c r="V481" s="216"/>
    </row>
    <row r="482" spans="1:22" s="140" customFormat="1" ht="12.75" hidden="1" outlineLevel="2">
      <c r="A482" s="216"/>
      <c r="B482" s="300" t="s">
        <v>667</v>
      </c>
      <c r="C482" s="294"/>
      <c r="D482" s="294" t="s">
        <v>94</v>
      </c>
      <c r="E482" s="295"/>
      <c r="F482" s="296">
        <f t="shared" si="37"/>
        <v>0.16798918236757646</v>
      </c>
      <c r="G482" s="296">
        <f>+F482*G342</f>
        <v>1.6798918236757645E-3</v>
      </c>
      <c r="H482" s="296"/>
      <c r="I482" s="296"/>
      <c r="J482" s="296"/>
      <c r="K482" s="296"/>
      <c r="L482" s="296"/>
      <c r="M482" s="296"/>
      <c r="N482" s="296">
        <f>+$F483*N483+$F495*N495+$F503*N503+$F509*N509+$F513*N513</f>
        <v>0.92433719434164463</v>
      </c>
      <c r="O482" s="296">
        <f>+$F483*O483+$F495*O495+$F503*O503+$F509*O509+$F513*O513</f>
        <v>0.92433719434164463</v>
      </c>
      <c r="P482" s="296">
        <f>+$F483*P483+$F495*P495+$F503*P503+$F509*P509+$F513*P513</f>
        <v>0.92433719434164463</v>
      </c>
      <c r="Q482" s="296">
        <f>+$F483*Q483+$F495*Q495+$F503*Q503+$F509*Q509+$F513*Q513</f>
        <v>0.41729476429078977</v>
      </c>
      <c r="R482" s="296">
        <f t="shared" si="38"/>
        <v>0.45145296201999774</v>
      </c>
      <c r="S482" s="296">
        <f t="shared" si="38"/>
        <v>0.45145296201999774</v>
      </c>
      <c r="T482" s="296">
        <f t="shared" si="38"/>
        <v>0.45145296201999774</v>
      </c>
      <c r="U482" s="216"/>
      <c r="V482" s="216"/>
    </row>
    <row r="483" spans="1:22" s="140" customFormat="1" ht="12.75" hidden="1" outlineLevel="2">
      <c r="B483" s="301" t="s">
        <v>668</v>
      </c>
      <c r="C483" s="251"/>
      <c r="D483" s="236" t="s">
        <v>97</v>
      </c>
      <c r="E483" s="242"/>
      <c r="F483" s="232">
        <f t="shared" si="37"/>
        <v>0.2064703407829992</v>
      </c>
      <c r="G483" s="232">
        <f>+F483*G482</f>
        <v>3.4684783731290912E-4</v>
      </c>
      <c r="H483" s="232"/>
      <c r="I483" s="232"/>
      <c r="J483" s="232"/>
      <c r="K483" s="232"/>
      <c r="L483" s="232"/>
      <c r="M483" s="232"/>
      <c r="N483" s="233">
        <f>+SUMPRODUCT($F484:$F494,N484:N494)</f>
        <v>0.92273212183948317</v>
      </c>
      <c r="O483" s="233">
        <f>+SUMPRODUCT($F484:$F494,O484:O494)</f>
        <v>0.92273212183948317</v>
      </c>
      <c r="P483" s="233">
        <f>+SUMPRODUCT($F484:$F494,P484:P494)</f>
        <v>0.92273212183948317</v>
      </c>
      <c r="Q483" s="274">
        <f>+SUMPRODUCT($F484:$F494,Q484:Q494)</f>
        <v>0.99475727252359469</v>
      </c>
      <c r="R483" s="260">
        <f t="shared" si="38"/>
        <v>1.0780564033476239</v>
      </c>
      <c r="S483" s="260">
        <f t="shared" si="38"/>
        <v>1.0780564033476239</v>
      </c>
      <c r="T483" s="260">
        <f t="shared" si="38"/>
        <v>1.0780564033476239</v>
      </c>
    </row>
    <row r="484" spans="1:22" s="140" customFormat="1" ht="25.5" hidden="1" outlineLevel="3">
      <c r="A484" s="216"/>
      <c r="B484" s="255" t="s">
        <v>669</v>
      </c>
      <c r="C484" s="245" t="s">
        <v>99</v>
      </c>
      <c r="D484" s="227" t="s">
        <v>100</v>
      </c>
      <c r="E484" s="241"/>
      <c r="F484" s="228">
        <f t="shared" si="37"/>
        <v>5.8885812178438031E-2</v>
      </c>
      <c r="G484" s="269">
        <f>+F484*G483</f>
        <v>2.0424416602505395E-5</v>
      </c>
      <c r="H484" s="269"/>
      <c r="I484" s="269"/>
      <c r="J484" s="269"/>
      <c r="K484" s="269"/>
      <c r="L484" s="269"/>
      <c r="M484" s="269"/>
      <c r="N484" s="229">
        <v>1</v>
      </c>
      <c r="O484" s="229">
        <v>1</v>
      </c>
      <c r="P484" s="229">
        <v>1</v>
      </c>
      <c r="Q484" s="272">
        <v>1</v>
      </c>
      <c r="R484" s="256">
        <f t="shared" si="38"/>
        <v>1</v>
      </c>
      <c r="S484" s="256">
        <f t="shared" si="38"/>
        <v>1</v>
      </c>
      <c r="T484" s="256">
        <f t="shared" si="38"/>
        <v>1</v>
      </c>
      <c r="U484" s="216"/>
      <c r="V484" s="216"/>
    </row>
    <row r="485" spans="1:22" s="140" customFormat="1" ht="25.5" hidden="1" outlineLevel="3">
      <c r="A485" s="216"/>
      <c r="B485" s="255" t="s">
        <v>670</v>
      </c>
      <c r="C485" s="245" t="s">
        <v>102</v>
      </c>
      <c r="D485" s="227" t="s">
        <v>103</v>
      </c>
      <c r="E485" s="241"/>
      <c r="F485" s="228">
        <f t="shared" si="37"/>
        <v>9.5476860808951347E-2</v>
      </c>
      <c r="G485" s="269">
        <f>+F485*G483</f>
        <v>3.3115942685010426E-5</v>
      </c>
      <c r="H485" s="269"/>
      <c r="I485" s="269"/>
      <c r="J485" s="269"/>
      <c r="K485" s="269"/>
      <c r="L485" s="269"/>
      <c r="M485" s="269"/>
      <c r="N485" s="229">
        <v>1</v>
      </c>
      <c r="O485" s="229">
        <v>1</v>
      </c>
      <c r="P485" s="229">
        <v>1</v>
      </c>
      <c r="Q485" s="272">
        <v>1</v>
      </c>
      <c r="R485" s="256">
        <f t="shared" si="38"/>
        <v>1</v>
      </c>
      <c r="S485" s="256">
        <f t="shared" si="38"/>
        <v>1</v>
      </c>
      <c r="T485" s="256">
        <f t="shared" si="38"/>
        <v>1</v>
      </c>
      <c r="U485" s="216"/>
      <c r="V485" s="216"/>
    </row>
    <row r="486" spans="1:22" s="140" customFormat="1" ht="25.5" hidden="1" outlineLevel="3">
      <c r="A486" s="216"/>
      <c r="B486" s="255" t="s">
        <v>671</v>
      </c>
      <c r="C486" s="245" t="s">
        <v>105</v>
      </c>
      <c r="D486" s="227" t="s">
        <v>106</v>
      </c>
      <c r="E486" s="241"/>
      <c r="F486" s="228">
        <f t="shared" si="37"/>
        <v>7.7851641421759807E-2</v>
      </c>
      <c r="G486" s="269">
        <f>+F486*G483</f>
        <v>2.7002673458397481E-5</v>
      </c>
      <c r="H486" s="269"/>
      <c r="I486" s="269"/>
      <c r="J486" s="269"/>
      <c r="K486" s="269"/>
      <c r="L486" s="269"/>
      <c r="M486" s="269"/>
      <c r="N486" s="229">
        <v>0.94</v>
      </c>
      <c r="O486" s="229">
        <v>0.94</v>
      </c>
      <c r="P486" s="229">
        <v>0.94</v>
      </c>
      <c r="Q486" s="272">
        <v>1</v>
      </c>
      <c r="R486" s="256">
        <f t="shared" si="38"/>
        <v>1.0638297872340425</v>
      </c>
      <c r="S486" s="256">
        <f t="shared" si="38"/>
        <v>1.0638297872340425</v>
      </c>
      <c r="T486" s="256">
        <f t="shared" si="38"/>
        <v>1.0638297872340425</v>
      </c>
      <c r="U486" s="216"/>
      <c r="V486" s="216"/>
    </row>
    <row r="487" spans="1:22" s="140" customFormat="1" ht="25.5" hidden="1" outlineLevel="3">
      <c r="A487" s="216"/>
      <c r="B487" s="255" t="s">
        <v>672</v>
      </c>
      <c r="C487" s="245" t="s">
        <v>108</v>
      </c>
      <c r="D487" s="227" t="s">
        <v>109</v>
      </c>
      <c r="E487" s="241"/>
      <c r="F487" s="228">
        <f t="shared" si="37"/>
        <v>9.6299858611877787E-2</v>
      </c>
      <c r="G487" s="269">
        <f>+F487*G483</f>
        <v>3.3401397693068738E-5</v>
      </c>
      <c r="H487" s="269"/>
      <c r="I487" s="269"/>
      <c r="J487" s="269"/>
      <c r="K487" s="269"/>
      <c r="L487" s="269"/>
      <c r="M487" s="269"/>
      <c r="N487" s="229">
        <v>0.94</v>
      </c>
      <c r="O487" s="229">
        <v>0.94</v>
      </c>
      <c r="P487" s="229">
        <v>0.94</v>
      </c>
      <c r="Q487" s="272">
        <v>1</v>
      </c>
      <c r="R487" s="256">
        <f t="shared" si="38"/>
        <v>1.0638297872340425</v>
      </c>
      <c r="S487" s="256">
        <f t="shared" si="38"/>
        <v>1.0638297872340425</v>
      </c>
      <c r="T487" s="256">
        <f t="shared" si="38"/>
        <v>1.0638297872340425</v>
      </c>
      <c r="U487" s="216"/>
      <c r="V487" s="216"/>
    </row>
    <row r="488" spans="1:22" s="140" customFormat="1" ht="38.25" hidden="1" outlineLevel="3">
      <c r="A488" s="216"/>
      <c r="B488" s="255" t="s">
        <v>673</v>
      </c>
      <c r="C488" s="245" t="s">
        <v>111</v>
      </c>
      <c r="D488" s="227" t="s">
        <v>112</v>
      </c>
      <c r="E488" s="241"/>
      <c r="F488" s="228">
        <f t="shared" si="37"/>
        <v>0.2149063701910354</v>
      </c>
      <c r="G488" s="269">
        <f>+F488*G483</f>
        <v>7.4539809725528069E-5</v>
      </c>
      <c r="H488" s="269"/>
      <c r="I488" s="269"/>
      <c r="J488" s="269"/>
      <c r="K488" s="269"/>
      <c r="L488" s="269"/>
      <c r="M488" s="269"/>
      <c r="N488" s="229">
        <v>0.94</v>
      </c>
      <c r="O488" s="229">
        <v>0.94</v>
      </c>
      <c r="P488" s="229">
        <v>0.94</v>
      </c>
      <c r="Q488" s="272">
        <v>1</v>
      </c>
      <c r="R488" s="256">
        <f t="shared" si="38"/>
        <v>1.0638297872340425</v>
      </c>
      <c r="S488" s="256">
        <f t="shared" si="38"/>
        <v>1.0638297872340425</v>
      </c>
      <c r="T488" s="256">
        <f t="shared" si="38"/>
        <v>1.0638297872340425</v>
      </c>
      <c r="U488" s="216"/>
      <c r="V488" s="216"/>
    </row>
    <row r="489" spans="1:22" s="140" customFormat="1" ht="38.25" hidden="1" outlineLevel="3">
      <c r="A489" s="216"/>
      <c r="B489" s="255" t="s">
        <v>674</v>
      </c>
      <c r="C489" s="245" t="s">
        <v>114</v>
      </c>
      <c r="D489" s="227" t="s">
        <v>115</v>
      </c>
      <c r="E489" s="241"/>
      <c r="F489" s="228">
        <f t="shared" si="37"/>
        <v>0.11738040352185054</v>
      </c>
      <c r="G489" s="269">
        <f>+F489*G483</f>
        <v>4.0713139104470443E-5</v>
      </c>
      <c r="H489" s="269"/>
      <c r="I489" s="269"/>
      <c r="J489" s="269"/>
      <c r="K489" s="269"/>
      <c r="L489" s="269"/>
      <c r="M489" s="269"/>
      <c r="N489" s="229">
        <v>0.94</v>
      </c>
      <c r="O489" s="229">
        <v>0.94</v>
      </c>
      <c r="P489" s="229">
        <v>0.94</v>
      </c>
      <c r="Q489" s="272">
        <v>1</v>
      </c>
      <c r="R489" s="256">
        <f t="shared" si="38"/>
        <v>1.0638297872340425</v>
      </c>
      <c r="S489" s="256">
        <f t="shared" si="38"/>
        <v>1.0638297872340425</v>
      </c>
      <c r="T489" s="256">
        <f t="shared" si="38"/>
        <v>1.0638297872340425</v>
      </c>
      <c r="U489" s="216"/>
      <c r="V489" s="216"/>
    </row>
    <row r="490" spans="1:22" s="140" customFormat="1" ht="38.25" hidden="1" outlineLevel="3">
      <c r="A490" s="216"/>
      <c r="B490" s="255" t="s">
        <v>675</v>
      </c>
      <c r="C490" s="245" t="s">
        <v>117</v>
      </c>
      <c r="D490" s="227" t="s">
        <v>118</v>
      </c>
      <c r="E490" s="241"/>
      <c r="F490" s="228">
        <f t="shared" si="37"/>
        <v>0.11930471289964986</v>
      </c>
      <c r="G490" s="269">
        <f>+F490*G483</f>
        <v>4.1380581650481083E-5</v>
      </c>
      <c r="H490" s="269"/>
      <c r="I490" s="269"/>
      <c r="J490" s="269"/>
      <c r="K490" s="269"/>
      <c r="L490" s="269"/>
      <c r="M490" s="269"/>
      <c r="N490" s="229">
        <v>0.94</v>
      </c>
      <c r="O490" s="229">
        <v>0.94</v>
      </c>
      <c r="P490" s="229">
        <v>0.94</v>
      </c>
      <c r="Q490" s="272">
        <v>1</v>
      </c>
      <c r="R490" s="256">
        <f t="shared" si="38"/>
        <v>1.0638297872340425</v>
      </c>
      <c r="S490" s="256">
        <f t="shared" si="38"/>
        <v>1.0638297872340425</v>
      </c>
      <c r="T490" s="256">
        <f t="shared" si="38"/>
        <v>1.0638297872340425</v>
      </c>
      <c r="U490" s="216"/>
      <c r="V490" s="216"/>
    </row>
    <row r="491" spans="1:22" s="140" customFormat="1" ht="38.25" hidden="1" outlineLevel="3">
      <c r="A491" s="216"/>
      <c r="B491" s="255" t="s">
        <v>676</v>
      </c>
      <c r="C491" s="245" t="s">
        <v>120</v>
      </c>
      <c r="D491" s="227" t="s">
        <v>121</v>
      </c>
      <c r="E491" s="241"/>
      <c r="F491" s="228">
        <f t="shared" si="37"/>
        <v>0.19167132064328818</v>
      </c>
      <c r="G491" s="269">
        <f>+F491*G483</f>
        <v>6.6480783040033653E-5</v>
      </c>
      <c r="H491" s="269"/>
      <c r="I491" s="269"/>
      <c r="J491" s="269"/>
      <c r="K491" s="269"/>
      <c r="L491" s="269"/>
      <c r="M491" s="269"/>
      <c r="N491" s="229">
        <v>0.94</v>
      </c>
      <c r="O491" s="229">
        <v>0.94</v>
      </c>
      <c r="P491" s="229">
        <v>0.94</v>
      </c>
      <c r="Q491" s="272">
        <v>1</v>
      </c>
      <c r="R491" s="256">
        <f t="shared" si="38"/>
        <v>1.0638297872340425</v>
      </c>
      <c r="S491" s="256">
        <f t="shared" si="38"/>
        <v>1.0638297872340425</v>
      </c>
      <c r="T491" s="256">
        <f t="shared" si="38"/>
        <v>1.0638297872340425</v>
      </c>
      <c r="U491" s="216"/>
      <c r="V491" s="216"/>
    </row>
    <row r="492" spans="1:22" s="140" customFormat="1" ht="25.5" hidden="1" outlineLevel="3">
      <c r="A492" s="216"/>
      <c r="B492" s="255" t="s">
        <v>677</v>
      </c>
      <c r="C492" s="245" t="s">
        <v>123</v>
      </c>
      <c r="D492" s="227" t="s">
        <v>124</v>
      </c>
      <c r="E492" s="241"/>
      <c r="F492" s="228">
        <f t="shared" si="37"/>
        <v>5.2427274764052581E-3</v>
      </c>
      <c r="G492" s="269">
        <f>+F492*G483</f>
        <v>1.8184286868121296E-6</v>
      </c>
      <c r="H492" s="269"/>
      <c r="I492" s="269"/>
      <c r="J492" s="269"/>
      <c r="K492" s="269"/>
      <c r="L492" s="269"/>
      <c r="M492" s="269"/>
      <c r="N492" s="229"/>
      <c r="O492" s="229"/>
      <c r="P492" s="229"/>
      <c r="Q492" s="272"/>
      <c r="R492" s="256">
        <f t="shared" si="38"/>
        <v>0</v>
      </c>
      <c r="S492" s="256">
        <f t="shared" si="38"/>
        <v>0</v>
      </c>
      <c r="T492" s="256">
        <f t="shared" si="38"/>
        <v>0</v>
      </c>
      <c r="U492" s="216"/>
      <c r="V492" s="216"/>
    </row>
    <row r="493" spans="1:22" s="140" customFormat="1" ht="25.5" hidden="1" outlineLevel="3">
      <c r="A493" s="216"/>
      <c r="B493" s="255" t="s">
        <v>678</v>
      </c>
      <c r="C493" s="245" t="s">
        <v>126</v>
      </c>
      <c r="D493" s="227" t="s">
        <v>127</v>
      </c>
      <c r="E493" s="241"/>
      <c r="F493" s="228">
        <f t="shared" ref="F493:F502" si="39">F869</f>
        <v>0</v>
      </c>
      <c r="G493" s="269">
        <f>+F493*G483</f>
        <v>0</v>
      </c>
      <c r="H493" s="269"/>
      <c r="I493" s="269"/>
      <c r="J493" s="269"/>
      <c r="K493" s="269"/>
      <c r="L493" s="269"/>
      <c r="M493" s="269"/>
      <c r="N493" s="229"/>
      <c r="O493" s="229"/>
      <c r="P493" s="229"/>
      <c r="Q493" s="272"/>
      <c r="R493" s="256">
        <f t="shared" si="38"/>
        <v>0</v>
      </c>
      <c r="S493" s="256">
        <f t="shared" si="38"/>
        <v>0</v>
      </c>
      <c r="T493" s="256">
        <f t="shared" si="38"/>
        <v>0</v>
      </c>
      <c r="U493" s="216"/>
      <c r="V493" s="216"/>
    </row>
    <row r="494" spans="1:22" s="140" customFormat="1" ht="38.25" hidden="1" outlineLevel="3">
      <c r="A494" s="216"/>
      <c r="B494" s="255" t="s">
        <v>679</v>
      </c>
      <c r="C494" s="245" t="s">
        <v>129</v>
      </c>
      <c r="D494" s="227" t="s">
        <v>130</v>
      </c>
      <c r="E494" s="241"/>
      <c r="F494" s="228">
        <f t="shared" si="39"/>
        <v>2.2980292246743819E-2</v>
      </c>
      <c r="G494" s="269">
        <f>+F494*G483</f>
        <v>7.9706646666017069E-6</v>
      </c>
      <c r="H494" s="269"/>
      <c r="I494" s="269"/>
      <c r="J494" s="269"/>
      <c r="K494" s="269"/>
      <c r="L494" s="269"/>
      <c r="M494" s="269"/>
      <c r="N494" s="229"/>
      <c r="O494" s="229"/>
      <c r="P494" s="229"/>
      <c r="Q494" s="272">
        <v>1</v>
      </c>
      <c r="R494" s="256">
        <f t="shared" si="38"/>
        <v>0</v>
      </c>
      <c r="S494" s="256">
        <f t="shared" si="38"/>
        <v>0</v>
      </c>
      <c r="T494" s="256">
        <f t="shared" si="38"/>
        <v>0</v>
      </c>
      <c r="U494" s="216"/>
      <c r="V494" s="216"/>
    </row>
    <row r="495" spans="1:22" s="140" customFormat="1" ht="25.5" hidden="1" outlineLevel="2">
      <c r="B495" s="301" t="s">
        <v>680</v>
      </c>
      <c r="C495" s="251"/>
      <c r="D495" s="236" t="s">
        <v>133</v>
      </c>
      <c r="E495" s="242"/>
      <c r="F495" s="232">
        <f t="shared" si="39"/>
        <v>0.15364965195292599</v>
      </c>
      <c r="G495" s="232">
        <f>+F495*G482</f>
        <v>2.5811479402634732E-4</v>
      </c>
      <c r="H495" s="232"/>
      <c r="I495" s="232"/>
      <c r="J495" s="232"/>
      <c r="K495" s="232"/>
      <c r="L495" s="232"/>
      <c r="M495" s="232"/>
      <c r="N495" s="233">
        <f>+SUMPRODUCT($F496:$F502,N496:N502)</f>
        <v>0.85084132894856812</v>
      </c>
      <c r="O495" s="233">
        <f>+SUMPRODUCT($F496:$F502,O496:O502)</f>
        <v>0.85084132894856812</v>
      </c>
      <c r="P495" s="233">
        <f>+SUMPRODUCT($F496:$F502,P496:P502)</f>
        <v>0.85084132894856812</v>
      </c>
      <c r="Q495" s="274">
        <f>+SUMPRODUCT($F496:$F502,Q496:Q502)</f>
        <v>0.89076914477748093</v>
      </c>
      <c r="R495" s="260">
        <f t="shared" si="38"/>
        <v>1.0469274522410117</v>
      </c>
      <c r="S495" s="260">
        <f t="shared" si="38"/>
        <v>1.0469274522410117</v>
      </c>
      <c r="T495" s="260">
        <f t="shared" si="38"/>
        <v>1.0469274522410117</v>
      </c>
    </row>
    <row r="496" spans="1:22" s="140" customFormat="1" ht="25.5" hidden="1" outlineLevel="3">
      <c r="A496" s="216"/>
      <c r="B496" s="255" t="s">
        <v>681</v>
      </c>
      <c r="C496" s="245" t="s">
        <v>135</v>
      </c>
      <c r="D496" s="227" t="s">
        <v>136</v>
      </c>
      <c r="E496" s="241"/>
      <c r="F496" s="228">
        <f t="shared" si="39"/>
        <v>7.1676986389805894E-2</v>
      </c>
      <c r="G496" s="269">
        <f>+F496*G495</f>
        <v>1.850089057843405E-5</v>
      </c>
      <c r="H496" s="269"/>
      <c r="I496" s="269"/>
      <c r="J496" s="269"/>
      <c r="K496" s="269"/>
      <c r="L496" s="269"/>
      <c r="M496" s="269"/>
      <c r="N496" s="229">
        <v>1</v>
      </c>
      <c r="O496" s="229">
        <v>1</v>
      </c>
      <c r="P496" s="229">
        <v>1</v>
      </c>
      <c r="Q496" s="272">
        <v>1</v>
      </c>
      <c r="R496" s="256">
        <f t="shared" si="38"/>
        <v>1</v>
      </c>
      <c r="S496" s="256">
        <f t="shared" si="38"/>
        <v>1</v>
      </c>
      <c r="T496" s="256">
        <f t="shared" si="38"/>
        <v>1</v>
      </c>
      <c r="U496" s="216"/>
      <c r="V496" s="216"/>
    </row>
    <row r="497" spans="1:22" s="140" customFormat="1" ht="25.5" hidden="1" outlineLevel="3">
      <c r="A497" s="216"/>
      <c r="B497" s="255" t="s">
        <v>682</v>
      </c>
      <c r="C497" s="245" t="s">
        <v>138</v>
      </c>
      <c r="D497" s="227" t="s">
        <v>139</v>
      </c>
      <c r="E497" s="241"/>
      <c r="F497" s="228">
        <f t="shared" si="39"/>
        <v>0.15362856123913068</v>
      </c>
      <c r="G497" s="269">
        <f>+F497*G495</f>
        <v>3.9653804440802303E-5</v>
      </c>
      <c r="H497" s="269"/>
      <c r="I497" s="269"/>
      <c r="J497" s="269"/>
      <c r="K497" s="269"/>
      <c r="L497" s="269"/>
      <c r="M497" s="269"/>
      <c r="N497" s="229">
        <v>1</v>
      </c>
      <c r="O497" s="229">
        <v>1</v>
      </c>
      <c r="P497" s="229">
        <v>1</v>
      </c>
      <c r="Q497" s="272">
        <v>1</v>
      </c>
      <c r="R497" s="256">
        <f t="shared" si="38"/>
        <v>1</v>
      </c>
      <c r="S497" s="256">
        <f t="shared" si="38"/>
        <v>1</v>
      </c>
      <c r="T497" s="256">
        <f t="shared" si="38"/>
        <v>1</v>
      </c>
      <c r="U497" s="216"/>
      <c r="V497" s="216"/>
    </row>
    <row r="498" spans="1:22" s="140" customFormat="1" ht="25.5" hidden="1" outlineLevel="3">
      <c r="A498" s="216"/>
      <c r="B498" s="255" t="s">
        <v>683</v>
      </c>
      <c r="C498" s="245" t="s">
        <v>141</v>
      </c>
      <c r="D498" s="227" t="s">
        <v>142</v>
      </c>
      <c r="E498" s="241"/>
      <c r="F498" s="228">
        <f t="shared" si="39"/>
        <v>0.20080921506999638</v>
      </c>
      <c r="G498" s="269">
        <f>+F498*G495</f>
        <v>5.1831829186384599E-5</v>
      </c>
      <c r="H498" s="269"/>
      <c r="I498" s="269"/>
      <c r="J498" s="269"/>
      <c r="K498" s="269"/>
      <c r="L498" s="269"/>
      <c r="M498" s="269"/>
      <c r="N498" s="229">
        <v>0.94</v>
      </c>
      <c r="O498" s="229">
        <v>0.94</v>
      </c>
      <c r="P498" s="229">
        <v>0.94</v>
      </c>
      <c r="Q498" s="272">
        <v>1</v>
      </c>
      <c r="R498" s="256">
        <f t="shared" si="38"/>
        <v>1.0638297872340425</v>
      </c>
      <c r="S498" s="256">
        <f t="shared" si="38"/>
        <v>1.0638297872340425</v>
      </c>
      <c r="T498" s="256">
        <f t="shared" si="38"/>
        <v>1.0638297872340425</v>
      </c>
      <c r="U498" s="216"/>
      <c r="V498" s="216"/>
    </row>
    <row r="499" spans="1:22" s="140" customFormat="1" ht="25.5" hidden="1" outlineLevel="3">
      <c r="A499" s="216"/>
      <c r="B499" s="255" t="s">
        <v>684</v>
      </c>
      <c r="C499" s="245" t="s">
        <v>144</v>
      </c>
      <c r="D499" s="227" t="s">
        <v>145</v>
      </c>
      <c r="E499" s="241"/>
      <c r="F499" s="228">
        <f t="shared" si="39"/>
        <v>0.2365874770023029</v>
      </c>
      <c r="G499" s="269">
        <f>+F499*G495</f>
        <v>6.1066727895662596E-5</v>
      </c>
      <c r="H499" s="269"/>
      <c r="I499" s="269"/>
      <c r="J499" s="269"/>
      <c r="K499" s="269"/>
      <c r="L499" s="269"/>
      <c r="M499" s="269"/>
      <c r="N499" s="229">
        <v>0.94</v>
      </c>
      <c r="O499" s="229">
        <v>0.94</v>
      </c>
      <c r="P499" s="229">
        <v>0.94</v>
      </c>
      <c r="Q499" s="272">
        <v>1</v>
      </c>
      <c r="R499" s="256">
        <f t="shared" si="38"/>
        <v>1.0638297872340425</v>
      </c>
      <c r="S499" s="256">
        <f t="shared" si="38"/>
        <v>1.0638297872340425</v>
      </c>
      <c r="T499" s="256">
        <f t="shared" si="38"/>
        <v>1.0638297872340425</v>
      </c>
      <c r="U499" s="216"/>
      <c r="V499" s="216"/>
    </row>
    <row r="500" spans="1:22" s="140" customFormat="1" ht="12.75" hidden="1" outlineLevel="3">
      <c r="A500" s="216"/>
      <c r="B500" s="255" t="s">
        <v>685</v>
      </c>
      <c r="C500" s="245" t="s">
        <v>147</v>
      </c>
      <c r="D500" s="227" t="s">
        <v>148</v>
      </c>
      <c r="E500" s="241"/>
      <c r="F500" s="228">
        <f t="shared" si="39"/>
        <v>0.13605594911200233</v>
      </c>
      <c r="G500" s="269">
        <f>+F500*G495</f>
        <v>3.5118053281103675E-5</v>
      </c>
      <c r="H500" s="269"/>
      <c r="I500" s="269"/>
      <c r="J500" s="269"/>
      <c r="K500" s="269"/>
      <c r="L500" s="269"/>
      <c r="M500" s="269"/>
      <c r="N500" s="229">
        <v>0.94</v>
      </c>
      <c r="O500" s="229">
        <v>0.94</v>
      </c>
      <c r="P500" s="229">
        <v>0.94</v>
      </c>
      <c r="Q500" s="272">
        <v>1</v>
      </c>
      <c r="R500" s="256">
        <f t="shared" si="38"/>
        <v>1.0638297872340425</v>
      </c>
      <c r="S500" s="256">
        <f t="shared" si="38"/>
        <v>1.0638297872340425</v>
      </c>
      <c r="T500" s="256">
        <f t="shared" si="38"/>
        <v>1.0638297872340425</v>
      </c>
      <c r="U500" s="216"/>
      <c r="V500" s="216"/>
    </row>
    <row r="501" spans="1:22" s="140" customFormat="1" ht="25.5" hidden="1" outlineLevel="3">
      <c r="A501" s="216"/>
      <c r="B501" s="255" t="s">
        <v>686</v>
      </c>
      <c r="C501" s="245" t="s">
        <v>150</v>
      </c>
      <c r="D501" s="227" t="s">
        <v>151</v>
      </c>
      <c r="E501" s="241"/>
      <c r="F501" s="228">
        <f t="shared" si="39"/>
        <v>0.10923085522251913</v>
      </c>
      <c r="G501" s="269">
        <f>+F501*G495</f>
        <v>2.819409969708229E-5</v>
      </c>
      <c r="H501" s="269"/>
      <c r="I501" s="269"/>
      <c r="J501" s="269"/>
      <c r="K501" s="269"/>
      <c r="L501" s="269"/>
      <c r="M501" s="269"/>
      <c r="N501" s="229"/>
      <c r="O501" s="229"/>
      <c r="P501" s="229"/>
      <c r="Q501" s="272">
        <v>0</v>
      </c>
      <c r="R501" s="256">
        <f t="shared" si="38"/>
        <v>0</v>
      </c>
      <c r="S501" s="256">
        <f t="shared" si="38"/>
        <v>0</v>
      </c>
      <c r="T501" s="256">
        <f t="shared" si="38"/>
        <v>0</v>
      </c>
      <c r="U501" s="216"/>
      <c r="V501" s="216"/>
    </row>
    <row r="502" spans="1:22" s="140" customFormat="1" ht="25.5" hidden="1" outlineLevel="3">
      <c r="A502" s="216"/>
      <c r="B502" s="255" t="s">
        <v>687</v>
      </c>
      <c r="C502" s="245" t="s">
        <v>153</v>
      </c>
      <c r="D502" s="227" t="s">
        <v>154</v>
      </c>
      <c r="E502" s="241"/>
      <c r="F502" s="228">
        <f t="shared" si="39"/>
        <v>9.2010955964242705E-2</v>
      </c>
      <c r="G502" s="269">
        <f>+F502*G495</f>
        <v>2.374938894687782E-5</v>
      </c>
      <c r="H502" s="269"/>
      <c r="I502" s="269"/>
      <c r="J502" s="269"/>
      <c r="K502" s="269"/>
      <c r="L502" s="269"/>
      <c r="M502" s="269"/>
      <c r="N502" s="229">
        <v>0.94</v>
      </c>
      <c r="O502" s="229">
        <v>0.94</v>
      </c>
      <c r="P502" s="229">
        <v>0.94</v>
      </c>
      <c r="Q502" s="272">
        <v>1</v>
      </c>
      <c r="R502" s="256">
        <f t="shared" si="38"/>
        <v>1.0638297872340425</v>
      </c>
      <c r="S502" s="256">
        <f t="shared" si="38"/>
        <v>1.0638297872340425</v>
      </c>
      <c r="T502" s="256">
        <f t="shared" si="38"/>
        <v>1.0638297872340425</v>
      </c>
      <c r="U502" s="216"/>
      <c r="V502" s="216"/>
    </row>
    <row r="503" spans="1:22" s="140" customFormat="1" ht="25.5" hidden="1" outlineLevel="1">
      <c r="B503" s="301" t="s">
        <v>688</v>
      </c>
      <c r="C503" s="251"/>
      <c r="D503" s="236" t="s">
        <v>157</v>
      </c>
      <c r="E503" s="242"/>
      <c r="F503" s="232">
        <f t="shared" ref="F503:F527" si="40">F879</f>
        <v>0.15245155571846505</v>
      </c>
      <c r="G503" s="232">
        <f>+F503*G482</f>
        <v>2.5610212195809967E-4</v>
      </c>
      <c r="H503" s="232"/>
      <c r="I503" s="232"/>
      <c r="J503" s="232"/>
      <c r="K503" s="232"/>
      <c r="L503" s="232"/>
      <c r="M503" s="232"/>
      <c r="N503" s="233">
        <f>+SUMPRODUCT($F504:$F508,N504:N508)</f>
        <v>0.94</v>
      </c>
      <c r="O503" s="233">
        <f>+SUMPRODUCT($F504:$F508,O504:O508)</f>
        <v>0.94</v>
      </c>
      <c r="P503" s="233">
        <f>+SUMPRODUCT($F504:$F508,P504:P508)</f>
        <v>0.94</v>
      </c>
      <c r="Q503" s="274">
        <f>+SUMPRODUCT($F504:$F508,Q504:Q508)</f>
        <v>0.15655467851893795</v>
      </c>
      <c r="R503" s="254">
        <f t="shared" si="38"/>
        <v>0.1665475303392957</v>
      </c>
      <c r="S503" s="254">
        <f t="shared" si="38"/>
        <v>0.1665475303392957</v>
      </c>
      <c r="T503" s="254">
        <f t="shared" si="38"/>
        <v>0.1665475303392957</v>
      </c>
    </row>
    <row r="504" spans="1:22" s="140" customFormat="1" ht="12.75" hidden="1" outlineLevel="2">
      <c r="A504" s="216"/>
      <c r="B504" s="255" t="s">
        <v>689</v>
      </c>
      <c r="C504" s="245" t="s">
        <v>181</v>
      </c>
      <c r="D504" s="227" t="s">
        <v>182</v>
      </c>
      <c r="E504" s="241"/>
      <c r="F504" s="228">
        <f t="shared" si="40"/>
        <v>0.81307686435397697</v>
      </c>
      <c r="G504" s="269">
        <f>+F504*G503</f>
        <v>2.0823071027609147E-4</v>
      </c>
      <c r="H504" s="269"/>
      <c r="I504" s="269"/>
      <c r="J504" s="269"/>
      <c r="K504" s="269"/>
      <c r="L504" s="269"/>
      <c r="M504" s="269"/>
      <c r="N504" s="229">
        <v>0.94</v>
      </c>
      <c r="O504" s="229">
        <v>0.94</v>
      </c>
      <c r="P504" s="229">
        <v>0.94</v>
      </c>
      <c r="Q504" s="272">
        <v>0</v>
      </c>
      <c r="R504" s="256">
        <f t="shared" si="38"/>
        <v>0</v>
      </c>
      <c r="S504" s="256">
        <f t="shared" si="38"/>
        <v>0</v>
      </c>
      <c r="T504" s="256">
        <f t="shared" si="38"/>
        <v>0</v>
      </c>
      <c r="U504" s="216"/>
      <c r="V504" s="216"/>
    </row>
    <row r="505" spans="1:22" s="140" customFormat="1" ht="25.5" hidden="1" outlineLevel="2">
      <c r="A505" s="216"/>
      <c r="B505" s="255" t="s">
        <v>690</v>
      </c>
      <c r="C505" s="245" t="s">
        <v>159</v>
      </c>
      <c r="D505" s="227" t="s">
        <v>160</v>
      </c>
      <c r="E505" s="241"/>
      <c r="F505" s="228">
        <f t="shared" si="40"/>
        <v>9.3460693266385869E-2</v>
      </c>
      <c r="G505" s="269">
        <f>+F505*G503</f>
        <v>2.3935481865196498E-5</v>
      </c>
      <c r="H505" s="269"/>
      <c r="I505" s="269"/>
      <c r="J505" s="269"/>
      <c r="K505" s="269"/>
      <c r="L505" s="269"/>
      <c r="M505" s="269"/>
      <c r="N505" s="229">
        <v>0.94</v>
      </c>
      <c r="O505" s="229">
        <v>0.94</v>
      </c>
      <c r="P505" s="229">
        <v>0.94</v>
      </c>
      <c r="Q505" s="272">
        <v>1</v>
      </c>
      <c r="R505" s="256">
        <f t="shared" ref="R505:T529" si="41">+IF(N505=0,0,$Q505/N505)</f>
        <v>1.0638297872340425</v>
      </c>
      <c r="S505" s="256">
        <f t="shared" si="41"/>
        <v>1.0638297872340425</v>
      </c>
      <c r="T505" s="256">
        <f t="shared" si="41"/>
        <v>1.0638297872340425</v>
      </c>
      <c r="U505" s="216"/>
      <c r="V505" s="216"/>
    </row>
    <row r="506" spans="1:22" s="140" customFormat="1" ht="25.5" hidden="1" outlineLevel="2">
      <c r="A506" s="216"/>
      <c r="B506" s="255" t="s">
        <v>691</v>
      </c>
      <c r="C506" s="245" t="s">
        <v>162</v>
      </c>
      <c r="D506" s="227" t="s">
        <v>163</v>
      </c>
      <c r="E506" s="241"/>
      <c r="F506" s="228">
        <f t="shared" si="40"/>
        <v>3.036845712708507E-2</v>
      </c>
      <c r="G506" s="269">
        <f>+F506*G503</f>
        <v>7.7774263108400621E-6</v>
      </c>
      <c r="H506" s="269"/>
      <c r="I506" s="269"/>
      <c r="J506" s="269"/>
      <c r="K506" s="269"/>
      <c r="L506" s="269"/>
      <c r="M506" s="269"/>
      <c r="N506" s="229">
        <v>0.94</v>
      </c>
      <c r="O506" s="229">
        <v>0.94</v>
      </c>
      <c r="P506" s="229">
        <v>0.94</v>
      </c>
      <c r="Q506" s="272">
        <v>0</v>
      </c>
      <c r="R506" s="256">
        <f t="shared" si="41"/>
        <v>0</v>
      </c>
      <c r="S506" s="256">
        <f t="shared" si="41"/>
        <v>0</v>
      </c>
      <c r="T506" s="256">
        <f t="shared" si="41"/>
        <v>0</v>
      </c>
      <c r="U506" s="216"/>
      <c r="V506" s="216"/>
    </row>
    <row r="507" spans="1:22" s="140" customFormat="1" ht="12.75" hidden="1" outlineLevel="2">
      <c r="A507" s="216"/>
      <c r="B507" s="255" t="s">
        <v>692</v>
      </c>
      <c r="C507" s="245" t="s">
        <v>165</v>
      </c>
      <c r="D507" s="227" t="s">
        <v>166</v>
      </c>
      <c r="E507" s="241"/>
      <c r="F507" s="228">
        <f t="shared" si="40"/>
        <v>3.6002086533741685E-2</v>
      </c>
      <c r="G507" s="269">
        <f>+F507*G503</f>
        <v>9.2202107562103707E-6</v>
      </c>
      <c r="H507" s="269"/>
      <c r="I507" s="269"/>
      <c r="J507" s="269"/>
      <c r="K507" s="269"/>
      <c r="L507" s="269"/>
      <c r="M507" s="269"/>
      <c r="N507" s="229">
        <v>0.94</v>
      </c>
      <c r="O507" s="229">
        <v>0.94</v>
      </c>
      <c r="P507" s="229">
        <v>0.94</v>
      </c>
      <c r="Q507" s="272">
        <v>1</v>
      </c>
      <c r="R507" s="256">
        <f t="shared" si="41"/>
        <v>1.0638297872340425</v>
      </c>
      <c r="S507" s="256">
        <f t="shared" si="41"/>
        <v>1.0638297872340425</v>
      </c>
      <c r="T507" s="256">
        <f t="shared" si="41"/>
        <v>1.0638297872340425</v>
      </c>
      <c r="U507" s="216"/>
      <c r="V507" s="216"/>
    </row>
    <row r="508" spans="1:22" s="140" customFormat="1" ht="12.75" hidden="1" outlineLevel="2">
      <c r="A508" s="216"/>
      <c r="B508" s="255" t="s">
        <v>693</v>
      </c>
      <c r="C508" s="245" t="s">
        <v>168</v>
      </c>
      <c r="D508" s="227" t="s">
        <v>169</v>
      </c>
      <c r="E508" s="241"/>
      <c r="F508" s="228">
        <f t="shared" si="40"/>
        <v>2.7091898718810414E-2</v>
      </c>
      <c r="G508" s="269">
        <f>+F508*G503</f>
        <v>6.9382927497612691E-6</v>
      </c>
      <c r="H508" s="269"/>
      <c r="I508" s="269"/>
      <c r="J508" s="269"/>
      <c r="K508" s="269"/>
      <c r="L508" s="269"/>
      <c r="M508" s="269"/>
      <c r="N508" s="229">
        <v>0.94</v>
      </c>
      <c r="O508" s="229">
        <v>0.94</v>
      </c>
      <c r="P508" s="229">
        <v>0.94</v>
      </c>
      <c r="Q508" s="272">
        <v>1</v>
      </c>
      <c r="R508" s="256">
        <f t="shared" si="41"/>
        <v>1.0638297872340425</v>
      </c>
      <c r="S508" s="256">
        <f t="shared" si="41"/>
        <v>1.0638297872340425</v>
      </c>
      <c r="T508" s="256">
        <f t="shared" si="41"/>
        <v>1.0638297872340425</v>
      </c>
      <c r="U508" s="216"/>
      <c r="V508" s="216"/>
    </row>
    <row r="509" spans="1:22" s="140" customFormat="1" ht="25.5" hidden="1" outlineLevel="1">
      <c r="B509" s="301" t="s">
        <v>694</v>
      </c>
      <c r="C509" s="251"/>
      <c r="D509" s="236" t="s">
        <v>173</v>
      </c>
      <c r="E509" s="242"/>
      <c r="F509" s="232">
        <f t="shared" si="40"/>
        <v>0.30792579068332282</v>
      </c>
      <c r="G509" s="232">
        <f>+F509*G482</f>
        <v>5.1728201806780895E-4</v>
      </c>
      <c r="H509" s="232"/>
      <c r="I509" s="232"/>
      <c r="J509" s="232"/>
      <c r="K509" s="232"/>
      <c r="L509" s="232"/>
      <c r="M509" s="232"/>
      <c r="N509" s="233">
        <f>+SUMPRODUCT($F510:$F512,N510:N512)</f>
        <v>0.94520157081395939</v>
      </c>
      <c r="O509" s="233">
        <f>+SUMPRODUCT($F510:$F512,O510:O512)</f>
        <v>0.94520157081395939</v>
      </c>
      <c r="P509" s="233">
        <f>+SUMPRODUCT($F510:$F512,P510:P512)</f>
        <v>0.94520157081395939</v>
      </c>
      <c r="Q509" s="274">
        <f>+SUMPRODUCT($F510:$F512,Q510:Q512)</f>
        <v>0.16618782649623062</v>
      </c>
      <c r="R509" s="254">
        <f t="shared" si="41"/>
        <v>0.17582263046084248</v>
      </c>
      <c r="S509" s="254">
        <f t="shared" si="41"/>
        <v>0.17582263046084248</v>
      </c>
      <c r="T509" s="254">
        <f t="shared" si="41"/>
        <v>0.17582263046084248</v>
      </c>
    </row>
    <row r="510" spans="1:22" s="140" customFormat="1" ht="25.5" hidden="1" outlineLevel="2">
      <c r="A510" s="216"/>
      <c r="B510" s="255" t="s">
        <v>695</v>
      </c>
      <c r="C510" s="245" t="s">
        <v>175</v>
      </c>
      <c r="D510" s="227" t="s">
        <v>176</v>
      </c>
      <c r="E510" s="241"/>
      <c r="F510" s="228">
        <f t="shared" si="40"/>
        <v>0.16618782649623062</v>
      </c>
      <c r="G510" s="269">
        <f>+F510*G509</f>
        <v>8.5965974268273067E-5</v>
      </c>
      <c r="H510" s="269"/>
      <c r="I510" s="269"/>
      <c r="J510" s="269"/>
      <c r="K510" s="269"/>
      <c r="L510" s="269"/>
      <c r="M510" s="269"/>
      <c r="N510" s="229">
        <v>0.9452015708139595</v>
      </c>
      <c r="O510" s="229">
        <v>0.9452015708139595</v>
      </c>
      <c r="P510" s="229">
        <v>0.9452015708139595</v>
      </c>
      <c r="Q510" s="272">
        <v>1</v>
      </c>
      <c r="R510" s="256">
        <f t="shared" si="41"/>
        <v>1.0579753894598916</v>
      </c>
      <c r="S510" s="256">
        <f t="shared" si="41"/>
        <v>1.0579753894598916</v>
      </c>
      <c r="T510" s="256">
        <f t="shared" si="41"/>
        <v>1.0579753894598916</v>
      </c>
      <c r="U510" s="216"/>
      <c r="V510" s="216"/>
    </row>
    <row r="511" spans="1:22" s="140" customFormat="1" ht="25.5" hidden="1" outlineLevel="2">
      <c r="A511" s="216"/>
      <c r="B511" s="255" t="s">
        <v>696</v>
      </c>
      <c r="C511" s="245" t="s">
        <v>178</v>
      </c>
      <c r="D511" s="227" t="s">
        <v>179</v>
      </c>
      <c r="E511" s="241"/>
      <c r="F511" s="228">
        <f t="shared" si="40"/>
        <v>0.36085232777611836</v>
      </c>
      <c r="G511" s="269">
        <f>+F511*G509</f>
        <v>1.8666242033649698E-4</v>
      </c>
      <c r="H511" s="269"/>
      <c r="I511" s="269"/>
      <c r="J511" s="269"/>
      <c r="K511" s="269"/>
      <c r="L511" s="269"/>
      <c r="M511" s="269"/>
      <c r="N511" s="229">
        <v>0.9452015708139595</v>
      </c>
      <c r="O511" s="229">
        <v>0.9452015708139595</v>
      </c>
      <c r="P511" s="229">
        <v>0.9452015708139595</v>
      </c>
      <c r="Q511" s="272">
        <v>0</v>
      </c>
      <c r="R511" s="256">
        <f t="shared" si="41"/>
        <v>0</v>
      </c>
      <c r="S511" s="256">
        <f t="shared" si="41"/>
        <v>0</v>
      </c>
      <c r="T511" s="256">
        <f t="shared" si="41"/>
        <v>0</v>
      </c>
      <c r="U511" s="216"/>
      <c r="V511" s="216"/>
    </row>
    <row r="512" spans="1:22" s="140" customFormat="1" ht="25.5" hidden="1" outlineLevel="2">
      <c r="A512" s="216"/>
      <c r="B512" s="255" t="s">
        <v>697</v>
      </c>
      <c r="C512" s="245"/>
      <c r="D512" s="227" t="s">
        <v>439</v>
      </c>
      <c r="E512" s="241"/>
      <c r="F512" s="228">
        <f t="shared" si="40"/>
        <v>0.47295984572765098</v>
      </c>
      <c r="G512" s="269">
        <f>+F512*G509</f>
        <v>2.446536234630389E-4</v>
      </c>
      <c r="H512" s="269"/>
      <c r="I512" s="269"/>
      <c r="J512" s="269"/>
      <c r="K512" s="269"/>
      <c r="L512" s="269"/>
      <c r="M512" s="269"/>
      <c r="N512" s="229">
        <v>0.9452015708139595</v>
      </c>
      <c r="O512" s="229">
        <v>0.9452015708139595</v>
      </c>
      <c r="P512" s="229">
        <v>0.9452015708139595</v>
      </c>
      <c r="Q512" s="272">
        <v>0</v>
      </c>
      <c r="R512" s="256">
        <f t="shared" si="41"/>
        <v>0</v>
      </c>
      <c r="S512" s="256">
        <f t="shared" si="41"/>
        <v>0</v>
      </c>
      <c r="T512" s="256">
        <f t="shared" si="41"/>
        <v>0</v>
      </c>
      <c r="U512" s="216"/>
      <c r="V512" s="216"/>
    </row>
    <row r="513" spans="1:22" s="140" customFormat="1" ht="12.75" hidden="1" outlineLevel="1">
      <c r="B513" s="301" t="s">
        <v>698</v>
      </c>
      <c r="C513" s="251"/>
      <c r="D513" s="236" t="s">
        <v>441</v>
      </c>
      <c r="E513" s="242"/>
      <c r="F513" s="232">
        <f t="shared" si="40"/>
        <v>0.17950266086228694</v>
      </c>
      <c r="G513" s="232">
        <f>+F513*G482</f>
        <v>3.015450523105995E-4</v>
      </c>
      <c r="H513" s="232"/>
      <c r="I513" s="232"/>
      <c r="J513" s="232"/>
      <c r="K513" s="232"/>
      <c r="L513" s="232"/>
      <c r="M513" s="232"/>
      <c r="N513" s="233">
        <f>+SUMPRODUCT($F514:$F514,N514:N514)</f>
        <v>0.94</v>
      </c>
      <c r="O513" s="233">
        <f>+SUMPRODUCT($F514:$F514,O514:O514)</f>
        <v>0.94</v>
      </c>
      <c r="P513" s="233">
        <f>+SUMPRODUCT($F514:$F514,P514:P514)</f>
        <v>0.94</v>
      </c>
      <c r="Q513" s="274">
        <f>+SUMPRODUCT($F514:$F514,Q514:Q514)</f>
        <v>0</v>
      </c>
      <c r="R513" s="254">
        <f t="shared" si="41"/>
        <v>0</v>
      </c>
      <c r="S513" s="254">
        <f t="shared" si="41"/>
        <v>0</v>
      </c>
      <c r="T513" s="254">
        <f t="shared" si="41"/>
        <v>0</v>
      </c>
    </row>
    <row r="514" spans="1:22" s="140" customFormat="1" ht="12.75" hidden="1" outlineLevel="2">
      <c r="A514" s="216"/>
      <c r="B514" s="255" t="s">
        <v>699</v>
      </c>
      <c r="C514" s="245" t="s">
        <v>187</v>
      </c>
      <c r="D514" s="227" t="s">
        <v>443</v>
      </c>
      <c r="E514" s="241"/>
      <c r="F514" s="228">
        <f t="shared" si="40"/>
        <v>1</v>
      </c>
      <c r="G514" s="269">
        <f>+F514*G513</f>
        <v>3.015450523105995E-4</v>
      </c>
      <c r="H514" s="269"/>
      <c r="I514" s="269"/>
      <c r="J514" s="269"/>
      <c r="K514" s="269"/>
      <c r="L514" s="269"/>
      <c r="M514" s="269"/>
      <c r="N514" s="229">
        <v>0.94</v>
      </c>
      <c r="O514" s="229">
        <v>0.94</v>
      </c>
      <c r="P514" s="229">
        <v>0.94</v>
      </c>
      <c r="Q514" s="272">
        <v>0</v>
      </c>
      <c r="R514" s="256">
        <f t="shared" si="41"/>
        <v>0</v>
      </c>
      <c r="S514" s="256">
        <f t="shared" si="41"/>
        <v>0</v>
      </c>
      <c r="T514" s="256">
        <f t="shared" si="41"/>
        <v>0</v>
      </c>
      <c r="U514" s="216"/>
      <c r="V514" s="216"/>
    </row>
    <row r="515" spans="1:22" s="140" customFormat="1" ht="12.75" hidden="1" outlineLevel="1">
      <c r="B515" s="300" t="s">
        <v>700</v>
      </c>
      <c r="C515" s="294"/>
      <c r="D515" s="294" t="s">
        <v>193</v>
      </c>
      <c r="E515" s="295"/>
      <c r="F515" s="296">
        <f t="shared" si="40"/>
        <v>6.6185886869288876E-2</v>
      </c>
      <c r="G515" s="296">
        <f>+F515*G342</f>
        <v>6.6185886869288876E-4</v>
      </c>
      <c r="H515" s="296"/>
      <c r="I515" s="296"/>
      <c r="J515" s="296"/>
      <c r="K515" s="296"/>
      <c r="L515" s="296"/>
      <c r="M515" s="296"/>
      <c r="N515" s="296">
        <f>+SUMPRODUCT($F516:$F527,N516:N527)</f>
        <v>0.94</v>
      </c>
      <c r="O515" s="296">
        <f>+SUMPRODUCT($F516:$F527,O516:O527)</f>
        <v>0.94</v>
      </c>
      <c r="P515" s="296">
        <f>+SUMPRODUCT($F516:$F527,P516:P527)</f>
        <v>0.94</v>
      </c>
      <c r="Q515" s="296">
        <f>+SUMPRODUCT($F516:$F527,Q516:Q527)</f>
        <v>0</v>
      </c>
      <c r="R515" s="296">
        <f t="shared" si="41"/>
        <v>0</v>
      </c>
      <c r="S515" s="296">
        <f t="shared" si="41"/>
        <v>0</v>
      </c>
      <c r="T515" s="296">
        <f t="shared" si="41"/>
        <v>0</v>
      </c>
    </row>
    <row r="516" spans="1:22" s="140" customFormat="1" ht="12.75" hidden="1" outlineLevel="1">
      <c r="A516" s="216"/>
      <c r="B516" s="255" t="s">
        <v>701</v>
      </c>
      <c r="C516" s="245" t="s">
        <v>195</v>
      </c>
      <c r="D516" s="227" t="s">
        <v>196</v>
      </c>
      <c r="E516" s="241"/>
      <c r="F516" s="228">
        <f t="shared" si="40"/>
        <v>0.11462043390407546</v>
      </c>
      <c r="G516" s="269">
        <f>+F516*G515</f>
        <v>7.5862550712839412E-5</v>
      </c>
      <c r="H516" s="269"/>
      <c r="I516" s="269"/>
      <c r="J516" s="269"/>
      <c r="K516" s="269"/>
      <c r="L516" s="269"/>
      <c r="M516" s="269"/>
      <c r="N516" s="229">
        <v>0.94</v>
      </c>
      <c r="O516" s="229">
        <v>0.94</v>
      </c>
      <c r="P516" s="229">
        <v>0.94</v>
      </c>
      <c r="Q516" s="272">
        <v>0</v>
      </c>
      <c r="R516" s="256">
        <f t="shared" si="41"/>
        <v>0</v>
      </c>
      <c r="S516" s="256">
        <f t="shared" si="41"/>
        <v>0</v>
      </c>
      <c r="T516" s="256">
        <f t="shared" si="41"/>
        <v>0</v>
      </c>
      <c r="U516" s="216"/>
      <c r="V516" s="216"/>
    </row>
    <row r="517" spans="1:22" s="140" customFormat="1" ht="12.75" hidden="1" outlineLevel="1">
      <c r="A517" s="216"/>
      <c r="B517" s="255" t="s">
        <v>702</v>
      </c>
      <c r="C517" s="245" t="s">
        <v>198</v>
      </c>
      <c r="D517" s="227" t="s">
        <v>199</v>
      </c>
      <c r="E517" s="241"/>
      <c r="F517" s="228">
        <f t="shared" si="40"/>
        <v>0.16914444012256166</v>
      </c>
      <c r="G517" s="269">
        <f>+F517*G515</f>
        <v>1.1194974778521073E-4</v>
      </c>
      <c r="H517" s="269"/>
      <c r="I517" s="269"/>
      <c r="J517" s="269"/>
      <c r="K517" s="269"/>
      <c r="L517" s="269"/>
      <c r="M517" s="269"/>
      <c r="N517" s="229">
        <v>0.94</v>
      </c>
      <c r="O517" s="229">
        <v>0.94</v>
      </c>
      <c r="P517" s="229">
        <v>0.94</v>
      </c>
      <c r="Q517" s="272">
        <v>0</v>
      </c>
      <c r="R517" s="256">
        <f t="shared" si="41"/>
        <v>0</v>
      </c>
      <c r="S517" s="256">
        <f t="shared" si="41"/>
        <v>0</v>
      </c>
      <c r="T517" s="256">
        <f t="shared" si="41"/>
        <v>0</v>
      </c>
      <c r="U517" s="216"/>
      <c r="V517" s="216"/>
    </row>
    <row r="518" spans="1:22" s="140" customFormat="1" ht="12.75" hidden="1" outlineLevel="1">
      <c r="A518" s="216"/>
      <c r="B518" s="255" t="s">
        <v>703</v>
      </c>
      <c r="C518" s="245" t="s">
        <v>201</v>
      </c>
      <c r="D518" s="227" t="s">
        <v>202</v>
      </c>
      <c r="E518" s="241"/>
      <c r="F518" s="228">
        <f t="shared" si="40"/>
        <v>0.15393682703771108</v>
      </c>
      <c r="G518" s="269">
        <f>+F518*G515</f>
        <v>1.0188445419335235E-4</v>
      </c>
      <c r="H518" s="269"/>
      <c r="I518" s="269"/>
      <c r="J518" s="269"/>
      <c r="K518" s="269"/>
      <c r="L518" s="269"/>
      <c r="M518" s="269"/>
      <c r="N518" s="229">
        <v>0.94</v>
      </c>
      <c r="O518" s="229">
        <v>0.94</v>
      </c>
      <c r="P518" s="229">
        <v>0.94</v>
      </c>
      <c r="Q518" s="272">
        <v>0</v>
      </c>
      <c r="R518" s="256">
        <f t="shared" si="41"/>
        <v>0</v>
      </c>
      <c r="S518" s="256">
        <f t="shared" si="41"/>
        <v>0</v>
      </c>
      <c r="T518" s="256">
        <f t="shared" si="41"/>
        <v>0</v>
      </c>
      <c r="U518" s="216"/>
      <c r="V518" s="216"/>
    </row>
    <row r="519" spans="1:22" s="140" customFormat="1" ht="12.75" hidden="1" outlineLevel="1">
      <c r="A519" s="216"/>
      <c r="B519" s="255" t="s">
        <v>704</v>
      </c>
      <c r="C519" s="245" t="s">
        <v>204</v>
      </c>
      <c r="D519" s="227" t="s">
        <v>205</v>
      </c>
      <c r="E519" s="241"/>
      <c r="F519" s="228">
        <f t="shared" si="40"/>
        <v>3.9190487501575728E-2</v>
      </c>
      <c r="G519" s="269">
        <f>+F519*G515</f>
        <v>2.5938571721315707E-5</v>
      </c>
      <c r="H519" s="269"/>
      <c r="I519" s="269"/>
      <c r="J519" s="269"/>
      <c r="K519" s="269"/>
      <c r="L519" s="269"/>
      <c r="M519" s="269"/>
      <c r="N519" s="229">
        <v>0.94</v>
      </c>
      <c r="O519" s="229">
        <v>0.94</v>
      </c>
      <c r="P519" s="229">
        <v>0.94</v>
      </c>
      <c r="Q519" s="272">
        <v>0</v>
      </c>
      <c r="R519" s="256">
        <f t="shared" si="41"/>
        <v>0</v>
      </c>
      <c r="S519" s="256">
        <f t="shared" si="41"/>
        <v>0</v>
      </c>
      <c r="T519" s="256">
        <f t="shared" si="41"/>
        <v>0</v>
      </c>
      <c r="U519" s="216"/>
      <c r="V519" s="216"/>
    </row>
    <row r="520" spans="1:22" s="140" customFormat="1" ht="12.75" hidden="1" outlineLevel="1">
      <c r="A520" s="216"/>
      <c r="B520" s="255" t="s">
        <v>705</v>
      </c>
      <c r="C520" s="245" t="s">
        <v>207</v>
      </c>
      <c r="D520" s="227" t="s">
        <v>205</v>
      </c>
      <c r="E520" s="241"/>
      <c r="F520" s="228">
        <f t="shared" si="40"/>
        <v>3.9190487501575728E-2</v>
      </c>
      <c r="G520" s="269">
        <f>+F520*G515</f>
        <v>2.5938571721315707E-5</v>
      </c>
      <c r="H520" s="269"/>
      <c r="I520" s="269"/>
      <c r="J520" s="269"/>
      <c r="K520" s="269"/>
      <c r="L520" s="269"/>
      <c r="M520" s="269"/>
      <c r="N520" s="229">
        <v>0.94</v>
      </c>
      <c r="O520" s="229">
        <v>0.94</v>
      </c>
      <c r="P520" s="229">
        <v>0.94</v>
      </c>
      <c r="Q520" s="272">
        <v>0</v>
      </c>
      <c r="R520" s="256">
        <f t="shared" si="41"/>
        <v>0</v>
      </c>
      <c r="S520" s="256">
        <f t="shared" si="41"/>
        <v>0</v>
      </c>
      <c r="T520" s="256">
        <f t="shared" si="41"/>
        <v>0</v>
      </c>
      <c r="U520" s="216"/>
      <c r="V520" s="216"/>
    </row>
    <row r="521" spans="1:22" s="140" customFormat="1" ht="12.75" hidden="1" outlineLevel="1">
      <c r="A521" s="216"/>
      <c r="B521" s="255" t="s">
        <v>706</v>
      </c>
      <c r="C521" s="245" t="s">
        <v>209</v>
      </c>
      <c r="D521" s="227" t="s">
        <v>205</v>
      </c>
      <c r="E521" s="241"/>
      <c r="F521" s="228">
        <f t="shared" si="40"/>
        <v>3.9190487501575728E-2</v>
      </c>
      <c r="G521" s="269">
        <f>+F521*G515</f>
        <v>2.5938571721315707E-5</v>
      </c>
      <c r="H521" s="269"/>
      <c r="I521" s="269"/>
      <c r="J521" s="269"/>
      <c r="K521" s="269"/>
      <c r="L521" s="269"/>
      <c r="M521" s="269"/>
      <c r="N521" s="229">
        <v>0.94</v>
      </c>
      <c r="O521" s="229">
        <v>0.94</v>
      </c>
      <c r="P521" s="229">
        <v>0.94</v>
      </c>
      <c r="Q521" s="272">
        <v>0</v>
      </c>
      <c r="R521" s="256">
        <f t="shared" si="41"/>
        <v>0</v>
      </c>
      <c r="S521" s="256">
        <f t="shared" si="41"/>
        <v>0</v>
      </c>
      <c r="T521" s="256">
        <f t="shared" si="41"/>
        <v>0</v>
      </c>
      <c r="U521" s="216"/>
      <c r="V521" s="216"/>
    </row>
    <row r="522" spans="1:22" s="140" customFormat="1" ht="12.75" hidden="1" outlineLevel="1">
      <c r="A522" s="216"/>
      <c r="B522" s="255" t="s">
        <v>707</v>
      </c>
      <c r="C522" s="245" t="s">
        <v>211</v>
      </c>
      <c r="D522" s="227" t="s">
        <v>205</v>
      </c>
      <c r="E522" s="241"/>
      <c r="F522" s="228">
        <f t="shared" si="40"/>
        <v>3.9190487501575728E-2</v>
      </c>
      <c r="G522" s="269">
        <f>+F522*G515</f>
        <v>2.5938571721315707E-5</v>
      </c>
      <c r="H522" s="269"/>
      <c r="I522" s="269"/>
      <c r="J522" s="269"/>
      <c r="K522" s="269"/>
      <c r="L522" s="269"/>
      <c r="M522" s="269"/>
      <c r="N522" s="229">
        <v>0.94</v>
      </c>
      <c r="O522" s="229">
        <v>0.94</v>
      </c>
      <c r="P522" s="229">
        <v>0.94</v>
      </c>
      <c r="Q522" s="272">
        <v>0</v>
      </c>
      <c r="R522" s="256">
        <f t="shared" si="41"/>
        <v>0</v>
      </c>
      <c r="S522" s="256">
        <f t="shared" si="41"/>
        <v>0</v>
      </c>
      <c r="T522" s="256">
        <f t="shared" si="41"/>
        <v>0</v>
      </c>
      <c r="U522" s="216"/>
      <c r="V522" s="216"/>
    </row>
    <row r="523" spans="1:22" s="140" customFormat="1" ht="12.75" hidden="1" outlineLevel="1">
      <c r="A523" s="216"/>
      <c r="B523" s="255" t="s">
        <v>708</v>
      </c>
      <c r="C523" s="245" t="s">
        <v>213</v>
      </c>
      <c r="D523" s="227" t="s">
        <v>205</v>
      </c>
      <c r="E523" s="241"/>
      <c r="F523" s="228">
        <f t="shared" si="40"/>
        <v>3.9190487501575728E-2</v>
      </c>
      <c r="G523" s="269">
        <f>+F523*G515</f>
        <v>2.5938571721315707E-5</v>
      </c>
      <c r="H523" s="269"/>
      <c r="I523" s="269"/>
      <c r="J523" s="269"/>
      <c r="K523" s="269"/>
      <c r="L523" s="269"/>
      <c r="M523" s="269"/>
      <c r="N523" s="229">
        <v>0.94</v>
      </c>
      <c r="O523" s="229">
        <v>0.94</v>
      </c>
      <c r="P523" s="229">
        <v>0.94</v>
      </c>
      <c r="Q523" s="272">
        <v>0</v>
      </c>
      <c r="R523" s="256">
        <f t="shared" si="41"/>
        <v>0</v>
      </c>
      <c r="S523" s="256">
        <f t="shared" si="41"/>
        <v>0</v>
      </c>
      <c r="T523" s="256">
        <f t="shared" si="41"/>
        <v>0</v>
      </c>
      <c r="U523" s="216"/>
      <c r="V523" s="216"/>
    </row>
    <row r="524" spans="1:22" s="140" customFormat="1" ht="12.75" hidden="1" outlineLevel="1">
      <c r="A524" s="216"/>
      <c r="B524" s="255" t="s">
        <v>709</v>
      </c>
      <c r="C524" s="281" t="s">
        <v>215</v>
      </c>
      <c r="D524" s="282" t="s">
        <v>216</v>
      </c>
      <c r="E524" s="283"/>
      <c r="F524" s="284">
        <f t="shared" si="40"/>
        <v>4.0894421740774678E-2</v>
      </c>
      <c r="G524" s="285">
        <f>+F524*G515</f>
        <v>2.7066335709199004E-5</v>
      </c>
      <c r="H524" s="285"/>
      <c r="I524" s="285"/>
      <c r="J524" s="285"/>
      <c r="K524" s="285"/>
      <c r="L524" s="285"/>
      <c r="M524" s="285"/>
      <c r="N524" s="286">
        <v>0.94</v>
      </c>
      <c r="O524" s="286">
        <v>0.94</v>
      </c>
      <c r="P524" s="286">
        <v>0.94</v>
      </c>
      <c r="Q524" s="272">
        <v>0</v>
      </c>
      <c r="R524" s="288">
        <f t="shared" si="41"/>
        <v>0</v>
      </c>
      <c r="S524" s="288">
        <f t="shared" si="41"/>
        <v>0</v>
      </c>
      <c r="T524" s="288">
        <f t="shared" si="41"/>
        <v>0</v>
      </c>
      <c r="U524" s="216"/>
      <c r="V524" s="216"/>
    </row>
    <row r="525" spans="1:22" s="140" customFormat="1" ht="12.75" hidden="1" outlineLevel="1">
      <c r="A525" s="216"/>
      <c r="B525" s="255" t="s">
        <v>710</v>
      </c>
      <c r="C525" s="281" t="s">
        <v>218</v>
      </c>
      <c r="D525" s="282" t="s">
        <v>219</v>
      </c>
      <c r="E525" s="283"/>
      <c r="F525" s="284">
        <f t="shared" si="40"/>
        <v>0.13120293641831876</v>
      </c>
      <c r="G525" s="285">
        <f>+F525*G515</f>
        <v>8.6837827067013463E-5</v>
      </c>
      <c r="H525" s="285"/>
      <c r="I525" s="285"/>
      <c r="J525" s="285"/>
      <c r="K525" s="285"/>
      <c r="L525" s="285"/>
      <c r="M525" s="285"/>
      <c r="N525" s="286">
        <v>0.94</v>
      </c>
      <c r="O525" s="286">
        <v>0.94</v>
      </c>
      <c r="P525" s="286">
        <v>0.94</v>
      </c>
      <c r="Q525" s="272">
        <v>0</v>
      </c>
      <c r="R525" s="288">
        <f t="shared" si="41"/>
        <v>0</v>
      </c>
      <c r="S525" s="288">
        <f t="shared" si="41"/>
        <v>0</v>
      </c>
      <c r="T525" s="288">
        <f t="shared" si="41"/>
        <v>0</v>
      </c>
      <c r="U525" s="216"/>
      <c r="V525" s="216"/>
    </row>
    <row r="526" spans="1:22" s="140" customFormat="1" ht="12.75" hidden="1" outlineLevel="1">
      <c r="A526" s="216"/>
      <c r="B526" s="255" t="s">
        <v>711</v>
      </c>
      <c r="C526" s="281" t="s">
        <v>221</v>
      </c>
      <c r="D526" s="282" t="s">
        <v>222</v>
      </c>
      <c r="E526" s="283"/>
      <c r="F526" s="284">
        <f t="shared" si="40"/>
        <v>0.17039342391989448</v>
      </c>
      <c r="G526" s="285">
        <f>+F526*G515</f>
        <v>1.1277639878832917E-4</v>
      </c>
      <c r="H526" s="285"/>
      <c r="I526" s="285"/>
      <c r="J526" s="285"/>
      <c r="K526" s="285"/>
      <c r="L526" s="285"/>
      <c r="M526" s="285"/>
      <c r="N526" s="286">
        <v>0.94</v>
      </c>
      <c r="O526" s="286">
        <v>0.94</v>
      </c>
      <c r="P526" s="286">
        <v>0.94</v>
      </c>
      <c r="Q526" s="272">
        <v>0</v>
      </c>
      <c r="R526" s="288">
        <f t="shared" si="41"/>
        <v>0</v>
      </c>
      <c r="S526" s="288">
        <f t="shared" si="41"/>
        <v>0</v>
      </c>
      <c r="T526" s="288">
        <f t="shared" si="41"/>
        <v>0</v>
      </c>
      <c r="U526" s="216"/>
      <c r="V526" s="216"/>
    </row>
    <row r="527" spans="1:22" s="140" customFormat="1" ht="13.5" hidden="1" outlineLevel="1" thickBot="1">
      <c r="A527" s="216"/>
      <c r="B527" s="255" t="s">
        <v>712</v>
      </c>
      <c r="C527" s="281" t="s">
        <v>224</v>
      </c>
      <c r="D527" s="282" t="s">
        <v>225</v>
      </c>
      <c r="E527" s="283"/>
      <c r="F527" s="284">
        <f t="shared" si="40"/>
        <v>2.3855079348785228E-2</v>
      </c>
      <c r="G527" s="285">
        <f>+F527*G515</f>
        <v>1.5788695830366083E-5</v>
      </c>
      <c r="H527" s="285"/>
      <c r="I527" s="285"/>
      <c r="J527" s="285"/>
      <c r="K527" s="285"/>
      <c r="L527" s="285"/>
      <c r="M527" s="285"/>
      <c r="N527" s="286">
        <v>0.94</v>
      </c>
      <c r="O527" s="286">
        <v>0.94</v>
      </c>
      <c r="P527" s="286">
        <v>0.94</v>
      </c>
      <c r="Q527" s="272">
        <v>0</v>
      </c>
      <c r="R527" s="288">
        <f t="shared" si="41"/>
        <v>0</v>
      </c>
      <c r="S527" s="288">
        <f t="shared" si="41"/>
        <v>0</v>
      </c>
      <c r="T527" s="288">
        <f t="shared" si="41"/>
        <v>0</v>
      </c>
      <c r="U527" s="216"/>
      <c r="V527" s="216"/>
    </row>
    <row r="528" spans="1:22" s="140" customFormat="1" ht="13.5" collapsed="1" thickBot="1">
      <c r="B528" s="312">
        <v>5</v>
      </c>
      <c r="C528" s="313"/>
      <c r="D528" s="314" t="s">
        <v>2</v>
      </c>
      <c r="E528" s="315">
        <f>E718</f>
        <v>2660131048900.3301</v>
      </c>
      <c r="F528" s="316"/>
      <c r="G528" s="317">
        <v>0.79</v>
      </c>
      <c r="H528" s="317"/>
      <c r="I528" s="317"/>
      <c r="J528" s="317"/>
      <c r="K528" s="317"/>
      <c r="L528" s="317"/>
      <c r="M528" s="317"/>
      <c r="N528" s="318">
        <f>+($F529*N529+$F718*N718)</f>
        <v>0.61802151915799042</v>
      </c>
      <c r="O528" s="318">
        <f>+($F529*O529+$F718*O718)</f>
        <v>0.52201424795231266</v>
      </c>
      <c r="P528" s="318">
        <f>+($F529*P529+$F718*P718)</f>
        <v>0.47891683106197613</v>
      </c>
      <c r="Q528" s="319">
        <f>+($F529*Q529+$F718*Q718)</f>
        <v>0.23842288966025074</v>
      </c>
      <c r="R528" s="320">
        <f t="shared" si="41"/>
        <v>0.38578412283294711</v>
      </c>
      <c r="S528" s="320">
        <f t="shared" si="41"/>
        <v>0.45673636418067898</v>
      </c>
      <c r="T528" s="320">
        <f t="shared" si="41"/>
        <v>0.49783777515515359</v>
      </c>
    </row>
    <row r="529" spans="1:22" s="140" customFormat="1" ht="12.75" hidden="1" outlineLevel="1">
      <c r="B529" s="279">
        <v>5.0999999999999996</v>
      </c>
      <c r="C529" s="279"/>
      <c r="D529" s="279" t="s">
        <v>713</v>
      </c>
      <c r="E529" s="278"/>
      <c r="F529" s="280">
        <v>0.05</v>
      </c>
      <c r="G529" s="280">
        <f>+F529*$G$528</f>
        <v>3.9500000000000007E-2</v>
      </c>
      <c r="H529" s="280"/>
      <c r="I529" s="280"/>
      <c r="J529" s="280"/>
      <c r="K529" s="280"/>
      <c r="L529" s="280"/>
      <c r="M529" s="280"/>
      <c r="N529" s="280">
        <f>+($F530*N530+$F531*N531+$F532*N532)</f>
        <v>0.99298267660042316</v>
      </c>
      <c r="O529" s="280">
        <f>+($F530*O530+$F531*O531+$F532*O532)</f>
        <v>0.99298267660042316</v>
      </c>
      <c r="P529" s="280">
        <f>+($F530*P530+$F531*P531+$F532*P532)</f>
        <v>0.99298267660042316</v>
      </c>
      <c r="Q529" s="280">
        <f>+($F530*Q530+$F531*Q531+$F532*Q532)</f>
        <v>0.91559475267594281</v>
      </c>
      <c r="R529" s="280">
        <f t="shared" si="41"/>
        <v>0.92206518225531808</v>
      </c>
      <c r="S529" s="280">
        <f t="shared" si="41"/>
        <v>0.92206518225531808</v>
      </c>
      <c r="T529" s="280">
        <f t="shared" si="41"/>
        <v>0.92206518225531808</v>
      </c>
    </row>
    <row r="530" spans="1:22" s="140" customFormat="1" ht="12.75" hidden="1" outlineLevel="2">
      <c r="B530" s="257" t="s">
        <v>714</v>
      </c>
      <c r="C530" s="246"/>
      <c r="D530" s="247" t="s">
        <v>226</v>
      </c>
      <c r="E530" s="248"/>
      <c r="F530" s="230">
        <v>0.9</v>
      </c>
      <c r="G530" s="230">
        <f>+F530*$G$529</f>
        <v>3.5550000000000005E-2</v>
      </c>
      <c r="H530" s="230"/>
      <c r="I530" s="230"/>
      <c r="J530" s="230"/>
      <c r="K530" s="230"/>
      <c r="L530" s="230"/>
      <c r="M530" s="230"/>
      <c r="N530" s="231">
        <v>1</v>
      </c>
      <c r="O530" s="231">
        <v>1</v>
      </c>
      <c r="P530" s="231">
        <v>1</v>
      </c>
      <c r="Q530" s="273">
        <v>0.94399999999999995</v>
      </c>
      <c r="R530" s="258">
        <f t="shared" ref="R530:T545" si="42">+IF(N530=0,0,$Q530/N530)</f>
        <v>0.94399999999999995</v>
      </c>
      <c r="S530" s="258">
        <f t="shared" si="42"/>
        <v>0.94399999999999995</v>
      </c>
      <c r="T530" s="258">
        <f t="shared" si="42"/>
        <v>0.94399999999999995</v>
      </c>
    </row>
    <row r="531" spans="1:22" s="140" customFormat="1" ht="12.75" hidden="1" outlineLevel="2">
      <c r="B531" s="257" t="s">
        <v>715</v>
      </c>
      <c r="C531" s="246"/>
      <c r="D531" s="247" t="s">
        <v>716</v>
      </c>
      <c r="E531" s="248"/>
      <c r="F531" s="230">
        <v>0.05</v>
      </c>
      <c r="G531" s="230">
        <f t="shared" ref="G531" si="43">+F531*$G$529</f>
        <v>1.9750000000000006E-3</v>
      </c>
      <c r="H531" s="230"/>
      <c r="I531" s="230"/>
      <c r="J531" s="230"/>
      <c r="K531" s="230"/>
      <c r="L531" s="230"/>
      <c r="M531" s="230"/>
      <c r="N531" s="231">
        <v>1</v>
      </c>
      <c r="O531" s="231">
        <v>1</v>
      </c>
      <c r="P531" s="231">
        <v>1</v>
      </c>
      <c r="Q531" s="273">
        <v>0.75900000000000001</v>
      </c>
      <c r="R531" s="258">
        <f t="shared" si="42"/>
        <v>0.75900000000000001</v>
      </c>
      <c r="S531" s="258">
        <f t="shared" si="42"/>
        <v>0.75900000000000001</v>
      </c>
      <c r="T531" s="258">
        <f t="shared" si="42"/>
        <v>0.75900000000000001</v>
      </c>
    </row>
    <row r="532" spans="1:22" s="140" customFormat="1" ht="12.75" hidden="1" outlineLevel="2">
      <c r="A532" s="216"/>
      <c r="B532" s="257" t="s">
        <v>717</v>
      </c>
      <c r="C532" s="246"/>
      <c r="D532" s="247" t="s">
        <v>718</v>
      </c>
      <c r="E532" s="248">
        <f>+E718/19</f>
        <v>140006897310.5437</v>
      </c>
      <c r="F532" s="230">
        <v>0.05</v>
      </c>
      <c r="G532" s="230">
        <f>+F532*$G$529</f>
        <v>1.9750000000000006E-3</v>
      </c>
      <c r="H532" s="230"/>
      <c r="I532" s="230"/>
      <c r="J532" s="230"/>
      <c r="K532" s="230"/>
      <c r="L532" s="230"/>
      <c r="M532" s="230"/>
      <c r="N532" s="249">
        <f>+($F533*N533+$F656*N656+$F672*N672+$F705*N705)</f>
        <v>0.85965353200846262</v>
      </c>
      <c r="O532" s="249">
        <f>+($F533*O533+$F656*O656+$F672*O672+$F705*O705)</f>
        <v>0.85965353200846262</v>
      </c>
      <c r="P532" s="249">
        <f>+($F533*P533+$F656*P656+$F672*P672+$F705*P705)</f>
        <v>0.85965353200846262</v>
      </c>
      <c r="Q532" s="273">
        <f>+($F533*Q533+$F656*Q656+$F672*Q672)</f>
        <v>0.56089505351885494</v>
      </c>
      <c r="R532" s="258">
        <f t="shared" si="42"/>
        <v>0.65246640958759339</v>
      </c>
      <c r="S532" s="258">
        <f t="shared" si="42"/>
        <v>0.65246640958759339</v>
      </c>
      <c r="T532" s="258">
        <f t="shared" si="42"/>
        <v>0.65246640958759339</v>
      </c>
    </row>
    <row r="533" spans="1:22" s="140" customFormat="1" ht="12.75" hidden="1" outlineLevel="3">
      <c r="B533" s="300" t="s">
        <v>719</v>
      </c>
      <c r="C533" s="294"/>
      <c r="D533" s="294" t="s">
        <v>31</v>
      </c>
      <c r="E533" s="295"/>
      <c r="F533" s="296">
        <f t="shared" ref="F533:F596" si="44">F719</f>
        <v>0.72937579176373002</v>
      </c>
      <c r="G533" s="296">
        <f>+F533*G532</f>
        <v>1.4405171887333671E-3</v>
      </c>
      <c r="H533" s="297"/>
      <c r="I533" s="297"/>
      <c r="J533" s="297"/>
      <c r="K533" s="297"/>
      <c r="L533" s="297"/>
      <c r="M533" s="297"/>
      <c r="N533" s="296">
        <f>+$F534*N534+$F555*N555+$F582*N582+$F594*N594+$F607*N607+$F622*N622+$F640*N640+$F655*N655</f>
        <v>1</v>
      </c>
      <c r="O533" s="296">
        <f>+$F534*O534+$F555*O555+$F582*O582+$F594*O594+$F607*O607+$F622*O622+$F640*O640+$F655*O655</f>
        <v>1</v>
      </c>
      <c r="P533" s="296">
        <f>+$F534*P534+$F555*P555+$F582*P582+$F594*P594+$F607*P607+$F622*P622+$F640*P640+$F655*P655</f>
        <v>1</v>
      </c>
      <c r="Q533" s="296">
        <f>+$F534*Q534+$F555*Q555+$F582*Q582+$F594*Q594+$F607*Q607+$F622*Q622+$F640*Q640+$F655*Q655</f>
        <v>0.76900695067289571</v>
      </c>
      <c r="R533" s="296">
        <f t="shared" si="42"/>
        <v>0.76900695067289571</v>
      </c>
      <c r="S533" s="296">
        <f t="shared" si="42"/>
        <v>0.76900695067289571</v>
      </c>
      <c r="T533" s="296">
        <f t="shared" si="42"/>
        <v>0.76900695067289571</v>
      </c>
    </row>
    <row r="534" spans="1:22" s="140" customFormat="1" ht="25.5" hidden="1" outlineLevel="4">
      <c r="A534" s="216"/>
      <c r="B534" s="291" t="s">
        <v>720</v>
      </c>
      <c r="C534" s="292" t="s">
        <v>32</v>
      </c>
      <c r="D534" s="234" t="s">
        <v>33</v>
      </c>
      <c r="E534" s="240"/>
      <c r="F534" s="223">
        <f t="shared" si="44"/>
        <v>0.19239834958539684</v>
      </c>
      <c r="G534" s="293">
        <f>+F534*G533</f>
        <v>2.7715312966169542E-4</v>
      </c>
      <c r="H534" s="298"/>
      <c r="I534" s="298"/>
      <c r="J534" s="298"/>
      <c r="K534" s="298"/>
      <c r="L534" s="298"/>
      <c r="M534" s="298"/>
      <c r="N534" s="224">
        <f>+SUMPRODUCT($F535:$F554,N535:N554)</f>
        <v>0.99999999999999978</v>
      </c>
      <c r="O534" s="224">
        <f>+SUMPRODUCT($F535:$F554,O535:O554)</f>
        <v>0.99999999999999978</v>
      </c>
      <c r="P534" s="224">
        <f>+SUMPRODUCT($F535:$F554,P535:P554)</f>
        <v>0.99999999999999978</v>
      </c>
      <c r="Q534" s="270">
        <f>+SUMPRODUCT($F535:$F554,Q535:Q554)</f>
        <v>0.98600000000000021</v>
      </c>
      <c r="R534" s="254">
        <f t="shared" si="42"/>
        <v>0.98600000000000043</v>
      </c>
      <c r="S534" s="254">
        <f t="shared" si="42"/>
        <v>0.98600000000000043</v>
      </c>
      <c r="T534" s="254">
        <f t="shared" si="42"/>
        <v>0.98600000000000043</v>
      </c>
      <c r="U534" s="216"/>
      <c r="V534" s="216"/>
    </row>
    <row r="535" spans="1:22" s="140" customFormat="1" ht="25.5" hidden="1" outlineLevel="5">
      <c r="A535" s="216"/>
      <c r="B535" s="255" t="s">
        <v>721</v>
      </c>
      <c r="C535" s="290" t="s">
        <v>230</v>
      </c>
      <c r="D535" s="227" t="s">
        <v>231</v>
      </c>
      <c r="E535" s="241"/>
      <c r="F535" s="228">
        <f t="shared" si="44"/>
        <v>4.4581817293365446E-2</v>
      </c>
      <c r="G535" s="269">
        <f>+F535*G534</f>
        <v>1.2355990188862129E-5</v>
      </c>
      <c r="H535" s="299"/>
      <c r="I535" s="299"/>
      <c r="J535" s="299"/>
      <c r="K535" s="299"/>
      <c r="L535" s="299"/>
      <c r="M535" s="299"/>
      <c r="N535" s="229">
        <v>1</v>
      </c>
      <c r="O535" s="229">
        <v>1</v>
      </c>
      <c r="P535" s="229">
        <v>1</v>
      </c>
      <c r="Q535" s="272">
        <v>0.98599999999999999</v>
      </c>
      <c r="R535" s="256">
        <f t="shared" si="42"/>
        <v>0.98599999999999999</v>
      </c>
      <c r="S535" s="256">
        <f t="shared" si="42"/>
        <v>0.98599999999999999</v>
      </c>
      <c r="T535" s="256">
        <f t="shared" si="42"/>
        <v>0.98599999999999999</v>
      </c>
      <c r="U535" s="216"/>
      <c r="V535" s="216"/>
    </row>
    <row r="536" spans="1:22" s="140" customFormat="1" ht="25.5" hidden="1" outlineLevel="5">
      <c r="A536" s="216"/>
      <c r="B536" s="255" t="s">
        <v>722</v>
      </c>
      <c r="C536" s="290" t="s">
        <v>233</v>
      </c>
      <c r="D536" s="227" t="s">
        <v>231</v>
      </c>
      <c r="E536" s="241"/>
      <c r="F536" s="228">
        <f t="shared" si="44"/>
        <v>4.4581817293365446E-2</v>
      </c>
      <c r="G536" s="269">
        <f>+F536*G534</f>
        <v>1.2355990188862129E-5</v>
      </c>
      <c r="H536" s="299"/>
      <c r="I536" s="299"/>
      <c r="J536" s="299"/>
      <c r="K536" s="299"/>
      <c r="L536" s="299"/>
      <c r="M536" s="299"/>
      <c r="N536" s="229">
        <v>1</v>
      </c>
      <c r="O536" s="229">
        <v>1</v>
      </c>
      <c r="P536" s="229">
        <v>1</v>
      </c>
      <c r="Q536" s="272">
        <v>0.98599999999999999</v>
      </c>
      <c r="R536" s="256">
        <f t="shared" si="42"/>
        <v>0.98599999999999999</v>
      </c>
      <c r="S536" s="256">
        <f t="shared" si="42"/>
        <v>0.98599999999999999</v>
      </c>
      <c r="T536" s="256">
        <f t="shared" si="42"/>
        <v>0.98599999999999999</v>
      </c>
      <c r="U536" s="216"/>
      <c r="V536" s="216"/>
    </row>
    <row r="537" spans="1:22" s="140" customFormat="1" ht="25.5" hidden="1" outlineLevel="5">
      <c r="A537" s="216"/>
      <c r="B537" s="255" t="s">
        <v>723</v>
      </c>
      <c r="C537" s="290" t="s">
        <v>235</v>
      </c>
      <c r="D537" s="227" t="s">
        <v>231</v>
      </c>
      <c r="E537" s="241"/>
      <c r="F537" s="228">
        <f t="shared" si="44"/>
        <v>4.4581817293365446E-2</v>
      </c>
      <c r="G537" s="269">
        <f>+F537*G534</f>
        <v>1.2355990188862129E-5</v>
      </c>
      <c r="H537" s="299"/>
      <c r="I537" s="299"/>
      <c r="J537" s="299"/>
      <c r="K537" s="299"/>
      <c r="L537" s="299"/>
      <c r="M537" s="299"/>
      <c r="N537" s="229">
        <v>1</v>
      </c>
      <c r="O537" s="229">
        <v>1</v>
      </c>
      <c r="P537" s="229">
        <v>1</v>
      </c>
      <c r="Q537" s="272">
        <v>0.98599999999999999</v>
      </c>
      <c r="R537" s="256">
        <f t="shared" si="42"/>
        <v>0.98599999999999999</v>
      </c>
      <c r="S537" s="256">
        <f t="shared" si="42"/>
        <v>0.98599999999999999</v>
      </c>
      <c r="T537" s="256">
        <f t="shared" si="42"/>
        <v>0.98599999999999999</v>
      </c>
      <c r="U537" s="216"/>
      <c r="V537" s="216"/>
    </row>
    <row r="538" spans="1:22" s="140" customFormat="1" ht="25.5" hidden="1" outlineLevel="5">
      <c r="A538" s="216"/>
      <c r="B538" s="255" t="s">
        <v>724</v>
      </c>
      <c r="C538" s="290" t="s">
        <v>237</v>
      </c>
      <c r="D538" s="227" t="s">
        <v>231</v>
      </c>
      <c r="E538" s="241"/>
      <c r="F538" s="228">
        <f t="shared" si="44"/>
        <v>4.4581817293365446E-2</v>
      </c>
      <c r="G538" s="269">
        <f>+F538*G534</f>
        <v>1.2355990188862129E-5</v>
      </c>
      <c r="H538" s="299"/>
      <c r="I538" s="299"/>
      <c r="J538" s="299"/>
      <c r="K538" s="299"/>
      <c r="L538" s="299"/>
      <c r="M538" s="299"/>
      <c r="N538" s="229">
        <v>1</v>
      </c>
      <c r="O538" s="229">
        <v>1</v>
      </c>
      <c r="P538" s="229">
        <v>1</v>
      </c>
      <c r="Q538" s="272">
        <v>0.98599999999999999</v>
      </c>
      <c r="R538" s="256">
        <f t="shared" si="42"/>
        <v>0.98599999999999999</v>
      </c>
      <c r="S538" s="256">
        <f t="shared" si="42"/>
        <v>0.98599999999999999</v>
      </c>
      <c r="T538" s="256">
        <f t="shared" si="42"/>
        <v>0.98599999999999999</v>
      </c>
      <c r="U538" s="216"/>
      <c r="V538" s="216"/>
    </row>
    <row r="539" spans="1:22" s="140" customFormat="1" ht="25.5" hidden="1" outlineLevel="5">
      <c r="A539" s="216"/>
      <c r="B539" s="255" t="s">
        <v>725</v>
      </c>
      <c r="C539" s="290" t="s">
        <v>239</v>
      </c>
      <c r="D539" s="227" t="s">
        <v>231</v>
      </c>
      <c r="E539" s="241"/>
      <c r="F539" s="228">
        <f t="shared" si="44"/>
        <v>4.4581817293365446E-2</v>
      </c>
      <c r="G539" s="269">
        <f>+F539*G534</f>
        <v>1.2355990188862129E-5</v>
      </c>
      <c r="H539" s="299"/>
      <c r="I539" s="299"/>
      <c r="J539" s="299"/>
      <c r="K539" s="299"/>
      <c r="L539" s="299"/>
      <c r="M539" s="299"/>
      <c r="N539" s="229">
        <v>1</v>
      </c>
      <c r="O539" s="229">
        <v>1</v>
      </c>
      <c r="P539" s="229">
        <v>1</v>
      </c>
      <c r="Q539" s="272">
        <v>0.98599999999999999</v>
      </c>
      <c r="R539" s="256">
        <f t="shared" si="42"/>
        <v>0.98599999999999999</v>
      </c>
      <c r="S539" s="256">
        <f t="shared" si="42"/>
        <v>0.98599999999999999</v>
      </c>
      <c r="T539" s="256">
        <f t="shared" si="42"/>
        <v>0.98599999999999999</v>
      </c>
      <c r="U539" s="216"/>
      <c r="V539" s="216"/>
    </row>
    <row r="540" spans="1:22" s="140" customFormat="1" ht="25.5" hidden="1" outlineLevel="5">
      <c r="A540" s="216"/>
      <c r="B540" s="255" t="s">
        <v>726</v>
      </c>
      <c r="C540" s="290" t="s">
        <v>241</v>
      </c>
      <c r="D540" s="227" t="s">
        <v>231</v>
      </c>
      <c r="E540" s="241"/>
      <c r="F540" s="228">
        <f t="shared" si="44"/>
        <v>4.4581817293365446E-2</v>
      </c>
      <c r="G540" s="269">
        <f>+F540*G534</f>
        <v>1.2355990188862129E-5</v>
      </c>
      <c r="H540" s="299"/>
      <c r="I540" s="299"/>
      <c r="J540" s="299"/>
      <c r="K540" s="299"/>
      <c r="L540" s="299"/>
      <c r="M540" s="299"/>
      <c r="N540" s="229">
        <v>1</v>
      </c>
      <c r="O540" s="229">
        <v>1</v>
      </c>
      <c r="P540" s="229">
        <v>1</v>
      </c>
      <c r="Q540" s="272">
        <v>0.98599999999999999</v>
      </c>
      <c r="R540" s="256">
        <f t="shared" si="42"/>
        <v>0.98599999999999999</v>
      </c>
      <c r="S540" s="256">
        <f t="shared" si="42"/>
        <v>0.98599999999999999</v>
      </c>
      <c r="T540" s="256">
        <f t="shared" si="42"/>
        <v>0.98599999999999999</v>
      </c>
      <c r="U540" s="216"/>
      <c r="V540" s="216"/>
    </row>
    <row r="541" spans="1:22" s="140" customFormat="1" ht="25.5" hidden="1" outlineLevel="5">
      <c r="A541" s="216"/>
      <c r="B541" s="255" t="s">
        <v>727</v>
      </c>
      <c r="C541" s="290" t="s">
        <v>243</v>
      </c>
      <c r="D541" s="227" t="s">
        <v>231</v>
      </c>
      <c r="E541" s="241"/>
      <c r="F541" s="228">
        <f t="shared" si="44"/>
        <v>4.4581817293365446E-2</v>
      </c>
      <c r="G541" s="269">
        <f>+F541*G534</f>
        <v>1.2355990188862129E-5</v>
      </c>
      <c r="H541" s="299"/>
      <c r="I541" s="299"/>
      <c r="J541" s="299"/>
      <c r="K541" s="299"/>
      <c r="L541" s="299"/>
      <c r="M541" s="299"/>
      <c r="N541" s="229">
        <v>1</v>
      </c>
      <c r="O541" s="229">
        <v>1</v>
      </c>
      <c r="P541" s="229">
        <v>1</v>
      </c>
      <c r="Q541" s="272">
        <v>0.98599999999999999</v>
      </c>
      <c r="R541" s="256">
        <f t="shared" si="42"/>
        <v>0.98599999999999999</v>
      </c>
      <c r="S541" s="256">
        <f t="shared" si="42"/>
        <v>0.98599999999999999</v>
      </c>
      <c r="T541" s="256">
        <f t="shared" si="42"/>
        <v>0.98599999999999999</v>
      </c>
      <c r="U541" s="216"/>
      <c r="V541" s="216"/>
    </row>
    <row r="542" spans="1:22" s="140" customFormat="1" ht="25.5" hidden="1" outlineLevel="5">
      <c r="A542" s="216"/>
      <c r="B542" s="255" t="s">
        <v>728</v>
      </c>
      <c r="C542" s="290" t="s">
        <v>245</v>
      </c>
      <c r="D542" s="227" t="s">
        <v>231</v>
      </c>
      <c r="E542" s="241"/>
      <c r="F542" s="228">
        <f t="shared" si="44"/>
        <v>4.4581817293365446E-2</v>
      </c>
      <c r="G542" s="269">
        <f>+F542*G534</f>
        <v>1.2355990188862129E-5</v>
      </c>
      <c r="H542" s="299"/>
      <c r="I542" s="299"/>
      <c r="J542" s="299"/>
      <c r="K542" s="299"/>
      <c r="L542" s="299"/>
      <c r="M542" s="299"/>
      <c r="N542" s="229">
        <v>1</v>
      </c>
      <c r="O542" s="229">
        <v>1</v>
      </c>
      <c r="P542" s="229">
        <v>1</v>
      </c>
      <c r="Q542" s="272">
        <v>0.98599999999999999</v>
      </c>
      <c r="R542" s="256">
        <f t="shared" si="42"/>
        <v>0.98599999999999999</v>
      </c>
      <c r="S542" s="256">
        <f t="shared" si="42"/>
        <v>0.98599999999999999</v>
      </c>
      <c r="T542" s="256">
        <f t="shared" si="42"/>
        <v>0.98599999999999999</v>
      </c>
      <c r="U542" s="216"/>
      <c r="V542" s="216"/>
    </row>
    <row r="543" spans="1:22" s="140" customFormat="1" ht="25.5" hidden="1" outlineLevel="5">
      <c r="A543" s="216"/>
      <c r="B543" s="255" t="s">
        <v>729</v>
      </c>
      <c r="C543" s="290" t="s">
        <v>247</v>
      </c>
      <c r="D543" s="227" t="s">
        <v>231</v>
      </c>
      <c r="E543" s="241"/>
      <c r="F543" s="228">
        <f t="shared" si="44"/>
        <v>4.4581817293365446E-2</v>
      </c>
      <c r="G543" s="269">
        <f>+F543*G534</f>
        <v>1.2355990188862129E-5</v>
      </c>
      <c r="H543" s="299"/>
      <c r="I543" s="299"/>
      <c r="J543" s="299"/>
      <c r="K543" s="299"/>
      <c r="L543" s="299"/>
      <c r="M543" s="299"/>
      <c r="N543" s="229">
        <v>1</v>
      </c>
      <c r="O543" s="229">
        <v>1</v>
      </c>
      <c r="P543" s="229">
        <v>1</v>
      </c>
      <c r="Q543" s="272">
        <v>0.98599999999999999</v>
      </c>
      <c r="R543" s="256">
        <f t="shared" si="42"/>
        <v>0.98599999999999999</v>
      </c>
      <c r="S543" s="256">
        <f t="shared" si="42"/>
        <v>0.98599999999999999</v>
      </c>
      <c r="T543" s="256">
        <f t="shared" si="42"/>
        <v>0.98599999999999999</v>
      </c>
      <c r="U543" s="216"/>
      <c r="V543" s="216"/>
    </row>
    <row r="544" spans="1:22" s="140" customFormat="1" ht="25.5" hidden="1" outlineLevel="5">
      <c r="A544" s="216"/>
      <c r="B544" s="255" t="s">
        <v>730</v>
      </c>
      <c r="C544" s="290" t="s">
        <v>249</v>
      </c>
      <c r="D544" s="227" t="s">
        <v>231</v>
      </c>
      <c r="E544" s="241"/>
      <c r="F544" s="228">
        <f t="shared" si="44"/>
        <v>4.4581817293365446E-2</v>
      </c>
      <c r="G544" s="269">
        <f>+F544*G534</f>
        <v>1.2355990188862129E-5</v>
      </c>
      <c r="H544" s="299"/>
      <c r="I544" s="299"/>
      <c r="J544" s="299"/>
      <c r="K544" s="299"/>
      <c r="L544" s="299"/>
      <c r="M544" s="299"/>
      <c r="N544" s="229">
        <v>1</v>
      </c>
      <c r="O544" s="229">
        <v>1</v>
      </c>
      <c r="P544" s="229">
        <v>1</v>
      </c>
      <c r="Q544" s="272">
        <v>0.98599999999999999</v>
      </c>
      <c r="R544" s="256">
        <f t="shared" si="42"/>
        <v>0.98599999999999999</v>
      </c>
      <c r="S544" s="256">
        <f t="shared" si="42"/>
        <v>0.98599999999999999</v>
      </c>
      <c r="T544" s="256">
        <f t="shared" si="42"/>
        <v>0.98599999999999999</v>
      </c>
      <c r="U544" s="216"/>
      <c r="V544" s="216"/>
    </row>
    <row r="545" spans="1:22" s="140" customFormat="1" ht="25.5" hidden="1" outlineLevel="5">
      <c r="A545" s="216"/>
      <c r="B545" s="255" t="s">
        <v>731</v>
      </c>
      <c r="C545" s="290" t="s">
        <v>251</v>
      </c>
      <c r="D545" s="227" t="s">
        <v>231</v>
      </c>
      <c r="E545" s="241"/>
      <c r="F545" s="228">
        <f t="shared" si="44"/>
        <v>4.4581817293365446E-2</v>
      </c>
      <c r="G545" s="269">
        <f>+F545*G534</f>
        <v>1.2355990188862129E-5</v>
      </c>
      <c r="H545" s="299"/>
      <c r="I545" s="299"/>
      <c r="J545" s="299"/>
      <c r="K545" s="299"/>
      <c r="L545" s="299"/>
      <c r="M545" s="299"/>
      <c r="N545" s="229">
        <v>1</v>
      </c>
      <c r="O545" s="229">
        <v>1</v>
      </c>
      <c r="P545" s="229">
        <v>1</v>
      </c>
      <c r="Q545" s="272">
        <v>0.98599999999999999</v>
      </c>
      <c r="R545" s="256">
        <f t="shared" si="42"/>
        <v>0.98599999999999999</v>
      </c>
      <c r="S545" s="256">
        <f t="shared" si="42"/>
        <v>0.98599999999999999</v>
      </c>
      <c r="T545" s="256">
        <f t="shared" si="42"/>
        <v>0.98599999999999999</v>
      </c>
      <c r="U545" s="216"/>
      <c r="V545" s="216"/>
    </row>
    <row r="546" spans="1:22" s="140" customFormat="1" ht="25.5" hidden="1" outlineLevel="5">
      <c r="A546" s="216"/>
      <c r="B546" s="255" t="s">
        <v>732</v>
      </c>
      <c r="C546" s="290" t="s">
        <v>253</v>
      </c>
      <c r="D546" s="227" t="s">
        <v>231</v>
      </c>
      <c r="E546" s="241"/>
      <c r="F546" s="228">
        <f t="shared" si="44"/>
        <v>4.4581817293365446E-2</v>
      </c>
      <c r="G546" s="269">
        <f>+F546*G534</f>
        <v>1.2355990188862129E-5</v>
      </c>
      <c r="H546" s="299"/>
      <c r="I546" s="299"/>
      <c r="J546" s="299"/>
      <c r="K546" s="299"/>
      <c r="L546" s="299"/>
      <c r="M546" s="299"/>
      <c r="N546" s="229">
        <v>1</v>
      </c>
      <c r="O546" s="229">
        <v>1</v>
      </c>
      <c r="P546" s="229">
        <v>1</v>
      </c>
      <c r="Q546" s="272">
        <v>0.98599999999999999</v>
      </c>
      <c r="R546" s="256">
        <f t="shared" ref="R546:T577" si="45">+IF(N546=0,0,$Q546/N546)</f>
        <v>0.98599999999999999</v>
      </c>
      <c r="S546" s="256">
        <f t="shared" si="45"/>
        <v>0.98599999999999999</v>
      </c>
      <c r="T546" s="256">
        <f t="shared" si="45"/>
        <v>0.98599999999999999</v>
      </c>
      <c r="U546" s="216"/>
      <c r="V546" s="216"/>
    </row>
    <row r="547" spans="1:22" s="140" customFormat="1" ht="25.5" hidden="1" outlineLevel="5">
      <c r="A547" s="216"/>
      <c r="B547" s="255" t="s">
        <v>733</v>
      </c>
      <c r="C547" s="290" t="s">
        <v>255</v>
      </c>
      <c r="D547" s="227" t="s">
        <v>256</v>
      </c>
      <c r="E547" s="241"/>
      <c r="F547" s="228">
        <f t="shared" si="44"/>
        <v>5.8127274059616978E-2</v>
      </c>
      <c r="G547" s="269">
        <f>+F547*G534</f>
        <v>1.6110155924325931E-5</v>
      </c>
      <c r="H547" s="299"/>
      <c r="I547" s="299"/>
      <c r="J547" s="299"/>
      <c r="K547" s="299"/>
      <c r="L547" s="299"/>
      <c r="M547" s="299"/>
      <c r="N547" s="229">
        <v>1</v>
      </c>
      <c r="O547" s="229">
        <v>1</v>
      </c>
      <c r="P547" s="229">
        <v>1</v>
      </c>
      <c r="Q547" s="272">
        <v>0.98599999999999999</v>
      </c>
      <c r="R547" s="256">
        <f t="shared" si="45"/>
        <v>0.98599999999999999</v>
      </c>
      <c r="S547" s="256">
        <f t="shared" si="45"/>
        <v>0.98599999999999999</v>
      </c>
      <c r="T547" s="256">
        <f t="shared" si="45"/>
        <v>0.98599999999999999</v>
      </c>
      <c r="U547" s="216"/>
      <c r="V547" s="216"/>
    </row>
    <row r="548" spans="1:22" s="140" customFormat="1" ht="25.5" hidden="1" outlineLevel="5">
      <c r="A548" s="216"/>
      <c r="B548" s="255" t="s">
        <v>734</v>
      </c>
      <c r="C548" s="290" t="s">
        <v>258</v>
      </c>
      <c r="D548" s="227" t="s">
        <v>256</v>
      </c>
      <c r="E548" s="241"/>
      <c r="F548" s="228">
        <f t="shared" si="44"/>
        <v>5.8127274059616978E-2</v>
      </c>
      <c r="G548" s="269">
        <f>+F548*G534</f>
        <v>1.6110155924325931E-5</v>
      </c>
      <c r="H548" s="299"/>
      <c r="I548" s="299"/>
      <c r="J548" s="299"/>
      <c r="K548" s="299"/>
      <c r="L548" s="299"/>
      <c r="M548" s="299"/>
      <c r="N548" s="229">
        <v>1</v>
      </c>
      <c r="O548" s="229">
        <v>1</v>
      </c>
      <c r="P548" s="229">
        <v>1</v>
      </c>
      <c r="Q548" s="272">
        <v>0.98599999999999999</v>
      </c>
      <c r="R548" s="256">
        <f t="shared" si="45"/>
        <v>0.98599999999999999</v>
      </c>
      <c r="S548" s="256">
        <f t="shared" si="45"/>
        <v>0.98599999999999999</v>
      </c>
      <c r="T548" s="256">
        <f t="shared" si="45"/>
        <v>0.98599999999999999</v>
      </c>
      <c r="U548" s="216"/>
      <c r="V548" s="216"/>
    </row>
    <row r="549" spans="1:22" s="140" customFormat="1" ht="25.5" hidden="1" outlineLevel="5">
      <c r="A549" s="216"/>
      <c r="B549" s="255" t="s">
        <v>735</v>
      </c>
      <c r="C549" s="290" t="s">
        <v>260</v>
      </c>
      <c r="D549" s="227" t="s">
        <v>256</v>
      </c>
      <c r="E549" s="241"/>
      <c r="F549" s="228">
        <f t="shared" si="44"/>
        <v>5.8127274059616978E-2</v>
      </c>
      <c r="G549" s="269">
        <f>+F549*G534</f>
        <v>1.6110155924325931E-5</v>
      </c>
      <c r="H549" s="299"/>
      <c r="I549" s="299"/>
      <c r="J549" s="299"/>
      <c r="K549" s="299"/>
      <c r="L549" s="299"/>
      <c r="M549" s="299"/>
      <c r="N549" s="229">
        <v>1</v>
      </c>
      <c r="O549" s="229">
        <v>1</v>
      </c>
      <c r="P549" s="229">
        <v>1</v>
      </c>
      <c r="Q549" s="272">
        <v>0.98599999999999999</v>
      </c>
      <c r="R549" s="256">
        <f t="shared" si="45"/>
        <v>0.98599999999999999</v>
      </c>
      <c r="S549" s="256">
        <f t="shared" si="45"/>
        <v>0.98599999999999999</v>
      </c>
      <c r="T549" s="256">
        <f t="shared" si="45"/>
        <v>0.98599999999999999</v>
      </c>
      <c r="U549" s="216"/>
      <c r="V549" s="216"/>
    </row>
    <row r="550" spans="1:22" s="140" customFormat="1" ht="25.5" hidden="1" outlineLevel="5">
      <c r="A550" s="216"/>
      <c r="B550" s="255" t="s">
        <v>736</v>
      </c>
      <c r="C550" s="290" t="s">
        <v>262</v>
      </c>
      <c r="D550" s="227" t="s">
        <v>256</v>
      </c>
      <c r="E550" s="241"/>
      <c r="F550" s="228">
        <f t="shared" si="44"/>
        <v>5.8127274059616978E-2</v>
      </c>
      <c r="G550" s="269">
        <f>+F550*G534</f>
        <v>1.6110155924325931E-5</v>
      </c>
      <c r="H550" s="299"/>
      <c r="I550" s="299"/>
      <c r="J550" s="299"/>
      <c r="K550" s="299"/>
      <c r="L550" s="299"/>
      <c r="M550" s="299"/>
      <c r="N550" s="229">
        <v>1</v>
      </c>
      <c r="O550" s="229">
        <v>1</v>
      </c>
      <c r="P550" s="229">
        <v>1</v>
      </c>
      <c r="Q550" s="272">
        <v>0.98599999999999999</v>
      </c>
      <c r="R550" s="256">
        <f t="shared" si="45"/>
        <v>0.98599999999999999</v>
      </c>
      <c r="S550" s="256">
        <f t="shared" si="45"/>
        <v>0.98599999999999999</v>
      </c>
      <c r="T550" s="256">
        <f t="shared" si="45"/>
        <v>0.98599999999999999</v>
      </c>
      <c r="U550" s="216"/>
      <c r="V550" s="216"/>
    </row>
    <row r="551" spans="1:22" s="140" customFormat="1" ht="25.5" hidden="1" outlineLevel="5">
      <c r="A551" s="216"/>
      <c r="B551" s="255" t="s">
        <v>737</v>
      </c>
      <c r="C551" s="290" t="s">
        <v>264</v>
      </c>
      <c r="D551" s="227" t="s">
        <v>256</v>
      </c>
      <c r="E551" s="241"/>
      <c r="F551" s="228">
        <f t="shared" si="44"/>
        <v>5.8127274059616978E-2</v>
      </c>
      <c r="G551" s="269">
        <f>+F551*G534</f>
        <v>1.6110155924325931E-5</v>
      </c>
      <c r="H551" s="299"/>
      <c r="I551" s="299"/>
      <c r="J551" s="299"/>
      <c r="K551" s="299"/>
      <c r="L551" s="299"/>
      <c r="M551" s="299"/>
      <c r="N551" s="229">
        <v>1</v>
      </c>
      <c r="O551" s="229">
        <v>1</v>
      </c>
      <c r="P551" s="229">
        <v>1</v>
      </c>
      <c r="Q551" s="272">
        <v>0.98599999999999999</v>
      </c>
      <c r="R551" s="256">
        <f t="shared" si="45"/>
        <v>0.98599999999999999</v>
      </c>
      <c r="S551" s="256">
        <f t="shared" si="45"/>
        <v>0.98599999999999999</v>
      </c>
      <c r="T551" s="256">
        <f t="shared" si="45"/>
        <v>0.98599999999999999</v>
      </c>
      <c r="U551" s="216"/>
      <c r="V551" s="216"/>
    </row>
    <row r="552" spans="1:22" s="140" customFormat="1" ht="25.5" hidden="1" outlineLevel="5">
      <c r="A552" s="216"/>
      <c r="B552" s="255" t="s">
        <v>738</v>
      </c>
      <c r="C552" s="290" t="s">
        <v>266</v>
      </c>
      <c r="D552" s="227" t="s">
        <v>256</v>
      </c>
      <c r="E552" s="241"/>
      <c r="F552" s="228">
        <f t="shared" si="44"/>
        <v>5.8127274059616978E-2</v>
      </c>
      <c r="G552" s="269">
        <f>+F552*G534</f>
        <v>1.6110155924325931E-5</v>
      </c>
      <c r="H552" s="299"/>
      <c r="I552" s="299"/>
      <c r="J552" s="299"/>
      <c r="K552" s="299"/>
      <c r="L552" s="299"/>
      <c r="M552" s="299"/>
      <c r="N552" s="229">
        <v>1</v>
      </c>
      <c r="O552" s="229">
        <v>1</v>
      </c>
      <c r="P552" s="229">
        <v>1</v>
      </c>
      <c r="Q552" s="272">
        <v>0.98599999999999999</v>
      </c>
      <c r="R552" s="256">
        <f t="shared" si="45"/>
        <v>0.98599999999999999</v>
      </c>
      <c r="S552" s="256">
        <f t="shared" si="45"/>
        <v>0.98599999999999999</v>
      </c>
      <c r="T552" s="256">
        <f t="shared" si="45"/>
        <v>0.98599999999999999</v>
      </c>
      <c r="U552" s="216"/>
      <c r="V552" s="216"/>
    </row>
    <row r="553" spans="1:22" s="140" customFormat="1" ht="25.5" hidden="1" outlineLevel="5">
      <c r="A553" s="216"/>
      <c r="B553" s="255" t="s">
        <v>739</v>
      </c>
      <c r="C553" s="290" t="s">
        <v>268</v>
      </c>
      <c r="D553" s="227" t="s">
        <v>256</v>
      </c>
      <c r="E553" s="241"/>
      <c r="F553" s="228">
        <f t="shared" si="44"/>
        <v>5.8127274059616978E-2</v>
      </c>
      <c r="G553" s="269">
        <f>+F553*G534</f>
        <v>1.6110155924325931E-5</v>
      </c>
      <c r="H553" s="299"/>
      <c r="I553" s="299"/>
      <c r="J553" s="299"/>
      <c r="K553" s="299"/>
      <c r="L553" s="299"/>
      <c r="M553" s="299"/>
      <c r="N553" s="229">
        <v>1</v>
      </c>
      <c r="O553" s="229">
        <v>1</v>
      </c>
      <c r="P553" s="229">
        <v>1</v>
      </c>
      <c r="Q553" s="272">
        <v>0.98599999999999999</v>
      </c>
      <c r="R553" s="256">
        <f t="shared" si="45"/>
        <v>0.98599999999999999</v>
      </c>
      <c r="S553" s="256">
        <f t="shared" si="45"/>
        <v>0.98599999999999999</v>
      </c>
      <c r="T553" s="256">
        <f t="shared" si="45"/>
        <v>0.98599999999999999</v>
      </c>
      <c r="U553" s="216"/>
      <c r="V553" s="216"/>
    </row>
    <row r="554" spans="1:22" s="140" customFormat="1" ht="25.5" hidden="1" outlineLevel="5">
      <c r="A554" s="216"/>
      <c r="B554" s="255" t="s">
        <v>740</v>
      </c>
      <c r="C554" s="290" t="s">
        <v>270</v>
      </c>
      <c r="D554" s="227" t="s">
        <v>256</v>
      </c>
      <c r="E554" s="241"/>
      <c r="F554" s="228">
        <f t="shared" si="44"/>
        <v>5.8127274062295807E-2</v>
      </c>
      <c r="G554" s="269">
        <f>+F554*G534</f>
        <v>1.6110155925068375E-5</v>
      </c>
      <c r="H554" s="299"/>
      <c r="I554" s="299"/>
      <c r="J554" s="299"/>
      <c r="K554" s="299"/>
      <c r="L554" s="299"/>
      <c r="M554" s="299"/>
      <c r="N554" s="229">
        <v>1</v>
      </c>
      <c r="O554" s="229">
        <v>1</v>
      </c>
      <c r="P554" s="229">
        <v>1</v>
      </c>
      <c r="Q554" s="272">
        <v>0.98599999999999999</v>
      </c>
      <c r="R554" s="256">
        <f t="shared" si="45"/>
        <v>0.98599999999999999</v>
      </c>
      <c r="S554" s="256">
        <f t="shared" si="45"/>
        <v>0.98599999999999999</v>
      </c>
      <c r="T554" s="256">
        <f t="shared" si="45"/>
        <v>0.98599999999999999</v>
      </c>
      <c r="U554" s="216"/>
      <c r="V554" s="216"/>
    </row>
    <row r="555" spans="1:22" s="140" customFormat="1" ht="25.5" hidden="1" outlineLevel="4">
      <c r="A555" s="216"/>
      <c r="B555" s="291" t="s">
        <v>741</v>
      </c>
      <c r="C555" s="292" t="s">
        <v>35</v>
      </c>
      <c r="D555" s="234" t="s">
        <v>33</v>
      </c>
      <c r="E555" s="240"/>
      <c r="F555" s="223">
        <f t="shared" si="44"/>
        <v>0.23125330456717236</v>
      </c>
      <c r="G555" s="293">
        <f>+F555*G533</f>
        <v>3.3312436018040424E-4</v>
      </c>
      <c r="H555" s="298"/>
      <c r="I555" s="298"/>
      <c r="J555" s="298"/>
      <c r="K555" s="298"/>
      <c r="L555" s="298"/>
      <c r="M555" s="298"/>
      <c r="N555" s="224">
        <f>+SUMPRODUCT($F556:$F581,N556:N581)</f>
        <v>0.99999999999999956</v>
      </c>
      <c r="O555" s="224">
        <f>+SUMPRODUCT($F556:$F581,O556:O581)</f>
        <v>0.99999999999999956</v>
      </c>
      <c r="P555" s="224">
        <f>+SUMPRODUCT($F556:$F581,P556:P581)</f>
        <v>0.99999999999999956</v>
      </c>
      <c r="Q555" s="270">
        <f>+SUMPRODUCT($F556:$F581,Q556:Q581)</f>
        <v>0.99400000000000022</v>
      </c>
      <c r="R555" s="254">
        <f t="shared" si="45"/>
        <v>0.99400000000000066</v>
      </c>
      <c r="S555" s="254">
        <f t="shared" si="45"/>
        <v>0.99400000000000066</v>
      </c>
      <c r="T555" s="254">
        <f t="shared" si="45"/>
        <v>0.99400000000000066</v>
      </c>
      <c r="U555" s="216"/>
      <c r="V555" s="216"/>
    </row>
    <row r="556" spans="1:22" s="140" customFormat="1" ht="25.5" hidden="1" outlineLevel="5">
      <c r="A556" s="216"/>
      <c r="B556" s="255" t="s">
        <v>742</v>
      </c>
      <c r="C556" s="290" t="s">
        <v>230</v>
      </c>
      <c r="D556" s="227" t="s">
        <v>231</v>
      </c>
      <c r="E556" s="241"/>
      <c r="F556" s="228">
        <f t="shared" si="44"/>
        <v>3.6801995565609057E-2</v>
      </c>
      <c r="G556" s="269">
        <f>+F556*G555</f>
        <v>1.225964122615559E-5</v>
      </c>
      <c r="H556" s="299"/>
      <c r="I556" s="299"/>
      <c r="J556" s="299"/>
      <c r="K556" s="299"/>
      <c r="L556" s="299"/>
      <c r="M556" s="299"/>
      <c r="N556" s="229">
        <v>1</v>
      </c>
      <c r="O556" s="229">
        <v>1</v>
      </c>
      <c r="P556" s="229">
        <v>1</v>
      </c>
      <c r="Q556" s="272">
        <v>0.99399999999999999</v>
      </c>
      <c r="R556" s="256">
        <f t="shared" si="45"/>
        <v>0.99399999999999999</v>
      </c>
      <c r="S556" s="256">
        <f t="shared" si="45"/>
        <v>0.99399999999999999</v>
      </c>
      <c r="T556" s="256">
        <f t="shared" si="45"/>
        <v>0.99399999999999999</v>
      </c>
      <c r="U556" s="216"/>
      <c r="V556" s="216"/>
    </row>
    <row r="557" spans="1:22" s="140" customFormat="1" ht="25.5" hidden="1" outlineLevel="5">
      <c r="A557" s="216"/>
      <c r="B557" s="255" t="s">
        <v>743</v>
      </c>
      <c r="C557" s="290" t="s">
        <v>233</v>
      </c>
      <c r="D557" s="227" t="s">
        <v>231</v>
      </c>
      <c r="E557" s="241"/>
      <c r="F557" s="228">
        <f t="shared" si="44"/>
        <v>3.6801995565609057E-2</v>
      </c>
      <c r="G557" s="269">
        <f>+F557*G555</f>
        <v>1.225964122615559E-5</v>
      </c>
      <c r="H557" s="299"/>
      <c r="I557" s="299"/>
      <c r="J557" s="299"/>
      <c r="K557" s="299"/>
      <c r="L557" s="299"/>
      <c r="M557" s="299"/>
      <c r="N557" s="229">
        <v>1</v>
      </c>
      <c r="O557" s="229">
        <v>1</v>
      </c>
      <c r="P557" s="229">
        <v>1</v>
      </c>
      <c r="Q557" s="272">
        <v>0.99399999999999999</v>
      </c>
      <c r="R557" s="256">
        <f t="shared" si="45"/>
        <v>0.99399999999999999</v>
      </c>
      <c r="S557" s="256">
        <f t="shared" si="45"/>
        <v>0.99399999999999999</v>
      </c>
      <c r="T557" s="256">
        <f t="shared" si="45"/>
        <v>0.99399999999999999</v>
      </c>
      <c r="U557" s="216"/>
      <c r="V557" s="216"/>
    </row>
    <row r="558" spans="1:22" s="140" customFormat="1" ht="25.5" hidden="1" outlineLevel="5">
      <c r="A558" s="216"/>
      <c r="B558" s="255" t="s">
        <v>744</v>
      </c>
      <c r="C558" s="290" t="s">
        <v>235</v>
      </c>
      <c r="D558" s="227" t="s">
        <v>231</v>
      </c>
      <c r="E558" s="241"/>
      <c r="F558" s="228">
        <f t="shared" si="44"/>
        <v>3.6801995565609057E-2</v>
      </c>
      <c r="G558" s="269">
        <f>+F558*G555</f>
        <v>1.225964122615559E-5</v>
      </c>
      <c r="H558" s="299"/>
      <c r="I558" s="299"/>
      <c r="J558" s="299"/>
      <c r="K558" s="299"/>
      <c r="L558" s="299"/>
      <c r="M558" s="299"/>
      <c r="N558" s="229">
        <v>1</v>
      </c>
      <c r="O558" s="229">
        <v>1</v>
      </c>
      <c r="P558" s="229">
        <v>1</v>
      </c>
      <c r="Q558" s="272">
        <v>0.99399999999999999</v>
      </c>
      <c r="R558" s="256">
        <f t="shared" si="45"/>
        <v>0.99399999999999999</v>
      </c>
      <c r="S558" s="256">
        <f t="shared" si="45"/>
        <v>0.99399999999999999</v>
      </c>
      <c r="T558" s="256">
        <f t="shared" si="45"/>
        <v>0.99399999999999999</v>
      </c>
      <c r="U558" s="216"/>
      <c r="V558" s="216"/>
    </row>
    <row r="559" spans="1:22" s="140" customFormat="1" ht="25.5" hidden="1" outlineLevel="5">
      <c r="A559" s="216"/>
      <c r="B559" s="255" t="s">
        <v>745</v>
      </c>
      <c r="C559" s="290" t="s">
        <v>237</v>
      </c>
      <c r="D559" s="227" t="s">
        <v>231</v>
      </c>
      <c r="E559" s="241"/>
      <c r="F559" s="228">
        <f t="shared" si="44"/>
        <v>3.6801995565609057E-2</v>
      </c>
      <c r="G559" s="269">
        <f>+F559*G555</f>
        <v>1.225964122615559E-5</v>
      </c>
      <c r="H559" s="299"/>
      <c r="I559" s="299"/>
      <c r="J559" s="299"/>
      <c r="K559" s="299"/>
      <c r="L559" s="299"/>
      <c r="M559" s="299"/>
      <c r="N559" s="229">
        <v>1</v>
      </c>
      <c r="O559" s="229">
        <v>1</v>
      </c>
      <c r="P559" s="229">
        <v>1</v>
      </c>
      <c r="Q559" s="272">
        <v>0.99399999999999999</v>
      </c>
      <c r="R559" s="256">
        <f t="shared" si="45"/>
        <v>0.99399999999999999</v>
      </c>
      <c r="S559" s="256">
        <f t="shared" si="45"/>
        <v>0.99399999999999999</v>
      </c>
      <c r="T559" s="256">
        <f t="shared" si="45"/>
        <v>0.99399999999999999</v>
      </c>
      <c r="U559" s="216"/>
      <c r="V559" s="216"/>
    </row>
    <row r="560" spans="1:22" s="140" customFormat="1" ht="25.5" hidden="1" outlineLevel="5">
      <c r="A560" s="216"/>
      <c r="B560" s="255" t="s">
        <v>746</v>
      </c>
      <c r="C560" s="290" t="s">
        <v>239</v>
      </c>
      <c r="D560" s="227" t="s">
        <v>231</v>
      </c>
      <c r="E560" s="241"/>
      <c r="F560" s="228">
        <f t="shared" si="44"/>
        <v>3.6801995565609057E-2</v>
      </c>
      <c r="G560" s="269">
        <f>+F560*G555</f>
        <v>1.225964122615559E-5</v>
      </c>
      <c r="H560" s="299"/>
      <c r="I560" s="299"/>
      <c r="J560" s="299"/>
      <c r="K560" s="299"/>
      <c r="L560" s="299"/>
      <c r="M560" s="299"/>
      <c r="N560" s="229">
        <v>1</v>
      </c>
      <c r="O560" s="229">
        <v>1</v>
      </c>
      <c r="P560" s="229">
        <v>1</v>
      </c>
      <c r="Q560" s="272">
        <v>0.99399999999999999</v>
      </c>
      <c r="R560" s="256">
        <f t="shared" si="45"/>
        <v>0.99399999999999999</v>
      </c>
      <c r="S560" s="256">
        <f t="shared" si="45"/>
        <v>0.99399999999999999</v>
      </c>
      <c r="T560" s="256">
        <f t="shared" si="45"/>
        <v>0.99399999999999999</v>
      </c>
      <c r="U560" s="216"/>
      <c r="V560" s="216"/>
    </row>
    <row r="561" spans="1:22" s="140" customFormat="1" ht="25.5" hidden="1" outlineLevel="5">
      <c r="A561" s="216"/>
      <c r="B561" s="255" t="s">
        <v>747</v>
      </c>
      <c r="C561" s="290" t="s">
        <v>241</v>
      </c>
      <c r="D561" s="227" t="s">
        <v>231</v>
      </c>
      <c r="E561" s="241"/>
      <c r="F561" s="228">
        <f t="shared" si="44"/>
        <v>3.6801995565609057E-2</v>
      </c>
      <c r="G561" s="269">
        <f>+F561*G555</f>
        <v>1.225964122615559E-5</v>
      </c>
      <c r="H561" s="299"/>
      <c r="I561" s="299"/>
      <c r="J561" s="299"/>
      <c r="K561" s="299"/>
      <c r="L561" s="299"/>
      <c r="M561" s="299"/>
      <c r="N561" s="229">
        <v>1</v>
      </c>
      <c r="O561" s="229">
        <v>1</v>
      </c>
      <c r="P561" s="229">
        <v>1</v>
      </c>
      <c r="Q561" s="272">
        <v>0.99399999999999999</v>
      </c>
      <c r="R561" s="256">
        <f t="shared" si="45"/>
        <v>0.99399999999999999</v>
      </c>
      <c r="S561" s="256">
        <f t="shared" si="45"/>
        <v>0.99399999999999999</v>
      </c>
      <c r="T561" s="256">
        <f t="shared" si="45"/>
        <v>0.99399999999999999</v>
      </c>
      <c r="U561" s="216"/>
      <c r="V561" s="216"/>
    </row>
    <row r="562" spans="1:22" s="140" customFormat="1" ht="25.5" hidden="1" outlineLevel="5">
      <c r="A562" s="216"/>
      <c r="B562" s="255" t="s">
        <v>748</v>
      </c>
      <c r="C562" s="290" t="s">
        <v>243</v>
      </c>
      <c r="D562" s="227" t="s">
        <v>231</v>
      </c>
      <c r="E562" s="241"/>
      <c r="F562" s="228">
        <f t="shared" si="44"/>
        <v>3.6801995565609057E-2</v>
      </c>
      <c r="G562" s="269">
        <f>+F562*G555</f>
        <v>1.225964122615559E-5</v>
      </c>
      <c r="H562" s="299"/>
      <c r="I562" s="299"/>
      <c r="J562" s="299"/>
      <c r="K562" s="299"/>
      <c r="L562" s="299"/>
      <c r="M562" s="299"/>
      <c r="N562" s="229">
        <v>1</v>
      </c>
      <c r="O562" s="229">
        <v>1</v>
      </c>
      <c r="P562" s="229">
        <v>1</v>
      </c>
      <c r="Q562" s="272">
        <v>0.99399999999999999</v>
      </c>
      <c r="R562" s="256">
        <f t="shared" si="45"/>
        <v>0.99399999999999999</v>
      </c>
      <c r="S562" s="256">
        <f t="shared" si="45"/>
        <v>0.99399999999999999</v>
      </c>
      <c r="T562" s="256">
        <f t="shared" si="45"/>
        <v>0.99399999999999999</v>
      </c>
      <c r="U562" s="216"/>
      <c r="V562" s="216"/>
    </row>
    <row r="563" spans="1:22" s="140" customFormat="1" ht="25.5" hidden="1" outlineLevel="5">
      <c r="A563" s="216"/>
      <c r="B563" s="255" t="s">
        <v>749</v>
      </c>
      <c r="C563" s="290" t="s">
        <v>245</v>
      </c>
      <c r="D563" s="227" t="s">
        <v>231</v>
      </c>
      <c r="E563" s="241"/>
      <c r="F563" s="228">
        <f t="shared" si="44"/>
        <v>3.6801995565609057E-2</v>
      </c>
      <c r="G563" s="269">
        <f>+F563*G555</f>
        <v>1.225964122615559E-5</v>
      </c>
      <c r="H563" s="299"/>
      <c r="I563" s="299"/>
      <c r="J563" s="299"/>
      <c r="K563" s="299"/>
      <c r="L563" s="299"/>
      <c r="M563" s="299"/>
      <c r="N563" s="229">
        <v>1</v>
      </c>
      <c r="O563" s="229">
        <v>1</v>
      </c>
      <c r="P563" s="229">
        <v>1</v>
      </c>
      <c r="Q563" s="272">
        <v>0.99399999999999999</v>
      </c>
      <c r="R563" s="256">
        <f t="shared" si="45"/>
        <v>0.99399999999999999</v>
      </c>
      <c r="S563" s="256">
        <f t="shared" si="45"/>
        <v>0.99399999999999999</v>
      </c>
      <c r="T563" s="256">
        <f t="shared" si="45"/>
        <v>0.99399999999999999</v>
      </c>
      <c r="U563" s="216"/>
      <c r="V563" s="216"/>
    </row>
    <row r="564" spans="1:22" s="140" customFormat="1" ht="25.5" hidden="1" outlineLevel="5">
      <c r="A564" s="216"/>
      <c r="B564" s="255" t="s">
        <v>750</v>
      </c>
      <c r="C564" s="290" t="s">
        <v>247</v>
      </c>
      <c r="D564" s="227" t="s">
        <v>231</v>
      </c>
      <c r="E564" s="241"/>
      <c r="F564" s="228">
        <f t="shared" si="44"/>
        <v>3.6801995565609057E-2</v>
      </c>
      <c r="G564" s="269">
        <f>+F564*G555</f>
        <v>1.225964122615559E-5</v>
      </c>
      <c r="H564" s="299"/>
      <c r="I564" s="299"/>
      <c r="J564" s="299"/>
      <c r="K564" s="299"/>
      <c r="L564" s="299"/>
      <c r="M564" s="299"/>
      <c r="N564" s="229">
        <v>1</v>
      </c>
      <c r="O564" s="229">
        <v>1</v>
      </c>
      <c r="P564" s="229">
        <v>1</v>
      </c>
      <c r="Q564" s="272">
        <v>0.99399999999999999</v>
      </c>
      <c r="R564" s="256">
        <f t="shared" si="45"/>
        <v>0.99399999999999999</v>
      </c>
      <c r="S564" s="256">
        <f t="shared" si="45"/>
        <v>0.99399999999999999</v>
      </c>
      <c r="T564" s="256">
        <f t="shared" si="45"/>
        <v>0.99399999999999999</v>
      </c>
      <c r="U564" s="216"/>
      <c r="V564" s="216"/>
    </row>
    <row r="565" spans="1:22" s="140" customFormat="1" ht="25.5" hidden="1" outlineLevel="5">
      <c r="A565" s="216"/>
      <c r="B565" s="255" t="s">
        <v>751</v>
      </c>
      <c r="C565" s="290" t="s">
        <v>249</v>
      </c>
      <c r="D565" s="227" t="s">
        <v>231</v>
      </c>
      <c r="E565" s="241"/>
      <c r="F565" s="228">
        <f t="shared" si="44"/>
        <v>3.6801995565609057E-2</v>
      </c>
      <c r="G565" s="269">
        <f>+F565*G555</f>
        <v>1.225964122615559E-5</v>
      </c>
      <c r="H565" s="299"/>
      <c r="I565" s="299"/>
      <c r="J565" s="299"/>
      <c r="K565" s="299"/>
      <c r="L565" s="299"/>
      <c r="M565" s="299"/>
      <c r="N565" s="229">
        <v>1</v>
      </c>
      <c r="O565" s="229">
        <v>1</v>
      </c>
      <c r="P565" s="229">
        <v>1</v>
      </c>
      <c r="Q565" s="272">
        <v>0.99399999999999999</v>
      </c>
      <c r="R565" s="256">
        <f t="shared" si="45"/>
        <v>0.99399999999999999</v>
      </c>
      <c r="S565" s="256">
        <f t="shared" si="45"/>
        <v>0.99399999999999999</v>
      </c>
      <c r="T565" s="256">
        <f t="shared" si="45"/>
        <v>0.99399999999999999</v>
      </c>
      <c r="U565" s="216"/>
      <c r="V565" s="216"/>
    </row>
    <row r="566" spans="1:22" s="140" customFormat="1" ht="25.5" hidden="1" outlineLevel="5">
      <c r="A566" s="216"/>
      <c r="B566" s="255" t="s">
        <v>752</v>
      </c>
      <c r="C566" s="290" t="s">
        <v>251</v>
      </c>
      <c r="D566" s="227" t="s">
        <v>231</v>
      </c>
      <c r="E566" s="241"/>
      <c r="F566" s="228">
        <f t="shared" si="44"/>
        <v>3.6801995565609057E-2</v>
      </c>
      <c r="G566" s="269">
        <f>+F566*G555</f>
        <v>1.225964122615559E-5</v>
      </c>
      <c r="H566" s="299"/>
      <c r="I566" s="299"/>
      <c r="J566" s="299"/>
      <c r="K566" s="299"/>
      <c r="L566" s="299"/>
      <c r="M566" s="299"/>
      <c r="N566" s="229">
        <v>1</v>
      </c>
      <c r="O566" s="229">
        <v>1</v>
      </c>
      <c r="P566" s="229">
        <v>1</v>
      </c>
      <c r="Q566" s="272">
        <v>0.99399999999999999</v>
      </c>
      <c r="R566" s="256">
        <f t="shared" si="45"/>
        <v>0.99399999999999999</v>
      </c>
      <c r="S566" s="256">
        <f t="shared" si="45"/>
        <v>0.99399999999999999</v>
      </c>
      <c r="T566" s="256">
        <f t="shared" si="45"/>
        <v>0.99399999999999999</v>
      </c>
      <c r="U566" s="216"/>
      <c r="V566" s="216"/>
    </row>
    <row r="567" spans="1:22" s="140" customFormat="1" ht="25.5" hidden="1" outlineLevel="5">
      <c r="A567" s="216"/>
      <c r="B567" s="255" t="s">
        <v>753</v>
      </c>
      <c r="C567" s="290" t="s">
        <v>253</v>
      </c>
      <c r="D567" s="227" t="s">
        <v>231</v>
      </c>
      <c r="E567" s="241"/>
      <c r="F567" s="228">
        <f t="shared" si="44"/>
        <v>3.6801995565609057E-2</v>
      </c>
      <c r="G567" s="269">
        <f>+F567*G555</f>
        <v>1.225964122615559E-5</v>
      </c>
      <c r="H567" s="299"/>
      <c r="I567" s="299"/>
      <c r="J567" s="299"/>
      <c r="K567" s="299"/>
      <c r="L567" s="299"/>
      <c r="M567" s="299"/>
      <c r="N567" s="229">
        <v>1</v>
      </c>
      <c r="O567" s="229">
        <v>1</v>
      </c>
      <c r="P567" s="229">
        <v>1</v>
      </c>
      <c r="Q567" s="272">
        <v>0.99399999999999999</v>
      </c>
      <c r="R567" s="256">
        <f t="shared" si="45"/>
        <v>0.99399999999999999</v>
      </c>
      <c r="S567" s="256">
        <f t="shared" si="45"/>
        <v>0.99399999999999999</v>
      </c>
      <c r="T567" s="256">
        <f t="shared" si="45"/>
        <v>0.99399999999999999</v>
      </c>
      <c r="U567" s="216"/>
      <c r="V567" s="216"/>
    </row>
    <row r="568" spans="1:22" s="140" customFormat="1" ht="25.5" hidden="1" outlineLevel="5">
      <c r="A568" s="216"/>
      <c r="B568" s="255" t="s">
        <v>754</v>
      </c>
      <c r="C568" s="290" t="s">
        <v>285</v>
      </c>
      <c r="D568" s="227" t="s">
        <v>231</v>
      </c>
      <c r="E568" s="241"/>
      <c r="F568" s="228">
        <f t="shared" si="44"/>
        <v>3.6801995565609057E-2</v>
      </c>
      <c r="G568" s="269">
        <f>+F568*G555</f>
        <v>1.225964122615559E-5</v>
      </c>
      <c r="H568" s="299"/>
      <c r="I568" s="299"/>
      <c r="J568" s="299"/>
      <c r="K568" s="299"/>
      <c r="L568" s="299"/>
      <c r="M568" s="299"/>
      <c r="N568" s="229">
        <v>1</v>
      </c>
      <c r="O568" s="229">
        <v>1</v>
      </c>
      <c r="P568" s="229">
        <v>1</v>
      </c>
      <c r="Q568" s="272">
        <v>0.99399999999999999</v>
      </c>
      <c r="R568" s="256">
        <f t="shared" si="45"/>
        <v>0.99399999999999999</v>
      </c>
      <c r="S568" s="256">
        <f t="shared" si="45"/>
        <v>0.99399999999999999</v>
      </c>
      <c r="T568" s="256">
        <f t="shared" si="45"/>
        <v>0.99399999999999999</v>
      </c>
      <c r="U568" s="216"/>
      <c r="V568" s="216"/>
    </row>
    <row r="569" spans="1:22" s="140" customFormat="1" ht="25.5" hidden="1" outlineLevel="5">
      <c r="A569" s="216"/>
      <c r="B569" s="255" t="s">
        <v>755</v>
      </c>
      <c r="C569" s="290" t="s">
        <v>287</v>
      </c>
      <c r="D569" s="227" t="s">
        <v>231</v>
      </c>
      <c r="E569" s="241"/>
      <c r="F569" s="228">
        <f t="shared" si="44"/>
        <v>3.6801995565609057E-2</v>
      </c>
      <c r="G569" s="269">
        <f>+F569*G555</f>
        <v>1.225964122615559E-5</v>
      </c>
      <c r="H569" s="299"/>
      <c r="I569" s="299"/>
      <c r="J569" s="299"/>
      <c r="K569" s="299"/>
      <c r="L569" s="299"/>
      <c r="M569" s="299"/>
      <c r="N569" s="229">
        <v>1</v>
      </c>
      <c r="O569" s="229">
        <v>1</v>
      </c>
      <c r="P569" s="229">
        <v>1</v>
      </c>
      <c r="Q569" s="272">
        <v>0.99399999999999999</v>
      </c>
      <c r="R569" s="256">
        <f t="shared" si="45"/>
        <v>0.99399999999999999</v>
      </c>
      <c r="S569" s="256">
        <f t="shared" si="45"/>
        <v>0.99399999999999999</v>
      </c>
      <c r="T569" s="256">
        <f t="shared" si="45"/>
        <v>0.99399999999999999</v>
      </c>
      <c r="U569" s="216"/>
      <c r="V569" s="216"/>
    </row>
    <row r="570" spans="1:22" s="140" customFormat="1" ht="25.5" hidden="1" outlineLevel="5">
      <c r="A570" s="216"/>
      <c r="B570" s="255" t="s">
        <v>756</v>
      </c>
      <c r="C570" s="290" t="s">
        <v>289</v>
      </c>
      <c r="D570" s="227" t="s">
        <v>231</v>
      </c>
      <c r="E570" s="241"/>
      <c r="F570" s="228">
        <f t="shared" si="44"/>
        <v>3.6801995565609057E-2</v>
      </c>
      <c r="G570" s="269">
        <f>+F570*G555</f>
        <v>1.225964122615559E-5</v>
      </c>
      <c r="H570" s="299"/>
      <c r="I570" s="299"/>
      <c r="J570" s="299"/>
      <c r="K570" s="299"/>
      <c r="L570" s="299"/>
      <c r="M570" s="299"/>
      <c r="N570" s="229">
        <v>1</v>
      </c>
      <c r="O570" s="229">
        <v>1</v>
      </c>
      <c r="P570" s="229">
        <v>1</v>
      </c>
      <c r="Q570" s="272">
        <v>0.99399999999999999</v>
      </c>
      <c r="R570" s="256">
        <f t="shared" si="45"/>
        <v>0.99399999999999999</v>
      </c>
      <c r="S570" s="256">
        <f t="shared" si="45"/>
        <v>0.99399999999999999</v>
      </c>
      <c r="T570" s="256">
        <f t="shared" si="45"/>
        <v>0.99399999999999999</v>
      </c>
      <c r="U570" s="216"/>
      <c r="V570" s="216"/>
    </row>
    <row r="571" spans="1:22" s="140" customFormat="1" ht="25.5" hidden="1" outlineLevel="5">
      <c r="A571" s="216"/>
      <c r="B571" s="255" t="s">
        <v>757</v>
      </c>
      <c r="C571" s="290" t="s">
        <v>291</v>
      </c>
      <c r="D571" s="227" t="s">
        <v>231</v>
      </c>
      <c r="E571" s="241"/>
      <c r="F571" s="228">
        <f t="shared" si="44"/>
        <v>3.6801995565609057E-2</v>
      </c>
      <c r="G571" s="269">
        <f>+F571*G555</f>
        <v>1.225964122615559E-5</v>
      </c>
      <c r="H571" s="299"/>
      <c r="I571" s="299"/>
      <c r="J571" s="299"/>
      <c r="K571" s="299"/>
      <c r="L571" s="299"/>
      <c r="M571" s="299"/>
      <c r="N571" s="229">
        <v>1</v>
      </c>
      <c r="O571" s="229">
        <v>1</v>
      </c>
      <c r="P571" s="229">
        <v>1</v>
      </c>
      <c r="Q571" s="272">
        <v>0.99399999999999999</v>
      </c>
      <c r="R571" s="256">
        <f t="shared" si="45"/>
        <v>0.99399999999999999</v>
      </c>
      <c r="S571" s="256">
        <f t="shared" si="45"/>
        <v>0.99399999999999999</v>
      </c>
      <c r="T571" s="256">
        <f t="shared" si="45"/>
        <v>0.99399999999999999</v>
      </c>
      <c r="U571" s="216"/>
      <c r="V571" s="216"/>
    </row>
    <row r="572" spans="1:22" s="140" customFormat="1" ht="25.5" hidden="1" outlineLevel="5">
      <c r="A572" s="216"/>
      <c r="B572" s="255" t="s">
        <v>758</v>
      </c>
      <c r="C572" s="290" t="s">
        <v>293</v>
      </c>
      <c r="D572" s="227" t="s">
        <v>231</v>
      </c>
      <c r="E572" s="241"/>
      <c r="F572" s="228">
        <f t="shared" si="44"/>
        <v>3.6801995565609057E-2</v>
      </c>
      <c r="G572" s="269">
        <f>+F572*G555</f>
        <v>1.225964122615559E-5</v>
      </c>
      <c r="H572" s="299"/>
      <c r="I572" s="299"/>
      <c r="J572" s="299"/>
      <c r="K572" s="299"/>
      <c r="L572" s="299"/>
      <c r="M572" s="299"/>
      <c r="N572" s="229">
        <v>1</v>
      </c>
      <c r="O572" s="229">
        <v>1</v>
      </c>
      <c r="P572" s="229">
        <v>1</v>
      </c>
      <c r="Q572" s="272">
        <v>0.99399999999999999</v>
      </c>
      <c r="R572" s="256">
        <f t="shared" si="45"/>
        <v>0.99399999999999999</v>
      </c>
      <c r="S572" s="256">
        <f t="shared" si="45"/>
        <v>0.99399999999999999</v>
      </c>
      <c r="T572" s="256">
        <f t="shared" si="45"/>
        <v>0.99399999999999999</v>
      </c>
      <c r="U572" s="216"/>
      <c r="V572" s="216"/>
    </row>
    <row r="573" spans="1:22" s="140" customFormat="1" ht="25.5" hidden="1" outlineLevel="5">
      <c r="A573" s="216"/>
      <c r="B573" s="255" t="s">
        <v>759</v>
      </c>
      <c r="C573" s="290" t="s">
        <v>295</v>
      </c>
      <c r="D573" s="227" t="s">
        <v>231</v>
      </c>
      <c r="E573" s="241"/>
      <c r="F573" s="228">
        <f t="shared" si="44"/>
        <v>3.6801995565609057E-2</v>
      </c>
      <c r="G573" s="269">
        <f>+F573*G555</f>
        <v>1.225964122615559E-5</v>
      </c>
      <c r="H573" s="299"/>
      <c r="I573" s="299"/>
      <c r="J573" s="299"/>
      <c r="K573" s="299"/>
      <c r="L573" s="299"/>
      <c r="M573" s="299"/>
      <c r="N573" s="229">
        <v>1</v>
      </c>
      <c r="O573" s="229">
        <v>1</v>
      </c>
      <c r="P573" s="229">
        <v>1</v>
      </c>
      <c r="Q573" s="272">
        <v>0.99399999999999999</v>
      </c>
      <c r="R573" s="256">
        <f t="shared" si="45"/>
        <v>0.99399999999999999</v>
      </c>
      <c r="S573" s="256">
        <f t="shared" si="45"/>
        <v>0.99399999999999999</v>
      </c>
      <c r="T573" s="256">
        <f t="shared" si="45"/>
        <v>0.99399999999999999</v>
      </c>
      <c r="U573" s="216"/>
      <c r="V573" s="216"/>
    </row>
    <row r="574" spans="1:22" s="140" customFormat="1" ht="25.5" hidden="1" outlineLevel="5">
      <c r="A574" s="216"/>
      <c r="B574" s="255" t="s">
        <v>760</v>
      </c>
      <c r="C574" s="290" t="s">
        <v>297</v>
      </c>
      <c r="D574" s="227" t="s">
        <v>231</v>
      </c>
      <c r="E574" s="241"/>
      <c r="F574" s="228">
        <f t="shared" si="44"/>
        <v>3.6801995565609057E-2</v>
      </c>
      <c r="G574" s="269">
        <f>+F574*G555</f>
        <v>1.225964122615559E-5</v>
      </c>
      <c r="H574" s="299"/>
      <c r="I574" s="299"/>
      <c r="J574" s="299"/>
      <c r="K574" s="299"/>
      <c r="L574" s="299"/>
      <c r="M574" s="299"/>
      <c r="N574" s="229">
        <v>1</v>
      </c>
      <c r="O574" s="229">
        <v>1</v>
      </c>
      <c r="P574" s="229">
        <v>1</v>
      </c>
      <c r="Q574" s="272">
        <v>0.99399999999999999</v>
      </c>
      <c r="R574" s="256">
        <f t="shared" si="45"/>
        <v>0.99399999999999999</v>
      </c>
      <c r="S574" s="256">
        <f t="shared" si="45"/>
        <v>0.99399999999999999</v>
      </c>
      <c r="T574" s="256">
        <f t="shared" si="45"/>
        <v>0.99399999999999999</v>
      </c>
      <c r="U574" s="216"/>
      <c r="V574" s="216"/>
    </row>
    <row r="575" spans="1:22" s="140" customFormat="1" ht="25.5" hidden="1" outlineLevel="5">
      <c r="A575" s="216"/>
      <c r="B575" s="255" t="s">
        <v>761</v>
      </c>
      <c r="C575" s="290" t="s">
        <v>299</v>
      </c>
      <c r="D575" s="227" t="s">
        <v>231</v>
      </c>
      <c r="E575" s="241"/>
      <c r="F575" s="228">
        <f t="shared" si="44"/>
        <v>3.6801995565609057E-2</v>
      </c>
      <c r="G575" s="269">
        <f>+F575*G555</f>
        <v>1.225964122615559E-5</v>
      </c>
      <c r="H575" s="299"/>
      <c r="I575" s="299"/>
      <c r="J575" s="299"/>
      <c r="K575" s="299"/>
      <c r="L575" s="299"/>
      <c r="M575" s="299"/>
      <c r="N575" s="229">
        <v>1</v>
      </c>
      <c r="O575" s="229">
        <v>1</v>
      </c>
      <c r="P575" s="229">
        <v>1</v>
      </c>
      <c r="Q575" s="272">
        <v>0.99399999999999999</v>
      </c>
      <c r="R575" s="256">
        <f t="shared" si="45"/>
        <v>0.99399999999999999</v>
      </c>
      <c r="S575" s="256">
        <f t="shared" si="45"/>
        <v>0.99399999999999999</v>
      </c>
      <c r="T575" s="256">
        <f t="shared" si="45"/>
        <v>0.99399999999999999</v>
      </c>
      <c r="U575" s="216"/>
      <c r="V575" s="216"/>
    </row>
    <row r="576" spans="1:22" s="140" customFormat="1" ht="25.5" hidden="1" outlineLevel="5">
      <c r="A576" s="216"/>
      <c r="B576" s="255" t="s">
        <v>762</v>
      </c>
      <c r="C576" s="290" t="s">
        <v>301</v>
      </c>
      <c r="D576" s="227" t="s">
        <v>231</v>
      </c>
      <c r="E576" s="241"/>
      <c r="F576" s="228">
        <f t="shared" si="44"/>
        <v>3.6801995565609057E-2</v>
      </c>
      <c r="G576" s="269">
        <f>+F576*G555</f>
        <v>1.225964122615559E-5</v>
      </c>
      <c r="H576" s="299"/>
      <c r="I576" s="299"/>
      <c r="J576" s="299"/>
      <c r="K576" s="299"/>
      <c r="L576" s="299"/>
      <c r="M576" s="299"/>
      <c r="N576" s="229">
        <v>1</v>
      </c>
      <c r="O576" s="229">
        <v>1</v>
      </c>
      <c r="P576" s="229">
        <v>1</v>
      </c>
      <c r="Q576" s="272">
        <v>0.99399999999999999</v>
      </c>
      <c r="R576" s="256">
        <f t="shared" si="45"/>
        <v>0.99399999999999999</v>
      </c>
      <c r="S576" s="256">
        <f t="shared" si="45"/>
        <v>0.99399999999999999</v>
      </c>
      <c r="T576" s="256">
        <f t="shared" si="45"/>
        <v>0.99399999999999999</v>
      </c>
      <c r="U576" s="216"/>
      <c r="V576" s="216"/>
    </row>
    <row r="577" spans="1:22" s="140" customFormat="1" ht="25.5" hidden="1" outlineLevel="5">
      <c r="A577" s="216"/>
      <c r="B577" s="255" t="s">
        <v>763</v>
      </c>
      <c r="C577" s="290" t="s">
        <v>303</v>
      </c>
      <c r="D577" s="227" t="s">
        <v>231</v>
      </c>
      <c r="E577" s="241"/>
      <c r="F577" s="228">
        <f t="shared" si="44"/>
        <v>3.6801995565609057E-2</v>
      </c>
      <c r="G577" s="269">
        <f>+F577*G555</f>
        <v>1.225964122615559E-5</v>
      </c>
      <c r="H577" s="299"/>
      <c r="I577" s="299"/>
      <c r="J577" s="299"/>
      <c r="K577" s="299"/>
      <c r="L577" s="299"/>
      <c r="M577" s="299"/>
      <c r="N577" s="229">
        <v>1</v>
      </c>
      <c r="O577" s="229">
        <v>1</v>
      </c>
      <c r="P577" s="229">
        <v>1</v>
      </c>
      <c r="Q577" s="272">
        <v>0.99399999999999999</v>
      </c>
      <c r="R577" s="256">
        <f t="shared" si="45"/>
        <v>0.99399999999999999</v>
      </c>
      <c r="S577" s="256">
        <f t="shared" si="45"/>
        <v>0.99399999999999999</v>
      </c>
      <c r="T577" s="256">
        <f t="shared" si="45"/>
        <v>0.99399999999999999</v>
      </c>
      <c r="U577" s="216"/>
      <c r="V577" s="216"/>
    </row>
    <row r="578" spans="1:22" s="140" customFormat="1" ht="25.5" hidden="1" outlineLevel="5">
      <c r="A578" s="216"/>
      <c r="B578" s="255" t="s">
        <v>764</v>
      </c>
      <c r="C578" s="290" t="s">
        <v>255</v>
      </c>
      <c r="D578" s="227" t="s">
        <v>256</v>
      </c>
      <c r="E578" s="241"/>
      <c r="F578" s="228">
        <f t="shared" si="44"/>
        <v>4.7589024389150178E-2</v>
      </c>
      <c r="G578" s="269">
        <f>+F578*G555</f>
        <v>1.5853063301245307E-5</v>
      </c>
      <c r="H578" s="299"/>
      <c r="I578" s="299"/>
      <c r="J578" s="299"/>
      <c r="K578" s="299"/>
      <c r="L578" s="299"/>
      <c r="M578" s="299"/>
      <c r="N578" s="229">
        <v>1</v>
      </c>
      <c r="O578" s="229">
        <v>1</v>
      </c>
      <c r="P578" s="229">
        <v>1</v>
      </c>
      <c r="Q578" s="272">
        <v>0.99399999999999999</v>
      </c>
      <c r="R578" s="256">
        <f t="shared" ref="R578:T609" si="46">+IF(N578=0,0,$Q578/N578)</f>
        <v>0.99399999999999999</v>
      </c>
      <c r="S578" s="256">
        <f t="shared" si="46"/>
        <v>0.99399999999999999</v>
      </c>
      <c r="T578" s="256">
        <f t="shared" si="46"/>
        <v>0.99399999999999999</v>
      </c>
      <c r="U578" s="216"/>
      <c r="V578" s="216"/>
    </row>
    <row r="579" spans="1:22" s="140" customFormat="1" ht="25.5" hidden="1" outlineLevel="5">
      <c r="A579" s="216"/>
      <c r="B579" s="255" t="s">
        <v>765</v>
      </c>
      <c r="C579" s="290" t="s">
        <v>258</v>
      </c>
      <c r="D579" s="227" t="s">
        <v>256</v>
      </c>
      <c r="E579" s="241"/>
      <c r="F579" s="228">
        <f t="shared" si="44"/>
        <v>4.7589024389150178E-2</v>
      </c>
      <c r="G579" s="269">
        <f>+F579*G555</f>
        <v>1.5853063301245307E-5</v>
      </c>
      <c r="H579" s="299"/>
      <c r="I579" s="299"/>
      <c r="J579" s="299"/>
      <c r="K579" s="299"/>
      <c r="L579" s="299"/>
      <c r="M579" s="299"/>
      <c r="N579" s="229">
        <v>1</v>
      </c>
      <c r="O579" s="229">
        <v>1</v>
      </c>
      <c r="P579" s="229">
        <v>1</v>
      </c>
      <c r="Q579" s="272">
        <v>0.99399999999999999</v>
      </c>
      <c r="R579" s="256">
        <f t="shared" si="46"/>
        <v>0.99399999999999999</v>
      </c>
      <c r="S579" s="256">
        <f t="shared" si="46"/>
        <v>0.99399999999999999</v>
      </c>
      <c r="T579" s="256">
        <f t="shared" si="46"/>
        <v>0.99399999999999999</v>
      </c>
      <c r="U579" s="216"/>
      <c r="V579" s="216"/>
    </row>
    <row r="580" spans="1:22" s="140" customFormat="1" ht="25.5" hidden="1" outlineLevel="5">
      <c r="A580" s="216"/>
      <c r="B580" s="255" t="s">
        <v>766</v>
      </c>
      <c r="C580" s="290" t="s">
        <v>260</v>
      </c>
      <c r="D580" s="227" t="s">
        <v>256</v>
      </c>
      <c r="E580" s="241"/>
      <c r="F580" s="228">
        <f t="shared" si="44"/>
        <v>4.7589024389150178E-2</v>
      </c>
      <c r="G580" s="269">
        <f>+F580*G555</f>
        <v>1.5853063301245307E-5</v>
      </c>
      <c r="H580" s="299"/>
      <c r="I580" s="299"/>
      <c r="J580" s="299"/>
      <c r="K580" s="299"/>
      <c r="L580" s="299"/>
      <c r="M580" s="299"/>
      <c r="N580" s="229">
        <v>1</v>
      </c>
      <c r="O580" s="229">
        <v>1</v>
      </c>
      <c r="P580" s="229">
        <v>1</v>
      </c>
      <c r="Q580" s="272">
        <v>0.99399999999999999</v>
      </c>
      <c r="R580" s="256">
        <f t="shared" si="46"/>
        <v>0.99399999999999999</v>
      </c>
      <c r="S580" s="256">
        <f t="shared" si="46"/>
        <v>0.99399999999999999</v>
      </c>
      <c r="T580" s="256">
        <f t="shared" si="46"/>
        <v>0.99399999999999999</v>
      </c>
      <c r="U580" s="216"/>
      <c r="V580" s="216"/>
    </row>
    <row r="581" spans="1:22" s="140" customFormat="1" ht="25.5" hidden="1" outlineLevel="5">
      <c r="A581" s="216"/>
      <c r="B581" s="255" t="s">
        <v>767</v>
      </c>
      <c r="C581" s="290" t="s">
        <v>262</v>
      </c>
      <c r="D581" s="227" t="s">
        <v>256</v>
      </c>
      <c r="E581" s="241"/>
      <c r="F581" s="228">
        <f t="shared" si="44"/>
        <v>4.7589024389150178E-2</v>
      </c>
      <c r="G581" s="269">
        <f>+F581*G555</f>
        <v>1.5853063301245307E-5</v>
      </c>
      <c r="H581" s="299"/>
      <c r="I581" s="299"/>
      <c r="J581" s="299"/>
      <c r="K581" s="299"/>
      <c r="L581" s="299"/>
      <c r="M581" s="299"/>
      <c r="N581" s="229">
        <v>1</v>
      </c>
      <c r="O581" s="229">
        <v>1</v>
      </c>
      <c r="P581" s="229">
        <v>1</v>
      </c>
      <c r="Q581" s="272">
        <v>0.99399999999999999</v>
      </c>
      <c r="R581" s="256">
        <f t="shared" si="46"/>
        <v>0.99399999999999999</v>
      </c>
      <c r="S581" s="256">
        <f t="shared" si="46"/>
        <v>0.99399999999999999</v>
      </c>
      <c r="T581" s="256">
        <f t="shared" si="46"/>
        <v>0.99399999999999999</v>
      </c>
      <c r="U581" s="216"/>
      <c r="V581" s="216"/>
    </row>
    <row r="582" spans="1:22" s="140" customFormat="1" ht="25.5" hidden="1" outlineLevel="4">
      <c r="A582" s="216"/>
      <c r="B582" s="291" t="s">
        <v>768</v>
      </c>
      <c r="C582" s="292" t="s">
        <v>37</v>
      </c>
      <c r="D582" s="234" t="s">
        <v>33</v>
      </c>
      <c r="E582" s="240"/>
      <c r="F582" s="223">
        <f t="shared" si="44"/>
        <v>9.0647549000068411E-2</v>
      </c>
      <c r="G582" s="293">
        <f>+F582*G533</f>
        <v>1.3057935245114869E-4</v>
      </c>
      <c r="H582" s="298"/>
      <c r="I582" s="298"/>
      <c r="J582" s="298"/>
      <c r="K582" s="298"/>
      <c r="L582" s="298"/>
      <c r="M582" s="298"/>
      <c r="N582" s="224">
        <f>+SUMPRODUCT($F583:$F593,N583:N593)</f>
        <v>1.0000000000000002</v>
      </c>
      <c r="O582" s="224">
        <f>+SUMPRODUCT($F583:$F593,O583:O593)</f>
        <v>1.0000000000000002</v>
      </c>
      <c r="P582" s="224">
        <f>+SUMPRODUCT($F583:$F593,P583:P593)</f>
        <v>1.0000000000000002</v>
      </c>
      <c r="Q582" s="270">
        <f>+SUMPRODUCT($F583:$F593,Q583:Q593)</f>
        <v>0.34999999999999987</v>
      </c>
      <c r="R582" s="254">
        <f t="shared" si="46"/>
        <v>0.34999999999999981</v>
      </c>
      <c r="S582" s="254">
        <f t="shared" si="46"/>
        <v>0.34999999999999981</v>
      </c>
      <c r="T582" s="254">
        <f t="shared" si="46"/>
        <v>0.34999999999999981</v>
      </c>
      <c r="U582" s="216"/>
      <c r="V582" s="216"/>
    </row>
    <row r="583" spans="1:22" s="140" customFormat="1" ht="25.5" hidden="1" outlineLevel="5">
      <c r="A583" s="216"/>
      <c r="B583" s="255" t="s">
        <v>769</v>
      </c>
      <c r="C583" s="290" t="s">
        <v>230</v>
      </c>
      <c r="D583" s="227" t="s">
        <v>231</v>
      </c>
      <c r="E583" s="241"/>
      <c r="F583" s="228">
        <f t="shared" si="44"/>
        <v>9.0909090909090912E-2</v>
      </c>
      <c r="G583" s="269">
        <f>+F583*G582</f>
        <v>1.18708502228317E-5</v>
      </c>
      <c r="H583" s="299"/>
      <c r="I583" s="299"/>
      <c r="J583" s="299"/>
      <c r="K583" s="299"/>
      <c r="L583" s="299"/>
      <c r="M583" s="299"/>
      <c r="N583" s="229">
        <v>1</v>
      </c>
      <c r="O583" s="229">
        <v>1</v>
      </c>
      <c r="P583" s="229">
        <v>1</v>
      </c>
      <c r="Q583" s="272">
        <v>0.35</v>
      </c>
      <c r="R583" s="256">
        <f t="shared" si="46"/>
        <v>0.35</v>
      </c>
      <c r="S583" s="256">
        <f t="shared" si="46"/>
        <v>0.35</v>
      </c>
      <c r="T583" s="256">
        <f t="shared" si="46"/>
        <v>0.35</v>
      </c>
      <c r="U583" s="216"/>
      <c r="V583" s="216"/>
    </row>
    <row r="584" spans="1:22" s="140" customFormat="1" ht="25.5" hidden="1" outlineLevel="5">
      <c r="A584" s="216"/>
      <c r="B584" s="255" t="s">
        <v>770</v>
      </c>
      <c r="C584" s="290" t="s">
        <v>233</v>
      </c>
      <c r="D584" s="227" t="s">
        <v>231</v>
      </c>
      <c r="E584" s="241"/>
      <c r="F584" s="228">
        <f t="shared" si="44"/>
        <v>9.0909090909090912E-2</v>
      </c>
      <c r="G584" s="269">
        <f>+F584*G582</f>
        <v>1.18708502228317E-5</v>
      </c>
      <c r="H584" s="299"/>
      <c r="I584" s="299"/>
      <c r="J584" s="299"/>
      <c r="K584" s="299"/>
      <c r="L584" s="299"/>
      <c r="M584" s="299"/>
      <c r="N584" s="229">
        <v>1</v>
      </c>
      <c r="O584" s="229">
        <v>1</v>
      </c>
      <c r="P584" s="229">
        <v>1</v>
      </c>
      <c r="Q584" s="272">
        <v>0.35</v>
      </c>
      <c r="R584" s="256">
        <f t="shared" si="46"/>
        <v>0.35</v>
      </c>
      <c r="S584" s="256">
        <f t="shared" si="46"/>
        <v>0.35</v>
      </c>
      <c r="T584" s="256">
        <f t="shared" si="46"/>
        <v>0.35</v>
      </c>
      <c r="U584" s="216"/>
      <c r="V584" s="216"/>
    </row>
    <row r="585" spans="1:22" s="140" customFormat="1" ht="25.5" hidden="1" outlineLevel="5">
      <c r="A585" s="216"/>
      <c r="B585" s="255" t="s">
        <v>771</v>
      </c>
      <c r="C585" s="290" t="s">
        <v>235</v>
      </c>
      <c r="D585" s="227" t="s">
        <v>231</v>
      </c>
      <c r="E585" s="241"/>
      <c r="F585" s="228">
        <f t="shared" si="44"/>
        <v>9.0909090909090912E-2</v>
      </c>
      <c r="G585" s="269">
        <f>+F585*G582</f>
        <v>1.18708502228317E-5</v>
      </c>
      <c r="H585" s="299"/>
      <c r="I585" s="299"/>
      <c r="J585" s="299"/>
      <c r="K585" s="299"/>
      <c r="L585" s="299"/>
      <c r="M585" s="299"/>
      <c r="N585" s="229">
        <v>1</v>
      </c>
      <c r="O585" s="229">
        <v>1</v>
      </c>
      <c r="P585" s="229">
        <v>1</v>
      </c>
      <c r="Q585" s="272">
        <v>0.35</v>
      </c>
      <c r="R585" s="256">
        <f t="shared" si="46"/>
        <v>0.35</v>
      </c>
      <c r="S585" s="256">
        <f t="shared" si="46"/>
        <v>0.35</v>
      </c>
      <c r="T585" s="256">
        <f t="shared" si="46"/>
        <v>0.35</v>
      </c>
      <c r="U585" s="216"/>
      <c r="V585" s="216"/>
    </row>
    <row r="586" spans="1:22" s="140" customFormat="1" ht="25.5" hidden="1" outlineLevel="5">
      <c r="A586" s="216"/>
      <c r="B586" s="255" t="s">
        <v>772</v>
      </c>
      <c r="C586" s="290" t="s">
        <v>237</v>
      </c>
      <c r="D586" s="227" t="s">
        <v>231</v>
      </c>
      <c r="E586" s="241"/>
      <c r="F586" s="228">
        <f t="shared" si="44"/>
        <v>9.0909090909090912E-2</v>
      </c>
      <c r="G586" s="269">
        <f>+F586*G582</f>
        <v>1.18708502228317E-5</v>
      </c>
      <c r="H586" s="299"/>
      <c r="I586" s="299"/>
      <c r="J586" s="299"/>
      <c r="K586" s="299"/>
      <c r="L586" s="299"/>
      <c r="M586" s="299"/>
      <c r="N586" s="229">
        <v>1</v>
      </c>
      <c r="O586" s="229">
        <v>1</v>
      </c>
      <c r="P586" s="229">
        <v>1</v>
      </c>
      <c r="Q586" s="272">
        <v>0.35</v>
      </c>
      <c r="R586" s="256">
        <f t="shared" si="46"/>
        <v>0.35</v>
      </c>
      <c r="S586" s="256">
        <f t="shared" si="46"/>
        <v>0.35</v>
      </c>
      <c r="T586" s="256">
        <f t="shared" si="46"/>
        <v>0.35</v>
      </c>
      <c r="U586" s="216"/>
      <c r="V586" s="216"/>
    </row>
    <row r="587" spans="1:22" s="140" customFormat="1" ht="25.5" hidden="1" outlineLevel="5">
      <c r="A587" s="216"/>
      <c r="B587" s="255" t="s">
        <v>773</v>
      </c>
      <c r="C587" s="290" t="s">
        <v>239</v>
      </c>
      <c r="D587" s="227" t="s">
        <v>231</v>
      </c>
      <c r="E587" s="241"/>
      <c r="F587" s="228">
        <f t="shared" si="44"/>
        <v>9.0909090909090912E-2</v>
      </c>
      <c r="G587" s="269">
        <f>+F587*G582</f>
        <v>1.18708502228317E-5</v>
      </c>
      <c r="H587" s="299"/>
      <c r="I587" s="299"/>
      <c r="J587" s="299"/>
      <c r="K587" s="299"/>
      <c r="L587" s="299"/>
      <c r="M587" s="299"/>
      <c r="N587" s="229">
        <v>1</v>
      </c>
      <c r="O587" s="229">
        <v>1</v>
      </c>
      <c r="P587" s="229">
        <v>1</v>
      </c>
      <c r="Q587" s="272">
        <v>0.35</v>
      </c>
      <c r="R587" s="256">
        <f t="shared" si="46"/>
        <v>0.35</v>
      </c>
      <c r="S587" s="256">
        <f t="shared" si="46"/>
        <v>0.35</v>
      </c>
      <c r="T587" s="256">
        <f t="shared" si="46"/>
        <v>0.35</v>
      </c>
      <c r="U587" s="216"/>
      <c r="V587" s="216"/>
    </row>
    <row r="588" spans="1:22" s="140" customFormat="1" ht="25.5" hidden="1" outlineLevel="5">
      <c r="A588" s="216"/>
      <c r="B588" s="255" t="s">
        <v>774</v>
      </c>
      <c r="C588" s="290" t="s">
        <v>241</v>
      </c>
      <c r="D588" s="227" t="s">
        <v>231</v>
      </c>
      <c r="E588" s="241"/>
      <c r="F588" s="228">
        <f t="shared" si="44"/>
        <v>9.0909090909090912E-2</v>
      </c>
      <c r="G588" s="269">
        <f>+F588*G582</f>
        <v>1.18708502228317E-5</v>
      </c>
      <c r="H588" s="299"/>
      <c r="I588" s="299"/>
      <c r="J588" s="299"/>
      <c r="K588" s="299"/>
      <c r="L588" s="299"/>
      <c r="M588" s="299"/>
      <c r="N588" s="229">
        <v>1</v>
      </c>
      <c r="O588" s="229">
        <v>1</v>
      </c>
      <c r="P588" s="229">
        <v>1</v>
      </c>
      <c r="Q588" s="272">
        <v>0.35</v>
      </c>
      <c r="R588" s="256">
        <f t="shared" si="46"/>
        <v>0.35</v>
      </c>
      <c r="S588" s="256">
        <f t="shared" si="46"/>
        <v>0.35</v>
      </c>
      <c r="T588" s="256">
        <f t="shared" si="46"/>
        <v>0.35</v>
      </c>
      <c r="U588" s="216"/>
      <c r="V588" s="216"/>
    </row>
    <row r="589" spans="1:22" s="140" customFormat="1" ht="25.5" hidden="1" outlineLevel="5">
      <c r="A589" s="216"/>
      <c r="B589" s="255" t="s">
        <v>775</v>
      </c>
      <c r="C589" s="290" t="s">
        <v>243</v>
      </c>
      <c r="D589" s="227" t="s">
        <v>231</v>
      </c>
      <c r="E589" s="241"/>
      <c r="F589" s="228">
        <f t="shared" si="44"/>
        <v>9.0909090909090912E-2</v>
      </c>
      <c r="G589" s="269">
        <f>+F589*G582</f>
        <v>1.18708502228317E-5</v>
      </c>
      <c r="H589" s="299"/>
      <c r="I589" s="299"/>
      <c r="J589" s="299"/>
      <c r="K589" s="299"/>
      <c r="L589" s="299"/>
      <c r="M589" s="299"/>
      <c r="N589" s="229">
        <v>1</v>
      </c>
      <c r="O589" s="229">
        <v>1</v>
      </c>
      <c r="P589" s="229">
        <v>1</v>
      </c>
      <c r="Q589" s="272">
        <v>0.35</v>
      </c>
      <c r="R589" s="256">
        <f t="shared" si="46"/>
        <v>0.35</v>
      </c>
      <c r="S589" s="256">
        <f t="shared" si="46"/>
        <v>0.35</v>
      </c>
      <c r="T589" s="256">
        <f t="shared" si="46"/>
        <v>0.35</v>
      </c>
      <c r="U589" s="216"/>
      <c r="V589" s="216"/>
    </row>
    <row r="590" spans="1:22" s="140" customFormat="1" ht="25.5" hidden="1" outlineLevel="5">
      <c r="A590" s="216"/>
      <c r="B590" s="255" t="s">
        <v>776</v>
      </c>
      <c r="C590" s="290" t="s">
        <v>245</v>
      </c>
      <c r="D590" s="227" t="s">
        <v>231</v>
      </c>
      <c r="E590" s="241"/>
      <c r="F590" s="228">
        <f t="shared" si="44"/>
        <v>9.0909090909090912E-2</v>
      </c>
      <c r="G590" s="269">
        <f>+F590*G582</f>
        <v>1.18708502228317E-5</v>
      </c>
      <c r="H590" s="299"/>
      <c r="I590" s="299"/>
      <c r="J590" s="299"/>
      <c r="K590" s="299"/>
      <c r="L590" s="299"/>
      <c r="M590" s="299"/>
      <c r="N590" s="229">
        <v>1</v>
      </c>
      <c r="O590" s="229">
        <v>1</v>
      </c>
      <c r="P590" s="229">
        <v>1</v>
      </c>
      <c r="Q590" s="272">
        <v>0.35</v>
      </c>
      <c r="R590" s="256">
        <f t="shared" si="46"/>
        <v>0.35</v>
      </c>
      <c r="S590" s="256">
        <f t="shared" si="46"/>
        <v>0.35</v>
      </c>
      <c r="T590" s="256">
        <f t="shared" si="46"/>
        <v>0.35</v>
      </c>
      <c r="U590" s="216"/>
      <c r="V590" s="216"/>
    </row>
    <row r="591" spans="1:22" s="140" customFormat="1" ht="25.5" hidden="1" outlineLevel="5">
      <c r="A591" s="216"/>
      <c r="B591" s="255" t="s">
        <v>777</v>
      </c>
      <c r="C591" s="290" t="s">
        <v>247</v>
      </c>
      <c r="D591" s="227" t="s">
        <v>231</v>
      </c>
      <c r="E591" s="241"/>
      <c r="F591" s="228">
        <f t="shared" si="44"/>
        <v>9.0909090909090912E-2</v>
      </c>
      <c r="G591" s="269">
        <f>+F591*G582</f>
        <v>1.18708502228317E-5</v>
      </c>
      <c r="H591" s="299"/>
      <c r="I591" s="299"/>
      <c r="J591" s="299"/>
      <c r="K591" s="299"/>
      <c r="L591" s="299"/>
      <c r="M591" s="299"/>
      <c r="N591" s="229">
        <v>1</v>
      </c>
      <c r="O591" s="229">
        <v>1</v>
      </c>
      <c r="P591" s="229">
        <v>1</v>
      </c>
      <c r="Q591" s="272">
        <v>0.35</v>
      </c>
      <c r="R591" s="256">
        <f t="shared" si="46"/>
        <v>0.35</v>
      </c>
      <c r="S591" s="256">
        <f t="shared" si="46"/>
        <v>0.35</v>
      </c>
      <c r="T591" s="256">
        <f t="shared" si="46"/>
        <v>0.35</v>
      </c>
      <c r="U591" s="216"/>
      <c r="V591" s="216"/>
    </row>
    <row r="592" spans="1:22" s="140" customFormat="1" ht="25.5" hidden="1" outlineLevel="5">
      <c r="A592" s="216"/>
      <c r="B592" s="255" t="s">
        <v>778</v>
      </c>
      <c r="C592" s="290" t="s">
        <v>249</v>
      </c>
      <c r="D592" s="227" t="s">
        <v>231</v>
      </c>
      <c r="E592" s="241"/>
      <c r="F592" s="228">
        <f t="shared" si="44"/>
        <v>9.0909090909090912E-2</v>
      </c>
      <c r="G592" s="269">
        <f>+F592*G582</f>
        <v>1.18708502228317E-5</v>
      </c>
      <c r="H592" s="299"/>
      <c r="I592" s="299"/>
      <c r="J592" s="299"/>
      <c r="K592" s="299"/>
      <c r="L592" s="299"/>
      <c r="M592" s="299"/>
      <c r="N592" s="229">
        <v>1</v>
      </c>
      <c r="O592" s="229">
        <v>1</v>
      </c>
      <c r="P592" s="229">
        <v>1</v>
      </c>
      <c r="Q592" s="272">
        <v>0.35</v>
      </c>
      <c r="R592" s="256">
        <f t="shared" si="46"/>
        <v>0.35</v>
      </c>
      <c r="S592" s="256">
        <f t="shared" si="46"/>
        <v>0.35</v>
      </c>
      <c r="T592" s="256">
        <f t="shared" si="46"/>
        <v>0.35</v>
      </c>
      <c r="U592" s="216"/>
      <c r="V592" s="216"/>
    </row>
    <row r="593" spans="1:22" s="140" customFormat="1" ht="25.5" hidden="1" outlineLevel="5">
      <c r="A593" s="216"/>
      <c r="B593" s="255" t="s">
        <v>779</v>
      </c>
      <c r="C593" s="290" t="s">
        <v>251</v>
      </c>
      <c r="D593" s="227" t="s">
        <v>231</v>
      </c>
      <c r="E593" s="241"/>
      <c r="F593" s="228">
        <f t="shared" si="44"/>
        <v>9.0909090909090912E-2</v>
      </c>
      <c r="G593" s="269">
        <f>+F593*G582</f>
        <v>1.18708502228317E-5</v>
      </c>
      <c r="H593" s="299"/>
      <c r="I593" s="299"/>
      <c r="J593" s="299"/>
      <c r="K593" s="299"/>
      <c r="L593" s="299"/>
      <c r="M593" s="299"/>
      <c r="N593" s="229">
        <v>1</v>
      </c>
      <c r="O593" s="229">
        <v>1</v>
      </c>
      <c r="P593" s="229">
        <v>1</v>
      </c>
      <c r="Q593" s="272">
        <v>0.35</v>
      </c>
      <c r="R593" s="256">
        <f t="shared" si="46"/>
        <v>0.35</v>
      </c>
      <c r="S593" s="256">
        <f t="shared" si="46"/>
        <v>0.35</v>
      </c>
      <c r="T593" s="256">
        <f t="shared" si="46"/>
        <v>0.35</v>
      </c>
      <c r="U593" s="216"/>
      <c r="V593" s="216"/>
    </row>
    <row r="594" spans="1:22" s="140" customFormat="1" ht="25.5" hidden="1" outlineLevel="4">
      <c r="A594" s="216"/>
      <c r="B594" s="291" t="s">
        <v>780</v>
      </c>
      <c r="C594" s="292" t="s">
        <v>39</v>
      </c>
      <c r="D594" s="234" t="s">
        <v>33</v>
      </c>
      <c r="E594" s="240"/>
      <c r="F594" s="223">
        <f t="shared" si="44"/>
        <v>9.6849312518274097E-2</v>
      </c>
      <c r="G594" s="293">
        <f>+F594*G533</f>
        <v>1.395130993995835E-4</v>
      </c>
      <c r="H594" s="298"/>
      <c r="I594" s="298"/>
      <c r="J594" s="298"/>
      <c r="K594" s="298"/>
      <c r="L594" s="298"/>
      <c r="M594" s="298"/>
      <c r="N594" s="224">
        <f>+SUMPRODUCT($F595:$F606,N595:N606)</f>
        <v>1</v>
      </c>
      <c r="O594" s="224">
        <f>+SUMPRODUCT($F595:$F606,O595:O606)</f>
        <v>1</v>
      </c>
      <c r="P594" s="224">
        <f>+SUMPRODUCT($F595:$F606,P595:P606)</f>
        <v>1</v>
      </c>
      <c r="Q594" s="270">
        <f>+SUMPRODUCT($F595:$F606,Q595:Q606)</f>
        <v>0.8999999999999998</v>
      </c>
      <c r="R594" s="254">
        <f t="shared" si="46"/>
        <v>0.8999999999999998</v>
      </c>
      <c r="S594" s="254">
        <f t="shared" si="46"/>
        <v>0.8999999999999998</v>
      </c>
      <c r="T594" s="254">
        <f t="shared" si="46"/>
        <v>0.8999999999999998</v>
      </c>
      <c r="U594" s="216"/>
      <c r="V594" s="216"/>
    </row>
    <row r="595" spans="1:22" s="140" customFormat="1" ht="25.5" hidden="1" outlineLevel="5">
      <c r="A595" s="216"/>
      <c r="B595" s="255" t="s">
        <v>781</v>
      </c>
      <c r="C595" s="290" t="s">
        <v>230</v>
      </c>
      <c r="D595" s="227" t="s">
        <v>231</v>
      </c>
      <c r="E595" s="241"/>
      <c r="F595" s="228">
        <f t="shared" si="44"/>
        <v>8.3333333333333329E-2</v>
      </c>
      <c r="G595" s="269">
        <f>+F595*G594</f>
        <v>1.1626091616631958E-5</v>
      </c>
      <c r="H595" s="299"/>
      <c r="I595" s="299"/>
      <c r="J595" s="299"/>
      <c r="K595" s="299"/>
      <c r="L595" s="299"/>
      <c r="M595" s="299"/>
      <c r="N595" s="229">
        <v>1</v>
      </c>
      <c r="O595" s="229">
        <v>1</v>
      </c>
      <c r="P595" s="229">
        <v>1</v>
      </c>
      <c r="Q595" s="272">
        <v>0.9</v>
      </c>
      <c r="R595" s="256">
        <f t="shared" si="46"/>
        <v>0.9</v>
      </c>
      <c r="S595" s="256">
        <f t="shared" si="46"/>
        <v>0.9</v>
      </c>
      <c r="T595" s="256">
        <f t="shared" si="46"/>
        <v>0.9</v>
      </c>
      <c r="U595" s="216"/>
      <c r="V595" s="216"/>
    </row>
    <row r="596" spans="1:22" s="140" customFormat="1" ht="25.5" hidden="1" outlineLevel="5">
      <c r="A596" s="216"/>
      <c r="B596" s="255" t="s">
        <v>782</v>
      </c>
      <c r="C596" s="290" t="s">
        <v>233</v>
      </c>
      <c r="D596" s="227" t="s">
        <v>231</v>
      </c>
      <c r="E596" s="241"/>
      <c r="F596" s="228">
        <f t="shared" si="44"/>
        <v>8.3333333333333329E-2</v>
      </c>
      <c r="G596" s="269">
        <f>+F596*G594</f>
        <v>1.1626091616631958E-5</v>
      </c>
      <c r="H596" s="299"/>
      <c r="I596" s="299"/>
      <c r="J596" s="299"/>
      <c r="K596" s="299"/>
      <c r="L596" s="299"/>
      <c r="M596" s="299"/>
      <c r="N596" s="229">
        <v>1</v>
      </c>
      <c r="O596" s="229">
        <v>1</v>
      </c>
      <c r="P596" s="229">
        <v>1</v>
      </c>
      <c r="Q596" s="272">
        <v>0.9</v>
      </c>
      <c r="R596" s="256">
        <f t="shared" si="46"/>
        <v>0.9</v>
      </c>
      <c r="S596" s="256">
        <f t="shared" si="46"/>
        <v>0.9</v>
      </c>
      <c r="T596" s="256">
        <f t="shared" si="46"/>
        <v>0.9</v>
      </c>
      <c r="U596" s="216"/>
      <c r="V596" s="216"/>
    </row>
    <row r="597" spans="1:22" s="140" customFormat="1" ht="25.5" hidden="1" outlineLevel="5">
      <c r="A597" s="216"/>
      <c r="B597" s="255" t="s">
        <v>783</v>
      </c>
      <c r="C597" s="290" t="s">
        <v>235</v>
      </c>
      <c r="D597" s="227" t="s">
        <v>231</v>
      </c>
      <c r="E597" s="241"/>
      <c r="F597" s="228">
        <f t="shared" ref="F597:F660" si="47">F783</f>
        <v>8.3333333333333329E-2</v>
      </c>
      <c r="G597" s="269">
        <f>+F597*G594</f>
        <v>1.1626091616631958E-5</v>
      </c>
      <c r="H597" s="299"/>
      <c r="I597" s="299"/>
      <c r="J597" s="299"/>
      <c r="K597" s="299"/>
      <c r="L597" s="299"/>
      <c r="M597" s="299"/>
      <c r="N597" s="229">
        <v>1</v>
      </c>
      <c r="O597" s="229">
        <v>1</v>
      </c>
      <c r="P597" s="229">
        <v>1</v>
      </c>
      <c r="Q597" s="272">
        <v>0.9</v>
      </c>
      <c r="R597" s="256">
        <f t="shared" si="46"/>
        <v>0.9</v>
      </c>
      <c r="S597" s="256">
        <f t="shared" si="46"/>
        <v>0.9</v>
      </c>
      <c r="T597" s="256">
        <f t="shared" si="46"/>
        <v>0.9</v>
      </c>
      <c r="U597" s="216"/>
      <c r="V597" s="216"/>
    </row>
    <row r="598" spans="1:22" s="140" customFormat="1" ht="25.5" hidden="1" outlineLevel="5">
      <c r="A598" s="216"/>
      <c r="B598" s="255" t="s">
        <v>784</v>
      </c>
      <c r="C598" s="290" t="s">
        <v>237</v>
      </c>
      <c r="D598" s="227" t="s">
        <v>231</v>
      </c>
      <c r="E598" s="241"/>
      <c r="F598" s="228">
        <f t="shared" si="47"/>
        <v>8.3333333333333329E-2</v>
      </c>
      <c r="G598" s="269">
        <f>+F598*G594</f>
        <v>1.1626091616631958E-5</v>
      </c>
      <c r="H598" s="299"/>
      <c r="I598" s="299"/>
      <c r="J598" s="299"/>
      <c r="K598" s="299"/>
      <c r="L598" s="299"/>
      <c r="M598" s="299"/>
      <c r="N598" s="229">
        <v>1</v>
      </c>
      <c r="O598" s="229">
        <v>1</v>
      </c>
      <c r="P598" s="229">
        <v>1</v>
      </c>
      <c r="Q598" s="272">
        <v>0.9</v>
      </c>
      <c r="R598" s="256">
        <f t="shared" si="46"/>
        <v>0.9</v>
      </c>
      <c r="S598" s="256">
        <f t="shared" si="46"/>
        <v>0.9</v>
      </c>
      <c r="T598" s="256">
        <f t="shared" si="46"/>
        <v>0.9</v>
      </c>
      <c r="U598" s="216"/>
      <c r="V598" s="216"/>
    </row>
    <row r="599" spans="1:22" s="140" customFormat="1" ht="25.5" hidden="1" outlineLevel="5">
      <c r="A599" s="216"/>
      <c r="B599" s="255" t="s">
        <v>785</v>
      </c>
      <c r="C599" s="290" t="s">
        <v>239</v>
      </c>
      <c r="D599" s="227" t="s">
        <v>231</v>
      </c>
      <c r="E599" s="241"/>
      <c r="F599" s="228">
        <f t="shared" si="47"/>
        <v>8.3333333333333329E-2</v>
      </c>
      <c r="G599" s="269">
        <f>+F599*G594</f>
        <v>1.1626091616631958E-5</v>
      </c>
      <c r="H599" s="299"/>
      <c r="I599" s="299"/>
      <c r="J599" s="299"/>
      <c r="K599" s="299"/>
      <c r="L599" s="299"/>
      <c r="M599" s="299"/>
      <c r="N599" s="229">
        <v>1</v>
      </c>
      <c r="O599" s="229">
        <v>1</v>
      </c>
      <c r="P599" s="229">
        <v>1</v>
      </c>
      <c r="Q599" s="272">
        <v>0.9</v>
      </c>
      <c r="R599" s="256">
        <f t="shared" si="46"/>
        <v>0.9</v>
      </c>
      <c r="S599" s="256">
        <f t="shared" si="46"/>
        <v>0.9</v>
      </c>
      <c r="T599" s="256">
        <f t="shared" si="46"/>
        <v>0.9</v>
      </c>
      <c r="U599" s="216"/>
      <c r="V599" s="216"/>
    </row>
    <row r="600" spans="1:22" s="140" customFormat="1" ht="25.5" hidden="1" outlineLevel="5">
      <c r="A600" s="216"/>
      <c r="B600" s="255" t="s">
        <v>786</v>
      </c>
      <c r="C600" s="290" t="s">
        <v>241</v>
      </c>
      <c r="D600" s="227" t="s">
        <v>231</v>
      </c>
      <c r="E600" s="241"/>
      <c r="F600" s="228">
        <f t="shared" si="47"/>
        <v>8.3333333333333329E-2</v>
      </c>
      <c r="G600" s="269">
        <f>+F600*G594</f>
        <v>1.1626091616631958E-5</v>
      </c>
      <c r="H600" s="299"/>
      <c r="I600" s="299"/>
      <c r="J600" s="299"/>
      <c r="K600" s="299"/>
      <c r="L600" s="299"/>
      <c r="M600" s="299"/>
      <c r="N600" s="229">
        <v>1</v>
      </c>
      <c r="O600" s="229">
        <v>1</v>
      </c>
      <c r="P600" s="229">
        <v>1</v>
      </c>
      <c r="Q600" s="272">
        <v>0.9</v>
      </c>
      <c r="R600" s="256">
        <f t="shared" si="46"/>
        <v>0.9</v>
      </c>
      <c r="S600" s="256">
        <f t="shared" si="46"/>
        <v>0.9</v>
      </c>
      <c r="T600" s="256">
        <f t="shared" si="46"/>
        <v>0.9</v>
      </c>
      <c r="U600" s="216"/>
      <c r="V600" s="216"/>
    </row>
    <row r="601" spans="1:22" s="140" customFormat="1" ht="25.5" hidden="1" outlineLevel="5">
      <c r="A601" s="216"/>
      <c r="B601" s="255" t="s">
        <v>787</v>
      </c>
      <c r="C601" s="290" t="s">
        <v>243</v>
      </c>
      <c r="D601" s="227" t="s">
        <v>231</v>
      </c>
      <c r="E601" s="241"/>
      <c r="F601" s="228">
        <f t="shared" si="47"/>
        <v>8.3333333333333329E-2</v>
      </c>
      <c r="G601" s="269">
        <f>+F601*G594</f>
        <v>1.1626091616631958E-5</v>
      </c>
      <c r="H601" s="299"/>
      <c r="I601" s="299"/>
      <c r="J601" s="299"/>
      <c r="K601" s="299"/>
      <c r="L601" s="299"/>
      <c r="M601" s="299"/>
      <c r="N601" s="229">
        <v>1</v>
      </c>
      <c r="O601" s="229">
        <v>1</v>
      </c>
      <c r="P601" s="229">
        <v>1</v>
      </c>
      <c r="Q601" s="272">
        <v>0.9</v>
      </c>
      <c r="R601" s="256">
        <f t="shared" si="46"/>
        <v>0.9</v>
      </c>
      <c r="S601" s="256">
        <f t="shared" si="46"/>
        <v>0.9</v>
      </c>
      <c r="T601" s="256">
        <f t="shared" si="46"/>
        <v>0.9</v>
      </c>
      <c r="U601" s="216"/>
      <c r="V601" s="216"/>
    </row>
    <row r="602" spans="1:22" s="140" customFormat="1" ht="25.5" hidden="1" outlineLevel="5">
      <c r="A602" s="216"/>
      <c r="B602" s="255" t="s">
        <v>788</v>
      </c>
      <c r="C602" s="290" t="s">
        <v>245</v>
      </c>
      <c r="D602" s="227" t="s">
        <v>231</v>
      </c>
      <c r="E602" s="241"/>
      <c r="F602" s="228">
        <f t="shared" si="47"/>
        <v>8.3333333333333329E-2</v>
      </c>
      <c r="G602" s="269">
        <f>+F602*G594</f>
        <v>1.1626091616631958E-5</v>
      </c>
      <c r="H602" s="299"/>
      <c r="I602" s="299"/>
      <c r="J602" s="299"/>
      <c r="K602" s="299"/>
      <c r="L602" s="299"/>
      <c r="M602" s="299"/>
      <c r="N602" s="229">
        <v>1</v>
      </c>
      <c r="O602" s="229">
        <v>1</v>
      </c>
      <c r="P602" s="229">
        <v>1</v>
      </c>
      <c r="Q602" s="272">
        <v>0.9</v>
      </c>
      <c r="R602" s="256">
        <f t="shared" si="46"/>
        <v>0.9</v>
      </c>
      <c r="S602" s="256">
        <f t="shared" si="46"/>
        <v>0.9</v>
      </c>
      <c r="T602" s="256">
        <f t="shared" si="46"/>
        <v>0.9</v>
      </c>
      <c r="U602" s="216"/>
      <c r="V602" s="216"/>
    </row>
    <row r="603" spans="1:22" s="140" customFormat="1" ht="25.5" hidden="1" outlineLevel="5">
      <c r="A603" s="216"/>
      <c r="B603" s="255" t="s">
        <v>789</v>
      </c>
      <c r="C603" s="290" t="s">
        <v>247</v>
      </c>
      <c r="D603" s="227" t="s">
        <v>231</v>
      </c>
      <c r="E603" s="241"/>
      <c r="F603" s="228">
        <f t="shared" si="47"/>
        <v>8.3333333333333329E-2</v>
      </c>
      <c r="G603" s="269">
        <f>+F603*G594</f>
        <v>1.1626091616631958E-5</v>
      </c>
      <c r="H603" s="299"/>
      <c r="I603" s="299"/>
      <c r="J603" s="299"/>
      <c r="K603" s="299"/>
      <c r="L603" s="299"/>
      <c r="M603" s="299"/>
      <c r="N603" s="229">
        <v>1</v>
      </c>
      <c r="O603" s="229">
        <v>1</v>
      </c>
      <c r="P603" s="229">
        <v>1</v>
      </c>
      <c r="Q603" s="272">
        <v>0.9</v>
      </c>
      <c r="R603" s="256">
        <f t="shared" si="46"/>
        <v>0.9</v>
      </c>
      <c r="S603" s="256">
        <f t="shared" si="46"/>
        <v>0.9</v>
      </c>
      <c r="T603" s="256">
        <f t="shared" si="46"/>
        <v>0.9</v>
      </c>
      <c r="U603" s="216"/>
      <c r="V603" s="216"/>
    </row>
    <row r="604" spans="1:22" s="140" customFormat="1" ht="25.5" hidden="1" outlineLevel="5">
      <c r="A604" s="216"/>
      <c r="B604" s="255" t="s">
        <v>790</v>
      </c>
      <c r="C604" s="290" t="s">
        <v>249</v>
      </c>
      <c r="D604" s="227" t="s">
        <v>231</v>
      </c>
      <c r="E604" s="241"/>
      <c r="F604" s="228">
        <f t="shared" si="47"/>
        <v>8.3333333333333329E-2</v>
      </c>
      <c r="G604" s="269">
        <f>+F604*G594</f>
        <v>1.1626091616631958E-5</v>
      </c>
      <c r="H604" s="299"/>
      <c r="I604" s="299"/>
      <c r="J604" s="299"/>
      <c r="K604" s="299"/>
      <c r="L604" s="299"/>
      <c r="M604" s="299"/>
      <c r="N604" s="229">
        <v>1</v>
      </c>
      <c r="O604" s="229">
        <v>1</v>
      </c>
      <c r="P604" s="229">
        <v>1</v>
      </c>
      <c r="Q604" s="272">
        <v>0.9</v>
      </c>
      <c r="R604" s="256">
        <f t="shared" si="46"/>
        <v>0.9</v>
      </c>
      <c r="S604" s="256">
        <f t="shared" si="46"/>
        <v>0.9</v>
      </c>
      <c r="T604" s="256">
        <f t="shared" si="46"/>
        <v>0.9</v>
      </c>
      <c r="U604" s="216"/>
      <c r="V604" s="216"/>
    </row>
    <row r="605" spans="1:22" s="140" customFormat="1" ht="25.5" hidden="1" outlineLevel="5">
      <c r="A605" s="216"/>
      <c r="B605" s="255" t="s">
        <v>791</v>
      </c>
      <c r="C605" s="290" t="s">
        <v>251</v>
      </c>
      <c r="D605" s="227" t="s">
        <v>231</v>
      </c>
      <c r="E605" s="241"/>
      <c r="F605" s="228">
        <f t="shared" si="47"/>
        <v>8.3333333333333329E-2</v>
      </c>
      <c r="G605" s="269">
        <f>+F605*G594</f>
        <v>1.1626091616631958E-5</v>
      </c>
      <c r="H605" s="299"/>
      <c r="I605" s="299"/>
      <c r="J605" s="299"/>
      <c r="K605" s="299"/>
      <c r="L605" s="299"/>
      <c r="M605" s="299"/>
      <c r="N605" s="229">
        <v>1</v>
      </c>
      <c r="O605" s="229">
        <v>1</v>
      </c>
      <c r="P605" s="229">
        <v>1</v>
      </c>
      <c r="Q605" s="272">
        <v>0.9</v>
      </c>
      <c r="R605" s="256">
        <f t="shared" si="46"/>
        <v>0.9</v>
      </c>
      <c r="S605" s="256">
        <f t="shared" si="46"/>
        <v>0.9</v>
      </c>
      <c r="T605" s="256">
        <f t="shared" si="46"/>
        <v>0.9</v>
      </c>
      <c r="U605" s="216"/>
      <c r="V605" s="216"/>
    </row>
    <row r="606" spans="1:22" s="140" customFormat="1" ht="25.5" hidden="1" outlineLevel="5">
      <c r="A606" s="216"/>
      <c r="B606" s="255" t="s">
        <v>792</v>
      </c>
      <c r="C606" s="290" t="s">
        <v>253</v>
      </c>
      <c r="D606" s="227" t="s">
        <v>231</v>
      </c>
      <c r="E606" s="241"/>
      <c r="F606" s="228">
        <f t="shared" si="47"/>
        <v>8.3333333333333329E-2</v>
      </c>
      <c r="G606" s="269">
        <f>+F606*G594</f>
        <v>1.1626091616631958E-5</v>
      </c>
      <c r="H606" s="299"/>
      <c r="I606" s="299"/>
      <c r="J606" s="299"/>
      <c r="K606" s="299"/>
      <c r="L606" s="299"/>
      <c r="M606" s="299"/>
      <c r="N606" s="229">
        <v>1</v>
      </c>
      <c r="O606" s="229">
        <v>1</v>
      </c>
      <c r="P606" s="229">
        <v>1</v>
      </c>
      <c r="Q606" s="272">
        <v>0.9</v>
      </c>
      <c r="R606" s="256">
        <f t="shared" si="46"/>
        <v>0.9</v>
      </c>
      <c r="S606" s="256">
        <f t="shared" si="46"/>
        <v>0.9</v>
      </c>
      <c r="T606" s="256">
        <f t="shared" si="46"/>
        <v>0.9</v>
      </c>
      <c r="U606" s="216"/>
      <c r="V606" s="216"/>
    </row>
    <row r="607" spans="1:22" s="140" customFormat="1" ht="25.5" hidden="1" outlineLevel="4">
      <c r="A607" s="216"/>
      <c r="B607" s="291" t="s">
        <v>793</v>
      </c>
      <c r="C607" s="292" t="s">
        <v>41</v>
      </c>
      <c r="D607" s="234" t="s">
        <v>33</v>
      </c>
      <c r="E607" s="240"/>
      <c r="F607" s="223">
        <f t="shared" si="47"/>
        <v>0.11049772843953055</v>
      </c>
      <c r="G607" s="293">
        <f>+F607*G533</f>
        <v>1.5917387713313558E-4</v>
      </c>
      <c r="H607" s="298"/>
      <c r="I607" s="298"/>
      <c r="J607" s="298"/>
      <c r="K607" s="298"/>
      <c r="L607" s="298"/>
      <c r="M607" s="298"/>
      <c r="N607" s="224">
        <f>+SUMPRODUCT($F608:$F621,N608:N621)</f>
        <v>0.99999999999999967</v>
      </c>
      <c r="O607" s="224">
        <f>+SUMPRODUCT($F608:$F621,O608:O621)</f>
        <v>0.99999999999999967</v>
      </c>
      <c r="P607" s="224">
        <f>+SUMPRODUCT($F608:$F621,P608:P621)</f>
        <v>0.99999999999999967</v>
      </c>
      <c r="Q607" s="270">
        <f>+SUMPRODUCT($F608:$F621,Q608:Q621)</f>
        <v>0.7213999999999996</v>
      </c>
      <c r="R607" s="254">
        <f t="shared" si="46"/>
        <v>0.72139999999999982</v>
      </c>
      <c r="S607" s="254">
        <f t="shared" si="46"/>
        <v>0.72139999999999982</v>
      </c>
      <c r="T607" s="254">
        <f t="shared" si="46"/>
        <v>0.72139999999999982</v>
      </c>
      <c r="U607" s="216"/>
      <c r="V607" s="216"/>
    </row>
    <row r="608" spans="1:22" s="140" customFormat="1" ht="25.5" hidden="1" outlineLevel="5">
      <c r="A608" s="216"/>
      <c r="B608" s="255" t="s">
        <v>794</v>
      </c>
      <c r="C608" s="290" t="s">
        <v>230</v>
      </c>
      <c r="D608" s="227" t="s">
        <v>231</v>
      </c>
      <c r="E608" s="241"/>
      <c r="F608" s="228">
        <f t="shared" si="47"/>
        <v>7.1428571428571411E-2</v>
      </c>
      <c r="G608" s="269">
        <f>+F608*G607</f>
        <v>1.1369562652366824E-5</v>
      </c>
      <c r="H608" s="299"/>
      <c r="I608" s="299"/>
      <c r="J608" s="299"/>
      <c r="K608" s="299"/>
      <c r="L608" s="299"/>
      <c r="M608" s="299"/>
      <c r="N608" s="229">
        <v>1</v>
      </c>
      <c r="O608" s="229">
        <v>1</v>
      </c>
      <c r="P608" s="229">
        <v>1</v>
      </c>
      <c r="Q608" s="272">
        <v>0.72140000000000004</v>
      </c>
      <c r="R608" s="256">
        <f t="shared" si="46"/>
        <v>0.72140000000000004</v>
      </c>
      <c r="S608" s="256">
        <f t="shared" si="46"/>
        <v>0.72140000000000004</v>
      </c>
      <c r="T608" s="256">
        <f t="shared" si="46"/>
        <v>0.72140000000000004</v>
      </c>
      <c r="U608" s="216"/>
      <c r="V608" s="216"/>
    </row>
    <row r="609" spans="1:22" s="140" customFormat="1" ht="25.5" hidden="1" outlineLevel="5">
      <c r="A609" s="216"/>
      <c r="B609" s="255" t="s">
        <v>795</v>
      </c>
      <c r="C609" s="290" t="s">
        <v>233</v>
      </c>
      <c r="D609" s="227" t="s">
        <v>231</v>
      </c>
      <c r="E609" s="241"/>
      <c r="F609" s="228">
        <f t="shared" si="47"/>
        <v>7.1428571428571411E-2</v>
      </c>
      <c r="G609" s="269">
        <f>+F609*G607</f>
        <v>1.1369562652366824E-5</v>
      </c>
      <c r="H609" s="299"/>
      <c r="I609" s="299"/>
      <c r="J609" s="299"/>
      <c r="K609" s="299"/>
      <c r="L609" s="299"/>
      <c r="M609" s="299"/>
      <c r="N609" s="229">
        <v>1</v>
      </c>
      <c r="O609" s="229">
        <v>1</v>
      </c>
      <c r="P609" s="229">
        <v>1</v>
      </c>
      <c r="Q609" s="272">
        <v>0.72140000000000004</v>
      </c>
      <c r="R609" s="256">
        <f t="shared" si="46"/>
        <v>0.72140000000000004</v>
      </c>
      <c r="S609" s="256">
        <f t="shared" si="46"/>
        <v>0.72140000000000004</v>
      </c>
      <c r="T609" s="256">
        <f t="shared" si="46"/>
        <v>0.72140000000000004</v>
      </c>
      <c r="U609" s="216"/>
      <c r="V609" s="216"/>
    </row>
    <row r="610" spans="1:22" s="140" customFormat="1" ht="25.5" hidden="1" outlineLevel="5">
      <c r="A610" s="216"/>
      <c r="B610" s="255" t="s">
        <v>796</v>
      </c>
      <c r="C610" s="290" t="s">
        <v>235</v>
      </c>
      <c r="D610" s="227" t="s">
        <v>231</v>
      </c>
      <c r="E610" s="241"/>
      <c r="F610" s="228">
        <f t="shared" si="47"/>
        <v>7.1428571428571411E-2</v>
      </c>
      <c r="G610" s="269">
        <f>+F610*G607</f>
        <v>1.1369562652366824E-5</v>
      </c>
      <c r="H610" s="299"/>
      <c r="I610" s="299"/>
      <c r="J610" s="299"/>
      <c r="K610" s="299"/>
      <c r="L610" s="299"/>
      <c r="M610" s="299"/>
      <c r="N610" s="229">
        <v>1</v>
      </c>
      <c r="O610" s="229">
        <v>1</v>
      </c>
      <c r="P610" s="229">
        <v>1</v>
      </c>
      <c r="Q610" s="272">
        <v>0.72140000000000004</v>
      </c>
      <c r="R610" s="256">
        <f t="shared" ref="R610:T641" si="48">+IF(N610=0,0,$Q610/N610)</f>
        <v>0.72140000000000004</v>
      </c>
      <c r="S610" s="256">
        <f t="shared" si="48"/>
        <v>0.72140000000000004</v>
      </c>
      <c r="T610" s="256">
        <f t="shared" si="48"/>
        <v>0.72140000000000004</v>
      </c>
      <c r="U610" s="216"/>
      <c r="V610" s="216"/>
    </row>
    <row r="611" spans="1:22" s="140" customFormat="1" ht="25.5" hidden="1" outlineLevel="5">
      <c r="A611" s="216"/>
      <c r="B611" s="255" t="s">
        <v>797</v>
      </c>
      <c r="C611" s="290" t="s">
        <v>237</v>
      </c>
      <c r="D611" s="227" t="s">
        <v>231</v>
      </c>
      <c r="E611" s="241"/>
      <c r="F611" s="228">
        <f t="shared" si="47"/>
        <v>7.1428571428571411E-2</v>
      </c>
      <c r="G611" s="269">
        <f>+F611*G607</f>
        <v>1.1369562652366824E-5</v>
      </c>
      <c r="H611" s="299"/>
      <c r="I611" s="299"/>
      <c r="J611" s="299"/>
      <c r="K611" s="299"/>
      <c r="L611" s="299"/>
      <c r="M611" s="299"/>
      <c r="N611" s="229">
        <v>1</v>
      </c>
      <c r="O611" s="229">
        <v>1</v>
      </c>
      <c r="P611" s="229">
        <v>1</v>
      </c>
      <c r="Q611" s="272">
        <v>0.72140000000000004</v>
      </c>
      <c r="R611" s="256">
        <f t="shared" si="48"/>
        <v>0.72140000000000004</v>
      </c>
      <c r="S611" s="256">
        <f t="shared" si="48"/>
        <v>0.72140000000000004</v>
      </c>
      <c r="T611" s="256">
        <f t="shared" si="48"/>
        <v>0.72140000000000004</v>
      </c>
      <c r="U611" s="216"/>
      <c r="V611" s="216"/>
    </row>
    <row r="612" spans="1:22" s="140" customFormat="1" ht="25.5" hidden="1" outlineLevel="5">
      <c r="A612" s="216"/>
      <c r="B612" s="255" t="s">
        <v>798</v>
      </c>
      <c r="C612" s="290" t="s">
        <v>239</v>
      </c>
      <c r="D612" s="227" t="s">
        <v>231</v>
      </c>
      <c r="E612" s="241"/>
      <c r="F612" s="228">
        <f t="shared" si="47"/>
        <v>7.1428571428571411E-2</v>
      </c>
      <c r="G612" s="269">
        <f>+F612*G607</f>
        <v>1.1369562652366824E-5</v>
      </c>
      <c r="H612" s="299"/>
      <c r="I612" s="299"/>
      <c r="J612" s="299"/>
      <c r="K612" s="299"/>
      <c r="L612" s="299"/>
      <c r="M612" s="299"/>
      <c r="N612" s="229">
        <v>1</v>
      </c>
      <c r="O612" s="229">
        <v>1</v>
      </c>
      <c r="P612" s="229">
        <v>1</v>
      </c>
      <c r="Q612" s="272">
        <v>0.72140000000000004</v>
      </c>
      <c r="R612" s="256">
        <f t="shared" si="48"/>
        <v>0.72140000000000004</v>
      </c>
      <c r="S612" s="256">
        <f t="shared" si="48"/>
        <v>0.72140000000000004</v>
      </c>
      <c r="T612" s="256">
        <f t="shared" si="48"/>
        <v>0.72140000000000004</v>
      </c>
      <c r="U612" s="216"/>
      <c r="V612" s="216"/>
    </row>
    <row r="613" spans="1:22" s="140" customFormat="1" ht="25.5" hidden="1" outlineLevel="5">
      <c r="A613" s="216"/>
      <c r="B613" s="255" t="s">
        <v>799</v>
      </c>
      <c r="C613" s="290" t="s">
        <v>241</v>
      </c>
      <c r="D613" s="227" t="s">
        <v>231</v>
      </c>
      <c r="E613" s="241"/>
      <c r="F613" s="228">
        <f t="shared" si="47"/>
        <v>7.1428571428571411E-2</v>
      </c>
      <c r="G613" s="269">
        <f>+F613*G607</f>
        <v>1.1369562652366824E-5</v>
      </c>
      <c r="H613" s="299"/>
      <c r="I613" s="299"/>
      <c r="J613" s="299"/>
      <c r="K613" s="299"/>
      <c r="L613" s="299"/>
      <c r="M613" s="299"/>
      <c r="N613" s="229">
        <v>1</v>
      </c>
      <c r="O613" s="229">
        <v>1</v>
      </c>
      <c r="P613" s="229">
        <v>1</v>
      </c>
      <c r="Q613" s="272">
        <v>0.72140000000000004</v>
      </c>
      <c r="R613" s="256">
        <f t="shared" si="48"/>
        <v>0.72140000000000004</v>
      </c>
      <c r="S613" s="256">
        <f t="shared" si="48"/>
        <v>0.72140000000000004</v>
      </c>
      <c r="T613" s="256">
        <f t="shared" si="48"/>
        <v>0.72140000000000004</v>
      </c>
      <c r="U613" s="216"/>
      <c r="V613" s="216"/>
    </row>
    <row r="614" spans="1:22" s="140" customFormat="1" ht="25.5" hidden="1" outlineLevel="5">
      <c r="A614" s="216"/>
      <c r="B614" s="255" t="s">
        <v>800</v>
      </c>
      <c r="C614" s="290" t="s">
        <v>243</v>
      </c>
      <c r="D614" s="227" t="s">
        <v>231</v>
      </c>
      <c r="E614" s="241"/>
      <c r="F614" s="228">
        <f t="shared" si="47"/>
        <v>7.1428571428571411E-2</v>
      </c>
      <c r="G614" s="269">
        <f>+F614*G607</f>
        <v>1.1369562652366824E-5</v>
      </c>
      <c r="H614" s="299"/>
      <c r="I614" s="299"/>
      <c r="J614" s="299"/>
      <c r="K614" s="299"/>
      <c r="L614" s="299"/>
      <c r="M614" s="299"/>
      <c r="N614" s="229">
        <v>1</v>
      </c>
      <c r="O614" s="229">
        <v>1</v>
      </c>
      <c r="P614" s="229">
        <v>1</v>
      </c>
      <c r="Q614" s="272">
        <v>0.72140000000000004</v>
      </c>
      <c r="R614" s="256">
        <f t="shared" si="48"/>
        <v>0.72140000000000004</v>
      </c>
      <c r="S614" s="256">
        <f t="shared" si="48"/>
        <v>0.72140000000000004</v>
      </c>
      <c r="T614" s="256">
        <f t="shared" si="48"/>
        <v>0.72140000000000004</v>
      </c>
      <c r="U614" s="216"/>
      <c r="V614" s="216"/>
    </row>
    <row r="615" spans="1:22" s="140" customFormat="1" ht="25.5" hidden="1" outlineLevel="5">
      <c r="A615" s="216"/>
      <c r="B615" s="255" t="s">
        <v>801</v>
      </c>
      <c r="C615" s="290" t="s">
        <v>245</v>
      </c>
      <c r="D615" s="227" t="s">
        <v>231</v>
      </c>
      <c r="E615" s="241"/>
      <c r="F615" s="228">
        <f t="shared" si="47"/>
        <v>7.1428571428571411E-2</v>
      </c>
      <c r="G615" s="269">
        <f>+F615*G607</f>
        <v>1.1369562652366824E-5</v>
      </c>
      <c r="H615" s="299"/>
      <c r="I615" s="299"/>
      <c r="J615" s="299"/>
      <c r="K615" s="299"/>
      <c r="L615" s="299"/>
      <c r="M615" s="299"/>
      <c r="N615" s="229">
        <v>1</v>
      </c>
      <c r="O615" s="229">
        <v>1</v>
      </c>
      <c r="P615" s="229">
        <v>1</v>
      </c>
      <c r="Q615" s="272">
        <v>0.72140000000000004</v>
      </c>
      <c r="R615" s="256">
        <f t="shared" si="48"/>
        <v>0.72140000000000004</v>
      </c>
      <c r="S615" s="256">
        <f t="shared" si="48"/>
        <v>0.72140000000000004</v>
      </c>
      <c r="T615" s="256">
        <f t="shared" si="48"/>
        <v>0.72140000000000004</v>
      </c>
      <c r="U615" s="216"/>
      <c r="V615" s="216"/>
    </row>
    <row r="616" spans="1:22" s="140" customFormat="1" ht="25.5" hidden="1" outlineLevel="5">
      <c r="A616" s="216"/>
      <c r="B616" s="255" t="s">
        <v>802</v>
      </c>
      <c r="C616" s="290" t="s">
        <v>247</v>
      </c>
      <c r="D616" s="227" t="s">
        <v>231</v>
      </c>
      <c r="E616" s="241"/>
      <c r="F616" s="228">
        <f t="shared" si="47"/>
        <v>7.1428571428571411E-2</v>
      </c>
      <c r="G616" s="269">
        <f>+F616*G607</f>
        <v>1.1369562652366824E-5</v>
      </c>
      <c r="H616" s="299"/>
      <c r="I616" s="299"/>
      <c r="J616" s="299"/>
      <c r="K616" s="299"/>
      <c r="L616" s="299"/>
      <c r="M616" s="299"/>
      <c r="N616" s="229">
        <v>1</v>
      </c>
      <c r="O616" s="229">
        <v>1</v>
      </c>
      <c r="P616" s="229">
        <v>1</v>
      </c>
      <c r="Q616" s="272">
        <v>0.72140000000000004</v>
      </c>
      <c r="R616" s="256">
        <f t="shared" si="48"/>
        <v>0.72140000000000004</v>
      </c>
      <c r="S616" s="256">
        <f t="shared" si="48"/>
        <v>0.72140000000000004</v>
      </c>
      <c r="T616" s="256">
        <f t="shared" si="48"/>
        <v>0.72140000000000004</v>
      </c>
      <c r="U616" s="216"/>
      <c r="V616" s="216"/>
    </row>
    <row r="617" spans="1:22" s="140" customFormat="1" ht="25.5" hidden="1" outlineLevel="5">
      <c r="A617" s="216"/>
      <c r="B617" s="255" t="s">
        <v>803</v>
      </c>
      <c r="C617" s="290" t="s">
        <v>249</v>
      </c>
      <c r="D617" s="227" t="s">
        <v>231</v>
      </c>
      <c r="E617" s="241"/>
      <c r="F617" s="228">
        <f t="shared" si="47"/>
        <v>7.1428571428571411E-2</v>
      </c>
      <c r="G617" s="269">
        <f>+F617*G607</f>
        <v>1.1369562652366824E-5</v>
      </c>
      <c r="H617" s="299"/>
      <c r="I617" s="299"/>
      <c r="J617" s="299"/>
      <c r="K617" s="299"/>
      <c r="L617" s="299"/>
      <c r="M617" s="299"/>
      <c r="N617" s="229">
        <v>1</v>
      </c>
      <c r="O617" s="229">
        <v>1</v>
      </c>
      <c r="P617" s="229">
        <v>1</v>
      </c>
      <c r="Q617" s="272">
        <v>0.72140000000000004</v>
      </c>
      <c r="R617" s="256">
        <f t="shared" si="48"/>
        <v>0.72140000000000004</v>
      </c>
      <c r="S617" s="256">
        <f t="shared" si="48"/>
        <v>0.72140000000000004</v>
      </c>
      <c r="T617" s="256">
        <f t="shared" si="48"/>
        <v>0.72140000000000004</v>
      </c>
      <c r="U617" s="216"/>
      <c r="V617" s="216"/>
    </row>
    <row r="618" spans="1:22" s="140" customFormat="1" ht="25.5" hidden="1" outlineLevel="5">
      <c r="A618" s="216"/>
      <c r="B618" s="255" t="s">
        <v>804</v>
      </c>
      <c r="C618" s="290" t="s">
        <v>251</v>
      </c>
      <c r="D618" s="227" t="s">
        <v>231</v>
      </c>
      <c r="E618" s="241"/>
      <c r="F618" s="228">
        <f t="shared" si="47"/>
        <v>7.1428571428571411E-2</v>
      </c>
      <c r="G618" s="269">
        <f>+F618*G607</f>
        <v>1.1369562652366824E-5</v>
      </c>
      <c r="H618" s="299"/>
      <c r="I618" s="299"/>
      <c r="J618" s="299"/>
      <c r="K618" s="299"/>
      <c r="L618" s="299"/>
      <c r="M618" s="299"/>
      <c r="N618" s="229">
        <v>1</v>
      </c>
      <c r="O618" s="229">
        <v>1</v>
      </c>
      <c r="P618" s="229">
        <v>1</v>
      </c>
      <c r="Q618" s="272">
        <v>0.72140000000000004</v>
      </c>
      <c r="R618" s="256">
        <f t="shared" si="48"/>
        <v>0.72140000000000004</v>
      </c>
      <c r="S618" s="256">
        <f t="shared" si="48"/>
        <v>0.72140000000000004</v>
      </c>
      <c r="T618" s="256">
        <f t="shared" si="48"/>
        <v>0.72140000000000004</v>
      </c>
      <c r="U618" s="216"/>
      <c r="V618" s="216"/>
    </row>
    <row r="619" spans="1:22" s="140" customFormat="1" ht="25.5" hidden="1" outlineLevel="5">
      <c r="A619" s="216"/>
      <c r="B619" s="255" t="s">
        <v>805</v>
      </c>
      <c r="C619" s="290" t="s">
        <v>253</v>
      </c>
      <c r="D619" s="227" t="s">
        <v>231</v>
      </c>
      <c r="E619" s="241"/>
      <c r="F619" s="228">
        <f t="shared" si="47"/>
        <v>7.1428571428571411E-2</v>
      </c>
      <c r="G619" s="269">
        <f>+F619*G607</f>
        <v>1.1369562652366824E-5</v>
      </c>
      <c r="H619" s="299"/>
      <c r="I619" s="299"/>
      <c r="J619" s="299"/>
      <c r="K619" s="299"/>
      <c r="L619" s="299"/>
      <c r="M619" s="299"/>
      <c r="N619" s="229">
        <v>1</v>
      </c>
      <c r="O619" s="229">
        <v>1</v>
      </c>
      <c r="P619" s="229">
        <v>1</v>
      </c>
      <c r="Q619" s="272">
        <v>0.72140000000000004</v>
      </c>
      <c r="R619" s="256">
        <f t="shared" si="48"/>
        <v>0.72140000000000004</v>
      </c>
      <c r="S619" s="256">
        <f t="shared" si="48"/>
        <v>0.72140000000000004</v>
      </c>
      <c r="T619" s="256">
        <f t="shared" si="48"/>
        <v>0.72140000000000004</v>
      </c>
      <c r="U619" s="216"/>
      <c r="V619" s="216"/>
    </row>
    <row r="620" spans="1:22" s="140" customFormat="1" ht="25.5" hidden="1" outlineLevel="5">
      <c r="A620" s="216"/>
      <c r="B620" s="255" t="s">
        <v>806</v>
      </c>
      <c r="C620" s="290" t="s">
        <v>285</v>
      </c>
      <c r="D620" s="227" t="s">
        <v>231</v>
      </c>
      <c r="E620" s="241"/>
      <c r="F620" s="228">
        <f t="shared" si="47"/>
        <v>7.1428571428571411E-2</v>
      </c>
      <c r="G620" s="269">
        <f>+F620*G607</f>
        <v>1.1369562652366824E-5</v>
      </c>
      <c r="H620" s="299"/>
      <c r="I620" s="299"/>
      <c r="J620" s="299"/>
      <c r="K620" s="299"/>
      <c r="L620" s="299"/>
      <c r="M620" s="299"/>
      <c r="N620" s="229">
        <v>1</v>
      </c>
      <c r="O620" s="229">
        <v>1</v>
      </c>
      <c r="P620" s="229">
        <v>1</v>
      </c>
      <c r="Q620" s="272">
        <v>0.72140000000000004</v>
      </c>
      <c r="R620" s="256">
        <f t="shared" si="48"/>
        <v>0.72140000000000004</v>
      </c>
      <c r="S620" s="256">
        <f t="shared" si="48"/>
        <v>0.72140000000000004</v>
      </c>
      <c r="T620" s="256">
        <f t="shared" si="48"/>
        <v>0.72140000000000004</v>
      </c>
      <c r="U620" s="216"/>
      <c r="V620" s="216"/>
    </row>
    <row r="621" spans="1:22" s="140" customFormat="1" ht="25.5" hidden="1" outlineLevel="5">
      <c r="A621" s="216"/>
      <c r="B621" s="255" t="s">
        <v>807</v>
      </c>
      <c r="C621" s="290" t="s">
        <v>287</v>
      </c>
      <c r="D621" s="227" t="s">
        <v>231</v>
      </c>
      <c r="E621" s="241"/>
      <c r="F621" s="228">
        <f t="shared" si="47"/>
        <v>7.1428571428571411E-2</v>
      </c>
      <c r="G621" s="269">
        <f>+F621*G607</f>
        <v>1.1369562652366824E-5</v>
      </c>
      <c r="H621" s="299"/>
      <c r="I621" s="299"/>
      <c r="J621" s="299"/>
      <c r="K621" s="299"/>
      <c r="L621" s="299"/>
      <c r="M621" s="299"/>
      <c r="N621" s="229">
        <v>1</v>
      </c>
      <c r="O621" s="229">
        <v>1</v>
      </c>
      <c r="P621" s="229">
        <v>1</v>
      </c>
      <c r="Q621" s="272">
        <v>0.72140000000000004</v>
      </c>
      <c r="R621" s="256">
        <f t="shared" si="48"/>
        <v>0.72140000000000004</v>
      </c>
      <c r="S621" s="256">
        <f t="shared" si="48"/>
        <v>0.72140000000000004</v>
      </c>
      <c r="T621" s="256">
        <f t="shared" si="48"/>
        <v>0.72140000000000004</v>
      </c>
      <c r="U621" s="216"/>
      <c r="V621" s="216"/>
    </row>
    <row r="622" spans="1:22" s="140" customFormat="1" ht="25.5" hidden="1" outlineLevel="4">
      <c r="A622" s="216"/>
      <c r="B622" s="291" t="s">
        <v>808</v>
      </c>
      <c r="C622" s="292" t="s">
        <v>43</v>
      </c>
      <c r="D622" s="234" t="s">
        <v>33</v>
      </c>
      <c r="E622" s="240"/>
      <c r="F622" s="223">
        <f t="shared" si="47"/>
        <v>0.13388996515868054</v>
      </c>
      <c r="G622" s="293">
        <f>+F622*G533</f>
        <v>1.9287079620999097E-4</v>
      </c>
      <c r="H622" s="298"/>
      <c r="I622" s="298"/>
      <c r="J622" s="298"/>
      <c r="K622" s="298"/>
      <c r="L622" s="298"/>
      <c r="M622" s="298"/>
      <c r="N622" s="224">
        <f>+SUMPRODUCT($F623:$F639,N623:N639)</f>
        <v>1.0000000000000002</v>
      </c>
      <c r="O622" s="224">
        <f>+SUMPRODUCT($F623:$F639,O623:O639)</f>
        <v>1.0000000000000002</v>
      </c>
      <c r="P622" s="224">
        <f>+SUMPRODUCT($F623:$F639,P623:P639)</f>
        <v>1.0000000000000002</v>
      </c>
      <c r="Q622" s="270">
        <f>+SUMPRODUCT($F623:$F639,Q623:Q639)</f>
        <v>0.72</v>
      </c>
      <c r="R622" s="254">
        <f t="shared" si="48"/>
        <v>0.71999999999999986</v>
      </c>
      <c r="S622" s="254">
        <f t="shared" si="48"/>
        <v>0.71999999999999986</v>
      </c>
      <c r="T622" s="254">
        <f t="shared" si="48"/>
        <v>0.71999999999999986</v>
      </c>
      <c r="U622" s="216"/>
      <c r="V622" s="216"/>
    </row>
    <row r="623" spans="1:22" s="140" customFormat="1" ht="25.5" hidden="1" outlineLevel="5">
      <c r="A623" s="216"/>
      <c r="B623" s="255" t="s">
        <v>809</v>
      </c>
      <c r="C623" s="290" t="s">
        <v>230</v>
      </c>
      <c r="D623" s="227" t="s">
        <v>231</v>
      </c>
      <c r="E623" s="241"/>
      <c r="F623" s="228">
        <f t="shared" si="47"/>
        <v>6.2251019714089834E-2</v>
      </c>
      <c r="G623" s="269">
        <f>+F623*G622</f>
        <v>1.200640373714035E-5</v>
      </c>
      <c r="H623" s="299"/>
      <c r="I623" s="299"/>
      <c r="J623" s="299"/>
      <c r="K623" s="299"/>
      <c r="L623" s="299"/>
      <c r="M623" s="299"/>
      <c r="N623" s="229">
        <v>1</v>
      </c>
      <c r="O623" s="229">
        <v>1</v>
      </c>
      <c r="P623" s="229">
        <v>1</v>
      </c>
      <c r="Q623" s="272">
        <v>0.72</v>
      </c>
      <c r="R623" s="256">
        <f t="shared" si="48"/>
        <v>0.72</v>
      </c>
      <c r="S623" s="256">
        <f t="shared" si="48"/>
        <v>0.72</v>
      </c>
      <c r="T623" s="256">
        <f t="shared" si="48"/>
        <v>0.72</v>
      </c>
      <c r="U623" s="216"/>
      <c r="V623" s="216"/>
    </row>
    <row r="624" spans="1:22" s="140" customFormat="1" ht="25.5" hidden="1" outlineLevel="5">
      <c r="A624" s="216"/>
      <c r="B624" s="255" t="s">
        <v>810</v>
      </c>
      <c r="C624" s="290" t="s">
        <v>233</v>
      </c>
      <c r="D624" s="227" t="s">
        <v>231</v>
      </c>
      <c r="E624" s="241"/>
      <c r="F624" s="228">
        <f t="shared" si="47"/>
        <v>6.2251019714089834E-2</v>
      </c>
      <c r="G624" s="269">
        <f>+F624*G622</f>
        <v>1.200640373714035E-5</v>
      </c>
      <c r="H624" s="299"/>
      <c r="I624" s="299"/>
      <c r="J624" s="299"/>
      <c r="K624" s="299"/>
      <c r="L624" s="299"/>
      <c r="M624" s="299"/>
      <c r="N624" s="229">
        <v>1</v>
      </c>
      <c r="O624" s="229">
        <v>1</v>
      </c>
      <c r="P624" s="229">
        <v>1</v>
      </c>
      <c r="Q624" s="272">
        <v>0.72</v>
      </c>
      <c r="R624" s="256">
        <f t="shared" si="48"/>
        <v>0.72</v>
      </c>
      <c r="S624" s="256">
        <f t="shared" si="48"/>
        <v>0.72</v>
      </c>
      <c r="T624" s="256">
        <f t="shared" si="48"/>
        <v>0.72</v>
      </c>
      <c r="U624" s="216"/>
      <c r="V624" s="216"/>
    </row>
    <row r="625" spans="1:22" s="140" customFormat="1" ht="25.5" hidden="1" outlineLevel="5">
      <c r="A625" s="216"/>
      <c r="B625" s="255" t="s">
        <v>811</v>
      </c>
      <c r="C625" s="290" t="s">
        <v>235</v>
      </c>
      <c r="D625" s="227" t="s">
        <v>231</v>
      </c>
      <c r="E625" s="241"/>
      <c r="F625" s="228">
        <f t="shared" si="47"/>
        <v>6.2251019714089834E-2</v>
      </c>
      <c r="G625" s="269">
        <f>+F625*G622</f>
        <v>1.200640373714035E-5</v>
      </c>
      <c r="H625" s="299"/>
      <c r="I625" s="299"/>
      <c r="J625" s="299"/>
      <c r="K625" s="299"/>
      <c r="L625" s="299"/>
      <c r="M625" s="299"/>
      <c r="N625" s="229">
        <v>1</v>
      </c>
      <c r="O625" s="229">
        <v>1</v>
      </c>
      <c r="P625" s="229">
        <v>1</v>
      </c>
      <c r="Q625" s="272">
        <v>0.72</v>
      </c>
      <c r="R625" s="256">
        <f t="shared" si="48"/>
        <v>0.72</v>
      </c>
      <c r="S625" s="256">
        <f t="shared" si="48"/>
        <v>0.72</v>
      </c>
      <c r="T625" s="256">
        <f t="shared" si="48"/>
        <v>0.72</v>
      </c>
      <c r="U625" s="216"/>
      <c r="V625" s="216"/>
    </row>
    <row r="626" spans="1:22" s="140" customFormat="1" ht="25.5" hidden="1" outlineLevel="5">
      <c r="A626" s="216"/>
      <c r="B626" s="255" t="s">
        <v>812</v>
      </c>
      <c r="C626" s="290" t="s">
        <v>237</v>
      </c>
      <c r="D626" s="227" t="s">
        <v>231</v>
      </c>
      <c r="E626" s="241"/>
      <c r="F626" s="228">
        <f t="shared" si="47"/>
        <v>6.2251019714089834E-2</v>
      </c>
      <c r="G626" s="269">
        <f>+F626*G622</f>
        <v>1.200640373714035E-5</v>
      </c>
      <c r="H626" s="299"/>
      <c r="I626" s="299"/>
      <c r="J626" s="299"/>
      <c r="K626" s="299"/>
      <c r="L626" s="299"/>
      <c r="M626" s="299"/>
      <c r="N626" s="229">
        <v>1</v>
      </c>
      <c r="O626" s="229">
        <v>1</v>
      </c>
      <c r="P626" s="229">
        <v>1</v>
      </c>
      <c r="Q626" s="272">
        <v>0.72</v>
      </c>
      <c r="R626" s="256">
        <f t="shared" si="48"/>
        <v>0.72</v>
      </c>
      <c r="S626" s="256">
        <f t="shared" si="48"/>
        <v>0.72</v>
      </c>
      <c r="T626" s="256">
        <f t="shared" si="48"/>
        <v>0.72</v>
      </c>
      <c r="U626" s="216"/>
      <c r="V626" s="216"/>
    </row>
    <row r="627" spans="1:22" s="140" customFormat="1" ht="25.5" hidden="1" outlineLevel="5">
      <c r="A627" s="216"/>
      <c r="B627" s="255" t="s">
        <v>813</v>
      </c>
      <c r="C627" s="290" t="s">
        <v>239</v>
      </c>
      <c r="D627" s="227" t="s">
        <v>231</v>
      </c>
      <c r="E627" s="241"/>
      <c r="F627" s="228">
        <f t="shared" si="47"/>
        <v>6.2251019714089834E-2</v>
      </c>
      <c r="G627" s="269">
        <f>+F627*G622</f>
        <v>1.200640373714035E-5</v>
      </c>
      <c r="H627" s="299"/>
      <c r="I627" s="299"/>
      <c r="J627" s="299"/>
      <c r="K627" s="299"/>
      <c r="L627" s="299"/>
      <c r="M627" s="299"/>
      <c r="N627" s="229">
        <v>1</v>
      </c>
      <c r="O627" s="229">
        <v>1</v>
      </c>
      <c r="P627" s="229">
        <v>1</v>
      </c>
      <c r="Q627" s="272">
        <v>0.72</v>
      </c>
      <c r="R627" s="256">
        <f t="shared" si="48"/>
        <v>0.72</v>
      </c>
      <c r="S627" s="256">
        <f t="shared" si="48"/>
        <v>0.72</v>
      </c>
      <c r="T627" s="256">
        <f t="shared" si="48"/>
        <v>0.72</v>
      </c>
      <c r="U627" s="216"/>
      <c r="V627" s="216"/>
    </row>
    <row r="628" spans="1:22" s="140" customFormat="1" ht="25.5" hidden="1" outlineLevel="5">
      <c r="A628" s="216"/>
      <c r="B628" s="255" t="s">
        <v>814</v>
      </c>
      <c r="C628" s="290" t="s">
        <v>241</v>
      </c>
      <c r="D628" s="227" t="s">
        <v>231</v>
      </c>
      <c r="E628" s="241"/>
      <c r="F628" s="228">
        <f t="shared" si="47"/>
        <v>6.2251019714089834E-2</v>
      </c>
      <c r="G628" s="269">
        <f>+F628*G622</f>
        <v>1.200640373714035E-5</v>
      </c>
      <c r="H628" s="299"/>
      <c r="I628" s="299"/>
      <c r="J628" s="299"/>
      <c r="K628" s="299"/>
      <c r="L628" s="299"/>
      <c r="M628" s="299"/>
      <c r="N628" s="229">
        <v>1</v>
      </c>
      <c r="O628" s="229">
        <v>1</v>
      </c>
      <c r="P628" s="229">
        <v>1</v>
      </c>
      <c r="Q628" s="272">
        <v>0.72</v>
      </c>
      <c r="R628" s="256">
        <f t="shared" si="48"/>
        <v>0.72</v>
      </c>
      <c r="S628" s="256">
        <f t="shared" si="48"/>
        <v>0.72</v>
      </c>
      <c r="T628" s="256">
        <f t="shared" si="48"/>
        <v>0.72</v>
      </c>
      <c r="U628" s="216"/>
      <c r="V628" s="216"/>
    </row>
    <row r="629" spans="1:22" s="140" customFormat="1" ht="25.5" hidden="1" outlineLevel="5">
      <c r="A629" s="216"/>
      <c r="B629" s="255" t="s">
        <v>815</v>
      </c>
      <c r="C629" s="290" t="s">
        <v>243</v>
      </c>
      <c r="D629" s="227" t="s">
        <v>231</v>
      </c>
      <c r="E629" s="241"/>
      <c r="F629" s="228">
        <f t="shared" si="47"/>
        <v>6.2251019714089834E-2</v>
      </c>
      <c r="G629" s="269">
        <f>+F629*G622</f>
        <v>1.200640373714035E-5</v>
      </c>
      <c r="H629" s="299"/>
      <c r="I629" s="299"/>
      <c r="J629" s="299"/>
      <c r="K629" s="299"/>
      <c r="L629" s="299"/>
      <c r="M629" s="299"/>
      <c r="N629" s="229">
        <v>1</v>
      </c>
      <c r="O629" s="229">
        <v>1</v>
      </c>
      <c r="P629" s="229">
        <v>1</v>
      </c>
      <c r="Q629" s="272">
        <v>0.72</v>
      </c>
      <c r="R629" s="256">
        <f t="shared" si="48"/>
        <v>0.72</v>
      </c>
      <c r="S629" s="256">
        <f t="shared" si="48"/>
        <v>0.72</v>
      </c>
      <c r="T629" s="256">
        <f t="shared" si="48"/>
        <v>0.72</v>
      </c>
      <c r="U629" s="216"/>
      <c r="V629" s="216"/>
    </row>
    <row r="630" spans="1:22" s="140" customFormat="1" ht="25.5" hidden="1" outlineLevel="5">
      <c r="A630" s="216"/>
      <c r="B630" s="255" t="s">
        <v>816</v>
      </c>
      <c r="C630" s="290" t="s">
        <v>245</v>
      </c>
      <c r="D630" s="227" t="s">
        <v>231</v>
      </c>
      <c r="E630" s="241"/>
      <c r="F630" s="228">
        <f t="shared" si="47"/>
        <v>6.2251019714089834E-2</v>
      </c>
      <c r="G630" s="269">
        <f>+F630*G622</f>
        <v>1.200640373714035E-5</v>
      </c>
      <c r="H630" s="299"/>
      <c r="I630" s="299"/>
      <c r="J630" s="299"/>
      <c r="K630" s="299"/>
      <c r="L630" s="299"/>
      <c r="M630" s="299"/>
      <c r="N630" s="229">
        <v>1</v>
      </c>
      <c r="O630" s="229">
        <v>1</v>
      </c>
      <c r="P630" s="229">
        <v>1</v>
      </c>
      <c r="Q630" s="272">
        <v>0.72</v>
      </c>
      <c r="R630" s="256">
        <f t="shared" si="48"/>
        <v>0.72</v>
      </c>
      <c r="S630" s="256">
        <f t="shared" si="48"/>
        <v>0.72</v>
      </c>
      <c r="T630" s="256">
        <f t="shared" si="48"/>
        <v>0.72</v>
      </c>
      <c r="U630" s="216"/>
      <c r="V630" s="216"/>
    </row>
    <row r="631" spans="1:22" s="140" customFormat="1" ht="25.5" hidden="1" outlineLevel="5">
      <c r="A631" s="216"/>
      <c r="B631" s="255" t="s">
        <v>817</v>
      </c>
      <c r="C631" s="290" t="s">
        <v>247</v>
      </c>
      <c r="D631" s="227" t="s">
        <v>231</v>
      </c>
      <c r="E631" s="241"/>
      <c r="F631" s="228">
        <f t="shared" si="47"/>
        <v>6.2251019714089834E-2</v>
      </c>
      <c r="G631" s="269">
        <f>+F631*G622</f>
        <v>1.200640373714035E-5</v>
      </c>
      <c r="H631" s="299"/>
      <c r="I631" s="299"/>
      <c r="J631" s="299"/>
      <c r="K631" s="299"/>
      <c r="L631" s="299"/>
      <c r="M631" s="299"/>
      <c r="N631" s="229">
        <v>1</v>
      </c>
      <c r="O631" s="229">
        <v>1</v>
      </c>
      <c r="P631" s="229">
        <v>1</v>
      </c>
      <c r="Q631" s="272">
        <v>0.72</v>
      </c>
      <c r="R631" s="256">
        <f t="shared" si="48"/>
        <v>0.72</v>
      </c>
      <c r="S631" s="256">
        <f t="shared" si="48"/>
        <v>0.72</v>
      </c>
      <c r="T631" s="256">
        <f t="shared" si="48"/>
        <v>0.72</v>
      </c>
      <c r="U631" s="216"/>
      <c r="V631" s="216"/>
    </row>
    <row r="632" spans="1:22" s="140" customFormat="1" ht="25.5" hidden="1" outlineLevel="5">
      <c r="A632" s="216"/>
      <c r="B632" s="255" t="s">
        <v>818</v>
      </c>
      <c r="C632" s="290" t="s">
        <v>249</v>
      </c>
      <c r="D632" s="227" t="s">
        <v>231</v>
      </c>
      <c r="E632" s="241"/>
      <c r="F632" s="228">
        <f t="shared" si="47"/>
        <v>6.2251019714089834E-2</v>
      </c>
      <c r="G632" s="269">
        <f>+F632*G622</f>
        <v>1.200640373714035E-5</v>
      </c>
      <c r="H632" s="299"/>
      <c r="I632" s="299"/>
      <c r="J632" s="299"/>
      <c r="K632" s="299"/>
      <c r="L632" s="299"/>
      <c r="M632" s="299"/>
      <c r="N632" s="229">
        <v>1</v>
      </c>
      <c r="O632" s="229">
        <v>1</v>
      </c>
      <c r="P632" s="229">
        <v>1</v>
      </c>
      <c r="Q632" s="272">
        <v>0.72</v>
      </c>
      <c r="R632" s="256">
        <f t="shared" si="48"/>
        <v>0.72</v>
      </c>
      <c r="S632" s="256">
        <f t="shared" si="48"/>
        <v>0.72</v>
      </c>
      <c r="T632" s="256">
        <f t="shared" si="48"/>
        <v>0.72</v>
      </c>
      <c r="U632" s="216"/>
      <c r="V632" s="216"/>
    </row>
    <row r="633" spans="1:22" s="140" customFormat="1" ht="25.5" hidden="1" outlineLevel="5">
      <c r="A633" s="216"/>
      <c r="B633" s="255" t="s">
        <v>819</v>
      </c>
      <c r="C633" s="290" t="s">
        <v>251</v>
      </c>
      <c r="D633" s="227" t="s">
        <v>231</v>
      </c>
      <c r="E633" s="241"/>
      <c r="F633" s="228">
        <f t="shared" si="47"/>
        <v>6.2251019714089834E-2</v>
      </c>
      <c r="G633" s="269">
        <f>+F633*G622</f>
        <v>1.200640373714035E-5</v>
      </c>
      <c r="H633" s="299"/>
      <c r="I633" s="299"/>
      <c r="J633" s="299"/>
      <c r="K633" s="299"/>
      <c r="L633" s="299"/>
      <c r="M633" s="299"/>
      <c r="N633" s="229">
        <v>1</v>
      </c>
      <c r="O633" s="229">
        <v>1</v>
      </c>
      <c r="P633" s="229">
        <v>1</v>
      </c>
      <c r="Q633" s="272">
        <v>0.72</v>
      </c>
      <c r="R633" s="256">
        <f t="shared" si="48"/>
        <v>0.72</v>
      </c>
      <c r="S633" s="256">
        <f t="shared" si="48"/>
        <v>0.72</v>
      </c>
      <c r="T633" s="256">
        <f t="shared" si="48"/>
        <v>0.72</v>
      </c>
      <c r="U633" s="216"/>
      <c r="V633" s="216"/>
    </row>
    <row r="634" spans="1:22" s="140" customFormat="1" ht="25.5" hidden="1" outlineLevel="5">
      <c r="A634" s="216"/>
      <c r="B634" s="255" t="s">
        <v>820</v>
      </c>
      <c r="C634" s="290" t="s">
        <v>253</v>
      </c>
      <c r="D634" s="227" t="s">
        <v>231</v>
      </c>
      <c r="E634" s="241"/>
      <c r="F634" s="228">
        <f t="shared" si="47"/>
        <v>6.2251019714089834E-2</v>
      </c>
      <c r="G634" s="269">
        <f>+F634*G622</f>
        <v>1.200640373714035E-5</v>
      </c>
      <c r="H634" s="299"/>
      <c r="I634" s="299"/>
      <c r="J634" s="299"/>
      <c r="K634" s="299"/>
      <c r="L634" s="299"/>
      <c r="M634" s="299"/>
      <c r="N634" s="229">
        <v>1</v>
      </c>
      <c r="O634" s="229">
        <v>1</v>
      </c>
      <c r="P634" s="229">
        <v>1</v>
      </c>
      <c r="Q634" s="272">
        <v>0.72</v>
      </c>
      <c r="R634" s="256">
        <f t="shared" si="48"/>
        <v>0.72</v>
      </c>
      <c r="S634" s="256">
        <f t="shared" si="48"/>
        <v>0.72</v>
      </c>
      <c r="T634" s="256">
        <f t="shared" si="48"/>
        <v>0.72</v>
      </c>
      <c r="U634" s="216"/>
      <c r="V634" s="216"/>
    </row>
    <row r="635" spans="1:22" s="140" customFormat="1" ht="25.5" hidden="1" outlineLevel="5">
      <c r="A635" s="216"/>
      <c r="B635" s="255" t="s">
        <v>821</v>
      </c>
      <c r="C635" s="290" t="s">
        <v>285</v>
      </c>
      <c r="D635" s="227" t="s">
        <v>231</v>
      </c>
      <c r="E635" s="241"/>
      <c r="F635" s="228">
        <f t="shared" si="47"/>
        <v>6.2251019714089834E-2</v>
      </c>
      <c r="G635" s="269">
        <f>+F635*G622</f>
        <v>1.200640373714035E-5</v>
      </c>
      <c r="H635" s="299"/>
      <c r="I635" s="299"/>
      <c r="J635" s="299"/>
      <c r="K635" s="299"/>
      <c r="L635" s="299"/>
      <c r="M635" s="299"/>
      <c r="N635" s="229">
        <v>1</v>
      </c>
      <c r="O635" s="229">
        <v>1</v>
      </c>
      <c r="P635" s="229">
        <v>1</v>
      </c>
      <c r="Q635" s="272">
        <v>0.72</v>
      </c>
      <c r="R635" s="256">
        <f t="shared" si="48"/>
        <v>0.72</v>
      </c>
      <c r="S635" s="256">
        <f t="shared" si="48"/>
        <v>0.72</v>
      </c>
      <c r="T635" s="256">
        <f t="shared" si="48"/>
        <v>0.72</v>
      </c>
      <c r="U635" s="216"/>
      <c r="V635" s="216"/>
    </row>
    <row r="636" spans="1:22" s="140" customFormat="1" ht="25.5" hidden="1" outlineLevel="5">
      <c r="A636" s="216"/>
      <c r="B636" s="255" t="s">
        <v>822</v>
      </c>
      <c r="C636" s="290" t="s">
        <v>287</v>
      </c>
      <c r="D636" s="227" t="s">
        <v>231</v>
      </c>
      <c r="E636" s="241"/>
      <c r="F636" s="228">
        <f t="shared" si="47"/>
        <v>6.2251019714089834E-2</v>
      </c>
      <c r="G636" s="269">
        <f>+F636*G622</f>
        <v>1.200640373714035E-5</v>
      </c>
      <c r="H636" s="299"/>
      <c r="I636" s="299"/>
      <c r="J636" s="299"/>
      <c r="K636" s="299"/>
      <c r="L636" s="299"/>
      <c r="M636" s="299"/>
      <c r="N636" s="229">
        <v>1</v>
      </c>
      <c r="O636" s="229">
        <v>1</v>
      </c>
      <c r="P636" s="229">
        <v>1</v>
      </c>
      <c r="Q636" s="272">
        <v>0.72</v>
      </c>
      <c r="R636" s="256">
        <f t="shared" si="48"/>
        <v>0.72</v>
      </c>
      <c r="S636" s="256">
        <f t="shared" si="48"/>
        <v>0.72</v>
      </c>
      <c r="T636" s="256">
        <f t="shared" si="48"/>
        <v>0.72</v>
      </c>
      <c r="U636" s="216"/>
      <c r="V636" s="216"/>
    </row>
    <row r="637" spans="1:22" s="140" customFormat="1" ht="25.5" hidden="1" outlineLevel="5">
      <c r="A637" s="216"/>
      <c r="B637" s="255" t="s">
        <v>823</v>
      </c>
      <c r="C637" s="290" t="s">
        <v>289</v>
      </c>
      <c r="D637" s="227" t="s">
        <v>231</v>
      </c>
      <c r="E637" s="241"/>
      <c r="F637" s="228">
        <f t="shared" si="47"/>
        <v>6.2251019714089834E-2</v>
      </c>
      <c r="G637" s="269">
        <f>+F637*G622</f>
        <v>1.200640373714035E-5</v>
      </c>
      <c r="H637" s="299"/>
      <c r="I637" s="299"/>
      <c r="J637" s="299"/>
      <c r="K637" s="299"/>
      <c r="L637" s="299"/>
      <c r="M637" s="299"/>
      <c r="N637" s="229">
        <v>1</v>
      </c>
      <c r="O637" s="229">
        <v>1</v>
      </c>
      <c r="P637" s="229">
        <v>1</v>
      </c>
      <c r="Q637" s="272">
        <v>0.72</v>
      </c>
      <c r="R637" s="256">
        <f t="shared" si="48"/>
        <v>0.72</v>
      </c>
      <c r="S637" s="256">
        <f t="shared" si="48"/>
        <v>0.72</v>
      </c>
      <c r="T637" s="256">
        <f t="shared" si="48"/>
        <v>0.72</v>
      </c>
      <c r="U637" s="216"/>
      <c r="V637" s="216"/>
    </row>
    <row r="638" spans="1:22" s="140" customFormat="1" ht="25.5" hidden="1" outlineLevel="5">
      <c r="A638" s="216"/>
      <c r="B638" s="255" t="s">
        <v>824</v>
      </c>
      <c r="C638" s="290" t="s">
        <v>291</v>
      </c>
      <c r="D638" s="227" t="s">
        <v>231</v>
      </c>
      <c r="E638" s="241"/>
      <c r="F638" s="228">
        <f t="shared" si="47"/>
        <v>6.2251019714089834E-2</v>
      </c>
      <c r="G638" s="269">
        <f>+F638*G622</f>
        <v>1.200640373714035E-5</v>
      </c>
      <c r="H638" s="299"/>
      <c r="I638" s="299"/>
      <c r="J638" s="299"/>
      <c r="K638" s="299"/>
      <c r="L638" s="299"/>
      <c r="M638" s="299"/>
      <c r="N638" s="229">
        <v>1</v>
      </c>
      <c r="O638" s="229">
        <v>1</v>
      </c>
      <c r="P638" s="229">
        <v>1</v>
      </c>
      <c r="Q638" s="272">
        <v>0.72</v>
      </c>
      <c r="R638" s="256">
        <f t="shared" si="48"/>
        <v>0.72</v>
      </c>
      <c r="S638" s="256">
        <f t="shared" si="48"/>
        <v>0.72</v>
      </c>
      <c r="T638" s="256">
        <f t="shared" si="48"/>
        <v>0.72</v>
      </c>
      <c r="U638" s="216"/>
      <c r="V638" s="216"/>
    </row>
    <row r="639" spans="1:22" s="140" customFormat="1" ht="25.5" hidden="1" outlineLevel="5">
      <c r="A639" s="216"/>
      <c r="B639" s="255" t="s">
        <v>825</v>
      </c>
      <c r="C639" s="290" t="s">
        <v>366</v>
      </c>
      <c r="D639" s="227" t="s">
        <v>367</v>
      </c>
      <c r="E639" s="241"/>
      <c r="F639" s="228">
        <f t="shared" si="47"/>
        <v>3.9836845745626157E-3</v>
      </c>
      <c r="G639" s="269">
        <f>+F639*G622</f>
        <v>7.6833641574535085E-7</v>
      </c>
      <c r="H639" s="299"/>
      <c r="I639" s="299"/>
      <c r="J639" s="299"/>
      <c r="K639" s="299"/>
      <c r="L639" s="299"/>
      <c r="M639" s="299"/>
      <c r="N639" s="229">
        <v>1</v>
      </c>
      <c r="O639" s="229">
        <v>1</v>
      </c>
      <c r="P639" s="229">
        <v>1</v>
      </c>
      <c r="Q639" s="272">
        <v>0.72</v>
      </c>
      <c r="R639" s="256">
        <f t="shared" si="48"/>
        <v>0.72</v>
      </c>
      <c r="S639" s="256">
        <f t="shared" si="48"/>
        <v>0.72</v>
      </c>
      <c r="T639" s="256">
        <f t="shared" si="48"/>
        <v>0.72</v>
      </c>
      <c r="U639" s="216"/>
      <c r="V639" s="216"/>
    </row>
    <row r="640" spans="1:22" s="140" customFormat="1" ht="25.5" hidden="1" outlineLevel="4">
      <c r="A640" s="216"/>
      <c r="B640" s="291" t="s">
        <v>826</v>
      </c>
      <c r="C640" s="292" t="s">
        <v>45</v>
      </c>
      <c r="D640" s="234" t="s">
        <v>33</v>
      </c>
      <c r="E640" s="240"/>
      <c r="F640" s="223">
        <f t="shared" si="47"/>
        <v>0.10189354851165684</v>
      </c>
      <c r="G640" s="293">
        <f>+F640*G533</f>
        <v>1.4677940805207887E-4</v>
      </c>
      <c r="H640" s="298"/>
      <c r="I640" s="298"/>
      <c r="J640" s="298"/>
      <c r="K640" s="298"/>
      <c r="L640" s="298"/>
      <c r="M640" s="298"/>
      <c r="N640" s="224">
        <f>+SUMPRODUCT($F641:$F654,N641:N654)</f>
        <v>1.0000000000000002</v>
      </c>
      <c r="O640" s="224">
        <f>+SUMPRODUCT($F641:$F654,O641:O654)</f>
        <v>1.0000000000000002</v>
      </c>
      <c r="P640" s="224">
        <f>+SUMPRODUCT($F641:$F654,P641:P654)</f>
        <v>1.0000000000000002</v>
      </c>
      <c r="Q640" s="270">
        <f>+SUMPRODUCT($F641:$F654,Q641:Q654)</f>
        <v>0.53419999999999979</v>
      </c>
      <c r="R640" s="254">
        <f t="shared" si="48"/>
        <v>0.53419999999999968</v>
      </c>
      <c r="S640" s="254">
        <f t="shared" si="48"/>
        <v>0.53419999999999968</v>
      </c>
      <c r="T640" s="254">
        <f t="shared" si="48"/>
        <v>0.53419999999999968</v>
      </c>
      <c r="U640" s="216"/>
      <c r="V640" s="216"/>
    </row>
    <row r="641" spans="1:22" s="140" customFormat="1" ht="25.5" hidden="1" outlineLevel="5">
      <c r="A641" s="216"/>
      <c r="B641" s="255" t="s">
        <v>827</v>
      </c>
      <c r="C641" s="290" t="s">
        <v>230</v>
      </c>
      <c r="D641" s="227" t="s">
        <v>231</v>
      </c>
      <c r="E641" s="241"/>
      <c r="F641" s="228">
        <f t="shared" si="47"/>
        <v>7.4469037330616245E-2</v>
      </c>
      <c r="G641" s="269">
        <f>+F641*G640</f>
        <v>1.0930521217596016E-5</v>
      </c>
      <c r="H641" s="299"/>
      <c r="I641" s="299"/>
      <c r="J641" s="299"/>
      <c r="K641" s="299"/>
      <c r="L641" s="299"/>
      <c r="M641" s="299"/>
      <c r="N641" s="229">
        <v>1</v>
      </c>
      <c r="O641" s="229">
        <v>1</v>
      </c>
      <c r="P641" s="229">
        <v>1</v>
      </c>
      <c r="Q641" s="272">
        <v>0.53420000000000001</v>
      </c>
      <c r="R641" s="256">
        <f t="shared" si="48"/>
        <v>0.53420000000000001</v>
      </c>
      <c r="S641" s="256">
        <f t="shared" si="48"/>
        <v>0.53420000000000001</v>
      </c>
      <c r="T641" s="256">
        <f t="shared" si="48"/>
        <v>0.53420000000000001</v>
      </c>
      <c r="U641" s="216"/>
      <c r="V641" s="216"/>
    </row>
    <row r="642" spans="1:22" s="140" customFormat="1" ht="25.5" hidden="1" outlineLevel="5">
      <c r="A642" s="216"/>
      <c r="B642" s="255" t="s">
        <v>828</v>
      </c>
      <c r="C642" s="290" t="s">
        <v>233</v>
      </c>
      <c r="D642" s="227" t="s">
        <v>231</v>
      </c>
      <c r="E642" s="241"/>
      <c r="F642" s="228">
        <f t="shared" si="47"/>
        <v>7.4469037330616245E-2</v>
      </c>
      <c r="G642" s="269">
        <f>+F642*G640</f>
        <v>1.0930521217596016E-5</v>
      </c>
      <c r="H642" s="299"/>
      <c r="I642" s="299"/>
      <c r="J642" s="299"/>
      <c r="K642" s="299"/>
      <c r="L642" s="299"/>
      <c r="M642" s="299"/>
      <c r="N642" s="229">
        <v>1</v>
      </c>
      <c r="O642" s="229">
        <v>1</v>
      </c>
      <c r="P642" s="229">
        <v>1</v>
      </c>
      <c r="Q642" s="272">
        <v>0.53420000000000001</v>
      </c>
      <c r="R642" s="256">
        <f t="shared" ref="R642:T673" si="49">+IF(N642=0,0,$Q642/N642)</f>
        <v>0.53420000000000001</v>
      </c>
      <c r="S642" s="256">
        <f t="shared" si="49"/>
        <v>0.53420000000000001</v>
      </c>
      <c r="T642" s="256">
        <f t="shared" si="49"/>
        <v>0.53420000000000001</v>
      </c>
      <c r="U642" s="216"/>
      <c r="V642" s="216"/>
    </row>
    <row r="643" spans="1:22" s="140" customFormat="1" ht="25.5" hidden="1" outlineLevel="5">
      <c r="A643" s="216"/>
      <c r="B643" s="255" t="s">
        <v>829</v>
      </c>
      <c r="C643" s="290" t="s">
        <v>235</v>
      </c>
      <c r="D643" s="227" t="s">
        <v>231</v>
      </c>
      <c r="E643" s="241"/>
      <c r="F643" s="228">
        <f t="shared" si="47"/>
        <v>7.4469037330616245E-2</v>
      </c>
      <c r="G643" s="269">
        <f>+F643*G640</f>
        <v>1.0930521217596016E-5</v>
      </c>
      <c r="H643" s="299"/>
      <c r="I643" s="299"/>
      <c r="J643" s="299"/>
      <c r="K643" s="299"/>
      <c r="L643" s="299"/>
      <c r="M643" s="299"/>
      <c r="N643" s="229">
        <v>1</v>
      </c>
      <c r="O643" s="229">
        <v>1</v>
      </c>
      <c r="P643" s="229">
        <v>1</v>
      </c>
      <c r="Q643" s="272">
        <v>0.53420000000000001</v>
      </c>
      <c r="R643" s="256">
        <f t="shared" si="49"/>
        <v>0.53420000000000001</v>
      </c>
      <c r="S643" s="256">
        <f t="shared" si="49"/>
        <v>0.53420000000000001</v>
      </c>
      <c r="T643" s="256">
        <f t="shared" si="49"/>
        <v>0.53420000000000001</v>
      </c>
      <c r="U643" s="216"/>
      <c r="V643" s="216"/>
    </row>
    <row r="644" spans="1:22" s="140" customFormat="1" ht="25.5" hidden="1" outlineLevel="5">
      <c r="A644" s="216"/>
      <c r="B644" s="255" t="s">
        <v>830</v>
      </c>
      <c r="C644" s="290" t="s">
        <v>237</v>
      </c>
      <c r="D644" s="227" t="s">
        <v>231</v>
      </c>
      <c r="E644" s="241"/>
      <c r="F644" s="228">
        <f t="shared" si="47"/>
        <v>7.4469037330616245E-2</v>
      </c>
      <c r="G644" s="269">
        <f>+F644*G640</f>
        <v>1.0930521217596016E-5</v>
      </c>
      <c r="H644" s="299"/>
      <c r="I644" s="299"/>
      <c r="J644" s="299"/>
      <c r="K644" s="299"/>
      <c r="L644" s="299"/>
      <c r="M644" s="299"/>
      <c r="N644" s="229">
        <v>1</v>
      </c>
      <c r="O644" s="229">
        <v>1</v>
      </c>
      <c r="P644" s="229">
        <v>1</v>
      </c>
      <c r="Q644" s="272">
        <v>0.53420000000000001</v>
      </c>
      <c r="R644" s="256">
        <f t="shared" si="49"/>
        <v>0.53420000000000001</v>
      </c>
      <c r="S644" s="256">
        <f t="shared" si="49"/>
        <v>0.53420000000000001</v>
      </c>
      <c r="T644" s="256">
        <f t="shared" si="49"/>
        <v>0.53420000000000001</v>
      </c>
      <c r="U644" s="216"/>
      <c r="V644" s="216"/>
    </row>
    <row r="645" spans="1:22" s="140" customFormat="1" ht="25.5" hidden="1" outlineLevel="5">
      <c r="A645" s="216"/>
      <c r="B645" s="255" t="s">
        <v>831</v>
      </c>
      <c r="C645" s="290" t="s">
        <v>239</v>
      </c>
      <c r="D645" s="227" t="s">
        <v>231</v>
      </c>
      <c r="E645" s="241"/>
      <c r="F645" s="228">
        <f t="shared" si="47"/>
        <v>7.4469037330616245E-2</v>
      </c>
      <c r="G645" s="269">
        <f>+F645*G640</f>
        <v>1.0930521217596016E-5</v>
      </c>
      <c r="H645" s="299"/>
      <c r="I645" s="299"/>
      <c r="J645" s="299"/>
      <c r="K645" s="299"/>
      <c r="L645" s="299"/>
      <c r="M645" s="299"/>
      <c r="N645" s="229">
        <v>1</v>
      </c>
      <c r="O645" s="229">
        <v>1</v>
      </c>
      <c r="P645" s="229">
        <v>1</v>
      </c>
      <c r="Q645" s="272">
        <v>0.53420000000000001</v>
      </c>
      <c r="R645" s="256">
        <f t="shared" si="49"/>
        <v>0.53420000000000001</v>
      </c>
      <c r="S645" s="256">
        <f t="shared" si="49"/>
        <v>0.53420000000000001</v>
      </c>
      <c r="T645" s="256">
        <f t="shared" si="49"/>
        <v>0.53420000000000001</v>
      </c>
      <c r="U645" s="216"/>
      <c r="V645" s="216"/>
    </row>
    <row r="646" spans="1:22" s="140" customFormat="1" ht="25.5" hidden="1" outlineLevel="5">
      <c r="A646" s="216"/>
      <c r="B646" s="255" t="s">
        <v>832</v>
      </c>
      <c r="C646" s="290" t="s">
        <v>241</v>
      </c>
      <c r="D646" s="227" t="s">
        <v>231</v>
      </c>
      <c r="E646" s="241"/>
      <c r="F646" s="228">
        <f t="shared" si="47"/>
        <v>7.4469037330616245E-2</v>
      </c>
      <c r="G646" s="269">
        <f>+F646*G640</f>
        <v>1.0930521217596016E-5</v>
      </c>
      <c r="H646" s="299"/>
      <c r="I646" s="299"/>
      <c r="J646" s="299"/>
      <c r="K646" s="299"/>
      <c r="L646" s="299"/>
      <c r="M646" s="299"/>
      <c r="N646" s="229">
        <v>1</v>
      </c>
      <c r="O646" s="229">
        <v>1</v>
      </c>
      <c r="P646" s="229">
        <v>1</v>
      </c>
      <c r="Q646" s="272">
        <v>0.53420000000000001</v>
      </c>
      <c r="R646" s="256">
        <f t="shared" si="49"/>
        <v>0.53420000000000001</v>
      </c>
      <c r="S646" s="256">
        <f t="shared" si="49"/>
        <v>0.53420000000000001</v>
      </c>
      <c r="T646" s="256">
        <f t="shared" si="49"/>
        <v>0.53420000000000001</v>
      </c>
      <c r="U646" s="216"/>
      <c r="V646" s="216"/>
    </row>
    <row r="647" spans="1:22" s="140" customFormat="1" ht="25.5" hidden="1" outlineLevel="5">
      <c r="A647" s="216"/>
      <c r="B647" s="255" t="s">
        <v>833</v>
      </c>
      <c r="C647" s="290" t="s">
        <v>376</v>
      </c>
      <c r="D647" s="227" t="s">
        <v>256</v>
      </c>
      <c r="E647" s="241"/>
      <c r="F647" s="228">
        <f t="shared" si="47"/>
        <v>6.9148222002037796E-2</v>
      </c>
      <c r="G647" s="269">
        <f>+F647*G640</f>
        <v>1.0149535093312843E-5</v>
      </c>
      <c r="H647" s="299"/>
      <c r="I647" s="299"/>
      <c r="J647" s="299"/>
      <c r="K647" s="299"/>
      <c r="L647" s="299"/>
      <c r="M647" s="299"/>
      <c r="N647" s="229">
        <v>1</v>
      </c>
      <c r="O647" s="229">
        <v>1</v>
      </c>
      <c r="P647" s="229">
        <v>1</v>
      </c>
      <c r="Q647" s="272">
        <v>0.53420000000000001</v>
      </c>
      <c r="R647" s="256">
        <f t="shared" si="49"/>
        <v>0.53420000000000001</v>
      </c>
      <c r="S647" s="256">
        <f t="shared" si="49"/>
        <v>0.53420000000000001</v>
      </c>
      <c r="T647" s="256">
        <f t="shared" si="49"/>
        <v>0.53420000000000001</v>
      </c>
      <c r="U647" s="216"/>
      <c r="V647" s="216"/>
    </row>
    <row r="648" spans="1:22" s="140" customFormat="1" ht="25.5" hidden="1" outlineLevel="5">
      <c r="A648" s="216"/>
      <c r="B648" s="255" t="s">
        <v>834</v>
      </c>
      <c r="C648" s="290" t="s">
        <v>378</v>
      </c>
      <c r="D648" s="227" t="s">
        <v>256</v>
      </c>
      <c r="E648" s="241"/>
      <c r="F648" s="228">
        <f t="shared" si="47"/>
        <v>6.9148222002037796E-2</v>
      </c>
      <c r="G648" s="269">
        <f>+F648*G640</f>
        <v>1.0149535093312843E-5</v>
      </c>
      <c r="H648" s="299"/>
      <c r="I648" s="299"/>
      <c r="J648" s="299"/>
      <c r="K648" s="299"/>
      <c r="L648" s="299"/>
      <c r="M648" s="299"/>
      <c r="N648" s="229">
        <v>1</v>
      </c>
      <c r="O648" s="229">
        <v>1</v>
      </c>
      <c r="P648" s="229">
        <v>1</v>
      </c>
      <c r="Q648" s="272">
        <v>0.53420000000000001</v>
      </c>
      <c r="R648" s="256">
        <f t="shared" si="49"/>
        <v>0.53420000000000001</v>
      </c>
      <c r="S648" s="256">
        <f t="shared" si="49"/>
        <v>0.53420000000000001</v>
      </c>
      <c r="T648" s="256">
        <f t="shared" si="49"/>
        <v>0.53420000000000001</v>
      </c>
      <c r="U648" s="216"/>
      <c r="V648" s="216"/>
    </row>
    <row r="649" spans="1:22" s="140" customFormat="1" ht="25.5" hidden="1" outlineLevel="5">
      <c r="A649" s="216"/>
      <c r="B649" s="255" t="s">
        <v>835</v>
      </c>
      <c r="C649" s="290" t="s">
        <v>380</v>
      </c>
      <c r="D649" s="227" t="s">
        <v>256</v>
      </c>
      <c r="E649" s="241"/>
      <c r="F649" s="228">
        <f t="shared" si="47"/>
        <v>6.9148222002037796E-2</v>
      </c>
      <c r="G649" s="269">
        <f>+F649*G640</f>
        <v>1.0149535093312843E-5</v>
      </c>
      <c r="H649" s="299"/>
      <c r="I649" s="299"/>
      <c r="J649" s="299"/>
      <c r="K649" s="299"/>
      <c r="L649" s="299"/>
      <c r="M649" s="299"/>
      <c r="N649" s="229">
        <v>1</v>
      </c>
      <c r="O649" s="229">
        <v>1</v>
      </c>
      <c r="P649" s="229">
        <v>1</v>
      </c>
      <c r="Q649" s="272">
        <v>0.53420000000000001</v>
      </c>
      <c r="R649" s="256">
        <f t="shared" si="49"/>
        <v>0.53420000000000001</v>
      </c>
      <c r="S649" s="256">
        <f t="shared" si="49"/>
        <v>0.53420000000000001</v>
      </c>
      <c r="T649" s="256">
        <f t="shared" si="49"/>
        <v>0.53420000000000001</v>
      </c>
      <c r="U649" s="216"/>
      <c r="V649" s="216"/>
    </row>
    <row r="650" spans="1:22" s="140" customFormat="1" ht="25.5" hidden="1" outlineLevel="5">
      <c r="A650" s="216"/>
      <c r="B650" s="255" t="s">
        <v>836</v>
      </c>
      <c r="C650" s="290" t="s">
        <v>382</v>
      </c>
      <c r="D650" s="227" t="s">
        <v>256</v>
      </c>
      <c r="E650" s="241"/>
      <c r="F650" s="228">
        <f t="shared" si="47"/>
        <v>6.9148222002037796E-2</v>
      </c>
      <c r="G650" s="269">
        <f>+F650*G640</f>
        <v>1.0149535093312843E-5</v>
      </c>
      <c r="H650" s="299"/>
      <c r="I650" s="299"/>
      <c r="J650" s="299"/>
      <c r="K650" s="299"/>
      <c r="L650" s="299"/>
      <c r="M650" s="299"/>
      <c r="N650" s="229">
        <v>1</v>
      </c>
      <c r="O650" s="229">
        <v>1</v>
      </c>
      <c r="P650" s="229">
        <v>1</v>
      </c>
      <c r="Q650" s="272">
        <v>0.53420000000000001</v>
      </c>
      <c r="R650" s="256">
        <f t="shared" si="49"/>
        <v>0.53420000000000001</v>
      </c>
      <c r="S650" s="256">
        <f t="shared" si="49"/>
        <v>0.53420000000000001</v>
      </c>
      <c r="T650" s="256">
        <f t="shared" si="49"/>
        <v>0.53420000000000001</v>
      </c>
      <c r="U650" s="216"/>
      <c r="V650" s="216"/>
    </row>
    <row r="651" spans="1:22" s="140" customFormat="1" ht="25.5" hidden="1" outlineLevel="5">
      <c r="A651" s="216"/>
      <c r="B651" s="255" t="s">
        <v>837</v>
      </c>
      <c r="C651" s="290" t="s">
        <v>384</v>
      </c>
      <c r="D651" s="227" t="s">
        <v>256</v>
      </c>
      <c r="E651" s="241"/>
      <c r="F651" s="228">
        <f t="shared" si="47"/>
        <v>6.9148222002037796E-2</v>
      </c>
      <c r="G651" s="269">
        <f>+F651*G640</f>
        <v>1.0149535093312843E-5</v>
      </c>
      <c r="H651" s="299"/>
      <c r="I651" s="299"/>
      <c r="J651" s="299"/>
      <c r="K651" s="299"/>
      <c r="L651" s="299"/>
      <c r="M651" s="299"/>
      <c r="N651" s="229">
        <v>1</v>
      </c>
      <c r="O651" s="229">
        <v>1</v>
      </c>
      <c r="P651" s="229">
        <v>1</v>
      </c>
      <c r="Q651" s="272">
        <v>0.53420000000000001</v>
      </c>
      <c r="R651" s="256">
        <f t="shared" si="49"/>
        <v>0.53420000000000001</v>
      </c>
      <c r="S651" s="256">
        <f t="shared" si="49"/>
        <v>0.53420000000000001</v>
      </c>
      <c r="T651" s="256">
        <f t="shared" si="49"/>
        <v>0.53420000000000001</v>
      </c>
      <c r="U651" s="216"/>
      <c r="V651" s="216"/>
    </row>
    <row r="652" spans="1:22" s="140" customFormat="1" ht="25.5" hidden="1" outlineLevel="5">
      <c r="A652" s="216"/>
      <c r="B652" s="255" t="s">
        <v>838</v>
      </c>
      <c r="C652" s="290" t="s">
        <v>386</v>
      </c>
      <c r="D652" s="227" t="s">
        <v>256</v>
      </c>
      <c r="E652" s="241"/>
      <c r="F652" s="228">
        <f t="shared" si="47"/>
        <v>6.9148222002037796E-2</v>
      </c>
      <c r="G652" s="269">
        <f>+F652*G640</f>
        <v>1.0149535093312843E-5</v>
      </c>
      <c r="H652" s="299"/>
      <c r="I652" s="299"/>
      <c r="J652" s="299"/>
      <c r="K652" s="299"/>
      <c r="L652" s="299"/>
      <c r="M652" s="299"/>
      <c r="N652" s="229">
        <v>1</v>
      </c>
      <c r="O652" s="229">
        <v>1</v>
      </c>
      <c r="P652" s="229">
        <v>1</v>
      </c>
      <c r="Q652" s="272">
        <v>0.53420000000000001</v>
      </c>
      <c r="R652" s="256">
        <f t="shared" si="49"/>
        <v>0.53420000000000001</v>
      </c>
      <c r="S652" s="256">
        <f t="shared" si="49"/>
        <v>0.53420000000000001</v>
      </c>
      <c r="T652" s="256">
        <f t="shared" si="49"/>
        <v>0.53420000000000001</v>
      </c>
      <c r="U652" s="216"/>
      <c r="V652" s="216"/>
    </row>
    <row r="653" spans="1:22" s="140" customFormat="1" ht="25.5" hidden="1" outlineLevel="5">
      <c r="A653" s="216"/>
      <c r="B653" s="255" t="s">
        <v>839</v>
      </c>
      <c r="C653" s="290" t="s">
        <v>388</v>
      </c>
      <c r="D653" s="227" t="s">
        <v>256</v>
      </c>
      <c r="E653" s="241"/>
      <c r="F653" s="228">
        <f t="shared" si="47"/>
        <v>6.9148222002037796E-2</v>
      </c>
      <c r="G653" s="269">
        <f>+F653*G640</f>
        <v>1.0149535093312843E-5</v>
      </c>
      <c r="H653" s="299"/>
      <c r="I653" s="299"/>
      <c r="J653" s="299"/>
      <c r="K653" s="299"/>
      <c r="L653" s="299"/>
      <c r="M653" s="299"/>
      <c r="N653" s="229">
        <v>1</v>
      </c>
      <c r="O653" s="229">
        <v>1</v>
      </c>
      <c r="P653" s="229">
        <v>1</v>
      </c>
      <c r="Q653" s="272">
        <v>0.53420000000000001</v>
      </c>
      <c r="R653" s="256">
        <f t="shared" si="49"/>
        <v>0.53420000000000001</v>
      </c>
      <c r="S653" s="256">
        <f t="shared" si="49"/>
        <v>0.53420000000000001</v>
      </c>
      <c r="T653" s="256">
        <f t="shared" si="49"/>
        <v>0.53420000000000001</v>
      </c>
      <c r="U653" s="216"/>
      <c r="V653" s="216"/>
    </row>
    <row r="654" spans="1:22" s="140" customFormat="1" ht="25.5" hidden="1" outlineLevel="5">
      <c r="A654" s="216"/>
      <c r="B654" s="255" t="s">
        <v>840</v>
      </c>
      <c r="C654" s="290" t="s">
        <v>390</v>
      </c>
      <c r="D654" s="227" t="s">
        <v>256</v>
      </c>
      <c r="E654" s="241"/>
      <c r="F654" s="228">
        <f t="shared" si="47"/>
        <v>6.9148222002037796E-2</v>
      </c>
      <c r="G654" s="269">
        <f>+F654*G640</f>
        <v>1.0149535093312843E-5</v>
      </c>
      <c r="H654" s="299"/>
      <c r="I654" s="299"/>
      <c r="J654" s="299"/>
      <c r="K654" s="299"/>
      <c r="L654" s="299"/>
      <c r="M654" s="299"/>
      <c r="N654" s="229">
        <v>1</v>
      </c>
      <c r="O654" s="229">
        <v>1</v>
      </c>
      <c r="P654" s="229">
        <v>1</v>
      </c>
      <c r="Q654" s="272">
        <v>0.53420000000000001</v>
      </c>
      <c r="R654" s="256">
        <f t="shared" si="49"/>
        <v>0.53420000000000001</v>
      </c>
      <c r="S654" s="256">
        <f t="shared" si="49"/>
        <v>0.53420000000000001</v>
      </c>
      <c r="T654" s="256">
        <f t="shared" si="49"/>
        <v>0.53420000000000001</v>
      </c>
      <c r="U654" s="216"/>
      <c r="V654" s="216"/>
    </row>
    <row r="655" spans="1:22" s="140" customFormat="1" ht="12.75" hidden="1" outlineLevel="4">
      <c r="A655" s="216"/>
      <c r="B655" s="291" t="s">
        <v>841</v>
      </c>
      <c r="C655" s="292" t="s">
        <v>170</v>
      </c>
      <c r="D655" s="234" t="s">
        <v>171</v>
      </c>
      <c r="E655" s="240"/>
      <c r="F655" s="223">
        <f t="shared" si="47"/>
        <v>4.25702422192204E-2</v>
      </c>
      <c r="G655" s="293">
        <f>+F655*G533</f>
        <v>6.1323165645329873E-5</v>
      </c>
      <c r="H655" s="293"/>
      <c r="I655" s="293"/>
      <c r="J655" s="293"/>
      <c r="K655" s="293"/>
      <c r="L655" s="293"/>
      <c r="M655" s="293"/>
      <c r="N655" s="224">
        <v>1</v>
      </c>
      <c r="O655" s="224">
        <v>1</v>
      </c>
      <c r="P655" s="224">
        <v>1</v>
      </c>
      <c r="Q655" s="270">
        <v>0</v>
      </c>
      <c r="R655" s="254">
        <f t="shared" si="49"/>
        <v>0</v>
      </c>
      <c r="S655" s="254">
        <f t="shared" si="49"/>
        <v>0</v>
      </c>
      <c r="T655" s="254">
        <f t="shared" si="49"/>
        <v>0</v>
      </c>
      <c r="U655" s="216"/>
      <c r="V655" s="216"/>
    </row>
    <row r="656" spans="1:22" s="140" customFormat="1" ht="12.75" hidden="1" outlineLevel="3">
      <c r="B656" s="300" t="s">
        <v>842</v>
      </c>
      <c r="C656" s="294" t="s">
        <v>392</v>
      </c>
      <c r="D656" s="294" t="s">
        <v>47</v>
      </c>
      <c r="E656" s="295"/>
      <c r="F656" s="296">
        <f t="shared" si="47"/>
        <v>3.6449138999404565E-2</v>
      </c>
      <c r="G656" s="296">
        <f>+F656*G532</f>
        <v>7.1987049523824034E-5</v>
      </c>
      <c r="H656" s="296"/>
      <c r="I656" s="296"/>
      <c r="J656" s="296"/>
      <c r="K656" s="296"/>
      <c r="L656" s="296"/>
      <c r="M656" s="296"/>
      <c r="N656" s="296">
        <f>+SUMPRODUCT($F657:$F671,N657:N671)</f>
        <v>0.3522129931231141</v>
      </c>
      <c r="O656" s="296">
        <f>+SUMPRODUCT($F657:$F671,O657:O671)</f>
        <v>0.3522129931231141</v>
      </c>
      <c r="P656" s="296">
        <f>+SUMPRODUCT($F657:$F671,P657:P671)</f>
        <v>0.3522129931231141</v>
      </c>
      <c r="Q656" s="296">
        <f>+SUMPRODUCT($F657:$F671,Q657:Q671)</f>
        <v>0</v>
      </c>
      <c r="R656" s="296">
        <f t="shared" si="49"/>
        <v>0</v>
      </c>
      <c r="S656" s="296">
        <f t="shared" si="49"/>
        <v>0</v>
      </c>
      <c r="T656" s="296">
        <f t="shared" si="49"/>
        <v>0</v>
      </c>
    </row>
    <row r="657" spans="1:22" s="140" customFormat="1" ht="12.75" hidden="1" outlineLevel="4">
      <c r="A657" s="216"/>
      <c r="B657" s="255" t="s">
        <v>843</v>
      </c>
      <c r="C657" s="245" t="s">
        <v>49</v>
      </c>
      <c r="D657" s="227" t="s">
        <v>50</v>
      </c>
      <c r="E657" s="241"/>
      <c r="F657" s="228">
        <f t="shared" si="47"/>
        <v>9.2877610796635368E-2</v>
      </c>
      <c r="G657" s="269">
        <f>+F657*G656</f>
        <v>6.6859851680718441E-6</v>
      </c>
      <c r="H657" s="269"/>
      <c r="I657" s="269"/>
      <c r="J657" s="269"/>
      <c r="K657" s="269"/>
      <c r="L657" s="269"/>
      <c r="M657" s="269"/>
      <c r="N657" s="229">
        <v>1</v>
      </c>
      <c r="O657" s="229">
        <v>1</v>
      </c>
      <c r="P657" s="229">
        <v>1</v>
      </c>
      <c r="Q657" s="272">
        <v>0</v>
      </c>
      <c r="R657" s="256">
        <f t="shared" si="49"/>
        <v>0</v>
      </c>
      <c r="S657" s="256">
        <f t="shared" si="49"/>
        <v>0</v>
      </c>
      <c r="T657" s="256">
        <f t="shared" si="49"/>
        <v>0</v>
      </c>
      <c r="U657" s="216"/>
      <c r="V657" s="216"/>
    </row>
    <row r="658" spans="1:22" s="140" customFormat="1" ht="12.75" hidden="1" outlineLevel="4">
      <c r="A658" s="216"/>
      <c r="B658" s="255" t="s">
        <v>844</v>
      </c>
      <c r="C658" s="245" t="s">
        <v>52</v>
      </c>
      <c r="D658" s="227" t="s">
        <v>53</v>
      </c>
      <c r="E658" s="241"/>
      <c r="F658" s="228">
        <f t="shared" si="47"/>
        <v>5.8105219309829384E-2</v>
      </c>
      <c r="G658" s="269">
        <f>+F658*G656</f>
        <v>4.1828233000493441E-6</v>
      </c>
      <c r="H658" s="269"/>
      <c r="I658" s="269"/>
      <c r="J658" s="269"/>
      <c r="K658" s="269"/>
      <c r="L658" s="269"/>
      <c r="M658" s="269"/>
      <c r="N658" s="229">
        <v>1</v>
      </c>
      <c r="O658" s="229">
        <v>1</v>
      </c>
      <c r="P658" s="229">
        <v>1</v>
      </c>
      <c r="Q658" s="272">
        <v>0</v>
      </c>
      <c r="R658" s="256">
        <f t="shared" si="49"/>
        <v>0</v>
      </c>
      <c r="S658" s="256">
        <f t="shared" si="49"/>
        <v>0</v>
      </c>
      <c r="T658" s="256">
        <f t="shared" si="49"/>
        <v>0</v>
      </c>
      <c r="U658" s="216"/>
      <c r="V658" s="216"/>
    </row>
    <row r="659" spans="1:22" s="140" customFormat="1" ht="12.75" hidden="1" outlineLevel="4">
      <c r="A659" s="216"/>
      <c r="B659" s="255" t="s">
        <v>845</v>
      </c>
      <c r="C659" s="245" t="s">
        <v>55</v>
      </c>
      <c r="D659" s="227" t="s">
        <v>56</v>
      </c>
      <c r="E659" s="241"/>
      <c r="F659" s="228">
        <f t="shared" si="47"/>
        <v>2.7796911320762424E-2</v>
      </c>
      <c r="G659" s="269">
        <f>+F659*G656</f>
        <v>2.0010176318570695E-6</v>
      </c>
      <c r="H659" s="269"/>
      <c r="I659" s="269"/>
      <c r="J659" s="269"/>
      <c r="K659" s="269"/>
      <c r="L659" s="269"/>
      <c r="M659" s="269"/>
      <c r="N659" s="229">
        <v>1</v>
      </c>
      <c r="O659" s="229">
        <v>1</v>
      </c>
      <c r="P659" s="229">
        <v>1</v>
      </c>
      <c r="Q659" s="272">
        <v>0</v>
      </c>
      <c r="R659" s="256">
        <f t="shared" si="49"/>
        <v>0</v>
      </c>
      <c r="S659" s="256">
        <f t="shared" si="49"/>
        <v>0</v>
      </c>
      <c r="T659" s="256">
        <f t="shared" si="49"/>
        <v>0</v>
      </c>
      <c r="U659" s="216"/>
      <c r="V659" s="216"/>
    </row>
    <row r="660" spans="1:22" s="140" customFormat="1" ht="12.75" hidden="1" outlineLevel="4">
      <c r="A660" s="216"/>
      <c r="B660" s="255" t="s">
        <v>846</v>
      </c>
      <c r="C660" s="245" t="s">
        <v>58</v>
      </c>
      <c r="D660" s="227" t="s">
        <v>59</v>
      </c>
      <c r="E660" s="241"/>
      <c r="F660" s="228">
        <f t="shared" si="47"/>
        <v>2.9155300375276354E-2</v>
      </c>
      <c r="G660" s="269">
        <f>+F660*G656</f>
        <v>2.0988040519969841E-6</v>
      </c>
      <c r="H660" s="269"/>
      <c r="I660" s="269"/>
      <c r="J660" s="269"/>
      <c r="K660" s="269"/>
      <c r="L660" s="269"/>
      <c r="M660" s="269"/>
      <c r="N660" s="229">
        <v>1</v>
      </c>
      <c r="O660" s="229">
        <v>1</v>
      </c>
      <c r="P660" s="229">
        <v>1</v>
      </c>
      <c r="Q660" s="272">
        <v>0</v>
      </c>
      <c r="R660" s="256">
        <f t="shared" si="49"/>
        <v>0</v>
      </c>
      <c r="S660" s="256">
        <f t="shared" si="49"/>
        <v>0</v>
      </c>
      <c r="T660" s="256">
        <f t="shared" si="49"/>
        <v>0</v>
      </c>
      <c r="U660" s="216"/>
      <c r="V660" s="216"/>
    </row>
    <row r="661" spans="1:22" s="140" customFormat="1" ht="12.75" hidden="1" outlineLevel="4">
      <c r="A661" s="216"/>
      <c r="B661" s="255" t="s">
        <v>847</v>
      </c>
      <c r="C661" s="245" t="s">
        <v>61</v>
      </c>
      <c r="D661" s="227" t="s">
        <v>62</v>
      </c>
      <c r="E661" s="241"/>
      <c r="F661" s="228">
        <f t="shared" ref="F661:F682" si="50">F847</f>
        <v>4.0182801717972776E-2</v>
      </c>
      <c r="G661" s="269">
        <f>+F661*G656</f>
        <v>2.8926413372777078E-6</v>
      </c>
      <c r="H661" s="269"/>
      <c r="I661" s="269"/>
      <c r="J661" s="269"/>
      <c r="K661" s="269"/>
      <c r="L661" s="269"/>
      <c r="M661" s="269"/>
      <c r="N661" s="229">
        <v>0.28942090444761831</v>
      </c>
      <c r="O661" s="229">
        <v>0.28942090444761831</v>
      </c>
      <c r="P661" s="229">
        <v>0.28942090444761831</v>
      </c>
      <c r="Q661" s="272">
        <v>0</v>
      </c>
      <c r="R661" s="256">
        <f t="shared" si="49"/>
        <v>0</v>
      </c>
      <c r="S661" s="256">
        <f t="shared" si="49"/>
        <v>0</v>
      </c>
      <c r="T661" s="256">
        <f t="shared" si="49"/>
        <v>0</v>
      </c>
      <c r="U661" s="216"/>
      <c r="V661" s="216"/>
    </row>
    <row r="662" spans="1:22" s="140" customFormat="1" ht="12.75" hidden="1" outlineLevel="4">
      <c r="A662" s="216"/>
      <c r="B662" s="255" t="s">
        <v>848</v>
      </c>
      <c r="C662" s="245" t="s">
        <v>64</v>
      </c>
      <c r="D662" s="227" t="s">
        <v>65</v>
      </c>
      <c r="E662" s="241"/>
      <c r="F662" s="228">
        <f t="shared" si="50"/>
        <v>9.8615013818202632E-2</v>
      </c>
      <c r="G662" s="269">
        <f>+F662*G656</f>
        <v>7.0990038835235442E-6</v>
      </c>
      <c r="H662" s="269"/>
      <c r="I662" s="269"/>
      <c r="J662" s="269"/>
      <c r="K662" s="269"/>
      <c r="L662" s="269"/>
      <c r="M662" s="269"/>
      <c r="N662" s="229">
        <v>0.28942090444761831</v>
      </c>
      <c r="O662" s="229">
        <v>0.28942090444761831</v>
      </c>
      <c r="P662" s="229">
        <v>0.28942090444761831</v>
      </c>
      <c r="Q662" s="272">
        <v>0</v>
      </c>
      <c r="R662" s="256">
        <f t="shared" si="49"/>
        <v>0</v>
      </c>
      <c r="S662" s="256">
        <f t="shared" si="49"/>
        <v>0</v>
      </c>
      <c r="T662" s="256">
        <f t="shared" si="49"/>
        <v>0</v>
      </c>
      <c r="U662" s="216"/>
      <c r="V662" s="216"/>
    </row>
    <row r="663" spans="1:22" s="140" customFormat="1" ht="12.75" hidden="1" outlineLevel="4">
      <c r="A663" s="216"/>
      <c r="B663" s="255" t="s">
        <v>849</v>
      </c>
      <c r="C663" s="245" t="s">
        <v>67</v>
      </c>
      <c r="D663" s="227" t="s">
        <v>68</v>
      </c>
      <c r="E663" s="241"/>
      <c r="F663" s="228">
        <f t="shared" si="50"/>
        <v>9.164980880972666E-2</v>
      </c>
      <c r="G663" s="269">
        <f>+F663*G656</f>
        <v>6.5975993256347971E-6</v>
      </c>
      <c r="H663" s="269"/>
      <c r="I663" s="269"/>
      <c r="J663" s="269"/>
      <c r="K663" s="269"/>
      <c r="L663" s="269"/>
      <c r="M663" s="269"/>
      <c r="N663" s="229">
        <v>0.28942090444761831</v>
      </c>
      <c r="O663" s="229">
        <v>0.28942090444761831</v>
      </c>
      <c r="P663" s="229">
        <v>0.28942090444761831</v>
      </c>
      <c r="Q663" s="272">
        <v>0</v>
      </c>
      <c r="R663" s="256">
        <f t="shared" si="49"/>
        <v>0</v>
      </c>
      <c r="S663" s="256">
        <f t="shared" si="49"/>
        <v>0</v>
      </c>
      <c r="T663" s="256">
        <f t="shared" si="49"/>
        <v>0</v>
      </c>
      <c r="U663" s="216"/>
      <c r="V663" s="216"/>
    </row>
    <row r="664" spans="1:22" s="140" customFormat="1" ht="25.5" hidden="1" outlineLevel="4">
      <c r="A664" s="216"/>
      <c r="B664" s="255" t="s">
        <v>850</v>
      </c>
      <c r="C664" s="245" t="s">
        <v>70</v>
      </c>
      <c r="D664" s="227" t="s">
        <v>71</v>
      </c>
      <c r="E664" s="241"/>
      <c r="F664" s="228">
        <f t="shared" si="50"/>
        <v>9.2909380612212003E-2</v>
      </c>
      <c r="G664" s="269">
        <f>+F664*G656</f>
        <v>6.688272183359122E-6</v>
      </c>
      <c r="H664" s="269"/>
      <c r="I664" s="269"/>
      <c r="J664" s="269"/>
      <c r="K664" s="269"/>
      <c r="L664" s="269"/>
      <c r="M664" s="269"/>
      <c r="N664" s="229">
        <v>0.28942090444761831</v>
      </c>
      <c r="O664" s="229">
        <v>0.28942090444761831</v>
      </c>
      <c r="P664" s="229">
        <v>0.28942090444761831</v>
      </c>
      <c r="Q664" s="272">
        <v>0</v>
      </c>
      <c r="R664" s="256">
        <f t="shared" si="49"/>
        <v>0</v>
      </c>
      <c r="S664" s="256">
        <f t="shared" si="49"/>
        <v>0</v>
      </c>
      <c r="T664" s="256">
        <f t="shared" si="49"/>
        <v>0</v>
      </c>
      <c r="U664" s="216"/>
      <c r="V664" s="216"/>
    </row>
    <row r="665" spans="1:22" s="140" customFormat="1" ht="12.75" hidden="1" outlineLevel="4">
      <c r="A665" s="216"/>
      <c r="B665" s="255" t="s">
        <v>851</v>
      </c>
      <c r="C665" s="245" t="s">
        <v>73</v>
      </c>
      <c r="D665" s="227" t="s">
        <v>74</v>
      </c>
      <c r="E665" s="241"/>
      <c r="F665" s="228">
        <f t="shared" si="50"/>
        <v>8.0887028733242702E-2</v>
      </c>
      <c r="G665" s="269">
        <f>+F665*G656</f>
        <v>5.8228185432549201E-6</v>
      </c>
      <c r="H665" s="269"/>
      <c r="I665" s="269"/>
      <c r="J665" s="269"/>
      <c r="K665" s="269"/>
      <c r="L665" s="269"/>
      <c r="M665" s="269"/>
      <c r="N665" s="229">
        <v>0</v>
      </c>
      <c r="O665" s="229">
        <v>0</v>
      </c>
      <c r="P665" s="229">
        <v>0</v>
      </c>
      <c r="Q665" s="272">
        <v>0</v>
      </c>
      <c r="R665" s="256">
        <f t="shared" si="49"/>
        <v>0</v>
      </c>
      <c r="S665" s="256">
        <f t="shared" si="49"/>
        <v>0</v>
      </c>
      <c r="T665" s="256">
        <f t="shared" si="49"/>
        <v>0</v>
      </c>
      <c r="U665" s="216"/>
      <c r="V665" s="216"/>
    </row>
    <row r="666" spans="1:22" s="140" customFormat="1" ht="12.75" hidden="1" outlineLevel="4">
      <c r="A666" s="216"/>
      <c r="B666" s="255" t="s">
        <v>852</v>
      </c>
      <c r="C666" s="245" t="s">
        <v>76</v>
      </c>
      <c r="D666" s="227" t="s">
        <v>77</v>
      </c>
      <c r="E666" s="241"/>
      <c r="F666" s="228">
        <f t="shared" si="50"/>
        <v>0.11788367881609482</v>
      </c>
      <c r="G666" s="269">
        <f>+F666*G656</f>
        <v>8.4860982249847845E-6</v>
      </c>
      <c r="H666" s="269"/>
      <c r="I666" s="269"/>
      <c r="J666" s="269"/>
      <c r="K666" s="269"/>
      <c r="L666" s="269"/>
      <c r="M666" s="269"/>
      <c r="N666" s="229">
        <v>0</v>
      </c>
      <c r="O666" s="229">
        <v>0</v>
      </c>
      <c r="P666" s="229">
        <v>0</v>
      </c>
      <c r="Q666" s="272">
        <v>0</v>
      </c>
      <c r="R666" s="256">
        <f t="shared" si="49"/>
        <v>0</v>
      </c>
      <c r="S666" s="256">
        <f t="shared" si="49"/>
        <v>0</v>
      </c>
      <c r="T666" s="256">
        <f t="shared" si="49"/>
        <v>0</v>
      </c>
      <c r="U666" s="216"/>
      <c r="V666" s="216"/>
    </row>
    <row r="667" spans="1:22" s="140" customFormat="1" ht="12.75" hidden="1" outlineLevel="4">
      <c r="A667" s="216"/>
      <c r="B667" s="255" t="s">
        <v>853</v>
      </c>
      <c r="C667" s="245" t="s">
        <v>79</v>
      </c>
      <c r="D667" s="227" t="s">
        <v>80</v>
      </c>
      <c r="E667" s="241"/>
      <c r="F667" s="228">
        <f t="shared" si="50"/>
        <v>4.1046638926131508E-2</v>
      </c>
      <c r="G667" s="269">
        <f>+F667*G656</f>
        <v>2.9548264291619524E-6</v>
      </c>
      <c r="H667" s="269"/>
      <c r="I667" s="269"/>
      <c r="J667" s="269"/>
      <c r="K667" s="269"/>
      <c r="L667" s="269"/>
      <c r="M667" s="269"/>
      <c r="N667" s="229">
        <v>0</v>
      </c>
      <c r="O667" s="229">
        <v>0</v>
      </c>
      <c r="P667" s="229">
        <v>0</v>
      </c>
      <c r="Q667" s="272">
        <v>0</v>
      </c>
      <c r="R667" s="256">
        <f t="shared" si="49"/>
        <v>0</v>
      </c>
      <c r="S667" s="256">
        <f t="shared" si="49"/>
        <v>0</v>
      </c>
      <c r="T667" s="256">
        <f t="shared" si="49"/>
        <v>0</v>
      </c>
      <c r="U667" s="216"/>
      <c r="V667" s="216"/>
    </row>
    <row r="668" spans="1:22" s="140" customFormat="1" ht="12.75" hidden="1" outlineLevel="4">
      <c r="A668" s="216"/>
      <c r="B668" s="255" t="s">
        <v>854</v>
      </c>
      <c r="C668" s="245" t="s">
        <v>82</v>
      </c>
      <c r="D668" s="227" t="s">
        <v>83</v>
      </c>
      <c r="E668" s="241"/>
      <c r="F668" s="228">
        <f t="shared" si="50"/>
        <v>5.3741978219236555E-2</v>
      </c>
      <c r="G668" s="269">
        <f>+F668*G656</f>
        <v>3.8687264475764549E-6</v>
      </c>
      <c r="H668" s="269"/>
      <c r="I668" s="269"/>
      <c r="J668" s="269"/>
      <c r="K668" s="269"/>
      <c r="L668" s="269"/>
      <c r="M668" s="269"/>
      <c r="N668" s="229">
        <v>0</v>
      </c>
      <c r="O668" s="229">
        <v>0</v>
      </c>
      <c r="P668" s="229">
        <v>0</v>
      </c>
      <c r="Q668" s="272">
        <v>0</v>
      </c>
      <c r="R668" s="256">
        <f t="shared" si="49"/>
        <v>0</v>
      </c>
      <c r="S668" s="256">
        <f t="shared" si="49"/>
        <v>0</v>
      </c>
      <c r="T668" s="256">
        <f t="shared" si="49"/>
        <v>0</v>
      </c>
      <c r="U668" s="216"/>
      <c r="V668" s="216"/>
    </row>
    <row r="669" spans="1:22" s="140" customFormat="1" ht="12.75" hidden="1" outlineLevel="4">
      <c r="A669" s="216"/>
      <c r="B669" s="255" t="s">
        <v>855</v>
      </c>
      <c r="C669" s="245" t="s">
        <v>85</v>
      </c>
      <c r="D669" s="227" t="s">
        <v>86</v>
      </c>
      <c r="E669" s="241"/>
      <c r="F669" s="228">
        <f t="shared" si="50"/>
        <v>5.8057394561842592E-2</v>
      </c>
      <c r="G669" s="269">
        <f>+F669*G656</f>
        <v>4.1793805375475545E-6</v>
      </c>
      <c r="H669" s="269"/>
      <c r="I669" s="269"/>
      <c r="J669" s="269"/>
      <c r="K669" s="269"/>
      <c r="L669" s="269"/>
      <c r="M669" s="269"/>
      <c r="N669" s="229">
        <v>0.28942090444761831</v>
      </c>
      <c r="O669" s="229">
        <v>0.28942090444761831</v>
      </c>
      <c r="P669" s="229">
        <v>0.28942090444761831</v>
      </c>
      <c r="Q669" s="272">
        <v>0</v>
      </c>
      <c r="R669" s="256">
        <f t="shared" si="49"/>
        <v>0</v>
      </c>
      <c r="S669" s="256">
        <f t="shared" si="49"/>
        <v>0</v>
      </c>
      <c r="T669" s="256">
        <f t="shared" si="49"/>
        <v>0</v>
      </c>
      <c r="U669" s="216"/>
      <c r="V669" s="216"/>
    </row>
    <row r="670" spans="1:22" s="140" customFormat="1" ht="12.75" hidden="1" outlineLevel="4">
      <c r="A670" s="216"/>
      <c r="B670" s="255" t="s">
        <v>856</v>
      </c>
      <c r="C670" s="245" t="s">
        <v>88</v>
      </c>
      <c r="D670" s="227" t="s">
        <v>89</v>
      </c>
      <c r="E670" s="241"/>
      <c r="F670" s="228">
        <f t="shared" si="50"/>
        <v>6.1612726844928238E-2</v>
      </c>
      <c r="G670" s="269">
        <f>+F670*G656</f>
        <v>4.4353184186836913E-6</v>
      </c>
      <c r="H670" s="269"/>
      <c r="I670" s="269"/>
      <c r="J670" s="269"/>
      <c r="K670" s="269"/>
      <c r="L670" s="269"/>
      <c r="M670" s="269"/>
      <c r="N670" s="229">
        <v>0.28942090444761831</v>
      </c>
      <c r="O670" s="229">
        <v>0.28942090444761831</v>
      </c>
      <c r="P670" s="229">
        <v>0.28942090444761831</v>
      </c>
      <c r="Q670" s="272">
        <v>0</v>
      </c>
      <c r="R670" s="256">
        <f t="shared" si="49"/>
        <v>0</v>
      </c>
      <c r="S670" s="256">
        <f t="shared" si="49"/>
        <v>0</v>
      </c>
      <c r="T670" s="256">
        <f t="shared" si="49"/>
        <v>0</v>
      </c>
      <c r="U670" s="216"/>
      <c r="V670" s="216"/>
    </row>
    <row r="671" spans="1:22" s="140" customFormat="1" ht="12.75" hidden="1" outlineLevel="4">
      <c r="A671" s="216"/>
      <c r="B671" s="255" t="s">
        <v>857</v>
      </c>
      <c r="C671" s="245" t="s">
        <v>91</v>
      </c>
      <c r="D671" s="227" t="s">
        <v>92</v>
      </c>
      <c r="E671" s="241"/>
      <c r="F671" s="228">
        <f t="shared" si="50"/>
        <v>5.5478507137905975E-2</v>
      </c>
      <c r="G671" s="269">
        <f>+F671*G656</f>
        <v>3.9937340408442625E-6</v>
      </c>
      <c r="H671" s="269"/>
      <c r="I671" s="269"/>
      <c r="J671" s="269"/>
      <c r="K671" s="269"/>
      <c r="L671" s="269"/>
      <c r="M671" s="269"/>
      <c r="N671" s="229">
        <v>0.28942090444761831</v>
      </c>
      <c r="O671" s="229">
        <v>0.28942090444761831</v>
      </c>
      <c r="P671" s="229">
        <v>0.28942090444761831</v>
      </c>
      <c r="Q671" s="272">
        <v>0</v>
      </c>
      <c r="R671" s="256">
        <f t="shared" si="49"/>
        <v>0</v>
      </c>
      <c r="S671" s="256">
        <f t="shared" si="49"/>
        <v>0</v>
      </c>
      <c r="T671" s="256">
        <f t="shared" si="49"/>
        <v>0</v>
      </c>
      <c r="U671" s="216"/>
      <c r="V671" s="216"/>
    </row>
    <row r="672" spans="1:22" s="140" customFormat="1" ht="12.75" hidden="1" outlineLevel="4">
      <c r="A672" s="216"/>
      <c r="B672" s="300" t="s">
        <v>858</v>
      </c>
      <c r="C672" s="294"/>
      <c r="D672" s="294" t="s">
        <v>94</v>
      </c>
      <c r="E672" s="295"/>
      <c r="F672" s="296">
        <f t="shared" si="50"/>
        <v>0.16798918236757646</v>
      </c>
      <c r="G672" s="296">
        <f>+F672*G532</f>
        <v>3.317786351759636E-4</v>
      </c>
      <c r="H672" s="296"/>
      <c r="I672" s="296"/>
      <c r="J672" s="296"/>
      <c r="K672" s="296"/>
      <c r="L672" s="296"/>
      <c r="M672" s="296"/>
      <c r="N672" s="296">
        <f>+$F673*N673+$F685*N685+$F693*N693+$F699*N699+$F703*N703</f>
        <v>0.69909191916907032</v>
      </c>
      <c r="O672" s="296">
        <f>+$F673*O673+$F685*O685+$F693*O693+$F699*O699+$F703*O703</f>
        <v>0.69909191916907032</v>
      </c>
      <c r="P672" s="296">
        <f>+$F673*P673+$F685*P685+$F693*P693+$F699*P699+$F703*P703</f>
        <v>0.69909191916907032</v>
      </c>
      <c r="Q672" s="296">
        <f>+$F673*Q673+$F685*Q685+$F693*Q693+$F699*Q699+$F703*Q703</f>
        <v>0</v>
      </c>
      <c r="R672" s="296">
        <f t="shared" si="49"/>
        <v>0</v>
      </c>
      <c r="S672" s="296">
        <f t="shared" si="49"/>
        <v>0</v>
      </c>
      <c r="T672" s="296">
        <f t="shared" si="49"/>
        <v>0</v>
      </c>
      <c r="U672" s="216"/>
      <c r="V672" s="216"/>
    </row>
    <row r="673" spans="1:22" s="140" customFormat="1" ht="12.75" hidden="1" outlineLevel="4">
      <c r="B673" s="301" t="s">
        <v>859</v>
      </c>
      <c r="C673" s="251"/>
      <c r="D673" s="236" t="s">
        <v>97</v>
      </c>
      <c r="E673" s="242"/>
      <c r="F673" s="232">
        <f t="shared" si="50"/>
        <v>0.2064703407829992</v>
      </c>
      <c r="G673" s="232">
        <f>+F673*G672</f>
        <v>6.8502447869299565E-5</v>
      </c>
      <c r="H673" s="232"/>
      <c r="I673" s="232"/>
      <c r="J673" s="232"/>
      <c r="K673" s="232"/>
      <c r="L673" s="232"/>
      <c r="M673" s="232"/>
      <c r="N673" s="233">
        <f>+SUMPRODUCT($F674:$F684,N674:N684)</f>
        <v>0.97177698027685089</v>
      </c>
      <c r="O673" s="233">
        <f>+SUMPRODUCT($F674:$F684,O674:O684)</f>
        <v>0.97177698027685089</v>
      </c>
      <c r="P673" s="233">
        <f>+SUMPRODUCT($F674:$F684,P674:P684)</f>
        <v>0.97177698027685089</v>
      </c>
      <c r="Q673" s="274">
        <f>+SUMPRODUCT($F674:$F684,Q674:Q684)</f>
        <v>0</v>
      </c>
      <c r="R673" s="260">
        <f t="shared" si="49"/>
        <v>0</v>
      </c>
      <c r="S673" s="260">
        <f t="shared" si="49"/>
        <v>0</v>
      </c>
      <c r="T673" s="260">
        <f t="shared" si="49"/>
        <v>0</v>
      </c>
    </row>
    <row r="674" spans="1:22" s="140" customFormat="1" ht="25.5" hidden="1" outlineLevel="5">
      <c r="A674" s="216"/>
      <c r="B674" s="255" t="s">
        <v>860</v>
      </c>
      <c r="C674" s="245" t="s">
        <v>99</v>
      </c>
      <c r="D674" s="227" t="s">
        <v>100</v>
      </c>
      <c r="E674" s="241"/>
      <c r="F674" s="228">
        <f t="shared" si="50"/>
        <v>5.8885812178438031E-2</v>
      </c>
      <c r="G674" s="269">
        <f>+F674*G673</f>
        <v>4.0338222789948164E-6</v>
      </c>
      <c r="H674" s="269"/>
      <c r="I674" s="269"/>
      <c r="J674" s="269"/>
      <c r="K674" s="269"/>
      <c r="L674" s="269"/>
      <c r="M674" s="269"/>
      <c r="N674" s="229">
        <v>1</v>
      </c>
      <c r="O674" s="229">
        <v>1</v>
      </c>
      <c r="P674" s="229">
        <v>1</v>
      </c>
      <c r="Q674" s="272">
        <v>0</v>
      </c>
      <c r="R674" s="256">
        <f t="shared" ref="R674:T705" si="51">+IF(N674=0,0,$Q674/N674)</f>
        <v>0</v>
      </c>
      <c r="S674" s="256">
        <f t="shared" si="51"/>
        <v>0</v>
      </c>
      <c r="T674" s="256">
        <f t="shared" si="51"/>
        <v>0</v>
      </c>
      <c r="U674" s="216"/>
      <c r="V674" s="216"/>
    </row>
    <row r="675" spans="1:22" s="140" customFormat="1" ht="25.5" hidden="1" outlineLevel="5">
      <c r="A675" s="216"/>
      <c r="B675" s="255" t="s">
        <v>861</v>
      </c>
      <c r="C675" s="245" t="s">
        <v>102</v>
      </c>
      <c r="D675" s="227" t="s">
        <v>103</v>
      </c>
      <c r="E675" s="241"/>
      <c r="F675" s="228">
        <f t="shared" si="50"/>
        <v>9.5476860808951347E-2</v>
      </c>
      <c r="G675" s="269">
        <f>+F675*G673</f>
        <v>6.5403986802895603E-6</v>
      </c>
      <c r="H675" s="269"/>
      <c r="I675" s="269"/>
      <c r="J675" s="269"/>
      <c r="K675" s="269"/>
      <c r="L675" s="269"/>
      <c r="M675" s="269"/>
      <c r="N675" s="229">
        <v>1</v>
      </c>
      <c r="O675" s="229">
        <v>1</v>
      </c>
      <c r="P675" s="229">
        <v>1</v>
      </c>
      <c r="Q675" s="272">
        <v>0</v>
      </c>
      <c r="R675" s="256">
        <f t="shared" si="51"/>
        <v>0</v>
      </c>
      <c r="S675" s="256">
        <f t="shared" si="51"/>
        <v>0</v>
      </c>
      <c r="T675" s="256">
        <f t="shared" si="51"/>
        <v>0</v>
      </c>
      <c r="U675" s="216"/>
      <c r="V675" s="216"/>
    </row>
    <row r="676" spans="1:22" s="140" customFormat="1" ht="25.5" hidden="1" outlineLevel="5">
      <c r="A676" s="216"/>
      <c r="B676" s="255" t="s">
        <v>862</v>
      </c>
      <c r="C676" s="245" t="s">
        <v>105</v>
      </c>
      <c r="D676" s="227" t="s">
        <v>106</v>
      </c>
      <c r="E676" s="241"/>
      <c r="F676" s="228">
        <f t="shared" si="50"/>
        <v>7.7851641421759807E-2</v>
      </c>
      <c r="G676" s="269">
        <f>+F676*G673</f>
        <v>5.3330280080335039E-6</v>
      </c>
      <c r="H676" s="269"/>
      <c r="I676" s="269"/>
      <c r="J676" s="269"/>
      <c r="K676" s="269"/>
      <c r="L676" s="269"/>
      <c r="M676" s="269"/>
      <c r="N676" s="229">
        <v>1</v>
      </c>
      <c r="O676" s="229">
        <v>1</v>
      </c>
      <c r="P676" s="229">
        <v>1</v>
      </c>
      <c r="Q676" s="272">
        <v>0</v>
      </c>
      <c r="R676" s="256">
        <f t="shared" si="51"/>
        <v>0</v>
      </c>
      <c r="S676" s="256">
        <f t="shared" si="51"/>
        <v>0</v>
      </c>
      <c r="T676" s="256">
        <f t="shared" si="51"/>
        <v>0</v>
      </c>
      <c r="U676" s="216"/>
      <c r="V676" s="216"/>
    </row>
    <row r="677" spans="1:22" s="140" customFormat="1" ht="25.5" hidden="1" outlineLevel="5">
      <c r="A677" s="216"/>
      <c r="B677" s="255" t="s">
        <v>863</v>
      </c>
      <c r="C677" s="245" t="s">
        <v>108</v>
      </c>
      <c r="D677" s="227" t="s">
        <v>109</v>
      </c>
      <c r="E677" s="241"/>
      <c r="F677" s="228">
        <f t="shared" si="50"/>
        <v>9.6299858611877787E-2</v>
      </c>
      <c r="G677" s="269">
        <f>+F677*G673</f>
        <v>6.5967760443810768E-6</v>
      </c>
      <c r="H677" s="269"/>
      <c r="I677" s="269"/>
      <c r="J677" s="269"/>
      <c r="K677" s="269"/>
      <c r="L677" s="269"/>
      <c r="M677" s="269"/>
      <c r="N677" s="229">
        <v>1</v>
      </c>
      <c r="O677" s="229">
        <v>1</v>
      </c>
      <c r="P677" s="229">
        <v>1</v>
      </c>
      <c r="Q677" s="272">
        <v>0</v>
      </c>
      <c r="R677" s="256">
        <f t="shared" si="51"/>
        <v>0</v>
      </c>
      <c r="S677" s="256">
        <f t="shared" si="51"/>
        <v>0</v>
      </c>
      <c r="T677" s="256">
        <f t="shared" si="51"/>
        <v>0</v>
      </c>
      <c r="U677" s="216"/>
      <c r="V677" s="216"/>
    </row>
    <row r="678" spans="1:22" s="140" customFormat="1" ht="38.25" hidden="1" outlineLevel="5">
      <c r="A678" s="216"/>
      <c r="B678" s="255" t="s">
        <v>864</v>
      </c>
      <c r="C678" s="245" t="s">
        <v>111</v>
      </c>
      <c r="D678" s="227" t="s">
        <v>112</v>
      </c>
      <c r="E678" s="241"/>
      <c r="F678" s="228">
        <f t="shared" si="50"/>
        <v>0.2149063701910354</v>
      </c>
      <c r="G678" s="269">
        <f>+F678*G673</f>
        <v>1.4721612420791797E-5</v>
      </c>
      <c r="H678" s="269"/>
      <c r="I678" s="269"/>
      <c r="J678" s="269"/>
      <c r="K678" s="269"/>
      <c r="L678" s="269"/>
      <c r="M678" s="269"/>
      <c r="N678" s="229">
        <v>1</v>
      </c>
      <c r="O678" s="229">
        <v>1</v>
      </c>
      <c r="P678" s="229">
        <v>1</v>
      </c>
      <c r="Q678" s="272">
        <v>0</v>
      </c>
      <c r="R678" s="256">
        <f t="shared" si="51"/>
        <v>0</v>
      </c>
      <c r="S678" s="256">
        <f t="shared" si="51"/>
        <v>0</v>
      </c>
      <c r="T678" s="256">
        <f t="shared" si="51"/>
        <v>0</v>
      </c>
      <c r="U678" s="216"/>
      <c r="V678" s="216"/>
    </row>
    <row r="679" spans="1:22" s="140" customFormat="1" ht="38.25" hidden="1" outlineLevel="5">
      <c r="A679" s="216"/>
      <c r="B679" s="255" t="s">
        <v>865</v>
      </c>
      <c r="C679" s="245" t="s">
        <v>114</v>
      </c>
      <c r="D679" s="227" t="s">
        <v>115</v>
      </c>
      <c r="E679" s="241"/>
      <c r="F679" s="228">
        <f t="shared" si="50"/>
        <v>0.11738040352185054</v>
      </c>
      <c r="G679" s="269">
        <f>+F679*G673</f>
        <v>8.0408449731329136E-6</v>
      </c>
      <c r="H679" s="269"/>
      <c r="I679" s="269"/>
      <c r="J679" s="269"/>
      <c r="K679" s="269"/>
      <c r="L679" s="269"/>
      <c r="M679" s="269"/>
      <c r="N679" s="229">
        <v>1</v>
      </c>
      <c r="O679" s="229">
        <v>1</v>
      </c>
      <c r="P679" s="229">
        <v>1</v>
      </c>
      <c r="Q679" s="272">
        <v>0</v>
      </c>
      <c r="R679" s="256">
        <f t="shared" si="51"/>
        <v>0</v>
      </c>
      <c r="S679" s="256">
        <f t="shared" si="51"/>
        <v>0</v>
      </c>
      <c r="T679" s="256">
        <f t="shared" si="51"/>
        <v>0</v>
      </c>
      <c r="U679" s="216"/>
      <c r="V679" s="216"/>
    </row>
    <row r="680" spans="1:22" s="140" customFormat="1" ht="38.25" hidden="1" outlineLevel="5">
      <c r="A680" s="216"/>
      <c r="B680" s="255" t="s">
        <v>866</v>
      </c>
      <c r="C680" s="245" t="s">
        <v>117</v>
      </c>
      <c r="D680" s="227" t="s">
        <v>118</v>
      </c>
      <c r="E680" s="241"/>
      <c r="F680" s="228">
        <f t="shared" si="50"/>
        <v>0.11930471289964986</v>
      </c>
      <c r="G680" s="269">
        <f>+F680*G673</f>
        <v>8.1726648759700156E-6</v>
      </c>
      <c r="H680" s="269"/>
      <c r="I680" s="269"/>
      <c r="J680" s="269"/>
      <c r="K680" s="269"/>
      <c r="L680" s="269"/>
      <c r="M680" s="269"/>
      <c r="N680" s="229">
        <v>1</v>
      </c>
      <c r="O680" s="229">
        <v>1</v>
      </c>
      <c r="P680" s="229">
        <v>1</v>
      </c>
      <c r="Q680" s="272">
        <v>0</v>
      </c>
      <c r="R680" s="256">
        <f t="shared" si="51"/>
        <v>0</v>
      </c>
      <c r="S680" s="256">
        <f t="shared" si="51"/>
        <v>0</v>
      </c>
      <c r="T680" s="256">
        <f t="shared" si="51"/>
        <v>0</v>
      </c>
      <c r="U680" s="216"/>
      <c r="V680" s="216"/>
    </row>
    <row r="681" spans="1:22" s="140" customFormat="1" ht="38.25" hidden="1" outlineLevel="5">
      <c r="A681" s="216"/>
      <c r="B681" s="255" t="s">
        <v>867</v>
      </c>
      <c r="C681" s="245" t="s">
        <v>120</v>
      </c>
      <c r="D681" s="227" t="s">
        <v>121</v>
      </c>
      <c r="E681" s="241"/>
      <c r="F681" s="228">
        <f t="shared" si="50"/>
        <v>0.19167132064328818</v>
      </c>
      <c r="G681" s="269">
        <f>+F681*G673</f>
        <v>1.312995465040665E-5</v>
      </c>
      <c r="H681" s="269"/>
      <c r="I681" s="269"/>
      <c r="J681" s="269"/>
      <c r="K681" s="269"/>
      <c r="L681" s="269"/>
      <c r="M681" s="269"/>
      <c r="N681" s="229">
        <v>1</v>
      </c>
      <c r="O681" s="229">
        <v>1</v>
      </c>
      <c r="P681" s="229">
        <v>1</v>
      </c>
      <c r="Q681" s="272">
        <v>0</v>
      </c>
      <c r="R681" s="256">
        <f t="shared" si="51"/>
        <v>0</v>
      </c>
      <c r="S681" s="256">
        <f t="shared" si="51"/>
        <v>0</v>
      </c>
      <c r="T681" s="256">
        <f t="shared" si="51"/>
        <v>0</v>
      </c>
      <c r="U681" s="216"/>
      <c r="V681" s="216"/>
    </row>
    <row r="682" spans="1:22" s="140" customFormat="1" ht="25.5" hidden="1" outlineLevel="5">
      <c r="A682" s="216"/>
      <c r="B682" s="255" t="s">
        <v>868</v>
      </c>
      <c r="C682" s="245" t="s">
        <v>123</v>
      </c>
      <c r="D682" s="227" t="s">
        <v>124</v>
      </c>
      <c r="E682" s="241"/>
      <c r="F682" s="228">
        <f t="shared" si="50"/>
        <v>5.2427274764052581E-3</v>
      </c>
      <c r="G682" s="269">
        <f>+F682*G673</f>
        <v>3.5913966564539567E-7</v>
      </c>
      <c r="H682" s="269"/>
      <c r="I682" s="269"/>
      <c r="J682" s="269"/>
      <c r="K682" s="269"/>
      <c r="L682" s="269"/>
      <c r="M682" s="269"/>
      <c r="N682" s="229"/>
      <c r="O682" s="229"/>
      <c r="P682" s="229"/>
      <c r="Q682" s="272"/>
      <c r="R682" s="256">
        <f t="shared" si="51"/>
        <v>0</v>
      </c>
      <c r="S682" s="256">
        <f t="shared" si="51"/>
        <v>0</v>
      </c>
      <c r="T682" s="256">
        <f t="shared" si="51"/>
        <v>0</v>
      </c>
      <c r="U682" s="216"/>
      <c r="V682" s="216"/>
    </row>
    <row r="683" spans="1:22" s="140" customFormat="1" ht="25.5" hidden="1" outlineLevel="5">
      <c r="A683" s="216"/>
      <c r="B683" s="255" t="s">
        <v>869</v>
      </c>
      <c r="C683" s="245" t="s">
        <v>126</v>
      </c>
      <c r="D683" s="227" t="s">
        <v>127</v>
      </c>
      <c r="E683" s="241"/>
      <c r="F683" s="228">
        <f t="shared" ref="F683:F692" si="52">F869</f>
        <v>0</v>
      </c>
      <c r="G683" s="269">
        <f>+F683*G673</f>
        <v>0</v>
      </c>
      <c r="H683" s="269"/>
      <c r="I683" s="269"/>
      <c r="J683" s="269"/>
      <c r="K683" s="269"/>
      <c r="L683" s="269"/>
      <c r="M683" s="269"/>
      <c r="N683" s="229"/>
      <c r="O683" s="229"/>
      <c r="P683" s="229"/>
      <c r="Q683" s="272"/>
      <c r="R683" s="256">
        <f t="shared" si="51"/>
        <v>0</v>
      </c>
      <c r="S683" s="256">
        <f t="shared" si="51"/>
        <v>0</v>
      </c>
      <c r="T683" s="256">
        <f t="shared" si="51"/>
        <v>0</v>
      </c>
      <c r="U683" s="216"/>
      <c r="V683" s="216"/>
    </row>
    <row r="684" spans="1:22" s="140" customFormat="1" ht="38.25" hidden="1" outlineLevel="5">
      <c r="A684" s="216"/>
      <c r="B684" s="255" t="s">
        <v>870</v>
      </c>
      <c r="C684" s="245" t="s">
        <v>129</v>
      </c>
      <c r="D684" s="227" t="s">
        <v>130</v>
      </c>
      <c r="E684" s="241"/>
      <c r="F684" s="228">
        <f t="shared" si="52"/>
        <v>2.2980292246743819E-2</v>
      </c>
      <c r="G684" s="269">
        <f>+F684*G673</f>
        <v>1.5742062716538375E-6</v>
      </c>
      <c r="H684" s="269"/>
      <c r="I684" s="269"/>
      <c r="J684" s="269"/>
      <c r="K684" s="269"/>
      <c r="L684" s="269"/>
      <c r="M684" s="269"/>
      <c r="N684" s="229"/>
      <c r="O684" s="229"/>
      <c r="P684" s="229"/>
      <c r="Q684" s="272"/>
      <c r="R684" s="256">
        <f t="shared" si="51"/>
        <v>0</v>
      </c>
      <c r="S684" s="256">
        <f t="shared" si="51"/>
        <v>0</v>
      </c>
      <c r="T684" s="256">
        <f t="shared" si="51"/>
        <v>0</v>
      </c>
      <c r="U684" s="216"/>
      <c r="V684" s="216"/>
    </row>
    <row r="685" spans="1:22" s="140" customFormat="1" ht="25.5" hidden="1" outlineLevel="4">
      <c r="B685" s="301" t="s">
        <v>871</v>
      </c>
      <c r="C685" s="251"/>
      <c r="D685" s="236" t="s">
        <v>133</v>
      </c>
      <c r="E685" s="242"/>
      <c r="F685" s="232">
        <f t="shared" si="52"/>
        <v>0.15364965195292599</v>
      </c>
      <c r="G685" s="232">
        <f>+F685*G672</f>
        <v>5.0977671820203618E-5</v>
      </c>
      <c r="H685" s="232"/>
      <c r="I685" s="232"/>
      <c r="J685" s="232"/>
      <c r="K685" s="232"/>
      <c r="L685" s="232"/>
      <c r="M685" s="232"/>
      <c r="N685" s="233">
        <f>+SUMPRODUCT($F686:$F692,N686:N692)</f>
        <v>0.89076914477748093</v>
      </c>
      <c r="O685" s="233">
        <f>+SUMPRODUCT($F686:$F692,O686:O692)</f>
        <v>0.89076914477748093</v>
      </c>
      <c r="P685" s="233">
        <f>+SUMPRODUCT($F686:$F692,P686:P692)</f>
        <v>0.89076914477748093</v>
      </c>
      <c r="Q685" s="274">
        <f>+SUMPRODUCT($F686:$F692,Q686:Q692)</f>
        <v>0</v>
      </c>
      <c r="R685" s="260">
        <f t="shared" si="51"/>
        <v>0</v>
      </c>
      <c r="S685" s="260">
        <f t="shared" si="51"/>
        <v>0</v>
      </c>
      <c r="T685" s="260">
        <f t="shared" si="51"/>
        <v>0</v>
      </c>
    </row>
    <row r="686" spans="1:22" s="140" customFormat="1" ht="25.5" hidden="1" outlineLevel="5">
      <c r="A686" s="216"/>
      <c r="B686" s="255" t="s">
        <v>872</v>
      </c>
      <c r="C686" s="245" t="s">
        <v>135</v>
      </c>
      <c r="D686" s="227" t="s">
        <v>136</v>
      </c>
      <c r="E686" s="241"/>
      <c r="F686" s="228">
        <f t="shared" si="52"/>
        <v>7.1676986389805894E-2</v>
      </c>
      <c r="G686" s="269">
        <f>+F686*G685</f>
        <v>3.653925889240726E-6</v>
      </c>
      <c r="H686" s="269"/>
      <c r="I686" s="269"/>
      <c r="J686" s="269"/>
      <c r="K686" s="269"/>
      <c r="L686" s="269"/>
      <c r="M686" s="269"/>
      <c r="N686" s="229">
        <v>1</v>
      </c>
      <c r="O686" s="229">
        <v>1</v>
      </c>
      <c r="P686" s="229">
        <v>1</v>
      </c>
      <c r="Q686" s="272">
        <v>0</v>
      </c>
      <c r="R686" s="256">
        <f t="shared" si="51"/>
        <v>0</v>
      </c>
      <c r="S686" s="256">
        <f t="shared" si="51"/>
        <v>0</v>
      </c>
      <c r="T686" s="256">
        <f t="shared" si="51"/>
        <v>0</v>
      </c>
      <c r="U686" s="216"/>
      <c r="V686" s="216"/>
    </row>
    <row r="687" spans="1:22" s="140" customFormat="1" ht="25.5" hidden="1" outlineLevel="5">
      <c r="A687" s="216"/>
      <c r="B687" s="255" t="s">
        <v>873</v>
      </c>
      <c r="C687" s="245" t="s">
        <v>138</v>
      </c>
      <c r="D687" s="227" t="s">
        <v>139</v>
      </c>
      <c r="E687" s="241"/>
      <c r="F687" s="228">
        <f t="shared" si="52"/>
        <v>0.15362856123913068</v>
      </c>
      <c r="G687" s="269">
        <f>+F687*G685</f>
        <v>7.8316263770584588E-6</v>
      </c>
      <c r="H687" s="269"/>
      <c r="I687" s="269"/>
      <c r="J687" s="269"/>
      <c r="K687" s="269"/>
      <c r="L687" s="269"/>
      <c r="M687" s="269"/>
      <c r="N687" s="229">
        <v>1</v>
      </c>
      <c r="O687" s="229">
        <v>1</v>
      </c>
      <c r="P687" s="229">
        <v>1</v>
      </c>
      <c r="Q687" s="272">
        <v>0</v>
      </c>
      <c r="R687" s="256">
        <f t="shared" si="51"/>
        <v>0</v>
      </c>
      <c r="S687" s="256">
        <f t="shared" si="51"/>
        <v>0</v>
      </c>
      <c r="T687" s="256">
        <f t="shared" si="51"/>
        <v>0</v>
      </c>
      <c r="U687" s="216"/>
      <c r="V687" s="216"/>
    </row>
    <row r="688" spans="1:22" s="140" customFormat="1" ht="25.5" hidden="1" outlineLevel="5">
      <c r="A688" s="216"/>
      <c r="B688" s="255" t="s">
        <v>874</v>
      </c>
      <c r="C688" s="245" t="s">
        <v>141</v>
      </c>
      <c r="D688" s="227" t="s">
        <v>142</v>
      </c>
      <c r="E688" s="241"/>
      <c r="F688" s="228">
        <f t="shared" si="52"/>
        <v>0.20080921506999638</v>
      </c>
      <c r="G688" s="269">
        <f>+F688*G685</f>
        <v>1.0236786264310963E-5</v>
      </c>
      <c r="H688" s="269"/>
      <c r="I688" s="269"/>
      <c r="J688" s="269"/>
      <c r="K688" s="269"/>
      <c r="L688" s="269"/>
      <c r="M688" s="269"/>
      <c r="N688" s="229">
        <v>1</v>
      </c>
      <c r="O688" s="229">
        <v>1</v>
      </c>
      <c r="P688" s="229">
        <v>1</v>
      </c>
      <c r="Q688" s="272">
        <v>0</v>
      </c>
      <c r="R688" s="256">
        <f t="shared" si="51"/>
        <v>0</v>
      </c>
      <c r="S688" s="256">
        <f t="shared" si="51"/>
        <v>0</v>
      </c>
      <c r="T688" s="256">
        <f t="shared" si="51"/>
        <v>0</v>
      </c>
      <c r="U688" s="216"/>
      <c r="V688" s="216"/>
    </row>
    <row r="689" spans="1:22" s="140" customFormat="1" ht="25.5" hidden="1" outlineLevel="5">
      <c r="A689" s="216"/>
      <c r="B689" s="255" t="s">
        <v>875</v>
      </c>
      <c r="C689" s="245" t="s">
        <v>144</v>
      </c>
      <c r="D689" s="227" t="s">
        <v>145</v>
      </c>
      <c r="E689" s="241"/>
      <c r="F689" s="228">
        <f t="shared" si="52"/>
        <v>0.2365874770023029</v>
      </c>
      <c r="G689" s="269">
        <f>+F689*G685</f>
        <v>1.2060678759393368E-5</v>
      </c>
      <c r="H689" s="269"/>
      <c r="I689" s="269"/>
      <c r="J689" s="269"/>
      <c r="K689" s="269"/>
      <c r="L689" s="269"/>
      <c r="M689" s="269"/>
      <c r="N689" s="229">
        <v>1</v>
      </c>
      <c r="O689" s="229">
        <v>1</v>
      </c>
      <c r="P689" s="229">
        <v>1</v>
      </c>
      <c r="Q689" s="272">
        <v>0</v>
      </c>
      <c r="R689" s="256">
        <f t="shared" si="51"/>
        <v>0</v>
      </c>
      <c r="S689" s="256">
        <f t="shared" si="51"/>
        <v>0</v>
      </c>
      <c r="T689" s="256">
        <f t="shared" si="51"/>
        <v>0</v>
      </c>
      <c r="U689" s="216"/>
      <c r="V689" s="216"/>
    </row>
    <row r="690" spans="1:22" s="140" customFormat="1" ht="12.75" hidden="1" outlineLevel="5">
      <c r="A690" s="216"/>
      <c r="B690" s="255" t="s">
        <v>876</v>
      </c>
      <c r="C690" s="245" t="s">
        <v>147</v>
      </c>
      <c r="D690" s="227" t="s">
        <v>148</v>
      </c>
      <c r="E690" s="241"/>
      <c r="F690" s="228">
        <f t="shared" si="52"/>
        <v>0.13605594911200233</v>
      </c>
      <c r="G690" s="269">
        <f>+F690*G685</f>
        <v>6.9358155230179785E-6</v>
      </c>
      <c r="H690" s="269"/>
      <c r="I690" s="269"/>
      <c r="J690" s="269"/>
      <c r="K690" s="269"/>
      <c r="L690" s="269"/>
      <c r="M690" s="269"/>
      <c r="N690" s="229">
        <v>1</v>
      </c>
      <c r="O690" s="229">
        <v>1</v>
      </c>
      <c r="P690" s="229">
        <v>1</v>
      </c>
      <c r="Q690" s="272">
        <v>0</v>
      </c>
      <c r="R690" s="256">
        <f t="shared" si="51"/>
        <v>0</v>
      </c>
      <c r="S690" s="256">
        <f t="shared" si="51"/>
        <v>0</v>
      </c>
      <c r="T690" s="256">
        <f t="shared" si="51"/>
        <v>0</v>
      </c>
      <c r="U690" s="216"/>
      <c r="V690" s="216"/>
    </row>
    <row r="691" spans="1:22" s="140" customFormat="1" ht="25.5" hidden="1" outlineLevel="5">
      <c r="A691" s="216"/>
      <c r="B691" s="255" t="s">
        <v>877</v>
      </c>
      <c r="C691" s="245" t="s">
        <v>150</v>
      </c>
      <c r="D691" s="227" t="s">
        <v>151</v>
      </c>
      <c r="E691" s="241"/>
      <c r="F691" s="228">
        <f t="shared" si="52"/>
        <v>0.10923085522251913</v>
      </c>
      <c r="G691" s="269">
        <f>+F691*G685</f>
        <v>5.5683346901737544E-6</v>
      </c>
      <c r="H691" s="269"/>
      <c r="I691" s="269"/>
      <c r="J691" s="269"/>
      <c r="K691" s="269"/>
      <c r="L691" s="269"/>
      <c r="M691" s="269"/>
      <c r="N691" s="229"/>
      <c r="O691" s="229"/>
      <c r="P691" s="229"/>
      <c r="Q691" s="272"/>
      <c r="R691" s="256">
        <f t="shared" si="51"/>
        <v>0</v>
      </c>
      <c r="S691" s="256">
        <f t="shared" si="51"/>
        <v>0</v>
      </c>
      <c r="T691" s="256">
        <f t="shared" si="51"/>
        <v>0</v>
      </c>
      <c r="U691" s="216"/>
      <c r="V691" s="216"/>
    </row>
    <row r="692" spans="1:22" s="140" customFormat="1" ht="25.5" hidden="1" outlineLevel="5">
      <c r="A692" s="216"/>
      <c r="B692" s="255" t="s">
        <v>878</v>
      </c>
      <c r="C692" s="245" t="s">
        <v>153</v>
      </c>
      <c r="D692" s="227" t="s">
        <v>154</v>
      </c>
      <c r="E692" s="241"/>
      <c r="F692" s="228">
        <f t="shared" si="52"/>
        <v>9.2010955964242705E-2</v>
      </c>
      <c r="G692" s="269">
        <f>+F692*G685</f>
        <v>4.6905043170083709E-6</v>
      </c>
      <c r="H692" s="269"/>
      <c r="I692" s="269"/>
      <c r="J692" s="269"/>
      <c r="K692" s="269"/>
      <c r="L692" s="269"/>
      <c r="M692" s="269"/>
      <c r="N692" s="229">
        <v>1</v>
      </c>
      <c r="O692" s="229">
        <v>1</v>
      </c>
      <c r="P692" s="229">
        <v>1</v>
      </c>
      <c r="Q692" s="272">
        <v>0</v>
      </c>
      <c r="R692" s="256">
        <f t="shared" si="51"/>
        <v>0</v>
      </c>
      <c r="S692" s="256">
        <f t="shared" si="51"/>
        <v>0</v>
      </c>
      <c r="T692" s="256">
        <f t="shared" si="51"/>
        <v>0</v>
      </c>
      <c r="U692" s="216"/>
      <c r="V692" s="216"/>
    </row>
    <row r="693" spans="1:22" s="140" customFormat="1" ht="25.5" hidden="1" outlineLevel="3">
      <c r="B693" s="301" t="s">
        <v>879</v>
      </c>
      <c r="C693" s="251"/>
      <c r="D693" s="236" t="s">
        <v>157</v>
      </c>
      <c r="E693" s="242"/>
      <c r="F693" s="232">
        <f t="shared" ref="F693:F717" si="53">F879</f>
        <v>0.15245155571846505</v>
      </c>
      <c r="G693" s="232">
        <f>+F693*G672</f>
        <v>5.0580169086724704E-5</v>
      </c>
      <c r="H693" s="232"/>
      <c r="I693" s="232"/>
      <c r="J693" s="232"/>
      <c r="K693" s="232"/>
      <c r="L693" s="232"/>
      <c r="M693" s="232"/>
      <c r="N693" s="233">
        <f>+SUMPRODUCT($F694:$F698,N694:N698)</f>
        <v>1</v>
      </c>
      <c r="O693" s="233">
        <f>+SUMPRODUCT($F694:$F698,O694:O698)</f>
        <v>1</v>
      </c>
      <c r="P693" s="233">
        <f>+SUMPRODUCT($F694:$F698,P694:P698)</f>
        <v>1</v>
      </c>
      <c r="Q693" s="274">
        <f>+SUMPRODUCT($F694:$F698,Q694:Q698)</f>
        <v>0</v>
      </c>
      <c r="R693" s="254">
        <f t="shared" si="51"/>
        <v>0</v>
      </c>
      <c r="S693" s="254">
        <f t="shared" si="51"/>
        <v>0</v>
      </c>
      <c r="T693" s="254">
        <f t="shared" si="51"/>
        <v>0</v>
      </c>
    </row>
    <row r="694" spans="1:22" s="140" customFormat="1" ht="12.75" hidden="1" outlineLevel="4">
      <c r="A694" s="216"/>
      <c r="B694" s="255" t="s">
        <v>880</v>
      </c>
      <c r="C694" s="245" t="s">
        <v>181</v>
      </c>
      <c r="D694" s="227" t="s">
        <v>182</v>
      </c>
      <c r="E694" s="241"/>
      <c r="F694" s="228">
        <f t="shared" si="53"/>
        <v>0.81307686435397697</v>
      </c>
      <c r="G694" s="269">
        <f>+F694*G693</f>
        <v>4.1125565279528078E-5</v>
      </c>
      <c r="H694" s="269"/>
      <c r="I694" s="269"/>
      <c r="J694" s="269"/>
      <c r="K694" s="269"/>
      <c r="L694" s="269"/>
      <c r="M694" s="269"/>
      <c r="N694" s="229">
        <v>1</v>
      </c>
      <c r="O694" s="229">
        <v>1</v>
      </c>
      <c r="P694" s="229">
        <v>1</v>
      </c>
      <c r="Q694" s="272">
        <v>0</v>
      </c>
      <c r="R694" s="256">
        <f t="shared" si="51"/>
        <v>0</v>
      </c>
      <c r="S694" s="256">
        <f t="shared" si="51"/>
        <v>0</v>
      </c>
      <c r="T694" s="256">
        <f t="shared" si="51"/>
        <v>0</v>
      </c>
      <c r="U694" s="216"/>
      <c r="V694" s="216"/>
    </row>
    <row r="695" spans="1:22" s="140" customFormat="1" ht="25.5" hidden="1" outlineLevel="4">
      <c r="A695" s="216"/>
      <c r="B695" s="255" t="s">
        <v>881</v>
      </c>
      <c r="C695" s="245" t="s">
        <v>159</v>
      </c>
      <c r="D695" s="227" t="s">
        <v>160</v>
      </c>
      <c r="E695" s="241"/>
      <c r="F695" s="228">
        <f t="shared" si="53"/>
        <v>9.3460693266385869E-2</v>
      </c>
      <c r="G695" s="269">
        <f>+F695*G693</f>
        <v>4.7272576683763103E-6</v>
      </c>
      <c r="H695" s="269"/>
      <c r="I695" s="269"/>
      <c r="J695" s="269"/>
      <c r="K695" s="269"/>
      <c r="L695" s="269"/>
      <c r="M695" s="269"/>
      <c r="N695" s="229">
        <v>1</v>
      </c>
      <c r="O695" s="229">
        <v>1</v>
      </c>
      <c r="P695" s="229">
        <v>1</v>
      </c>
      <c r="Q695" s="272">
        <v>0</v>
      </c>
      <c r="R695" s="256">
        <f t="shared" si="51"/>
        <v>0</v>
      </c>
      <c r="S695" s="256">
        <f t="shared" si="51"/>
        <v>0</v>
      </c>
      <c r="T695" s="256">
        <f t="shared" si="51"/>
        <v>0</v>
      </c>
      <c r="U695" s="216"/>
      <c r="V695" s="216"/>
    </row>
    <row r="696" spans="1:22" s="140" customFormat="1" ht="25.5" hidden="1" outlineLevel="4">
      <c r="A696" s="216"/>
      <c r="B696" s="255" t="s">
        <v>882</v>
      </c>
      <c r="C696" s="245" t="s">
        <v>162</v>
      </c>
      <c r="D696" s="227" t="s">
        <v>163</v>
      </c>
      <c r="E696" s="241"/>
      <c r="F696" s="228">
        <f t="shared" si="53"/>
        <v>3.036845712708507E-2</v>
      </c>
      <c r="G696" s="269">
        <f>+F696*G693</f>
        <v>1.5360416963909127E-6</v>
      </c>
      <c r="H696" s="269"/>
      <c r="I696" s="269"/>
      <c r="J696" s="269"/>
      <c r="K696" s="269"/>
      <c r="L696" s="269"/>
      <c r="M696" s="269"/>
      <c r="N696" s="229">
        <v>1</v>
      </c>
      <c r="O696" s="229">
        <v>1</v>
      </c>
      <c r="P696" s="229">
        <v>1</v>
      </c>
      <c r="Q696" s="272">
        <v>0</v>
      </c>
      <c r="R696" s="256">
        <f t="shared" si="51"/>
        <v>0</v>
      </c>
      <c r="S696" s="256">
        <f t="shared" si="51"/>
        <v>0</v>
      </c>
      <c r="T696" s="256">
        <f t="shared" si="51"/>
        <v>0</v>
      </c>
      <c r="U696" s="216"/>
      <c r="V696" s="216"/>
    </row>
    <row r="697" spans="1:22" s="140" customFormat="1" ht="12.75" hidden="1" outlineLevel="4">
      <c r="A697" s="216"/>
      <c r="B697" s="255" t="s">
        <v>883</v>
      </c>
      <c r="C697" s="245" t="s">
        <v>165</v>
      </c>
      <c r="D697" s="227" t="s">
        <v>166</v>
      </c>
      <c r="E697" s="241"/>
      <c r="F697" s="228">
        <f t="shared" si="53"/>
        <v>3.6002086533741685E-2</v>
      </c>
      <c r="G697" s="269">
        <f>+F697*G693</f>
        <v>1.8209916243515489E-6</v>
      </c>
      <c r="H697" s="269"/>
      <c r="I697" s="269"/>
      <c r="J697" s="269"/>
      <c r="K697" s="269"/>
      <c r="L697" s="269"/>
      <c r="M697" s="269"/>
      <c r="N697" s="229">
        <v>1</v>
      </c>
      <c r="O697" s="229">
        <v>1</v>
      </c>
      <c r="P697" s="229">
        <v>1</v>
      </c>
      <c r="Q697" s="272">
        <v>0</v>
      </c>
      <c r="R697" s="256">
        <f t="shared" si="51"/>
        <v>0</v>
      </c>
      <c r="S697" s="256">
        <f t="shared" si="51"/>
        <v>0</v>
      </c>
      <c r="T697" s="256">
        <f t="shared" si="51"/>
        <v>0</v>
      </c>
      <c r="U697" s="216"/>
      <c r="V697" s="216"/>
    </row>
    <row r="698" spans="1:22" s="140" customFormat="1" ht="12.75" hidden="1" outlineLevel="4">
      <c r="A698" s="216"/>
      <c r="B698" s="255" t="s">
        <v>884</v>
      </c>
      <c r="C698" s="245" t="s">
        <v>168</v>
      </c>
      <c r="D698" s="227" t="s">
        <v>169</v>
      </c>
      <c r="E698" s="241"/>
      <c r="F698" s="228">
        <f t="shared" si="53"/>
        <v>2.7091898718810414E-2</v>
      </c>
      <c r="G698" s="269">
        <f>+F698*G693</f>
        <v>1.3703128180778512E-6</v>
      </c>
      <c r="H698" s="269"/>
      <c r="I698" s="269"/>
      <c r="J698" s="269"/>
      <c r="K698" s="269"/>
      <c r="L698" s="269"/>
      <c r="M698" s="269"/>
      <c r="N698" s="229">
        <v>1</v>
      </c>
      <c r="O698" s="229">
        <v>1</v>
      </c>
      <c r="P698" s="229">
        <v>1</v>
      </c>
      <c r="Q698" s="272">
        <v>0</v>
      </c>
      <c r="R698" s="256">
        <f t="shared" si="51"/>
        <v>0</v>
      </c>
      <c r="S698" s="256">
        <f t="shared" si="51"/>
        <v>0</v>
      </c>
      <c r="T698" s="256">
        <f t="shared" si="51"/>
        <v>0</v>
      </c>
      <c r="U698" s="216"/>
      <c r="V698" s="216"/>
    </row>
    <row r="699" spans="1:22" s="140" customFormat="1" ht="25.5" hidden="1" outlineLevel="3">
      <c r="B699" s="301" t="s">
        <v>885</v>
      </c>
      <c r="C699" s="251"/>
      <c r="D699" s="236" t="s">
        <v>173</v>
      </c>
      <c r="E699" s="242"/>
      <c r="F699" s="232">
        <f t="shared" si="53"/>
        <v>0.30792579068332282</v>
      </c>
      <c r="G699" s="232">
        <f>+F699*G672</f>
        <v>1.021631985683923E-4</v>
      </c>
      <c r="H699" s="232"/>
      <c r="I699" s="232"/>
      <c r="J699" s="232"/>
      <c r="K699" s="232"/>
      <c r="L699" s="232"/>
      <c r="M699" s="232"/>
      <c r="N699" s="233">
        <f>+SUMPRODUCT($F700:$F702,N700:N702)</f>
        <v>0.67915996785530353</v>
      </c>
      <c r="O699" s="233">
        <f>+SUMPRODUCT($F700:$F702,O700:O702)</f>
        <v>0.67915996785530353</v>
      </c>
      <c r="P699" s="233">
        <f>+SUMPRODUCT($F700:$F702,P700:P702)</f>
        <v>0.67915996785530353</v>
      </c>
      <c r="Q699" s="274">
        <f>+SUMPRODUCT($F700:$F702,Q700:Q702)</f>
        <v>0</v>
      </c>
      <c r="R699" s="254">
        <f t="shared" si="51"/>
        <v>0</v>
      </c>
      <c r="S699" s="254">
        <f t="shared" si="51"/>
        <v>0</v>
      </c>
      <c r="T699" s="254">
        <f t="shared" si="51"/>
        <v>0</v>
      </c>
    </row>
    <row r="700" spans="1:22" s="140" customFormat="1" ht="25.5" hidden="1" outlineLevel="4">
      <c r="A700" s="216"/>
      <c r="B700" s="255" t="s">
        <v>886</v>
      </c>
      <c r="C700" s="245" t="s">
        <v>175</v>
      </c>
      <c r="D700" s="227" t="s">
        <v>176</v>
      </c>
      <c r="E700" s="241"/>
      <c r="F700" s="228">
        <f t="shared" si="53"/>
        <v>0.16618782649623062</v>
      </c>
      <c r="G700" s="269">
        <f>+F700*G699</f>
        <v>1.6978279917983936E-5</v>
      </c>
      <c r="H700" s="269"/>
      <c r="I700" s="269"/>
      <c r="J700" s="269"/>
      <c r="K700" s="269"/>
      <c r="L700" s="269"/>
      <c r="M700" s="269"/>
      <c r="N700" s="229">
        <v>0.67915996785530353</v>
      </c>
      <c r="O700" s="229">
        <v>0.67915996785530353</v>
      </c>
      <c r="P700" s="229">
        <v>0.67915996785530353</v>
      </c>
      <c r="Q700" s="272">
        <v>0</v>
      </c>
      <c r="R700" s="256">
        <f t="shared" si="51"/>
        <v>0</v>
      </c>
      <c r="S700" s="256">
        <f t="shared" si="51"/>
        <v>0</v>
      </c>
      <c r="T700" s="256">
        <f t="shared" si="51"/>
        <v>0</v>
      </c>
      <c r="U700" s="216"/>
      <c r="V700" s="216"/>
    </row>
    <row r="701" spans="1:22" s="140" customFormat="1" ht="25.5" hidden="1" outlineLevel="4">
      <c r="A701" s="216"/>
      <c r="B701" s="255" t="s">
        <v>887</v>
      </c>
      <c r="C701" s="245" t="s">
        <v>178</v>
      </c>
      <c r="D701" s="227" t="s">
        <v>179</v>
      </c>
      <c r="E701" s="241"/>
      <c r="F701" s="228">
        <f t="shared" si="53"/>
        <v>0.36085232777611836</v>
      </c>
      <c r="G701" s="269">
        <f>+F701*G699</f>
        <v>3.686582801645816E-5</v>
      </c>
      <c r="H701" s="269"/>
      <c r="I701" s="269"/>
      <c r="J701" s="269"/>
      <c r="K701" s="269"/>
      <c r="L701" s="269"/>
      <c r="M701" s="269"/>
      <c r="N701" s="229">
        <v>0.67915996785530353</v>
      </c>
      <c r="O701" s="229">
        <v>0.67915996785530353</v>
      </c>
      <c r="P701" s="229">
        <v>0.67915996785530353</v>
      </c>
      <c r="Q701" s="272">
        <v>0</v>
      </c>
      <c r="R701" s="256">
        <f t="shared" si="51"/>
        <v>0</v>
      </c>
      <c r="S701" s="256">
        <f t="shared" si="51"/>
        <v>0</v>
      </c>
      <c r="T701" s="256">
        <f t="shared" si="51"/>
        <v>0</v>
      </c>
      <c r="U701" s="216"/>
      <c r="V701" s="216"/>
    </row>
    <row r="702" spans="1:22" s="140" customFormat="1" ht="25.5" hidden="1" outlineLevel="4">
      <c r="A702" s="216"/>
      <c r="B702" s="255" t="s">
        <v>888</v>
      </c>
      <c r="C702" s="245"/>
      <c r="D702" s="227" t="s">
        <v>439</v>
      </c>
      <c r="E702" s="241"/>
      <c r="F702" s="228">
        <f t="shared" si="53"/>
        <v>0.47295984572765098</v>
      </c>
      <c r="G702" s="269">
        <f>+F702*G699</f>
        <v>4.8319090633950197E-5</v>
      </c>
      <c r="H702" s="269"/>
      <c r="I702" s="269"/>
      <c r="J702" s="269"/>
      <c r="K702" s="269"/>
      <c r="L702" s="269"/>
      <c r="M702" s="269"/>
      <c r="N702" s="229">
        <v>0.67915996785530353</v>
      </c>
      <c r="O702" s="229">
        <v>0.67915996785530353</v>
      </c>
      <c r="P702" s="229">
        <v>0.67915996785530353</v>
      </c>
      <c r="Q702" s="272">
        <v>0</v>
      </c>
      <c r="R702" s="256">
        <f t="shared" si="51"/>
        <v>0</v>
      </c>
      <c r="S702" s="256">
        <f t="shared" si="51"/>
        <v>0</v>
      </c>
      <c r="T702" s="256">
        <f t="shared" si="51"/>
        <v>0</v>
      </c>
      <c r="U702" s="216"/>
      <c r="V702" s="216"/>
    </row>
    <row r="703" spans="1:22" s="140" customFormat="1" ht="12.75" hidden="1" outlineLevel="3">
      <c r="B703" s="301" t="s">
        <v>889</v>
      </c>
      <c r="C703" s="251"/>
      <c r="D703" s="236" t="s">
        <v>441</v>
      </c>
      <c r="E703" s="242"/>
      <c r="F703" s="232">
        <f t="shared" si="53"/>
        <v>0.17950266086228694</v>
      </c>
      <c r="G703" s="232">
        <f>+F703*G672</f>
        <v>5.9555147831343421E-5</v>
      </c>
      <c r="H703" s="232"/>
      <c r="I703" s="232"/>
      <c r="J703" s="232"/>
      <c r="K703" s="232"/>
      <c r="L703" s="232"/>
      <c r="M703" s="232"/>
      <c r="N703" s="233">
        <f>+SUMPRODUCT($F704:$F704,N704:N704)</f>
        <v>0</v>
      </c>
      <c r="O703" s="233">
        <f>+SUMPRODUCT($F704:$F704,O704:O704)</f>
        <v>0</v>
      </c>
      <c r="P703" s="233">
        <f>+SUMPRODUCT($F704:$F704,P704:P704)</f>
        <v>0</v>
      </c>
      <c r="Q703" s="274">
        <f>+SUMPRODUCT($F704:$F704,Q704:Q704)</f>
        <v>0</v>
      </c>
      <c r="R703" s="254">
        <f t="shared" si="51"/>
        <v>0</v>
      </c>
      <c r="S703" s="254">
        <f t="shared" si="51"/>
        <v>0</v>
      </c>
      <c r="T703" s="254">
        <f t="shared" si="51"/>
        <v>0</v>
      </c>
    </row>
    <row r="704" spans="1:22" s="140" customFormat="1" ht="12.75" hidden="1" outlineLevel="4">
      <c r="A704" s="216"/>
      <c r="B704" s="255" t="s">
        <v>890</v>
      </c>
      <c r="C704" s="245" t="s">
        <v>187</v>
      </c>
      <c r="D704" s="227" t="s">
        <v>443</v>
      </c>
      <c r="E704" s="241"/>
      <c r="F704" s="228">
        <f t="shared" si="53"/>
        <v>1</v>
      </c>
      <c r="G704" s="269">
        <f>+F704*G703</f>
        <v>5.9555147831343421E-5</v>
      </c>
      <c r="H704" s="269"/>
      <c r="I704" s="269"/>
      <c r="J704" s="269"/>
      <c r="K704" s="269"/>
      <c r="L704" s="269"/>
      <c r="M704" s="269"/>
      <c r="N704" s="229">
        <v>0</v>
      </c>
      <c r="O704" s="229">
        <v>0</v>
      </c>
      <c r="P704" s="229">
        <v>0</v>
      </c>
      <c r="Q704" s="272">
        <v>0</v>
      </c>
      <c r="R704" s="256">
        <f t="shared" si="51"/>
        <v>0</v>
      </c>
      <c r="S704" s="256">
        <f t="shared" si="51"/>
        <v>0</v>
      </c>
      <c r="T704" s="256">
        <f t="shared" si="51"/>
        <v>0</v>
      </c>
      <c r="U704" s="216"/>
      <c r="V704" s="216"/>
    </row>
    <row r="705" spans="1:22" s="140" customFormat="1" ht="12.75" hidden="1" outlineLevel="3">
      <c r="B705" s="300" t="s">
        <v>891</v>
      </c>
      <c r="C705" s="294"/>
      <c r="D705" s="294" t="s">
        <v>193</v>
      </c>
      <c r="E705" s="295"/>
      <c r="F705" s="296">
        <f t="shared" si="53"/>
        <v>6.6185886869288876E-2</v>
      </c>
      <c r="G705" s="296">
        <f>+F705*G532</f>
        <v>1.3071712656684558E-4</v>
      </c>
      <c r="H705" s="296"/>
      <c r="I705" s="296"/>
      <c r="J705" s="296"/>
      <c r="K705" s="296"/>
      <c r="L705" s="296"/>
      <c r="M705" s="296"/>
      <c r="N705" s="296">
        <f>+SUMPRODUCT($F706:$F717,N706:N717)</f>
        <v>0</v>
      </c>
      <c r="O705" s="296">
        <f>+SUMPRODUCT($F706:$F717,O706:O717)</f>
        <v>0</v>
      </c>
      <c r="P705" s="296">
        <f>+SUMPRODUCT($F706:$F717,P706:P717)</f>
        <v>0</v>
      </c>
      <c r="Q705" s="296">
        <f>+SUMPRODUCT($F706:$F717,Q706:Q717)</f>
        <v>0</v>
      </c>
      <c r="R705" s="296">
        <f t="shared" si="51"/>
        <v>0</v>
      </c>
      <c r="S705" s="296">
        <f t="shared" si="51"/>
        <v>0</v>
      </c>
      <c r="T705" s="296">
        <f t="shared" si="51"/>
        <v>0</v>
      </c>
    </row>
    <row r="706" spans="1:22" s="140" customFormat="1" ht="12.75" hidden="1" outlineLevel="3">
      <c r="A706" s="216"/>
      <c r="B706" s="255" t="s">
        <v>892</v>
      </c>
      <c r="C706" s="245" t="s">
        <v>195</v>
      </c>
      <c r="D706" s="227" t="s">
        <v>196</v>
      </c>
      <c r="E706" s="241"/>
      <c r="F706" s="228">
        <f t="shared" si="53"/>
        <v>0.11462043390407546</v>
      </c>
      <c r="G706" s="269">
        <f>+F706*G705</f>
        <v>1.4982853765785789E-5</v>
      </c>
      <c r="H706" s="269"/>
      <c r="I706" s="269"/>
      <c r="J706" s="269"/>
      <c r="K706" s="269"/>
      <c r="L706" s="269"/>
      <c r="M706" s="269"/>
      <c r="N706" s="229">
        <v>0</v>
      </c>
      <c r="O706" s="229">
        <v>0</v>
      </c>
      <c r="P706" s="229">
        <v>0</v>
      </c>
      <c r="Q706" s="272">
        <v>0</v>
      </c>
      <c r="R706" s="256">
        <f t="shared" ref="R706:T730" si="54">+IF(N706=0,0,$Q706/N706)</f>
        <v>0</v>
      </c>
      <c r="S706" s="256">
        <f t="shared" si="54"/>
        <v>0</v>
      </c>
      <c r="T706" s="256">
        <f t="shared" si="54"/>
        <v>0</v>
      </c>
      <c r="U706" s="216"/>
      <c r="V706" s="216"/>
    </row>
    <row r="707" spans="1:22" s="140" customFormat="1" ht="12.75" hidden="1" outlineLevel="3">
      <c r="A707" s="216"/>
      <c r="B707" s="255" t="s">
        <v>893</v>
      </c>
      <c r="C707" s="245" t="s">
        <v>198</v>
      </c>
      <c r="D707" s="227" t="s">
        <v>199</v>
      </c>
      <c r="E707" s="241"/>
      <c r="F707" s="228">
        <f t="shared" si="53"/>
        <v>0.16914444012256166</v>
      </c>
      <c r="G707" s="269">
        <f>+F707*G705</f>
        <v>2.2110075187579124E-5</v>
      </c>
      <c r="H707" s="269"/>
      <c r="I707" s="269"/>
      <c r="J707" s="269"/>
      <c r="K707" s="269"/>
      <c r="L707" s="269"/>
      <c r="M707" s="269"/>
      <c r="N707" s="229">
        <v>0</v>
      </c>
      <c r="O707" s="229">
        <v>0</v>
      </c>
      <c r="P707" s="229">
        <v>0</v>
      </c>
      <c r="Q707" s="272">
        <v>0</v>
      </c>
      <c r="R707" s="256">
        <f t="shared" si="54"/>
        <v>0</v>
      </c>
      <c r="S707" s="256">
        <f t="shared" si="54"/>
        <v>0</v>
      </c>
      <c r="T707" s="256">
        <f t="shared" si="54"/>
        <v>0</v>
      </c>
      <c r="U707" s="216"/>
      <c r="V707" s="216"/>
    </row>
    <row r="708" spans="1:22" s="140" customFormat="1" ht="12.75" hidden="1" outlineLevel="3">
      <c r="A708" s="216"/>
      <c r="B708" s="255" t="s">
        <v>894</v>
      </c>
      <c r="C708" s="245" t="s">
        <v>201</v>
      </c>
      <c r="D708" s="227" t="s">
        <v>202</v>
      </c>
      <c r="E708" s="241"/>
      <c r="F708" s="228">
        <f t="shared" si="53"/>
        <v>0.15393682703771108</v>
      </c>
      <c r="G708" s="269">
        <f>+F708*G705</f>
        <v>2.0122179703187096E-5</v>
      </c>
      <c r="H708" s="269"/>
      <c r="I708" s="269"/>
      <c r="J708" s="269"/>
      <c r="K708" s="269"/>
      <c r="L708" s="269"/>
      <c r="M708" s="269"/>
      <c r="N708" s="229">
        <v>0</v>
      </c>
      <c r="O708" s="229">
        <v>0</v>
      </c>
      <c r="P708" s="229">
        <v>0</v>
      </c>
      <c r="Q708" s="272">
        <v>0</v>
      </c>
      <c r="R708" s="256">
        <f t="shared" si="54"/>
        <v>0</v>
      </c>
      <c r="S708" s="256">
        <f t="shared" si="54"/>
        <v>0</v>
      </c>
      <c r="T708" s="256">
        <f t="shared" si="54"/>
        <v>0</v>
      </c>
      <c r="U708" s="216"/>
      <c r="V708" s="216"/>
    </row>
    <row r="709" spans="1:22" s="140" customFormat="1" ht="12.75" hidden="1" outlineLevel="3">
      <c r="A709" s="216"/>
      <c r="B709" s="255" t="s">
        <v>895</v>
      </c>
      <c r="C709" s="245" t="s">
        <v>204</v>
      </c>
      <c r="D709" s="227" t="s">
        <v>205</v>
      </c>
      <c r="E709" s="241"/>
      <c r="F709" s="228">
        <f t="shared" si="53"/>
        <v>3.9190487501575728E-2</v>
      </c>
      <c r="G709" s="269">
        <f>+F709*G705</f>
        <v>5.1228679149598543E-6</v>
      </c>
      <c r="H709" s="269"/>
      <c r="I709" s="269"/>
      <c r="J709" s="269"/>
      <c r="K709" s="269"/>
      <c r="L709" s="269"/>
      <c r="M709" s="269"/>
      <c r="N709" s="229">
        <v>0</v>
      </c>
      <c r="O709" s="229">
        <v>0</v>
      </c>
      <c r="P709" s="229">
        <v>0</v>
      </c>
      <c r="Q709" s="272">
        <v>0</v>
      </c>
      <c r="R709" s="256">
        <f t="shared" si="54"/>
        <v>0</v>
      </c>
      <c r="S709" s="256">
        <f t="shared" si="54"/>
        <v>0</v>
      </c>
      <c r="T709" s="256">
        <f t="shared" si="54"/>
        <v>0</v>
      </c>
      <c r="U709" s="216"/>
      <c r="V709" s="216"/>
    </row>
    <row r="710" spans="1:22" s="140" customFormat="1" ht="12.75" hidden="1" outlineLevel="3">
      <c r="A710" s="216"/>
      <c r="B710" s="255" t="s">
        <v>896</v>
      </c>
      <c r="C710" s="245" t="s">
        <v>207</v>
      </c>
      <c r="D710" s="227" t="s">
        <v>205</v>
      </c>
      <c r="E710" s="241"/>
      <c r="F710" s="228">
        <f t="shared" si="53"/>
        <v>3.9190487501575728E-2</v>
      </c>
      <c r="G710" s="269">
        <f>+F710*G705</f>
        <v>5.1228679149598543E-6</v>
      </c>
      <c r="H710" s="269"/>
      <c r="I710" s="269"/>
      <c r="J710" s="269"/>
      <c r="K710" s="269"/>
      <c r="L710" s="269"/>
      <c r="M710" s="269"/>
      <c r="N710" s="229">
        <v>0</v>
      </c>
      <c r="O710" s="229">
        <v>0</v>
      </c>
      <c r="P710" s="229">
        <v>0</v>
      </c>
      <c r="Q710" s="272">
        <v>0</v>
      </c>
      <c r="R710" s="256">
        <f t="shared" si="54"/>
        <v>0</v>
      </c>
      <c r="S710" s="256">
        <f t="shared" si="54"/>
        <v>0</v>
      </c>
      <c r="T710" s="256">
        <f t="shared" si="54"/>
        <v>0</v>
      </c>
      <c r="U710" s="216"/>
      <c r="V710" s="216"/>
    </row>
    <row r="711" spans="1:22" s="140" customFormat="1" ht="12.75" hidden="1" outlineLevel="3">
      <c r="A711" s="216"/>
      <c r="B711" s="255" t="s">
        <v>897</v>
      </c>
      <c r="C711" s="245" t="s">
        <v>209</v>
      </c>
      <c r="D711" s="227" t="s">
        <v>205</v>
      </c>
      <c r="E711" s="241"/>
      <c r="F711" s="228">
        <f t="shared" si="53"/>
        <v>3.9190487501575728E-2</v>
      </c>
      <c r="G711" s="269">
        <f>+F711*G705</f>
        <v>5.1228679149598543E-6</v>
      </c>
      <c r="H711" s="269"/>
      <c r="I711" s="269"/>
      <c r="J711" s="269"/>
      <c r="K711" s="269"/>
      <c r="L711" s="269"/>
      <c r="M711" s="269"/>
      <c r="N711" s="229">
        <v>0</v>
      </c>
      <c r="O711" s="229">
        <v>0</v>
      </c>
      <c r="P711" s="229">
        <v>0</v>
      </c>
      <c r="Q711" s="272">
        <v>0</v>
      </c>
      <c r="R711" s="256">
        <f t="shared" si="54"/>
        <v>0</v>
      </c>
      <c r="S711" s="256">
        <f t="shared" si="54"/>
        <v>0</v>
      </c>
      <c r="T711" s="256">
        <f t="shared" si="54"/>
        <v>0</v>
      </c>
      <c r="U711" s="216"/>
      <c r="V711" s="216"/>
    </row>
    <row r="712" spans="1:22" s="140" customFormat="1" ht="12.75" hidden="1" outlineLevel="3">
      <c r="A712" s="216"/>
      <c r="B712" s="255" t="s">
        <v>898</v>
      </c>
      <c r="C712" s="245" t="s">
        <v>211</v>
      </c>
      <c r="D712" s="227" t="s">
        <v>205</v>
      </c>
      <c r="E712" s="241"/>
      <c r="F712" s="228">
        <f t="shared" si="53"/>
        <v>3.9190487501575728E-2</v>
      </c>
      <c r="G712" s="269">
        <f>+F712*G705</f>
        <v>5.1228679149598543E-6</v>
      </c>
      <c r="H712" s="269"/>
      <c r="I712" s="269"/>
      <c r="J712" s="269"/>
      <c r="K712" s="269"/>
      <c r="L712" s="269"/>
      <c r="M712" s="269"/>
      <c r="N712" s="229">
        <v>0</v>
      </c>
      <c r="O712" s="229">
        <v>0</v>
      </c>
      <c r="P712" s="229">
        <v>0</v>
      </c>
      <c r="Q712" s="272">
        <v>0</v>
      </c>
      <c r="R712" s="256">
        <f t="shared" si="54"/>
        <v>0</v>
      </c>
      <c r="S712" s="256">
        <f t="shared" si="54"/>
        <v>0</v>
      </c>
      <c r="T712" s="256">
        <f t="shared" si="54"/>
        <v>0</v>
      </c>
      <c r="U712" s="216"/>
      <c r="V712" s="216"/>
    </row>
    <row r="713" spans="1:22" s="140" customFormat="1" ht="12.75" hidden="1" outlineLevel="3">
      <c r="A713" s="216"/>
      <c r="B713" s="255" t="s">
        <v>899</v>
      </c>
      <c r="C713" s="245" t="s">
        <v>213</v>
      </c>
      <c r="D713" s="227" t="s">
        <v>205</v>
      </c>
      <c r="E713" s="241"/>
      <c r="F713" s="228">
        <f t="shared" si="53"/>
        <v>3.9190487501575728E-2</v>
      </c>
      <c r="G713" s="269">
        <f>+F713*G705</f>
        <v>5.1228679149598543E-6</v>
      </c>
      <c r="H713" s="269"/>
      <c r="I713" s="269"/>
      <c r="J713" s="269"/>
      <c r="K713" s="269"/>
      <c r="L713" s="269"/>
      <c r="M713" s="269"/>
      <c r="N713" s="229">
        <v>0</v>
      </c>
      <c r="O713" s="229">
        <v>0</v>
      </c>
      <c r="P713" s="229">
        <v>0</v>
      </c>
      <c r="Q713" s="272">
        <v>0</v>
      </c>
      <c r="R713" s="256">
        <f t="shared" si="54"/>
        <v>0</v>
      </c>
      <c r="S713" s="256">
        <f t="shared" si="54"/>
        <v>0</v>
      </c>
      <c r="T713" s="256">
        <f t="shared" si="54"/>
        <v>0</v>
      </c>
      <c r="U713" s="216"/>
      <c r="V713" s="216"/>
    </row>
    <row r="714" spans="1:22" s="140" customFormat="1" ht="12.75" hidden="1" outlineLevel="3">
      <c r="A714" s="216"/>
      <c r="B714" s="255" t="s">
        <v>900</v>
      </c>
      <c r="C714" s="281" t="s">
        <v>215</v>
      </c>
      <c r="D714" s="282" t="s">
        <v>216</v>
      </c>
      <c r="E714" s="283"/>
      <c r="F714" s="284">
        <f t="shared" si="53"/>
        <v>4.0894421740774678E-2</v>
      </c>
      <c r="G714" s="285">
        <f>+F714*G705</f>
        <v>5.3456013025668048E-6</v>
      </c>
      <c r="H714" s="285"/>
      <c r="I714" s="285"/>
      <c r="J714" s="285"/>
      <c r="K714" s="285"/>
      <c r="L714" s="285"/>
      <c r="M714" s="285"/>
      <c r="N714" s="286">
        <v>0</v>
      </c>
      <c r="O714" s="286">
        <v>0</v>
      </c>
      <c r="P714" s="286">
        <v>0</v>
      </c>
      <c r="Q714" s="287">
        <v>0</v>
      </c>
      <c r="R714" s="288">
        <f t="shared" si="54"/>
        <v>0</v>
      </c>
      <c r="S714" s="288">
        <f t="shared" si="54"/>
        <v>0</v>
      </c>
      <c r="T714" s="288">
        <f t="shared" si="54"/>
        <v>0</v>
      </c>
      <c r="U714" s="216"/>
      <c r="V714" s="216"/>
    </row>
    <row r="715" spans="1:22" s="140" customFormat="1" ht="12.75" hidden="1" outlineLevel="3">
      <c r="A715" s="216"/>
      <c r="B715" s="255" t="s">
        <v>901</v>
      </c>
      <c r="C715" s="281" t="s">
        <v>218</v>
      </c>
      <c r="D715" s="282" t="s">
        <v>219</v>
      </c>
      <c r="E715" s="283"/>
      <c r="F715" s="284">
        <f t="shared" si="53"/>
        <v>0.13120293641831876</v>
      </c>
      <c r="G715" s="285">
        <f>+F715*G705</f>
        <v>1.7150470845735167E-5</v>
      </c>
      <c r="H715" s="285"/>
      <c r="I715" s="285"/>
      <c r="J715" s="285"/>
      <c r="K715" s="285"/>
      <c r="L715" s="285"/>
      <c r="M715" s="285"/>
      <c r="N715" s="286">
        <v>0</v>
      </c>
      <c r="O715" s="286">
        <v>0</v>
      </c>
      <c r="P715" s="286">
        <v>0</v>
      </c>
      <c r="Q715" s="287">
        <v>0</v>
      </c>
      <c r="R715" s="288">
        <f t="shared" si="54"/>
        <v>0</v>
      </c>
      <c r="S715" s="288">
        <f t="shared" si="54"/>
        <v>0</v>
      </c>
      <c r="T715" s="288">
        <f t="shared" si="54"/>
        <v>0</v>
      </c>
      <c r="U715" s="216"/>
      <c r="V715" s="216"/>
    </row>
    <row r="716" spans="1:22" s="140" customFormat="1" ht="12.75" hidden="1" outlineLevel="3">
      <c r="A716" s="216"/>
      <c r="B716" s="255" t="s">
        <v>902</v>
      </c>
      <c r="C716" s="281" t="s">
        <v>221</v>
      </c>
      <c r="D716" s="282" t="s">
        <v>222</v>
      </c>
      <c r="E716" s="283"/>
      <c r="F716" s="284">
        <f t="shared" si="53"/>
        <v>0.17039342391989448</v>
      </c>
      <c r="G716" s="285">
        <f>+F716*G705</f>
        <v>2.2273338760695021E-5</v>
      </c>
      <c r="H716" s="285"/>
      <c r="I716" s="285"/>
      <c r="J716" s="285"/>
      <c r="K716" s="285"/>
      <c r="L716" s="285"/>
      <c r="M716" s="285"/>
      <c r="N716" s="286">
        <v>0</v>
      </c>
      <c r="O716" s="286">
        <v>0</v>
      </c>
      <c r="P716" s="286">
        <v>0</v>
      </c>
      <c r="Q716" s="287">
        <v>0</v>
      </c>
      <c r="R716" s="288">
        <f t="shared" si="54"/>
        <v>0</v>
      </c>
      <c r="S716" s="288">
        <f t="shared" si="54"/>
        <v>0</v>
      </c>
      <c r="T716" s="288">
        <f t="shared" si="54"/>
        <v>0</v>
      </c>
      <c r="U716" s="216"/>
      <c r="V716" s="216"/>
    </row>
    <row r="717" spans="1:22" s="140" customFormat="1" ht="12.75" hidden="1" outlineLevel="3">
      <c r="A717" s="216"/>
      <c r="B717" s="255" t="s">
        <v>903</v>
      </c>
      <c r="C717" s="281" t="s">
        <v>224</v>
      </c>
      <c r="D717" s="282" t="s">
        <v>225</v>
      </c>
      <c r="E717" s="283"/>
      <c r="F717" s="284">
        <f t="shared" si="53"/>
        <v>2.3855079348785228E-2</v>
      </c>
      <c r="G717" s="285">
        <f>+F717*G705</f>
        <v>3.1182674264973029E-6</v>
      </c>
      <c r="H717" s="285"/>
      <c r="I717" s="285"/>
      <c r="J717" s="285"/>
      <c r="K717" s="285"/>
      <c r="L717" s="285"/>
      <c r="M717" s="285"/>
      <c r="N717" s="286">
        <v>0</v>
      </c>
      <c r="O717" s="286">
        <v>0</v>
      </c>
      <c r="P717" s="286">
        <v>0</v>
      </c>
      <c r="Q717" s="287">
        <v>0</v>
      </c>
      <c r="R717" s="288">
        <f t="shared" si="54"/>
        <v>0</v>
      </c>
      <c r="S717" s="288">
        <f t="shared" si="54"/>
        <v>0</v>
      </c>
      <c r="T717" s="288">
        <f t="shared" si="54"/>
        <v>0</v>
      </c>
      <c r="U717" s="216"/>
      <c r="V717" s="216"/>
    </row>
    <row r="718" spans="1:22" s="140" customFormat="1" ht="12.75" hidden="1" outlineLevel="1">
      <c r="B718" s="279">
        <v>5.2</v>
      </c>
      <c r="C718" s="279"/>
      <c r="D718" s="279" t="s">
        <v>904</v>
      </c>
      <c r="E718" s="278">
        <f>+SUM(E719,E842,E858,E891)</f>
        <v>2660131048900.3301</v>
      </c>
      <c r="F718" s="280">
        <v>0.95</v>
      </c>
      <c r="G718" s="280">
        <f>+F718*$G$528</f>
        <v>0.75049999999999994</v>
      </c>
      <c r="H718" s="280"/>
      <c r="I718" s="280"/>
      <c r="J718" s="280"/>
      <c r="K718" s="280"/>
      <c r="L718" s="280"/>
      <c r="M718" s="280"/>
      <c r="N718" s="280">
        <f>+($F719*N719+$F842*N842+$F858*N858+$F891*N891)</f>
        <v>0.59828672139786243</v>
      </c>
      <c r="O718" s="280">
        <f>+($F719*O719+$F842*O842+$F858*O858+$F891*O891)</f>
        <v>0.49722643591820165</v>
      </c>
      <c r="P718" s="280">
        <f>+($F719*P719+$F842*P842+$F858*P858+$F891*P891)</f>
        <v>0.45186073392837367</v>
      </c>
      <c r="Q718" s="280">
        <f>+($F719*Q719+$F842*Q842+$F858*Q858)</f>
        <v>0.20278226529100379</v>
      </c>
      <c r="R718" s="280">
        <f t="shared" si="54"/>
        <v>0.338938268289182</v>
      </c>
      <c r="S718" s="280">
        <f t="shared" si="54"/>
        <v>0.40782679809961542</v>
      </c>
      <c r="T718" s="280">
        <f t="shared" si="54"/>
        <v>0.44877160165713281</v>
      </c>
    </row>
    <row r="719" spans="1:22" s="140" customFormat="1" ht="12.75" hidden="1" outlineLevel="1">
      <c r="B719" s="294" t="s">
        <v>905</v>
      </c>
      <c r="C719" s="294"/>
      <c r="D719" s="294" t="s">
        <v>31</v>
      </c>
      <c r="E719" s="295">
        <f>SUM(E720,E741,E768,E780,E793,E808,E826,E841)</f>
        <v>1940235189986.96</v>
      </c>
      <c r="F719" s="296">
        <f>+E719/$E$718</f>
        <v>0.72937579176373002</v>
      </c>
      <c r="G719" s="296">
        <f t="shared" ref="G719:G864" si="55">+E719*$G$718/$E$718</f>
        <v>0.54739653171867941</v>
      </c>
      <c r="H719" s="297">
        <v>45884</v>
      </c>
      <c r="I719" s="297">
        <v>46552</v>
      </c>
      <c r="J719" s="297">
        <v>45884</v>
      </c>
      <c r="K719" s="297">
        <v>46552</v>
      </c>
      <c r="L719" s="297">
        <v>45885</v>
      </c>
      <c r="M719" s="297">
        <v>46758</v>
      </c>
      <c r="N719" s="296">
        <f>$F720*N720+$F741*N741+$F768*N768+$F780*N780+$F793*N793+$F808*N808+$F826*N826+$F841*N841</f>
        <v>0.82027224944102362</v>
      </c>
      <c r="O719" s="296">
        <f t="shared" ref="O719:Q719" si="56">$F720*O720+$F741*O741+$F768*O768+$F780*O780+$F793*O793+$F808*O808+$F826*O826+$F841*O841</f>
        <v>0.68171502472798062</v>
      </c>
      <c r="P719" s="296">
        <f t="shared" si="56"/>
        <v>0.61951704324558521</v>
      </c>
      <c r="Q719" s="296">
        <f t="shared" si="56"/>
        <v>0.26628020957757564</v>
      </c>
      <c r="R719" s="296">
        <f t="shared" si="54"/>
        <v>0.32462418393287462</v>
      </c>
      <c r="S719" s="296">
        <f t="shared" si="54"/>
        <v>0.39060340452937403</v>
      </c>
      <c r="T719" s="296">
        <f t="shared" si="54"/>
        <v>0.42981902189899635</v>
      </c>
    </row>
    <row r="720" spans="1:22" s="216" customFormat="1" ht="25.5" hidden="1" outlineLevel="2">
      <c r="B720" s="291" t="s">
        <v>906</v>
      </c>
      <c r="C720" s="292" t="s">
        <v>32</v>
      </c>
      <c r="D720" s="234" t="s">
        <v>33</v>
      </c>
      <c r="E720" s="240">
        <f>SUM(E721:E740)</f>
        <v>373298048361</v>
      </c>
      <c r="F720" s="223">
        <f t="shared" ref="F720:F841" si="57">E720/$E$719</f>
        <v>0.19239834958539684</v>
      </c>
      <c r="G720" s="293">
        <f t="shared" si="55"/>
        <v>0.10531818927144425</v>
      </c>
      <c r="H720" s="298">
        <v>45884</v>
      </c>
      <c r="I720" s="298">
        <v>46572</v>
      </c>
      <c r="J720" s="298">
        <v>45884</v>
      </c>
      <c r="K720" s="298">
        <v>46501</v>
      </c>
      <c r="L720" s="298">
        <v>45885</v>
      </c>
      <c r="M720" s="298">
        <v>46758</v>
      </c>
      <c r="N720" s="224">
        <f t="shared" ref="N720:P720" si="58">SUMPRODUCT($F721:$F740,N721:N740)</f>
        <v>0.97250733594245253</v>
      </c>
      <c r="O720" s="224">
        <f t="shared" si="58"/>
        <v>0.93342948945437354</v>
      </c>
      <c r="P720" s="224">
        <f t="shared" si="58"/>
        <v>0.7170438013704229</v>
      </c>
      <c r="Q720" s="270">
        <f>SUMPRODUCT($F721:$F740,Q721:Q740)</f>
        <v>0.25717591519605554</v>
      </c>
      <c r="R720" s="254">
        <f t="shared" si="54"/>
        <v>0.26444624702684377</v>
      </c>
      <c r="S720" s="254">
        <f t="shared" si="54"/>
        <v>0.2755172384219241</v>
      </c>
      <c r="T720" s="254">
        <f t="shared" si="54"/>
        <v>0.35866137424873873</v>
      </c>
    </row>
    <row r="721" spans="2:20" s="216" customFormat="1" ht="25.5" hidden="1" outlineLevel="3">
      <c r="B721" s="255" t="s">
        <v>907</v>
      </c>
      <c r="C721" s="290" t="s">
        <v>230</v>
      </c>
      <c r="D721" s="227" t="s">
        <v>231</v>
      </c>
      <c r="E721" s="241">
        <v>16642305388</v>
      </c>
      <c r="F721" s="228">
        <f>E721/$E$720</f>
        <v>4.4581817293365446E-2</v>
      </c>
      <c r="G721" s="269">
        <f>+E721*$G$718/$E$718</f>
        <v>4.6952762717676084E-3</v>
      </c>
      <c r="H721" s="299">
        <v>45884</v>
      </c>
      <c r="I721" s="299">
        <v>46572</v>
      </c>
      <c r="J721" s="299">
        <v>45884</v>
      </c>
      <c r="K721" s="299">
        <v>46334</v>
      </c>
      <c r="L721" s="299">
        <v>45885</v>
      </c>
      <c r="M721" s="299">
        <v>46578</v>
      </c>
      <c r="N721" s="229">
        <f>[1]Нэгтгэл!$E$10</f>
        <v>1.0000000000000004</v>
      </c>
      <c r="O721" s="229">
        <f>[1]Нэгтгэл!$G$10</f>
        <v>1.0000000000000004</v>
      </c>
      <c r="P721" s="229">
        <f>[1]Нэгтгэл!$I$10</f>
        <v>0.71919351890725702</v>
      </c>
      <c r="Q721" s="336">
        <v>0.25717591519605554</v>
      </c>
      <c r="R721" s="256">
        <f t="shared" si="54"/>
        <v>0.25717591519605543</v>
      </c>
      <c r="S721" s="256">
        <f t="shared" si="54"/>
        <v>0.25717591519605543</v>
      </c>
      <c r="T721" s="256">
        <f t="shared" si="54"/>
        <v>0.35758931140926958</v>
      </c>
    </row>
    <row r="722" spans="2:20" s="216" customFormat="1" ht="25.5" hidden="1" outlineLevel="3">
      <c r="B722" s="255" t="s">
        <v>908</v>
      </c>
      <c r="C722" s="290" t="s">
        <v>233</v>
      </c>
      <c r="D722" s="227" t="s">
        <v>231</v>
      </c>
      <c r="E722" s="241">
        <v>16642305388</v>
      </c>
      <c r="F722" s="228">
        <f t="shared" ref="F722:F740" si="59">E722/$E$720</f>
        <v>4.4581817293365446E-2</v>
      </c>
      <c r="G722" s="269">
        <f t="shared" si="55"/>
        <v>4.6952762717676084E-3</v>
      </c>
      <c r="H722" s="299">
        <v>45884</v>
      </c>
      <c r="I722" s="299">
        <v>46572</v>
      </c>
      <c r="J722" s="299">
        <v>45884</v>
      </c>
      <c r="K722" s="299">
        <v>46334</v>
      </c>
      <c r="L722" s="299">
        <v>45885</v>
      </c>
      <c r="M722" s="299">
        <v>46578</v>
      </c>
      <c r="N722" s="229">
        <f>[1]Нэгтгэл!$E$32</f>
        <v>1</v>
      </c>
      <c r="O722" s="229">
        <f>[1]Нэгтгэл!$G$32</f>
        <v>1</v>
      </c>
      <c r="P722" s="229">
        <f>[1]Нэгтгэл!$I$32</f>
        <v>0.72317710212433761</v>
      </c>
      <c r="Q722" s="336">
        <v>0.25717591519605554</v>
      </c>
      <c r="R722" s="256">
        <f t="shared" si="54"/>
        <v>0.25717591519605554</v>
      </c>
      <c r="S722" s="256">
        <f t="shared" si="54"/>
        <v>0.25717591519605554</v>
      </c>
      <c r="T722" s="256">
        <f t="shared" si="54"/>
        <v>0.35561954940304324</v>
      </c>
    </row>
    <row r="723" spans="2:20" s="216" customFormat="1" ht="25.5" hidden="1" outlineLevel="3">
      <c r="B723" s="255" t="s">
        <v>909</v>
      </c>
      <c r="C723" s="290" t="s">
        <v>235</v>
      </c>
      <c r="D723" s="227" t="s">
        <v>231</v>
      </c>
      <c r="E723" s="241">
        <v>16642305388</v>
      </c>
      <c r="F723" s="228">
        <f t="shared" si="59"/>
        <v>4.4581817293365446E-2</v>
      </c>
      <c r="G723" s="269">
        <f t="shared" si="55"/>
        <v>4.6952762717676084E-3</v>
      </c>
      <c r="H723" s="299">
        <v>45901</v>
      </c>
      <c r="I723" s="299">
        <v>46572</v>
      </c>
      <c r="J723" s="299">
        <v>45901</v>
      </c>
      <c r="K723" s="299">
        <v>46497</v>
      </c>
      <c r="L723" s="299">
        <v>45885</v>
      </c>
      <c r="M723" s="299">
        <v>46578</v>
      </c>
      <c r="N723" s="229">
        <f>[1]Нэгтгэл!$E$54</f>
        <v>0.9799389525213027</v>
      </c>
      <c r="O723" s="229">
        <f>[1]Нэгтгэл!$G$54</f>
        <v>0.9799389525213027</v>
      </c>
      <c r="P723" s="229">
        <f>[1]Нэгтгэл!$I$54</f>
        <v>0.72317710212433761</v>
      </c>
      <c r="Q723" s="336">
        <v>0.25717591519605554</v>
      </c>
      <c r="R723" s="256">
        <f t="shared" si="54"/>
        <v>0.26244075157372093</v>
      </c>
      <c r="S723" s="256">
        <f t="shared" si="54"/>
        <v>0.26244075157372093</v>
      </c>
      <c r="T723" s="256">
        <f t="shared" si="54"/>
        <v>0.35561954940304324</v>
      </c>
    </row>
    <row r="724" spans="2:20" s="216" customFormat="1" ht="25.5" hidden="1" outlineLevel="3">
      <c r="B724" s="255" t="s">
        <v>910</v>
      </c>
      <c r="C724" s="290" t="s">
        <v>237</v>
      </c>
      <c r="D724" s="227" t="s">
        <v>231</v>
      </c>
      <c r="E724" s="241">
        <v>16642305388</v>
      </c>
      <c r="F724" s="228">
        <f t="shared" si="59"/>
        <v>4.4581817293365446E-2</v>
      </c>
      <c r="G724" s="269">
        <f t="shared" si="55"/>
        <v>4.6952762717676084E-3</v>
      </c>
      <c r="H724" s="299">
        <v>45901</v>
      </c>
      <c r="I724" s="299">
        <v>46572</v>
      </c>
      <c r="J724" s="299">
        <v>45901</v>
      </c>
      <c r="K724" s="299">
        <v>46497</v>
      </c>
      <c r="L724" s="299">
        <v>45885</v>
      </c>
      <c r="M724" s="299">
        <v>46578</v>
      </c>
      <c r="N724" s="229">
        <f>[1]Нэгтгэл!$E$76</f>
        <v>0.9799389525213027</v>
      </c>
      <c r="O724" s="229">
        <f>[1]Нэгтгэл!$G$76</f>
        <v>0.9799389525213027</v>
      </c>
      <c r="P724" s="229">
        <f>[1]Нэгтгэл!$I$76</f>
        <v>0.71919351890725669</v>
      </c>
      <c r="Q724" s="336">
        <v>0.25717591519605554</v>
      </c>
      <c r="R724" s="256">
        <f t="shared" si="54"/>
        <v>0.26244075157372093</v>
      </c>
      <c r="S724" s="256">
        <f t="shared" si="54"/>
        <v>0.26244075157372093</v>
      </c>
      <c r="T724" s="256">
        <f t="shared" si="54"/>
        <v>0.35758931140926975</v>
      </c>
    </row>
    <row r="725" spans="2:20" s="216" customFormat="1" ht="25.5" hidden="1" outlineLevel="3">
      <c r="B725" s="255" t="s">
        <v>911</v>
      </c>
      <c r="C725" s="290" t="s">
        <v>239</v>
      </c>
      <c r="D725" s="227" t="s">
        <v>231</v>
      </c>
      <c r="E725" s="241">
        <v>16642305388</v>
      </c>
      <c r="F725" s="228">
        <f t="shared" si="59"/>
        <v>4.4581817293365446E-2</v>
      </c>
      <c r="G725" s="269">
        <f t="shared" si="55"/>
        <v>4.6952762717676084E-3</v>
      </c>
      <c r="H725" s="299">
        <v>45901</v>
      </c>
      <c r="I725" s="299">
        <v>46572</v>
      </c>
      <c r="J725" s="299">
        <v>45901</v>
      </c>
      <c r="K725" s="299">
        <v>46497</v>
      </c>
      <c r="L725" s="299">
        <v>45885</v>
      </c>
      <c r="M725" s="299">
        <v>46622</v>
      </c>
      <c r="N725" s="229">
        <f>[1]Нэгтгэл!$E$98</f>
        <v>0.9799389525213027</v>
      </c>
      <c r="O725" s="229">
        <f>[1]Нэгтгэл!$G$98</f>
        <v>0.9799389525213027</v>
      </c>
      <c r="P725" s="229">
        <f>[1]Нэгтгэл!$I$98</f>
        <v>0.70698145107753552</v>
      </c>
      <c r="Q725" s="336">
        <v>0.25717591519605554</v>
      </c>
      <c r="R725" s="256">
        <f t="shared" si="54"/>
        <v>0.26244075157372093</v>
      </c>
      <c r="S725" s="256">
        <f t="shared" si="54"/>
        <v>0.26244075157372093</v>
      </c>
      <c r="T725" s="256">
        <f t="shared" si="54"/>
        <v>0.36376614238476074</v>
      </c>
    </row>
    <row r="726" spans="2:20" s="216" customFormat="1" ht="25.5" hidden="1" outlineLevel="3">
      <c r="B726" s="255" t="s">
        <v>912</v>
      </c>
      <c r="C726" s="290" t="s">
        <v>241</v>
      </c>
      <c r="D726" s="227" t="s">
        <v>231</v>
      </c>
      <c r="E726" s="241">
        <v>16642305388</v>
      </c>
      <c r="F726" s="228">
        <f t="shared" si="59"/>
        <v>4.4581817293365446E-2</v>
      </c>
      <c r="G726" s="269">
        <f t="shared" si="55"/>
        <v>4.6952762717676084E-3</v>
      </c>
      <c r="H726" s="299">
        <v>45884</v>
      </c>
      <c r="I726" s="299">
        <v>46572</v>
      </c>
      <c r="J726" s="299">
        <v>45884</v>
      </c>
      <c r="K726" s="299">
        <v>46334</v>
      </c>
      <c r="L726" s="299">
        <v>45885</v>
      </c>
      <c r="M726" s="299">
        <v>46622</v>
      </c>
      <c r="N726" s="229">
        <f>[1]Нэгтгэл!$E$120</f>
        <v>1</v>
      </c>
      <c r="O726" s="229">
        <f>[1]Нэгтгэл!$G$120</f>
        <v>1</v>
      </c>
      <c r="P726" s="229">
        <f>[1]Нэгтгэл!$I$120</f>
        <v>0.70339578983058637</v>
      </c>
      <c r="Q726" s="336">
        <v>0.25717591519605554</v>
      </c>
      <c r="R726" s="256">
        <f t="shared" si="54"/>
        <v>0.25717591519605554</v>
      </c>
      <c r="S726" s="256">
        <f t="shared" si="54"/>
        <v>0.25717591519605554</v>
      </c>
      <c r="T726" s="256">
        <f t="shared" si="54"/>
        <v>0.36562049263615387</v>
      </c>
    </row>
    <row r="727" spans="2:20" s="216" customFormat="1" ht="25.5" hidden="1" outlineLevel="3">
      <c r="B727" s="255" t="s">
        <v>913</v>
      </c>
      <c r="C727" s="290" t="s">
        <v>243</v>
      </c>
      <c r="D727" s="227" t="s">
        <v>231</v>
      </c>
      <c r="E727" s="241">
        <v>16642305388</v>
      </c>
      <c r="F727" s="228">
        <f t="shared" si="59"/>
        <v>4.4581817293365446E-2</v>
      </c>
      <c r="G727" s="269">
        <f t="shared" si="55"/>
        <v>4.6952762717676084E-3</v>
      </c>
      <c r="H727" s="299">
        <v>45911</v>
      </c>
      <c r="I727" s="299">
        <v>46572</v>
      </c>
      <c r="J727" s="299">
        <v>45911</v>
      </c>
      <c r="K727" s="299">
        <v>46497</v>
      </c>
      <c r="L727" s="299">
        <v>46228</v>
      </c>
      <c r="M727" s="299">
        <v>46758</v>
      </c>
      <c r="N727" s="229">
        <f>[1]Нэгтгэл!$E$142</f>
        <v>0.9799389525213027</v>
      </c>
      <c r="O727" s="229">
        <f>[1]Нэгтгэл!$G$142</f>
        <v>0.75769016709376713</v>
      </c>
      <c r="P727" s="229">
        <f>[1]Нэгтгэл!$I$142</f>
        <v>0.41526732548115008</v>
      </c>
      <c r="Q727" s="336">
        <v>0.25717591519605554</v>
      </c>
      <c r="R727" s="256">
        <f t="shared" si="54"/>
        <v>0.26244075157372093</v>
      </c>
      <c r="S727" s="256">
        <f t="shared" si="54"/>
        <v>0.33942094851579224</v>
      </c>
      <c r="T727" s="256">
        <f t="shared" si="54"/>
        <v>0.6193020722207756</v>
      </c>
    </row>
    <row r="728" spans="2:20" s="216" customFormat="1" ht="25.5" hidden="1" outlineLevel="3">
      <c r="B728" s="255" t="s">
        <v>914</v>
      </c>
      <c r="C728" s="290" t="s">
        <v>245</v>
      </c>
      <c r="D728" s="227" t="s">
        <v>231</v>
      </c>
      <c r="E728" s="241">
        <v>16642305388</v>
      </c>
      <c r="F728" s="228">
        <f t="shared" si="59"/>
        <v>4.4581817293365446E-2</v>
      </c>
      <c r="G728" s="269">
        <f t="shared" si="55"/>
        <v>4.6952762717676084E-3</v>
      </c>
      <c r="H728" s="299">
        <v>45890</v>
      </c>
      <c r="I728" s="299">
        <v>46572</v>
      </c>
      <c r="J728" s="299">
        <v>45890</v>
      </c>
      <c r="K728" s="299">
        <v>46334</v>
      </c>
      <c r="L728" s="299">
        <v>46228</v>
      </c>
      <c r="M728" s="299">
        <v>46758</v>
      </c>
      <c r="N728" s="229">
        <f>[1]Нэгтгэл!$E$164</f>
        <v>1</v>
      </c>
      <c r="O728" s="229">
        <f>[1]Нэгтгэл!$G$164</f>
        <v>0.5269310503553809</v>
      </c>
      <c r="P728" s="229">
        <f>[1]Нэгтгэл!$I$164</f>
        <v>0.41526732548115008</v>
      </c>
      <c r="Q728" s="336">
        <v>0.25717591519605554</v>
      </c>
      <c r="R728" s="256">
        <f t="shared" si="54"/>
        <v>0.25717591519605554</v>
      </c>
      <c r="S728" s="256">
        <f t="shared" si="54"/>
        <v>0.48806369452437282</v>
      </c>
      <c r="T728" s="256">
        <f t="shared" si="54"/>
        <v>0.6193020722207756</v>
      </c>
    </row>
    <row r="729" spans="2:20" s="216" customFormat="1" ht="25.5" hidden="1" outlineLevel="3">
      <c r="B729" s="255" t="s">
        <v>915</v>
      </c>
      <c r="C729" s="290" t="s">
        <v>247</v>
      </c>
      <c r="D729" s="227" t="s">
        <v>231</v>
      </c>
      <c r="E729" s="241">
        <v>16642305388</v>
      </c>
      <c r="F729" s="228">
        <f t="shared" si="59"/>
        <v>4.4581817293365446E-2</v>
      </c>
      <c r="G729" s="269">
        <f t="shared" si="55"/>
        <v>4.6952762717676084E-3</v>
      </c>
      <c r="H729" s="299">
        <v>45890</v>
      </c>
      <c r="I729" s="299">
        <v>46572</v>
      </c>
      <c r="J729" s="299">
        <v>45890</v>
      </c>
      <c r="K729" s="299">
        <v>46334</v>
      </c>
      <c r="L729" s="299">
        <v>45885</v>
      </c>
      <c r="M729" s="299">
        <v>46577</v>
      </c>
      <c r="N729" s="229">
        <f>[1]Нэгтгэл!$E$186</f>
        <v>1</v>
      </c>
      <c r="O729" s="229">
        <f>[1]Нэгтгэл!$G$186</f>
        <v>1</v>
      </c>
      <c r="P729" s="229">
        <f>[1]Нэгтгэл!$I$186</f>
        <v>0.74180660496582518</v>
      </c>
      <c r="Q729" s="336">
        <v>0.25717591519605554</v>
      </c>
      <c r="R729" s="256">
        <f t="shared" si="54"/>
        <v>0.25717591519605554</v>
      </c>
      <c r="S729" s="256">
        <f t="shared" si="54"/>
        <v>0.25717591519605554</v>
      </c>
      <c r="T729" s="256">
        <f t="shared" si="54"/>
        <v>0.34668862945471285</v>
      </c>
    </row>
    <row r="730" spans="2:20" s="216" customFormat="1" ht="25.5" hidden="1" outlineLevel="3">
      <c r="B730" s="255" t="s">
        <v>916</v>
      </c>
      <c r="C730" s="290" t="s">
        <v>249</v>
      </c>
      <c r="D730" s="227" t="s">
        <v>231</v>
      </c>
      <c r="E730" s="241">
        <v>16642305388</v>
      </c>
      <c r="F730" s="228">
        <f t="shared" si="59"/>
        <v>4.4581817293365446E-2</v>
      </c>
      <c r="G730" s="269">
        <f t="shared" si="55"/>
        <v>4.6952762717676084E-3</v>
      </c>
      <c r="H730" s="299">
        <v>45911</v>
      </c>
      <c r="I730" s="299">
        <v>46572</v>
      </c>
      <c r="J730" s="299">
        <v>45911</v>
      </c>
      <c r="K730" s="299">
        <v>46497</v>
      </c>
      <c r="L730" s="299">
        <v>45885</v>
      </c>
      <c r="M730" s="299">
        <v>46577</v>
      </c>
      <c r="N730" s="229">
        <f>[1]Нэгтгэл!$E$208</f>
        <v>0.9799389525213027</v>
      </c>
      <c r="O730" s="229">
        <f>[1]Нэгтгэл!$G$208</f>
        <v>0.9799389525213027</v>
      </c>
      <c r="P730" s="229">
        <f>[1]Нэгтгэл!$I$208</f>
        <v>0.74180660496582518</v>
      </c>
      <c r="Q730" s="336">
        <v>0.25717591519605554</v>
      </c>
      <c r="R730" s="256">
        <f t="shared" si="54"/>
        <v>0.26244075157372093</v>
      </c>
      <c r="S730" s="256">
        <f t="shared" si="54"/>
        <v>0.26244075157372093</v>
      </c>
      <c r="T730" s="256">
        <f t="shared" si="54"/>
        <v>0.34668862945471285</v>
      </c>
    </row>
    <row r="731" spans="2:20" s="216" customFormat="1" ht="25.5" hidden="1" outlineLevel="3">
      <c r="B731" s="255" t="s">
        <v>917</v>
      </c>
      <c r="C731" s="290" t="s">
        <v>251</v>
      </c>
      <c r="D731" s="227" t="s">
        <v>231</v>
      </c>
      <c r="E731" s="241">
        <v>16642305388</v>
      </c>
      <c r="F731" s="228">
        <f t="shared" si="59"/>
        <v>4.4581817293365446E-2</v>
      </c>
      <c r="G731" s="269">
        <f t="shared" si="55"/>
        <v>4.6952762717676084E-3</v>
      </c>
      <c r="H731" s="299">
        <v>45890</v>
      </c>
      <c r="I731" s="299">
        <v>46572</v>
      </c>
      <c r="J731" s="299">
        <v>45890</v>
      </c>
      <c r="K731" s="299">
        <v>46334</v>
      </c>
      <c r="L731" s="299">
        <v>45885</v>
      </c>
      <c r="M731" s="299">
        <v>46587</v>
      </c>
      <c r="N731" s="229">
        <f>[1]Нэгтгэл!$E$230</f>
        <v>1</v>
      </c>
      <c r="O731" s="229">
        <f>[1]Нэгтгэл!$G$230</f>
        <v>1</v>
      </c>
      <c r="P731" s="229">
        <f>[1]Нэгтгэл!$I$230</f>
        <v>0.73021669436171366</v>
      </c>
      <c r="Q731" s="336">
        <v>0.25717591519605554</v>
      </c>
      <c r="R731" s="256">
        <f t="shared" ref="R731:T750" si="60">+IF(N731=0,0,$Q731/N731)</f>
        <v>0.25717591519605554</v>
      </c>
      <c r="S731" s="256">
        <f t="shared" si="60"/>
        <v>0.25717591519605554</v>
      </c>
      <c r="T731" s="256">
        <f t="shared" si="60"/>
        <v>0.35219122923621238</v>
      </c>
    </row>
    <row r="732" spans="2:20" s="216" customFormat="1" ht="25.5" hidden="1" outlineLevel="3">
      <c r="B732" s="255" t="s">
        <v>918</v>
      </c>
      <c r="C732" s="290" t="s">
        <v>253</v>
      </c>
      <c r="D732" s="227" t="s">
        <v>231</v>
      </c>
      <c r="E732" s="241">
        <v>16642305388</v>
      </c>
      <c r="F732" s="228">
        <f t="shared" si="59"/>
        <v>4.4581817293365446E-2</v>
      </c>
      <c r="G732" s="269">
        <f t="shared" si="55"/>
        <v>4.6952762717676084E-3</v>
      </c>
      <c r="H732" s="299">
        <v>45911</v>
      </c>
      <c r="I732" s="299">
        <v>46572</v>
      </c>
      <c r="J732" s="299">
        <v>45911</v>
      </c>
      <c r="K732" s="299">
        <v>46497</v>
      </c>
      <c r="L732" s="299">
        <v>45885</v>
      </c>
      <c r="M732" s="299">
        <v>46587</v>
      </c>
      <c r="N732" s="229">
        <f>[1]Нэгтгэл!$E$252</f>
        <v>0.9799389525213027</v>
      </c>
      <c r="O732" s="229">
        <f>[1]Нэгтгэл!$G$252</f>
        <v>0.9799389525213027</v>
      </c>
      <c r="P732" s="229">
        <f>[1]Нэгтгэл!$I$252</f>
        <v>0.73021669436171366</v>
      </c>
      <c r="Q732" s="336">
        <v>0.25717591519605554</v>
      </c>
      <c r="R732" s="256">
        <f t="shared" si="60"/>
        <v>0.26244075157372093</v>
      </c>
      <c r="S732" s="256">
        <f t="shared" si="60"/>
        <v>0.26244075157372093</v>
      </c>
      <c r="T732" s="256">
        <f t="shared" si="60"/>
        <v>0.35219122923621238</v>
      </c>
    </row>
    <row r="733" spans="2:20" s="216" customFormat="1" ht="25.5" hidden="1" outlineLevel="3">
      <c r="B733" s="255" t="s">
        <v>919</v>
      </c>
      <c r="C733" s="290" t="s">
        <v>255</v>
      </c>
      <c r="D733" s="227" t="s">
        <v>256</v>
      </c>
      <c r="E733" s="241">
        <v>21698797963</v>
      </c>
      <c r="F733" s="228">
        <f t="shared" si="59"/>
        <v>5.8127274059616978E-2</v>
      </c>
      <c r="G733" s="269">
        <f t="shared" si="55"/>
        <v>6.1218592512438524E-3</v>
      </c>
      <c r="H733" s="299">
        <v>45911</v>
      </c>
      <c r="I733" s="299">
        <v>46572</v>
      </c>
      <c r="J733" s="299">
        <v>45911</v>
      </c>
      <c r="K733" s="299">
        <v>46501</v>
      </c>
      <c r="L733" s="299">
        <v>45885</v>
      </c>
      <c r="M733" s="299">
        <v>46548</v>
      </c>
      <c r="N733" s="229">
        <f>[1]Нэгтгэл!$E$274</f>
        <v>0.91344568825923989</v>
      </c>
      <c r="O733" s="229">
        <f>[1]Нэгтгэл!$G$274</f>
        <v>0.91344568825923989</v>
      </c>
      <c r="P733" s="229">
        <f>[1]Нэгтгэл!$I$274</f>
        <v>0.86426124578348662</v>
      </c>
      <c r="Q733" s="336">
        <v>0.25717591519605554</v>
      </c>
      <c r="R733" s="256">
        <f t="shared" si="60"/>
        <v>0.28154483457703716</v>
      </c>
      <c r="S733" s="256">
        <f t="shared" si="60"/>
        <v>0.28154483457703716</v>
      </c>
      <c r="T733" s="256">
        <f t="shared" si="60"/>
        <v>0.29756733447294115</v>
      </c>
    </row>
    <row r="734" spans="2:20" s="216" customFormat="1" ht="25.5" hidden="1" outlineLevel="3">
      <c r="B734" s="255" t="s">
        <v>920</v>
      </c>
      <c r="C734" s="290" t="s">
        <v>258</v>
      </c>
      <c r="D734" s="227" t="s">
        <v>256</v>
      </c>
      <c r="E734" s="241">
        <v>21698797963</v>
      </c>
      <c r="F734" s="228">
        <f t="shared" si="59"/>
        <v>5.8127274059616978E-2</v>
      </c>
      <c r="G734" s="269">
        <f t="shared" si="55"/>
        <v>6.1218592512438524E-3</v>
      </c>
      <c r="H734" s="299">
        <v>45890</v>
      </c>
      <c r="I734" s="299">
        <v>46572</v>
      </c>
      <c r="J734" s="299">
        <v>45890</v>
      </c>
      <c r="K734" s="299">
        <v>46365</v>
      </c>
      <c r="L734" s="299">
        <v>45885</v>
      </c>
      <c r="M734" s="299">
        <v>46548</v>
      </c>
      <c r="N734" s="229">
        <f>[1]Нэгтгэл!$E$296</f>
        <v>1</v>
      </c>
      <c r="O734" s="229">
        <f>[1]Нэгтгэл!$G$296</f>
        <v>1</v>
      </c>
      <c r="P734" s="229">
        <f>[1]Нэгтгэл!$I$296</f>
        <v>0.90227270762404965</v>
      </c>
      <c r="Q734" s="336">
        <v>0.25717591519605554</v>
      </c>
      <c r="R734" s="256">
        <f t="shared" si="60"/>
        <v>0.25717591519605554</v>
      </c>
      <c r="S734" s="256">
        <f t="shared" si="60"/>
        <v>0.25717591519605554</v>
      </c>
      <c r="T734" s="256">
        <f t="shared" si="60"/>
        <v>0.28503124723042506</v>
      </c>
    </row>
    <row r="735" spans="2:20" s="216" customFormat="1" ht="25.5" hidden="1" outlineLevel="3">
      <c r="B735" s="255" t="s">
        <v>921</v>
      </c>
      <c r="C735" s="290" t="s">
        <v>260</v>
      </c>
      <c r="D735" s="227" t="s">
        <v>256</v>
      </c>
      <c r="E735" s="241">
        <v>21698797963</v>
      </c>
      <c r="F735" s="228">
        <f t="shared" si="59"/>
        <v>5.8127274059616978E-2</v>
      </c>
      <c r="G735" s="269">
        <f t="shared" si="55"/>
        <v>6.1218592512438524E-3</v>
      </c>
      <c r="H735" s="299">
        <v>45911</v>
      </c>
      <c r="I735" s="299">
        <v>46572</v>
      </c>
      <c r="J735" s="299">
        <v>45911</v>
      </c>
      <c r="K735" s="299">
        <v>46501</v>
      </c>
      <c r="L735" s="299">
        <v>46174</v>
      </c>
      <c r="M735" s="299">
        <v>46758</v>
      </c>
      <c r="N735" s="229">
        <f>[1]Нэгтгэл!$E$318</f>
        <v>0.91344568825923989</v>
      </c>
      <c r="O735" s="229">
        <f>[1]Нэгтгэл!$G$318</f>
        <v>0.77445210232281558</v>
      </c>
      <c r="P735" s="229">
        <f>[1]Нэгтгэл!$I$318</f>
        <v>0.41267318560972394</v>
      </c>
      <c r="Q735" s="336">
        <v>0.25717591519605554</v>
      </c>
      <c r="R735" s="256">
        <f t="shared" si="60"/>
        <v>0.28154483457703716</v>
      </c>
      <c r="S735" s="256">
        <f t="shared" si="60"/>
        <v>0.33207465564972627</v>
      </c>
      <c r="T735" s="256">
        <f t="shared" si="60"/>
        <v>0.62319511944077144</v>
      </c>
    </row>
    <row r="736" spans="2:20" s="216" customFormat="1" ht="25.5" hidden="1" outlineLevel="3">
      <c r="B736" s="255" t="s">
        <v>922</v>
      </c>
      <c r="C736" s="290" t="s">
        <v>262</v>
      </c>
      <c r="D736" s="227" t="s">
        <v>256</v>
      </c>
      <c r="E736" s="241">
        <v>21698797963</v>
      </c>
      <c r="F736" s="228">
        <f t="shared" si="59"/>
        <v>5.8127274059616978E-2</v>
      </c>
      <c r="G736" s="269">
        <f t="shared" si="55"/>
        <v>6.1218592512438524E-3</v>
      </c>
      <c r="H736" s="299">
        <v>45890</v>
      </c>
      <c r="I736" s="299">
        <v>46572</v>
      </c>
      <c r="J736" s="299">
        <v>45890</v>
      </c>
      <c r="K736" s="299">
        <v>46365</v>
      </c>
      <c r="L736" s="299">
        <v>45885</v>
      </c>
      <c r="M736" s="299">
        <v>46548</v>
      </c>
      <c r="N736" s="229">
        <f>[1]Нэгтгэл!$E$340</f>
        <v>1</v>
      </c>
      <c r="O736" s="229">
        <f>[1]Нэгтгэл!$G$340</f>
        <v>1</v>
      </c>
      <c r="P736" s="229">
        <f>[1]Нэгтгэл!$I$340</f>
        <v>0.90227270762404965</v>
      </c>
      <c r="Q736" s="336">
        <v>0.25717591519605554</v>
      </c>
      <c r="R736" s="256">
        <f t="shared" si="60"/>
        <v>0.25717591519605554</v>
      </c>
      <c r="S736" s="256">
        <f t="shared" si="60"/>
        <v>0.25717591519605554</v>
      </c>
      <c r="T736" s="256">
        <f t="shared" si="60"/>
        <v>0.28503124723042506</v>
      </c>
    </row>
    <row r="737" spans="2:20" s="216" customFormat="1" ht="25.5" hidden="1" outlineLevel="3">
      <c r="B737" s="255" t="s">
        <v>923</v>
      </c>
      <c r="C737" s="290" t="s">
        <v>264</v>
      </c>
      <c r="D737" s="227" t="s">
        <v>256</v>
      </c>
      <c r="E737" s="241">
        <v>21698797963</v>
      </c>
      <c r="F737" s="228">
        <f t="shared" si="59"/>
        <v>5.8127274059616978E-2</v>
      </c>
      <c r="G737" s="269">
        <f t="shared" si="55"/>
        <v>6.1218592512438524E-3</v>
      </c>
      <c r="H737" s="299">
        <v>45890</v>
      </c>
      <c r="I737" s="299">
        <v>46572</v>
      </c>
      <c r="J737" s="299">
        <v>45890</v>
      </c>
      <c r="K737" s="299">
        <v>46365</v>
      </c>
      <c r="L737" s="299">
        <v>45885</v>
      </c>
      <c r="M737" s="299">
        <v>46587</v>
      </c>
      <c r="N737" s="229">
        <f>[1]Нэгтгэл!$E$362</f>
        <v>1</v>
      </c>
      <c r="O737" s="229">
        <f>[1]Нэгтгэл!$G$362</f>
        <v>1</v>
      </c>
      <c r="P737" s="229">
        <f>[1]Нэгтгэл!$I$362</f>
        <v>0.76399372369137475</v>
      </c>
      <c r="Q737" s="336">
        <v>0.25717591519605554</v>
      </c>
      <c r="R737" s="256">
        <f t="shared" si="60"/>
        <v>0.25717591519605554</v>
      </c>
      <c r="S737" s="256">
        <f t="shared" si="60"/>
        <v>0.25717591519605554</v>
      </c>
      <c r="T737" s="256">
        <f t="shared" si="60"/>
        <v>0.33662045540565871</v>
      </c>
    </row>
    <row r="738" spans="2:20" s="216" customFormat="1" ht="25.5" hidden="1" outlineLevel="3">
      <c r="B738" s="255" t="s">
        <v>924</v>
      </c>
      <c r="C738" s="290" t="s">
        <v>266</v>
      </c>
      <c r="D738" s="227" t="s">
        <v>256</v>
      </c>
      <c r="E738" s="241">
        <v>21698797963</v>
      </c>
      <c r="F738" s="228">
        <f t="shared" si="59"/>
        <v>5.8127274059616978E-2</v>
      </c>
      <c r="G738" s="269">
        <f t="shared" si="55"/>
        <v>6.1218592512438524E-3</v>
      </c>
      <c r="H738" s="299">
        <v>45911</v>
      </c>
      <c r="I738" s="299">
        <v>46572</v>
      </c>
      <c r="J738" s="299">
        <v>45911</v>
      </c>
      <c r="K738" s="299">
        <v>46501</v>
      </c>
      <c r="L738" s="299">
        <v>45885</v>
      </c>
      <c r="M738" s="299">
        <v>46587</v>
      </c>
      <c r="N738" s="229">
        <f>[1]Нэгтгэл!$E$384</f>
        <v>0.91344568825923989</v>
      </c>
      <c r="O738" s="229">
        <f>[1]Нэгтгэл!$G$384</f>
        <v>0.91344568825923989</v>
      </c>
      <c r="P738" s="229">
        <f>[1]Нэгтгэл!$I$384</f>
        <v>0.76399372369137475</v>
      </c>
      <c r="Q738" s="336">
        <v>0.25717591519605554</v>
      </c>
      <c r="R738" s="256">
        <f t="shared" si="60"/>
        <v>0.28154483457703716</v>
      </c>
      <c r="S738" s="256">
        <f t="shared" si="60"/>
        <v>0.28154483457703716</v>
      </c>
      <c r="T738" s="256">
        <f t="shared" si="60"/>
        <v>0.33662045540565871</v>
      </c>
    </row>
    <row r="739" spans="2:20" s="216" customFormat="1" ht="25.5" hidden="1" outlineLevel="3">
      <c r="B739" s="255" t="s">
        <v>925</v>
      </c>
      <c r="C739" s="290" t="s">
        <v>268</v>
      </c>
      <c r="D739" s="227" t="s">
        <v>256</v>
      </c>
      <c r="E739" s="241">
        <v>21698797963</v>
      </c>
      <c r="F739" s="228">
        <f t="shared" si="59"/>
        <v>5.8127274059616978E-2</v>
      </c>
      <c r="G739" s="269">
        <f t="shared" si="55"/>
        <v>6.1218592512438524E-3</v>
      </c>
      <c r="H739" s="299">
        <v>45890</v>
      </c>
      <c r="I739" s="299">
        <v>46572</v>
      </c>
      <c r="J739" s="299">
        <v>45890</v>
      </c>
      <c r="K739" s="299">
        <v>46365</v>
      </c>
      <c r="L739" s="299">
        <v>45885</v>
      </c>
      <c r="M739" s="299">
        <v>46599</v>
      </c>
      <c r="N739" s="229">
        <f>[1]Нэгтгэл!$E$406</f>
        <v>1</v>
      </c>
      <c r="O739" s="229">
        <f>[1]Нэгтгэл!$G$406</f>
        <v>1</v>
      </c>
      <c r="P739" s="229">
        <f>[1]Нэгтгэл!$I$406</f>
        <v>0.76853899528783909</v>
      </c>
      <c r="Q739" s="336">
        <v>0.25717591519605554</v>
      </c>
      <c r="R739" s="256">
        <f t="shared" si="60"/>
        <v>0.25717591519605554</v>
      </c>
      <c r="S739" s="256">
        <f t="shared" si="60"/>
        <v>0.25717591519605554</v>
      </c>
      <c r="T739" s="256">
        <f t="shared" si="60"/>
        <v>0.33462962422581571</v>
      </c>
    </row>
    <row r="740" spans="2:20" s="216" customFormat="1" ht="25.5" hidden="1" outlineLevel="3">
      <c r="B740" s="255" t="s">
        <v>926</v>
      </c>
      <c r="C740" s="290" t="s">
        <v>270</v>
      </c>
      <c r="D740" s="227" t="s">
        <v>256</v>
      </c>
      <c r="E740" s="241">
        <v>21698797964</v>
      </c>
      <c r="F740" s="228">
        <f t="shared" si="59"/>
        <v>5.8127274062295807E-2</v>
      </c>
      <c r="G740" s="269">
        <f t="shared" si="55"/>
        <v>6.1218592515259818E-3</v>
      </c>
      <c r="H740" s="299">
        <v>45911</v>
      </c>
      <c r="I740" s="299">
        <v>46572</v>
      </c>
      <c r="J740" s="299">
        <v>45911</v>
      </c>
      <c r="K740" s="299">
        <v>46501</v>
      </c>
      <c r="L740" s="299">
        <v>45885</v>
      </c>
      <c r="M740" s="299">
        <v>46599</v>
      </c>
      <c r="N740" s="229">
        <f>[1]Нэгтгэл!$E$428</f>
        <v>0.8790065790670496</v>
      </c>
      <c r="O740" s="229">
        <f>[1]Нэгтгэл!$G$428</f>
        <v>0.8790065790670496</v>
      </c>
      <c r="P740" s="229">
        <f>[1]Нэгтгэл!$I$428</f>
        <v>0.76853899528783909</v>
      </c>
      <c r="Q740" s="336">
        <v>0.25717591519605554</v>
      </c>
      <c r="R740" s="256">
        <f t="shared" si="60"/>
        <v>0.29257564314139051</v>
      </c>
      <c r="S740" s="256">
        <f t="shared" si="60"/>
        <v>0.29257564314139051</v>
      </c>
      <c r="T740" s="256">
        <f t="shared" si="60"/>
        <v>0.33462962422581571</v>
      </c>
    </row>
    <row r="741" spans="2:20" s="216" customFormat="1" ht="25.5" hidden="1" outlineLevel="2">
      <c r="B741" s="291" t="s">
        <v>927</v>
      </c>
      <c r="C741" s="292" t="s">
        <v>35</v>
      </c>
      <c r="D741" s="234" t="s">
        <v>33</v>
      </c>
      <c r="E741" s="240">
        <f>SUM(E742:E767)</f>
        <v>448685799322</v>
      </c>
      <c r="F741" s="223">
        <f t="shared" si="57"/>
        <v>0.23125330456717236</v>
      </c>
      <c r="G741" s="293">
        <f t="shared" si="55"/>
        <v>0.12658725686855357</v>
      </c>
      <c r="H741" s="298">
        <v>45901</v>
      </c>
      <c r="I741" s="298">
        <f>I742</f>
        <v>46544</v>
      </c>
      <c r="J741" s="298">
        <v>45901</v>
      </c>
      <c r="K741" s="298">
        <v>46507</v>
      </c>
      <c r="L741" s="298">
        <v>45926</v>
      </c>
      <c r="M741" s="298">
        <v>46731</v>
      </c>
      <c r="N741" s="224">
        <f>SUMPRODUCT($F742:$F767,N742:N767)</f>
        <v>0.84892168642795285</v>
      </c>
      <c r="O741" s="224">
        <f t="shared" ref="O741:P741" si="61">SUMPRODUCT($F742:$F767,O742:O767)</f>
        <v>0.83670001626156831</v>
      </c>
      <c r="P741" s="224">
        <f t="shared" si="61"/>
        <v>0.75199689723271845</v>
      </c>
      <c r="Q741" s="270">
        <v>0.35429462011298424</v>
      </c>
      <c r="R741" s="254">
        <f t="shared" si="60"/>
        <v>0.41734664784423892</v>
      </c>
      <c r="S741" s="254">
        <f t="shared" si="60"/>
        <v>0.42344282685208534</v>
      </c>
      <c r="T741" s="254">
        <f t="shared" si="60"/>
        <v>0.47113840684284319</v>
      </c>
    </row>
    <row r="742" spans="2:20" s="216" customFormat="1" ht="25.5" hidden="1" outlineLevel="3">
      <c r="B742" s="255" t="s">
        <v>907</v>
      </c>
      <c r="C742" s="290" t="s">
        <v>230</v>
      </c>
      <c r="D742" s="227" t="s">
        <v>231</v>
      </c>
      <c r="E742" s="241">
        <v>16512532797</v>
      </c>
      <c r="F742" s="228">
        <f>E742/$E$741</f>
        <v>3.6801995565609057E-2</v>
      </c>
      <c r="G742" s="269">
        <f t="shared" si="55"/>
        <v>4.6586636659391237E-3</v>
      </c>
      <c r="H742" s="299">
        <v>45910</v>
      </c>
      <c r="I742" s="299">
        <v>46544</v>
      </c>
      <c r="J742" s="299">
        <v>45910</v>
      </c>
      <c r="K742" s="299">
        <v>46477</v>
      </c>
      <c r="L742" s="299">
        <v>45926</v>
      </c>
      <c r="M742" s="299">
        <v>46554</v>
      </c>
      <c r="N742" s="229">
        <f>[1]Нэгтгэл!$E$457</f>
        <v>0.86255037657827538</v>
      </c>
      <c r="O742" s="229">
        <f>[1]Нэгтгэл!$G$457</f>
        <v>0.86255037657827538</v>
      </c>
      <c r="P742" s="229">
        <f>[1]Нэгтгэл!$I$457</f>
        <v>0.86176698489690284</v>
      </c>
      <c r="Q742" s="272">
        <v>0.35429462011298424</v>
      </c>
      <c r="R742" s="256">
        <f t="shared" si="60"/>
        <v>0.41075238007369003</v>
      </c>
      <c r="S742" s="256">
        <f t="shared" si="60"/>
        <v>0.41075238007369003</v>
      </c>
      <c r="T742" s="256">
        <f t="shared" si="60"/>
        <v>0.41112577567051972</v>
      </c>
    </row>
    <row r="743" spans="2:20" s="216" customFormat="1" ht="25.5" hidden="1" outlineLevel="3">
      <c r="B743" s="255" t="s">
        <v>908</v>
      </c>
      <c r="C743" s="290" t="s">
        <v>233</v>
      </c>
      <c r="D743" s="227" t="s">
        <v>231</v>
      </c>
      <c r="E743" s="241">
        <v>16512532797</v>
      </c>
      <c r="F743" s="228">
        <f t="shared" ref="F743:F767" si="62">E743/$E$741</f>
        <v>3.6801995565609057E-2</v>
      </c>
      <c r="G743" s="269">
        <f t="shared" si="55"/>
        <v>4.6586636659391237E-3</v>
      </c>
      <c r="H743" s="299">
        <v>45901</v>
      </c>
      <c r="I743" s="299">
        <v>46544</v>
      </c>
      <c r="J743" s="299">
        <v>45901</v>
      </c>
      <c r="K743" s="299">
        <v>46483</v>
      </c>
      <c r="L743" s="299">
        <v>45926</v>
      </c>
      <c r="M743" s="299">
        <v>46585</v>
      </c>
      <c r="N743" s="229">
        <f>[1]Нэгтгэл!$E$479</f>
        <v>0.85338706835016032</v>
      </c>
      <c r="O743" s="229">
        <f>[1]Нэгтгэл!$G$479</f>
        <v>0.85338706835016032</v>
      </c>
      <c r="P743" s="229">
        <f>[1]Нэгтгэл!$I$479</f>
        <v>0.81074289968853719</v>
      </c>
      <c r="Q743" s="272">
        <v>0.35429462011298424</v>
      </c>
      <c r="R743" s="256">
        <f t="shared" si="60"/>
        <v>0.41516286483920645</v>
      </c>
      <c r="S743" s="256">
        <f t="shared" si="60"/>
        <v>0.41516286483920645</v>
      </c>
      <c r="T743" s="256">
        <f t="shared" si="60"/>
        <v>0.4369999666344207</v>
      </c>
    </row>
    <row r="744" spans="2:20" s="216" customFormat="1" ht="25.5" hidden="1" outlineLevel="3">
      <c r="B744" s="255" t="s">
        <v>909</v>
      </c>
      <c r="C744" s="290" t="s">
        <v>235</v>
      </c>
      <c r="D744" s="227" t="s">
        <v>231</v>
      </c>
      <c r="E744" s="241">
        <v>16512532797</v>
      </c>
      <c r="F744" s="228">
        <f t="shared" si="62"/>
        <v>3.6801995565609057E-2</v>
      </c>
      <c r="G744" s="269">
        <f t="shared" si="55"/>
        <v>4.6586636659391237E-3</v>
      </c>
      <c r="H744" s="299">
        <v>45905</v>
      </c>
      <c r="I744" s="299">
        <v>46544</v>
      </c>
      <c r="J744" s="299">
        <v>45905</v>
      </c>
      <c r="K744" s="299">
        <v>46477</v>
      </c>
      <c r="L744" s="299">
        <v>45926</v>
      </c>
      <c r="M744" s="299">
        <v>46546</v>
      </c>
      <c r="N744" s="229">
        <f>[1]Нэгтгэл!$E$501</f>
        <v>0.86742550960118725</v>
      </c>
      <c r="O744" s="229">
        <f>[1]Нэгтгэл!$G$501</f>
        <v>0.86742550960118725</v>
      </c>
      <c r="P744" s="229">
        <f>[1]Нэгтгэл!$I$501</f>
        <v>0.80199604067331809</v>
      </c>
      <c r="Q744" s="272">
        <v>0.35429462011298424</v>
      </c>
      <c r="R744" s="256">
        <f t="shared" si="60"/>
        <v>0.4084438562060238</v>
      </c>
      <c r="S744" s="256">
        <f t="shared" si="60"/>
        <v>0.4084438562060238</v>
      </c>
      <c r="T744" s="256">
        <f t="shared" si="60"/>
        <v>0.44176604639536021</v>
      </c>
    </row>
    <row r="745" spans="2:20" s="216" customFormat="1" ht="25.5" hidden="1" outlineLevel="3">
      <c r="B745" s="255" t="s">
        <v>910</v>
      </c>
      <c r="C745" s="290" t="s">
        <v>237</v>
      </c>
      <c r="D745" s="227" t="s">
        <v>231</v>
      </c>
      <c r="E745" s="241">
        <v>16512532797</v>
      </c>
      <c r="F745" s="228">
        <f t="shared" si="62"/>
        <v>3.6801995565609057E-2</v>
      </c>
      <c r="G745" s="269">
        <f t="shared" si="55"/>
        <v>4.6586636659391237E-3</v>
      </c>
      <c r="H745" s="299">
        <v>45925</v>
      </c>
      <c r="I745" s="299">
        <v>46544</v>
      </c>
      <c r="J745" s="299">
        <v>45925</v>
      </c>
      <c r="K745" s="299">
        <v>46507</v>
      </c>
      <c r="L745" s="299">
        <v>45926</v>
      </c>
      <c r="M745" s="299">
        <v>46585</v>
      </c>
      <c r="N745" s="229">
        <f>[1]Нэгтгэл!$E$523</f>
        <v>0.83023654316206608</v>
      </c>
      <c r="O745" s="229">
        <f>[1]Нэгтгэл!$G$523</f>
        <v>0.83023654316206608</v>
      </c>
      <c r="P745" s="229">
        <f>[1]Нэгтгэл!$I$523</f>
        <v>0.79125870344867799</v>
      </c>
      <c r="Q745" s="272">
        <v>0.35429462011298424</v>
      </c>
      <c r="R745" s="256">
        <f t="shared" si="60"/>
        <v>0.42673937088291264</v>
      </c>
      <c r="S745" s="256">
        <f t="shared" si="60"/>
        <v>0.42673937088291264</v>
      </c>
      <c r="T745" s="256">
        <f t="shared" si="60"/>
        <v>0.44776078742489839</v>
      </c>
    </row>
    <row r="746" spans="2:20" s="216" customFormat="1" ht="25.5" hidden="1" outlineLevel="3">
      <c r="B746" s="255" t="s">
        <v>911</v>
      </c>
      <c r="C746" s="290" t="s">
        <v>239</v>
      </c>
      <c r="D746" s="227" t="s">
        <v>231</v>
      </c>
      <c r="E746" s="241">
        <v>16512532797</v>
      </c>
      <c r="F746" s="228">
        <f t="shared" si="62"/>
        <v>3.6801995565609057E-2</v>
      </c>
      <c r="G746" s="269">
        <f t="shared" si="55"/>
        <v>4.6586636659391237E-3</v>
      </c>
      <c r="H746" s="299">
        <v>45925</v>
      </c>
      <c r="I746" s="299">
        <v>46544</v>
      </c>
      <c r="J746" s="299">
        <v>45925</v>
      </c>
      <c r="K746" s="299">
        <v>46507</v>
      </c>
      <c r="L746" s="299">
        <v>45926</v>
      </c>
      <c r="M746" s="299">
        <v>46585</v>
      </c>
      <c r="N746" s="229">
        <f>[1]Нэгтгэл!$E$545</f>
        <v>0.83023654316206608</v>
      </c>
      <c r="O746" s="229">
        <f>[1]Нэгтгэл!$G$545</f>
        <v>0.83023654316206608</v>
      </c>
      <c r="P746" s="229">
        <f>[1]Нэгтгэл!$I$545</f>
        <v>0.79125870344867799</v>
      </c>
      <c r="Q746" s="272">
        <v>0.35429462011298424</v>
      </c>
      <c r="R746" s="256">
        <f t="shared" si="60"/>
        <v>0.42673937088291264</v>
      </c>
      <c r="S746" s="256">
        <f t="shared" si="60"/>
        <v>0.42673937088291264</v>
      </c>
      <c r="T746" s="256">
        <f t="shared" si="60"/>
        <v>0.44776078742489839</v>
      </c>
    </row>
    <row r="747" spans="2:20" s="216" customFormat="1" ht="25.5" hidden="1" outlineLevel="3">
      <c r="B747" s="255" t="s">
        <v>912</v>
      </c>
      <c r="C747" s="290" t="s">
        <v>241</v>
      </c>
      <c r="D747" s="227" t="s">
        <v>231</v>
      </c>
      <c r="E747" s="241">
        <v>16512532797</v>
      </c>
      <c r="F747" s="228">
        <f t="shared" si="62"/>
        <v>3.6801995565609057E-2</v>
      </c>
      <c r="G747" s="269">
        <f t="shared" si="55"/>
        <v>4.6586636659391237E-3</v>
      </c>
      <c r="H747" s="299">
        <v>45908</v>
      </c>
      <c r="I747" s="299">
        <v>46544</v>
      </c>
      <c r="J747" s="299">
        <v>45908</v>
      </c>
      <c r="K747" s="299">
        <v>46483</v>
      </c>
      <c r="L747" s="299">
        <v>45926</v>
      </c>
      <c r="M747" s="299">
        <v>46554</v>
      </c>
      <c r="N747" s="229">
        <f>[1]Нэгтгэл!$E$567</f>
        <v>0.85338706835016032</v>
      </c>
      <c r="O747" s="229">
        <f>[1]Нэгтгэл!$G$567</f>
        <v>0.85338706835016032</v>
      </c>
      <c r="P747" s="229">
        <f>[1]Нэгтгэл!$I$567</f>
        <v>0.87799067293113597</v>
      </c>
      <c r="Q747" s="272">
        <v>0.35429462011298424</v>
      </c>
      <c r="R747" s="256">
        <f t="shared" si="60"/>
        <v>0.41516286483920645</v>
      </c>
      <c r="S747" s="256">
        <f t="shared" si="60"/>
        <v>0.41516286483920645</v>
      </c>
      <c r="T747" s="256">
        <f t="shared" si="60"/>
        <v>0.40352891099649857</v>
      </c>
    </row>
    <row r="748" spans="2:20" s="216" customFormat="1" ht="25.5" hidden="1" outlineLevel="3">
      <c r="B748" s="255" t="s">
        <v>913</v>
      </c>
      <c r="C748" s="290" t="s">
        <v>243</v>
      </c>
      <c r="D748" s="227" t="s">
        <v>231</v>
      </c>
      <c r="E748" s="241">
        <v>16512532797</v>
      </c>
      <c r="F748" s="228">
        <f t="shared" si="62"/>
        <v>3.6801995565609057E-2</v>
      </c>
      <c r="G748" s="269">
        <f t="shared" si="55"/>
        <v>4.6586636659391237E-3</v>
      </c>
      <c r="H748" s="299">
        <v>45901</v>
      </c>
      <c r="I748" s="299">
        <v>46544</v>
      </c>
      <c r="J748" s="299">
        <v>45901</v>
      </c>
      <c r="K748" s="299">
        <v>46483</v>
      </c>
      <c r="L748" s="299">
        <v>45926</v>
      </c>
      <c r="M748" s="299">
        <v>46552</v>
      </c>
      <c r="N748" s="229">
        <f>[1]Нэгтгэл!$E$589</f>
        <v>0.85338706835016032</v>
      </c>
      <c r="O748" s="229">
        <f>[1]Нэгтгэл!$G$589</f>
        <v>0.85338706835016032</v>
      </c>
      <c r="P748" s="229">
        <f>[1]Нэгтгэл!$I$589</f>
        <v>0.83360821497836379</v>
      </c>
      <c r="Q748" s="272">
        <v>0.35429462011298424</v>
      </c>
      <c r="R748" s="256">
        <f t="shared" si="60"/>
        <v>0.41516286483920645</v>
      </c>
      <c r="S748" s="256">
        <f t="shared" si="60"/>
        <v>0.41516286483920645</v>
      </c>
      <c r="T748" s="256">
        <f t="shared" si="60"/>
        <v>0.42501335009298091</v>
      </c>
    </row>
    <row r="749" spans="2:20" s="216" customFormat="1" ht="25.5" hidden="1" outlineLevel="3">
      <c r="B749" s="255" t="s">
        <v>914</v>
      </c>
      <c r="C749" s="290" t="s">
        <v>245</v>
      </c>
      <c r="D749" s="227" t="s">
        <v>231</v>
      </c>
      <c r="E749" s="241">
        <v>16512532797</v>
      </c>
      <c r="F749" s="228">
        <f t="shared" si="62"/>
        <v>3.6801995565609057E-2</v>
      </c>
      <c r="G749" s="269">
        <f t="shared" si="55"/>
        <v>4.6586636659391237E-3</v>
      </c>
      <c r="H749" s="299">
        <v>45901</v>
      </c>
      <c r="I749" s="299">
        <v>46544</v>
      </c>
      <c r="J749" s="299">
        <v>45901</v>
      </c>
      <c r="K749" s="299">
        <v>46483</v>
      </c>
      <c r="L749" s="299">
        <v>45926</v>
      </c>
      <c r="M749" s="299">
        <v>46605</v>
      </c>
      <c r="N749" s="229">
        <f>[1]Нэгтгэл!$E$611</f>
        <v>0.85338706835016032</v>
      </c>
      <c r="O749" s="229">
        <f>[1]Нэгтгэл!$G$611</f>
        <v>0.85338706835016032</v>
      </c>
      <c r="P749" s="229">
        <f>[1]Нэгтгэл!$I$611</f>
        <v>0.78316929402737478</v>
      </c>
      <c r="Q749" s="272">
        <v>0.35429462011298424</v>
      </c>
      <c r="R749" s="256">
        <f t="shared" si="60"/>
        <v>0.41516286483920645</v>
      </c>
      <c r="S749" s="256">
        <f t="shared" si="60"/>
        <v>0.41516286483920645</v>
      </c>
      <c r="T749" s="256">
        <f t="shared" si="60"/>
        <v>0.45238573934769238</v>
      </c>
    </row>
    <row r="750" spans="2:20" s="216" customFormat="1" ht="25.5" hidden="1" outlineLevel="3">
      <c r="B750" s="255" t="s">
        <v>915</v>
      </c>
      <c r="C750" s="290" t="s">
        <v>247</v>
      </c>
      <c r="D750" s="227" t="s">
        <v>231</v>
      </c>
      <c r="E750" s="241">
        <v>16512532797</v>
      </c>
      <c r="F750" s="228">
        <f t="shared" si="62"/>
        <v>3.6801995565609057E-2</v>
      </c>
      <c r="G750" s="269">
        <f t="shared" si="55"/>
        <v>4.6586636659391237E-3</v>
      </c>
      <c r="H750" s="299">
        <v>45901</v>
      </c>
      <c r="I750" s="299">
        <v>46544</v>
      </c>
      <c r="J750" s="299">
        <v>45901</v>
      </c>
      <c r="K750" s="299">
        <v>46483</v>
      </c>
      <c r="L750" s="299">
        <v>45926</v>
      </c>
      <c r="M750" s="299">
        <v>46552</v>
      </c>
      <c r="N750" s="229">
        <f>[1]Нэгтгэл!$E$633</f>
        <v>0.85338706835016032</v>
      </c>
      <c r="O750" s="229">
        <f>[1]Нэгтгэл!$G$633</f>
        <v>0.85338706835016032</v>
      </c>
      <c r="P750" s="229">
        <f>[1]Нэгтгэл!$I$633</f>
        <v>0.83360821497836379</v>
      </c>
      <c r="Q750" s="272">
        <v>0.35429462011298424</v>
      </c>
      <c r="R750" s="256">
        <f t="shared" si="60"/>
        <v>0.41516286483920645</v>
      </c>
      <c r="S750" s="256">
        <f t="shared" si="60"/>
        <v>0.41516286483920645</v>
      </c>
      <c r="T750" s="256">
        <f t="shared" si="60"/>
        <v>0.42501335009298091</v>
      </c>
    </row>
    <row r="751" spans="2:20" s="216" customFormat="1" ht="25.5" hidden="1" outlineLevel="3">
      <c r="B751" s="255" t="s">
        <v>916</v>
      </c>
      <c r="C751" s="290" t="s">
        <v>249</v>
      </c>
      <c r="D751" s="227" t="s">
        <v>231</v>
      </c>
      <c r="E751" s="241">
        <v>16512532797</v>
      </c>
      <c r="F751" s="228">
        <f t="shared" si="62"/>
        <v>3.6801995565609057E-2</v>
      </c>
      <c r="G751" s="269">
        <f t="shared" si="55"/>
        <v>4.6586636659391237E-3</v>
      </c>
      <c r="H751" s="299">
        <v>45931</v>
      </c>
      <c r="I751" s="299">
        <v>46544</v>
      </c>
      <c r="J751" s="299">
        <v>45931</v>
      </c>
      <c r="K751" s="299">
        <v>46503</v>
      </c>
      <c r="L751" s="299">
        <v>45926</v>
      </c>
      <c r="M751" s="299">
        <v>46605</v>
      </c>
      <c r="N751" s="229">
        <f>[1]Нэгтгэл!$E$655</f>
        <v>0.85337899870350209</v>
      </c>
      <c r="O751" s="229">
        <f>[1]Нэгтгэл!$G$655</f>
        <v>0.85337899870350209</v>
      </c>
      <c r="P751" s="229">
        <f>[1]Нэгтгэл!$I$655</f>
        <v>0.78316929402737478</v>
      </c>
      <c r="Q751" s="272">
        <v>0.35429462011298424</v>
      </c>
      <c r="R751" s="256">
        <f t="shared" ref="R751:T835" si="63">+IF(N751=0,0,$Q751/N751)</f>
        <v>0.41516679066539852</v>
      </c>
      <c r="S751" s="256">
        <f t="shared" si="63"/>
        <v>0.41516679066539852</v>
      </c>
      <c r="T751" s="256">
        <f t="shared" si="63"/>
        <v>0.45238573934769238</v>
      </c>
    </row>
    <row r="752" spans="2:20" s="216" customFormat="1" ht="25.5" hidden="1" outlineLevel="3">
      <c r="B752" s="255" t="s">
        <v>917</v>
      </c>
      <c r="C752" s="290" t="s">
        <v>251</v>
      </c>
      <c r="D752" s="227" t="s">
        <v>231</v>
      </c>
      <c r="E752" s="241">
        <v>16512532797</v>
      </c>
      <c r="F752" s="228">
        <f t="shared" si="62"/>
        <v>3.6801995565609057E-2</v>
      </c>
      <c r="G752" s="269">
        <f t="shared" si="55"/>
        <v>4.6586636659391237E-3</v>
      </c>
      <c r="H752" s="299">
        <v>45931</v>
      </c>
      <c r="I752" s="299">
        <v>46544</v>
      </c>
      <c r="J752" s="299">
        <v>45931</v>
      </c>
      <c r="K752" s="299">
        <v>46503</v>
      </c>
      <c r="L752" s="299">
        <v>45926</v>
      </c>
      <c r="M752" s="299">
        <v>46605</v>
      </c>
      <c r="N752" s="229">
        <f>[1]Нэгтгэл!$E$677</f>
        <v>0.85337899870350209</v>
      </c>
      <c r="O752" s="229">
        <f>[1]Нэгтгэл!$G$677</f>
        <v>0.85337899870350209</v>
      </c>
      <c r="P752" s="229">
        <f>[1]Нэгтгэл!$I$677</f>
        <v>0.80847075231264365</v>
      </c>
      <c r="Q752" s="272">
        <v>0.35429462011298424</v>
      </c>
      <c r="R752" s="256">
        <f t="shared" si="63"/>
        <v>0.41516679066539852</v>
      </c>
      <c r="S752" s="256">
        <f t="shared" si="63"/>
        <v>0.41516679066539852</v>
      </c>
      <c r="T752" s="256">
        <f t="shared" si="63"/>
        <v>0.43822812278554141</v>
      </c>
    </row>
    <row r="753" spans="2:20" s="216" customFormat="1" ht="25.5" hidden="1" outlineLevel="3">
      <c r="B753" s="255" t="s">
        <v>918</v>
      </c>
      <c r="C753" s="290" t="s">
        <v>253</v>
      </c>
      <c r="D753" s="227" t="s">
        <v>231</v>
      </c>
      <c r="E753" s="241">
        <v>16512532797</v>
      </c>
      <c r="F753" s="228">
        <f t="shared" si="62"/>
        <v>3.6801995565609057E-2</v>
      </c>
      <c r="G753" s="269">
        <f t="shared" si="55"/>
        <v>4.6586636659391237E-3</v>
      </c>
      <c r="H753" s="299">
        <v>45915</v>
      </c>
      <c r="I753" s="299">
        <v>46544</v>
      </c>
      <c r="J753" s="299">
        <v>45915</v>
      </c>
      <c r="K753" s="299">
        <v>46483</v>
      </c>
      <c r="L753" s="299">
        <v>45926</v>
      </c>
      <c r="M753" s="299">
        <v>46617</v>
      </c>
      <c r="N753" s="229">
        <f>[1]Нэгтгэл!$E$699</f>
        <v>0.85338706835016032</v>
      </c>
      <c r="O753" s="229">
        <f>[1]Нэгтгэл!$G$699</f>
        <v>0.85338706835016032</v>
      </c>
      <c r="P753" s="229">
        <f>[1]Нэгтгэл!$I$699</f>
        <v>0.74972435760844935</v>
      </c>
      <c r="Q753" s="272">
        <v>0.35429462011298424</v>
      </c>
      <c r="R753" s="256">
        <f t="shared" si="63"/>
        <v>0.41516286483920645</v>
      </c>
      <c r="S753" s="256">
        <f t="shared" si="63"/>
        <v>0.41516286483920645</v>
      </c>
      <c r="T753" s="256">
        <f t="shared" si="63"/>
        <v>0.47256650596647409</v>
      </c>
    </row>
    <row r="754" spans="2:20" s="216" customFormat="1" ht="25.5" hidden="1" outlineLevel="3">
      <c r="B754" s="255" t="s">
        <v>919</v>
      </c>
      <c r="C754" s="290" t="s">
        <v>285</v>
      </c>
      <c r="D754" s="227" t="s">
        <v>231</v>
      </c>
      <c r="E754" s="241">
        <v>16512532797</v>
      </c>
      <c r="F754" s="228">
        <f t="shared" si="62"/>
        <v>3.6801995565609057E-2</v>
      </c>
      <c r="G754" s="269">
        <f t="shared" si="55"/>
        <v>4.6586636659391237E-3</v>
      </c>
      <c r="H754" s="299">
        <v>45931</v>
      </c>
      <c r="I754" s="299">
        <v>46544</v>
      </c>
      <c r="J754" s="299">
        <v>45931</v>
      </c>
      <c r="K754" s="299">
        <v>46504</v>
      </c>
      <c r="L754" s="299">
        <v>45926</v>
      </c>
      <c r="M754" s="299">
        <v>46731</v>
      </c>
      <c r="N754" s="229">
        <f>[1]Нэгтгэл!$E$721</f>
        <v>0.82131548955175782</v>
      </c>
      <c r="O754" s="229">
        <f>[1]Нэгтгэл!$G$721</f>
        <v>0.82131548955175782</v>
      </c>
      <c r="P754" s="229">
        <f>[1]Нэгтгэл!$I$721</f>
        <v>0.51776815256306497</v>
      </c>
      <c r="Q754" s="272">
        <v>0.35429462011298424</v>
      </c>
      <c r="R754" s="256">
        <f t="shared" si="63"/>
        <v>0.43137457483767233</v>
      </c>
      <c r="S754" s="256">
        <f t="shared" si="63"/>
        <v>0.43137457483767233</v>
      </c>
      <c r="T754" s="256">
        <f t="shared" si="63"/>
        <v>0.68427271619381924</v>
      </c>
    </row>
    <row r="755" spans="2:20" s="216" customFormat="1" ht="25.5" hidden="1" outlineLevel="3">
      <c r="B755" s="255" t="s">
        <v>920</v>
      </c>
      <c r="C755" s="290" t="s">
        <v>287</v>
      </c>
      <c r="D755" s="227" t="s">
        <v>231</v>
      </c>
      <c r="E755" s="241">
        <v>16512532797</v>
      </c>
      <c r="F755" s="228">
        <f t="shared" si="62"/>
        <v>3.6801995565609057E-2</v>
      </c>
      <c r="G755" s="269">
        <f t="shared" si="55"/>
        <v>4.6586636659391237E-3</v>
      </c>
      <c r="H755" s="299">
        <v>45931</v>
      </c>
      <c r="I755" s="299">
        <v>46544</v>
      </c>
      <c r="J755" s="299">
        <v>45931</v>
      </c>
      <c r="K755" s="299">
        <v>46504</v>
      </c>
      <c r="L755" s="299">
        <v>45926</v>
      </c>
      <c r="M755" s="299">
        <v>46731</v>
      </c>
      <c r="N755" s="229">
        <f>[1]Нэгтгэл!$E$743</f>
        <v>0.82131548955175782</v>
      </c>
      <c r="O755" s="229">
        <f>[1]Нэгтгэл!$G$743</f>
        <v>0.82131548955175782</v>
      </c>
      <c r="P755" s="229">
        <f>[1]Нэгтгэл!$I$743</f>
        <v>0.51776815256306497</v>
      </c>
      <c r="Q755" s="272">
        <v>0.35429462011298424</v>
      </c>
      <c r="R755" s="256">
        <f t="shared" si="63"/>
        <v>0.43137457483767233</v>
      </c>
      <c r="S755" s="256">
        <f t="shared" si="63"/>
        <v>0.43137457483767233</v>
      </c>
      <c r="T755" s="256">
        <f t="shared" si="63"/>
        <v>0.68427271619381924</v>
      </c>
    </row>
    <row r="756" spans="2:20" s="216" customFormat="1" ht="25.5" hidden="1" outlineLevel="3">
      <c r="B756" s="255" t="s">
        <v>921</v>
      </c>
      <c r="C756" s="290" t="s">
        <v>289</v>
      </c>
      <c r="D756" s="227" t="s">
        <v>231</v>
      </c>
      <c r="E756" s="241">
        <v>16512532797</v>
      </c>
      <c r="F756" s="228">
        <f t="shared" si="62"/>
        <v>3.6801995565609057E-2</v>
      </c>
      <c r="G756" s="269">
        <f t="shared" si="55"/>
        <v>4.6586636659391237E-3</v>
      </c>
      <c r="H756" s="299">
        <v>45931</v>
      </c>
      <c r="I756" s="299">
        <v>46544</v>
      </c>
      <c r="J756" s="299">
        <v>45931</v>
      </c>
      <c r="K756" s="299">
        <v>46504</v>
      </c>
      <c r="L756" s="299">
        <v>45926</v>
      </c>
      <c r="M756" s="299">
        <v>46617</v>
      </c>
      <c r="N756" s="229">
        <f>[1]Нэгтгэл!$E$765</f>
        <v>0.82131548955175782</v>
      </c>
      <c r="O756" s="229">
        <f>[1]Нэгтгэл!$G$765</f>
        <v>0.82131548955175782</v>
      </c>
      <c r="P756" s="229">
        <f>[1]Нэгтгэл!$I$765</f>
        <v>0.74980773891765873</v>
      </c>
      <c r="Q756" s="272">
        <v>0.35429462011298424</v>
      </c>
      <c r="R756" s="256">
        <f t="shared" si="63"/>
        <v>0.43137457483767233</v>
      </c>
      <c r="S756" s="256">
        <f t="shared" si="63"/>
        <v>0.43137457483767233</v>
      </c>
      <c r="T756" s="256">
        <f t="shared" si="63"/>
        <v>0.4725139548764935</v>
      </c>
    </row>
    <row r="757" spans="2:20" s="216" customFormat="1" ht="25.5" hidden="1" outlineLevel="3">
      <c r="B757" s="255" t="s">
        <v>922</v>
      </c>
      <c r="C757" s="290" t="s">
        <v>291</v>
      </c>
      <c r="D757" s="227" t="s">
        <v>231</v>
      </c>
      <c r="E757" s="241">
        <v>16512532797</v>
      </c>
      <c r="F757" s="228">
        <f t="shared" si="62"/>
        <v>3.6801995565609057E-2</v>
      </c>
      <c r="G757" s="269">
        <f t="shared" si="55"/>
        <v>4.6586636659391237E-3</v>
      </c>
      <c r="H757" s="299">
        <v>45931</v>
      </c>
      <c r="I757" s="299">
        <v>46544</v>
      </c>
      <c r="J757" s="299">
        <v>45931</v>
      </c>
      <c r="K757" s="299">
        <v>46504</v>
      </c>
      <c r="L757" s="299">
        <v>45926</v>
      </c>
      <c r="M757" s="299">
        <v>46617</v>
      </c>
      <c r="N757" s="229">
        <f>[1]Нэгтгэл!$E$787</f>
        <v>0.82131548955175782</v>
      </c>
      <c r="O757" s="229">
        <f>[1]Нэгтгэл!$G$787</f>
        <v>0.82131548955175782</v>
      </c>
      <c r="P757" s="229">
        <f>[1]Нэгтгэл!$I$787</f>
        <v>0.74980773891765873</v>
      </c>
      <c r="Q757" s="272">
        <v>0.35429462011298424</v>
      </c>
      <c r="R757" s="256">
        <f t="shared" si="63"/>
        <v>0.43137457483767233</v>
      </c>
      <c r="S757" s="256">
        <f t="shared" si="63"/>
        <v>0.43137457483767233</v>
      </c>
      <c r="T757" s="256">
        <f t="shared" si="63"/>
        <v>0.4725139548764935</v>
      </c>
    </row>
    <row r="758" spans="2:20" s="216" customFormat="1" ht="25.5" hidden="1" outlineLevel="3">
      <c r="B758" s="255" t="s">
        <v>923</v>
      </c>
      <c r="C758" s="290" t="s">
        <v>293</v>
      </c>
      <c r="D758" s="227" t="s">
        <v>231</v>
      </c>
      <c r="E758" s="241">
        <v>16512532797</v>
      </c>
      <c r="F758" s="228">
        <f t="shared" si="62"/>
        <v>3.6801995565609057E-2</v>
      </c>
      <c r="G758" s="269">
        <f t="shared" si="55"/>
        <v>4.6586636659391237E-3</v>
      </c>
      <c r="H758" s="299">
        <v>45931</v>
      </c>
      <c r="I758" s="299">
        <v>46544</v>
      </c>
      <c r="J758" s="299">
        <v>45931</v>
      </c>
      <c r="K758" s="299">
        <v>46484</v>
      </c>
      <c r="L758" s="299">
        <v>45926</v>
      </c>
      <c r="M758" s="299">
        <v>46731</v>
      </c>
      <c r="N758" s="229">
        <f>[1]Нэгтгэл!$E$809</f>
        <v>0.85185985031214118</v>
      </c>
      <c r="O758" s="229">
        <f>[1]Нэгтгэл!$G$809</f>
        <v>0.51976725645819233</v>
      </c>
      <c r="P758" s="229">
        <f>[1]Нэгтгэл!$I$809</f>
        <v>0.51776815256306497</v>
      </c>
      <c r="Q758" s="272">
        <v>0.35429462011298424</v>
      </c>
      <c r="R758" s="256">
        <f t="shared" si="63"/>
        <v>0.41590717062573435</v>
      </c>
      <c r="S758" s="256">
        <f t="shared" si="63"/>
        <v>0.68164089928870319</v>
      </c>
      <c r="T758" s="256">
        <f t="shared" si="63"/>
        <v>0.68427271619381924</v>
      </c>
    </row>
    <row r="759" spans="2:20" s="216" customFormat="1" ht="25.5" hidden="1" outlineLevel="3">
      <c r="B759" s="255" t="s">
        <v>924</v>
      </c>
      <c r="C759" s="290" t="s">
        <v>295</v>
      </c>
      <c r="D759" s="227" t="s">
        <v>231</v>
      </c>
      <c r="E759" s="241">
        <v>16512532797</v>
      </c>
      <c r="F759" s="228">
        <f t="shared" si="62"/>
        <v>3.6801995565609057E-2</v>
      </c>
      <c r="G759" s="269">
        <f t="shared" si="55"/>
        <v>4.6586636659391237E-3</v>
      </c>
      <c r="H759" s="299">
        <v>45931</v>
      </c>
      <c r="I759" s="299">
        <v>46544</v>
      </c>
      <c r="J759" s="299">
        <v>45931</v>
      </c>
      <c r="K759" s="299">
        <v>46484</v>
      </c>
      <c r="L759" s="299">
        <v>45926</v>
      </c>
      <c r="M759" s="299">
        <v>46731</v>
      </c>
      <c r="N759" s="229">
        <f>[1]Нэгтгэл!$E$831</f>
        <v>0.85185985031214118</v>
      </c>
      <c r="O759" s="229">
        <f>[1]Нэгтгэл!$G$831</f>
        <v>0.85185985031214118</v>
      </c>
      <c r="P759" s="229">
        <f>[1]Нэгтгэл!$I$831</f>
        <v>0.51776815256306497</v>
      </c>
      <c r="Q759" s="272">
        <v>0.35429462011298424</v>
      </c>
      <c r="R759" s="256">
        <f t="shared" si="63"/>
        <v>0.41590717062573435</v>
      </c>
      <c r="S759" s="256">
        <f t="shared" si="63"/>
        <v>0.41590717062573435</v>
      </c>
      <c r="T759" s="256">
        <f t="shared" si="63"/>
        <v>0.68427271619381924</v>
      </c>
    </row>
    <row r="760" spans="2:20" s="216" customFormat="1" ht="25.5" hidden="1" outlineLevel="3">
      <c r="B760" s="255" t="s">
        <v>925</v>
      </c>
      <c r="C760" s="290" t="s">
        <v>297</v>
      </c>
      <c r="D760" s="227" t="s">
        <v>231</v>
      </c>
      <c r="E760" s="241">
        <v>16512532797</v>
      </c>
      <c r="F760" s="228">
        <f t="shared" si="62"/>
        <v>3.6801995565609057E-2</v>
      </c>
      <c r="G760" s="269">
        <f t="shared" si="55"/>
        <v>4.6586636659391237E-3</v>
      </c>
      <c r="H760" s="299">
        <v>45931</v>
      </c>
      <c r="I760" s="299">
        <v>46544</v>
      </c>
      <c r="J760" s="299">
        <v>45931</v>
      </c>
      <c r="K760" s="299">
        <v>46484</v>
      </c>
      <c r="L760" s="299">
        <v>45926</v>
      </c>
      <c r="M760" s="299">
        <v>46731</v>
      </c>
      <c r="N760" s="229">
        <f>[1]Нэгтгэл!$E$853</f>
        <v>0.85185985031214118</v>
      </c>
      <c r="O760" s="229">
        <f>[1]Нэгтгэл!$G$853</f>
        <v>0.85185985031214118</v>
      </c>
      <c r="P760" s="229">
        <f>[1]Нэгтгэл!$I$853</f>
        <v>0.51776815256306497</v>
      </c>
      <c r="Q760" s="272">
        <v>0.35429462011298424</v>
      </c>
      <c r="R760" s="256">
        <f t="shared" si="63"/>
        <v>0.41590717062573435</v>
      </c>
      <c r="S760" s="256">
        <f t="shared" si="63"/>
        <v>0.41590717062573435</v>
      </c>
      <c r="T760" s="256">
        <f t="shared" si="63"/>
        <v>0.68427271619381924</v>
      </c>
    </row>
    <row r="761" spans="2:20" s="216" customFormat="1" ht="25.5" hidden="1" outlineLevel="3">
      <c r="B761" s="255" t="s">
        <v>926</v>
      </c>
      <c r="C761" s="290" t="s">
        <v>299</v>
      </c>
      <c r="D761" s="227" t="s">
        <v>231</v>
      </c>
      <c r="E761" s="241">
        <v>16512532797</v>
      </c>
      <c r="F761" s="228">
        <f t="shared" si="62"/>
        <v>3.6801995565609057E-2</v>
      </c>
      <c r="G761" s="269">
        <f t="shared" si="55"/>
        <v>4.6586636659391237E-3</v>
      </c>
      <c r="H761" s="299">
        <v>45905</v>
      </c>
      <c r="I761" s="299">
        <v>46544</v>
      </c>
      <c r="J761" s="299">
        <v>45905</v>
      </c>
      <c r="K761" s="299">
        <v>46477</v>
      </c>
      <c r="L761" s="299">
        <v>45926</v>
      </c>
      <c r="M761" s="299">
        <v>46546</v>
      </c>
      <c r="N761" s="229">
        <f>[1]Нэгтгэл!$E$875</f>
        <v>0.86742550960118725</v>
      </c>
      <c r="O761" s="229">
        <f>[1]Нэгтгэл!$G$875</f>
        <v>0.86742550960118725</v>
      </c>
      <c r="P761" s="229">
        <f>[1]Нэгтгэл!$I$875</f>
        <v>0.80199604067331809</v>
      </c>
      <c r="Q761" s="272">
        <v>0.35429462011298424</v>
      </c>
      <c r="R761" s="256">
        <f t="shared" si="63"/>
        <v>0.4084438562060238</v>
      </c>
      <c r="S761" s="256">
        <f t="shared" si="63"/>
        <v>0.4084438562060238</v>
      </c>
      <c r="T761" s="256">
        <f t="shared" si="63"/>
        <v>0.44176604639536021</v>
      </c>
    </row>
    <row r="762" spans="2:20" s="216" customFormat="1" ht="25.5" hidden="1" outlineLevel="3">
      <c r="B762" s="255" t="s">
        <v>928</v>
      </c>
      <c r="C762" s="290" t="s">
        <v>301</v>
      </c>
      <c r="D762" s="227" t="s">
        <v>231</v>
      </c>
      <c r="E762" s="241">
        <v>16512532797</v>
      </c>
      <c r="F762" s="228">
        <f t="shared" si="62"/>
        <v>3.6801995565609057E-2</v>
      </c>
      <c r="G762" s="269">
        <f t="shared" si="55"/>
        <v>4.6586636659391237E-3</v>
      </c>
      <c r="H762" s="299">
        <v>45905</v>
      </c>
      <c r="I762" s="299">
        <v>46544</v>
      </c>
      <c r="J762" s="299">
        <v>45905</v>
      </c>
      <c r="K762" s="299">
        <v>46477</v>
      </c>
      <c r="L762" s="299">
        <v>45926</v>
      </c>
      <c r="M762" s="299">
        <v>46527</v>
      </c>
      <c r="N762" s="229">
        <f>[1]Нэгтгэл!$E$897</f>
        <v>0.8685683041132779</v>
      </c>
      <c r="O762" s="229">
        <f>[1]Нэгтгэл!$G$897</f>
        <v>0.8685683041132779</v>
      </c>
      <c r="P762" s="229">
        <f>[1]Нэгтгэл!$I$897</f>
        <v>0.8124422676194677</v>
      </c>
      <c r="Q762" s="272">
        <v>0.35429462011298424</v>
      </c>
      <c r="R762" s="256">
        <f t="shared" si="63"/>
        <v>0.40790645759827021</v>
      </c>
      <c r="S762" s="256">
        <f t="shared" si="63"/>
        <v>0.40790645759827021</v>
      </c>
      <c r="T762" s="256">
        <f t="shared" si="63"/>
        <v>0.43608590324959434</v>
      </c>
    </row>
    <row r="763" spans="2:20" s="216" customFormat="1" ht="25.5" hidden="1" outlineLevel="3">
      <c r="B763" s="255" t="s">
        <v>929</v>
      </c>
      <c r="C763" s="290" t="s">
        <v>303</v>
      </c>
      <c r="D763" s="227" t="s">
        <v>231</v>
      </c>
      <c r="E763" s="241">
        <v>16512532797</v>
      </c>
      <c r="F763" s="228">
        <f t="shared" si="62"/>
        <v>3.6801995565609057E-2</v>
      </c>
      <c r="G763" s="269">
        <f t="shared" si="55"/>
        <v>4.6586636659391237E-3</v>
      </c>
      <c r="H763" s="299">
        <v>45905</v>
      </c>
      <c r="I763" s="299">
        <v>46544</v>
      </c>
      <c r="J763" s="299">
        <v>45905</v>
      </c>
      <c r="K763" s="299">
        <v>46477</v>
      </c>
      <c r="L763" s="299">
        <v>45926</v>
      </c>
      <c r="M763" s="299">
        <v>46538</v>
      </c>
      <c r="N763" s="229">
        <f>[1]Нэгтгэл!$E$919</f>
        <v>0.8685683041132779</v>
      </c>
      <c r="O763" s="229">
        <f>[1]Нэгтгэл!$G$919</f>
        <v>0.8685683041132779</v>
      </c>
      <c r="P763" s="229">
        <f>[1]Нэгтгэл!$I$919</f>
        <v>0.79704727158879818</v>
      </c>
      <c r="Q763" s="272">
        <v>0.35429462011298424</v>
      </c>
      <c r="R763" s="256">
        <f t="shared" si="63"/>
        <v>0.40790645759827021</v>
      </c>
      <c r="S763" s="256">
        <f t="shared" si="63"/>
        <v>0.40790645759827021</v>
      </c>
      <c r="T763" s="256">
        <f t="shared" si="63"/>
        <v>0.44450891777943019</v>
      </c>
    </row>
    <row r="764" spans="2:20" s="216" customFormat="1" ht="25.5" hidden="1" outlineLevel="3">
      <c r="B764" s="255" t="s">
        <v>930</v>
      </c>
      <c r="C764" s="290" t="s">
        <v>255</v>
      </c>
      <c r="D764" s="227" t="s">
        <v>256</v>
      </c>
      <c r="E764" s="241">
        <v>21352519447</v>
      </c>
      <c r="F764" s="228">
        <f t="shared" si="62"/>
        <v>4.7589024389150178E-2</v>
      </c>
      <c r="G764" s="269">
        <f t="shared" si="55"/>
        <v>6.0241640544732153E-3</v>
      </c>
      <c r="H764" s="299">
        <v>45901</v>
      </c>
      <c r="I764" s="299">
        <v>46544</v>
      </c>
      <c r="J764" s="299">
        <v>45901</v>
      </c>
      <c r="K764" s="299">
        <v>46501</v>
      </c>
      <c r="L764" s="299">
        <v>45926</v>
      </c>
      <c r="M764" s="299">
        <v>46565</v>
      </c>
      <c r="N764" s="229">
        <f>[1]Нэгтгэл!$E$941</f>
        <v>0.83155099873406546</v>
      </c>
      <c r="O764" s="229">
        <f>[1]Нэгтгэл!$G$941</f>
        <v>0.83155099873406546</v>
      </c>
      <c r="P764" s="229">
        <f>[1]Нэгтгэл!$I$941</f>
        <v>0.82077449559573556</v>
      </c>
      <c r="Q764" s="272">
        <v>0.35429462011298424</v>
      </c>
      <c r="R764" s="256">
        <f t="shared" si="63"/>
        <v>0.42606481220316539</v>
      </c>
      <c r="S764" s="256">
        <f t="shared" si="63"/>
        <v>0.42606481220316539</v>
      </c>
      <c r="T764" s="256">
        <f t="shared" si="63"/>
        <v>0.43165890511233501</v>
      </c>
    </row>
    <row r="765" spans="2:20" s="216" customFormat="1" ht="25.5" hidden="1" outlineLevel="3">
      <c r="B765" s="255" t="s">
        <v>931</v>
      </c>
      <c r="C765" s="290" t="s">
        <v>258</v>
      </c>
      <c r="D765" s="227" t="s">
        <v>256</v>
      </c>
      <c r="E765" s="241">
        <v>21352519447</v>
      </c>
      <c r="F765" s="228">
        <f t="shared" si="62"/>
        <v>4.7589024389150178E-2</v>
      </c>
      <c r="G765" s="269">
        <f t="shared" si="55"/>
        <v>6.0241640544732153E-3</v>
      </c>
      <c r="H765" s="299">
        <v>45901</v>
      </c>
      <c r="I765" s="299">
        <v>46544</v>
      </c>
      <c r="J765" s="299">
        <v>45901</v>
      </c>
      <c r="K765" s="299">
        <v>46501</v>
      </c>
      <c r="L765" s="299">
        <v>45926</v>
      </c>
      <c r="M765" s="299">
        <v>46565</v>
      </c>
      <c r="N765" s="229">
        <f>[1]Нэгтгэл!$E$963</f>
        <v>0.8315551550743161</v>
      </c>
      <c r="O765" s="229">
        <f>[1]Нэгтгэл!$G$963</f>
        <v>0.8315551550743161</v>
      </c>
      <c r="P765" s="229">
        <f>[1]Нэгтгэл!$I$963</f>
        <v>0.82077119969379608</v>
      </c>
      <c r="Q765" s="272">
        <v>0.35429462011298424</v>
      </c>
      <c r="R765" s="256">
        <f t="shared" si="63"/>
        <v>0.42606268261462577</v>
      </c>
      <c r="S765" s="256">
        <f t="shared" si="63"/>
        <v>0.42606268261462577</v>
      </c>
      <c r="T765" s="256">
        <f t="shared" si="63"/>
        <v>0.43166063848872915</v>
      </c>
    </row>
    <row r="766" spans="2:20" s="216" customFormat="1" ht="25.5" hidden="1" outlineLevel="3">
      <c r="B766" s="255" t="s">
        <v>932</v>
      </c>
      <c r="C766" s="290" t="s">
        <v>260</v>
      </c>
      <c r="D766" s="227" t="s">
        <v>256</v>
      </c>
      <c r="E766" s="241">
        <v>21352519447</v>
      </c>
      <c r="F766" s="228">
        <f t="shared" si="62"/>
        <v>4.7589024389150178E-2</v>
      </c>
      <c r="G766" s="269">
        <f t="shared" si="55"/>
        <v>6.0241640544732153E-3</v>
      </c>
      <c r="H766" s="299">
        <v>45901</v>
      </c>
      <c r="I766" s="299">
        <v>46544</v>
      </c>
      <c r="J766" s="299">
        <v>45901</v>
      </c>
      <c r="K766" s="299">
        <v>46474</v>
      </c>
      <c r="L766" s="299">
        <v>45926</v>
      </c>
      <c r="M766" s="299">
        <v>46611</v>
      </c>
      <c r="N766" s="229">
        <f>[1]Нэгтгэл!$E$985</f>
        <v>0.8714499867672415</v>
      </c>
      <c r="O766" s="229">
        <f>[1]Нэгтгэл!$G$985</f>
        <v>0.8714499867672415</v>
      </c>
      <c r="P766" s="229">
        <f>[1]Нэгтгэл!$I$985</f>
        <v>0.80588097298862904</v>
      </c>
      <c r="Q766" s="272">
        <v>0.35429462011298424</v>
      </c>
      <c r="R766" s="256">
        <f t="shared" si="63"/>
        <v>0.40655760570642363</v>
      </c>
      <c r="S766" s="256">
        <f t="shared" si="63"/>
        <v>0.40655760570642363</v>
      </c>
      <c r="T766" s="256">
        <f t="shared" si="63"/>
        <v>0.43963641280557114</v>
      </c>
    </row>
    <row r="767" spans="2:20" s="216" customFormat="1" ht="25.5" hidden="1" outlineLevel="3">
      <c r="B767" s="255" t="s">
        <v>933</v>
      </c>
      <c r="C767" s="290" t="s">
        <v>262</v>
      </c>
      <c r="D767" s="227" t="s">
        <v>256</v>
      </c>
      <c r="E767" s="241">
        <v>21352519447</v>
      </c>
      <c r="F767" s="228">
        <f t="shared" si="62"/>
        <v>4.7589024389150178E-2</v>
      </c>
      <c r="G767" s="269">
        <f t="shared" si="55"/>
        <v>6.0241640544732153E-3</v>
      </c>
      <c r="H767" s="299">
        <v>45901</v>
      </c>
      <c r="I767" s="299">
        <v>46544</v>
      </c>
      <c r="J767" s="299">
        <v>45901</v>
      </c>
      <c r="K767" s="299">
        <v>46474</v>
      </c>
      <c r="L767" s="299">
        <v>45926</v>
      </c>
      <c r="M767" s="299">
        <v>46611</v>
      </c>
      <c r="N767" s="229">
        <f>[1]Нэгтгэл!$E$1007</f>
        <v>0.8714499867672415</v>
      </c>
      <c r="O767" s="229">
        <f>[1]Нэгтгэл!$G$1007</f>
        <v>0.8714499867672415</v>
      </c>
      <c r="P767" s="229">
        <f>[1]Нэгтгэл!$I$1007</f>
        <v>0.80588097298862904</v>
      </c>
      <c r="Q767" s="272">
        <v>0.35429462011298424</v>
      </c>
      <c r="R767" s="256">
        <f t="shared" si="63"/>
        <v>0.40655760570642363</v>
      </c>
      <c r="S767" s="256">
        <f t="shared" si="63"/>
        <v>0.40655760570642363</v>
      </c>
      <c r="T767" s="256">
        <f t="shared" si="63"/>
        <v>0.43963641280557114</v>
      </c>
    </row>
    <row r="768" spans="2:20" s="216" customFormat="1" ht="25.5" hidden="1" outlineLevel="2">
      <c r="B768" s="291" t="s">
        <v>934</v>
      </c>
      <c r="C768" s="292" t="s">
        <v>37</v>
      </c>
      <c r="D768" s="234" t="s">
        <v>33</v>
      </c>
      <c r="E768" s="240">
        <f>SUM(E769:E779)</f>
        <v>175877564456</v>
      </c>
      <c r="F768" s="223">
        <f t="shared" si="57"/>
        <v>9.0647549000068411E-2</v>
      </c>
      <c r="G768" s="293">
        <f t="shared" si="55"/>
        <v>4.9620153931436491E-2</v>
      </c>
      <c r="H768" s="298">
        <v>46113</v>
      </c>
      <c r="I768" s="298">
        <v>46685</v>
      </c>
      <c r="J768" s="298">
        <v>46113</v>
      </c>
      <c r="K768" s="298">
        <v>46502</v>
      </c>
      <c r="L768" s="298">
        <v>46119</v>
      </c>
      <c r="M768" s="298">
        <v>46691</v>
      </c>
      <c r="N768" s="224">
        <f>SUMPRODUCT($F769:$F779,N769:N779)</f>
        <v>0.79087695396860169</v>
      </c>
      <c r="O768" s="224">
        <f t="shared" ref="O768:P768" si="64">SUMPRODUCT($F769:$F779,O769:O779)</f>
        <v>4.4772454389235321E-2</v>
      </c>
      <c r="P768" s="224">
        <f t="shared" si="64"/>
        <v>0.37446413803091927</v>
      </c>
      <c r="Q768" s="270">
        <v>7.0000000000000001E-3</v>
      </c>
      <c r="R768" s="254">
        <f t="shared" si="63"/>
        <v>8.8509343518914877E-3</v>
      </c>
      <c r="S768" s="254">
        <f t="shared" si="63"/>
        <v>0.15634613057270802</v>
      </c>
      <c r="T768" s="254">
        <f t="shared" si="63"/>
        <v>1.869337885547271E-2</v>
      </c>
    </row>
    <row r="769" spans="2:20" s="216" customFormat="1" ht="25.5" hidden="1" outlineLevel="3">
      <c r="B769" s="255" t="s">
        <v>907</v>
      </c>
      <c r="C769" s="290" t="s">
        <v>230</v>
      </c>
      <c r="D769" s="227" t="s">
        <v>231</v>
      </c>
      <c r="E769" s="241">
        <v>15988869496</v>
      </c>
      <c r="F769" s="228">
        <f>E769/$E$768</f>
        <v>9.0909090909090912E-2</v>
      </c>
      <c r="G769" s="269">
        <f t="shared" si="55"/>
        <v>4.5109230846760448E-3</v>
      </c>
      <c r="H769" s="299">
        <v>46113</v>
      </c>
      <c r="I769" s="299">
        <v>46685</v>
      </c>
      <c r="J769" s="299">
        <v>46113</v>
      </c>
      <c r="K769" s="299">
        <v>46419</v>
      </c>
      <c r="L769" s="299">
        <v>46119</v>
      </c>
      <c r="M769" s="299">
        <v>46691</v>
      </c>
      <c r="N769" s="229">
        <f>[1]Нэгтгэл!$E$1036</f>
        <v>0.85019708914102221</v>
      </c>
      <c r="O769" s="229">
        <f>[1]Нэгтгэл!$G$1036</f>
        <v>6.1206304809320849E-2</v>
      </c>
      <c r="P769" s="229">
        <f>[1]Нэгтгэл!$I$1036</f>
        <v>0.7857721850067797</v>
      </c>
      <c r="Q769" s="272">
        <v>7.0000000000000001E-3</v>
      </c>
      <c r="R769" s="256">
        <f t="shared" si="63"/>
        <v>8.2333850461335911E-3</v>
      </c>
      <c r="S769" s="256">
        <f t="shared" si="63"/>
        <v>0.11436730287520967</v>
      </c>
      <c r="T769" s="256">
        <f t="shared" si="63"/>
        <v>8.9084344464796794E-3</v>
      </c>
    </row>
    <row r="770" spans="2:20" s="216" customFormat="1" ht="25.5" hidden="1" outlineLevel="3">
      <c r="B770" s="255" t="s">
        <v>908</v>
      </c>
      <c r="C770" s="290" t="s">
        <v>233</v>
      </c>
      <c r="D770" s="227" t="s">
        <v>231</v>
      </c>
      <c r="E770" s="241">
        <v>15988869496</v>
      </c>
      <c r="F770" s="228">
        <f t="shared" ref="F770:F779" si="65">E770/$E$768</f>
        <v>9.0909090909090912E-2</v>
      </c>
      <c r="G770" s="269">
        <f t="shared" si="55"/>
        <v>4.5109230846760448E-3</v>
      </c>
      <c r="H770" s="299">
        <v>46113</v>
      </c>
      <c r="I770" s="299">
        <v>46685</v>
      </c>
      <c r="J770" s="299">
        <v>46113</v>
      </c>
      <c r="K770" s="299">
        <v>46419</v>
      </c>
      <c r="L770" s="299">
        <v>46235</v>
      </c>
      <c r="M770" s="299">
        <v>46691</v>
      </c>
      <c r="N770" s="229">
        <f>[1]Нэгтгэл!$E$1058</f>
        <v>0.85019708914102221</v>
      </c>
      <c r="O770" s="229">
        <f>[1]Нэгтгэл!$G$1058</f>
        <v>6.1206304809320849E-2</v>
      </c>
      <c r="P770" s="229">
        <f>[1]Нэгтгэл!$I$1058</f>
        <v>0.33333333333333331</v>
      </c>
      <c r="Q770" s="272">
        <v>7.0000000000000001E-3</v>
      </c>
      <c r="R770" s="256">
        <f t="shared" si="63"/>
        <v>8.2333850461335911E-3</v>
      </c>
      <c r="S770" s="256">
        <f t="shared" si="63"/>
        <v>0.11436730287520967</v>
      </c>
      <c r="T770" s="256">
        <f t="shared" si="63"/>
        <v>2.1000000000000001E-2</v>
      </c>
    </row>
    <row r="771" spans="2:20" s="216" customFormat="1" ht="25.5" hidden="1" outlineLevel="3">
      <c r="B771" s="255" t="s">
        <v>909</v>
      </c>
      <c r="C771" s="290" t="s">
        <v>235</v>
      </c>
      <c r="D771" s="227" t="s">
        <v>231</v>
      </c>
      <c r="E771" s="241">
        <v>15988869496</v>
      </c>
      <c r="F771" s="228">
        <f t="shared" si="65"/>
        <v>9.0909090909090912E-2</v>
      </c>
      <c r="G771" s="269">
        <f t="shared" si="55"/>
        <v>4.5109230846760448E-3</v>
      </c>
      <c r="H771" s="299">
        <v>46113</v>
      </c>
      <c r="I771" s="299">
        <v>46685</v>
      </c>
      <c r="J771" s="299">
        <v>46113</v>
      </c>
      <c r="K771" s="299">
        <v>46419</v>
      </c>
      <c r="L771" s="299">
        <v>46235</v>
      </c>
      <c r="M771" s="299">
        <v>46691</v>
      </c>
      <c r="N771" s="229">
        <f>[1]Нэгтгэл!$E$1080</f>
        <v>0.85019708914102221</v>
      </c>
      <c r="O771" s="229">
        <f>[1]Нэгтгэл!$G$1080</f>
        <v>6.1206304809320849E-2</v>
      </c>
      <c r="P771" s="229">
        <f>[1]Нэгтгэл!$I$1080</f>
        <v>0.33333333333333331</v>
      </c>
      <c r="Q771" s="272">
        <v>7.0000000000000001E-3</v>
      </c>
      <c r="R771" s="256">
        <f t="shared" si="63"/>
        <v>8.2333850461335911E-3</v>
      </c>
      <c r="S771" s="256">
        <f t="shared" si="63"/>
        <v>0.11436730287520967</v>
      </c>
      <c r="T771" s="256">
        <f t="shared" si="63"/>
        <v>2.1000000000000001E-2</v>
      </c>
    </row>
    <row r="772" spans="2:20" s="216" customFormat="1" ht="25.5" hidden="1" outlineLevel="3">
      <c r="B772" s="255" t="s">
        <v>910</v>
      </c>
      <c r="C772" s="290" t="s">
        <v>237</v>
      </c>
      <c r="D772" s="227" t="s">
        <v>231</v>
      </c>
      <c r="E772" s="241">
        <v>15988869496</v>
      </c>
      <c r="F772" s="228">
        <f t="shared" si="65"/>
        <v>9.0909090909090912E-2</v>
      </c>
      <c r="G772" s="269">
        <f t="shared" si="55"/>
        <v>4.5109230846760448E-3</v>
      </c>
      <c r="H772" s="299">
        <v>46113</v>
      </c>
      <c r="I772" s="299">
        <v>46685</v>
      </c>
      <c r="J772" s="299">
        <v>46113</v>
      </c>
      <c r="K772" s="299">
        <v>46419</v>
      </c>
      <c r="L772" s="299">
        <v>46235</v>
      </c>
      <c r="M772" s="299">
        <v>46691</v>
      </c>
      <c r="N772" s="229">
        <f>[1]Нэгтгэл!$E$1102</f>
        <v>0.85019708914102221</v>
      </c>
      <c r="O772" s="229">
        <f>[1]Нэгтгэл!$G$1102</f>
        <v>6.1206304809320849E-2</v>
      </c>
      <c r="P772" s="229">
        <f>[1]Нэгтгэл!$I$1102</f>
        <v>0.33333333333333331</v>
      </c>
      <c r="Q772" s="272">
        <v>7.0000000000000001E-3</v>
      </c>
      <c r="R772" s="256">
        <f t="shared" si="63"/>
        <v>8.2333850461335911E-3</v>
      </c>
      <c r="S772" s="256">
        <f t="shared" si="63"/>
        <v>0.11436730287520967</v>
      </c>
      <c r="T772" s="256">
        <f t="shared" si="63"/>
        <v>2.1000000000000001E-2</v>
      </c>
    </row>
    <row r="773" spans="2:20" s="216" customFormat="1" ht="25.5" hidden="1" outlineLevel="3">
      <c r="B773" s="255" t="s">
        <v>911</v>
      </c>
      <c r="C773" s="290" t="s">
        <v>239</v>
      </c>
      <c r="D773" s="227" t="s">
        <v>231</v>
      </c>
      <c r="E773" s="241">
        <v>15988869496</v>
      </c>
      <c r="F773" s="228">
        <f t="shared" si="65"/>
        <v>9.0909090909090912E-2</v>
      </c>
      <c r="G773" s="269">
        <f t="shared" si="55"/>
        <v>4.5109230846760448E-3</v>
      </c>
      <c r="H773" s="299">
        <v>46113</v>
      </c>
      <c r="I773" s="299">
        <v>46685</v>
      </c>
      <c r="J773" s="299">
        <v>46113</v>
      </c>
      <c r="K773" s="299">
        <v>46502</v>
      </c>
      <c r="L773" s="299">
        <v>46235</v>
      </c>
      <c r="M773" s="299">
        <v>46691</v>
      </c>
      <c r="N773" s="229">
        <f>[1]Нэгтгэл!$E$1124</f>
        <v>0.68706671741686576</v>
      </c>
      <c r="O773" s="229">
        <f>[1]Нэгтгэл!$G$1124</f>
        <v>1.2772497049112947E-2</v>
      </c>
      <c r="P773" s="229">
        <f>[1]Нэгтгэл!$I$1124</f>
        <v>0.33333333333333331</v>
      </c>
      <c r="Q773" s="272">
        <v>7.0000000000000001E-3</v>
      </c>
      <c r="R773" s="256">
        <f t="shared" si="63"/>
        <v>1.0188239107720994E-2</v>
      </c>
      <c r="S773" s="256">
        <f t="shared" si="63"/>
        <v>0.54805258306841043</v>
      </c>
      <c r="T773" s="256">
        <f t="shared" si="63"/>
        <v>2.1000000000000001E-2</v>
      </c>
    </row>
    <row r="774" spans="2:20" s="216" customFormat="1" ht="25.5" hidden="1" outlineLevel="3">
      <c r="B774" s="255" t="s">
        <v>912</v>
      </c>
      <c r="C774" s="290" t="s">
        <v>241</v>
      </c>
      <c r="D774" s="227" t="s">
        <v>231</v>
      </c>
      <c r="E774" s="241">
        <v>15988869496</v>
      </c>
      <c r="F774" s="228">
        <f t="shared" si="65"/>
        <v>9.0909090909090912E-2</v>
      </c>
      <c r="G774" s="269">
        <f t="shared" si="55"/>
        <v>4.5109230846760448E-3</v>
      </c>
      <c r="H774" s="299">
        <v>46113</v>
      </c>
      <c r="I774" s="299">
        <v>46685</v>
      </c>
      <c r="J774" s="299">
        <v>46113</v>
      </c>
      <c r="K774" s="299">
        <v>46502</v>
      </c>
      <c r="L774" s="299">
        <v>46235</v>
      </c>
      <c r="M774" s="299">
        <v>46691</v>
      </c>
      <c r="N774" s="229">
        <f>[1]Нэгтгэл!$E$1146</f>
        <v>0.68706671741686576</v>
      </c>
      <c r="O774" s="229">
        <f>[1]Нэгтгэл!$G$1146</f>
        <v>1.2772497049112947E-2</v>
      </c>
      <c r="P774" s="229">
        <f>[1]Нэгтгэл!$I$1146</f>
        <v>0.33333333333333331</v>
      </c>
      <c r="Q774" s="272">
        <v>7.0000000000000001E-3</v>
      </c>
      <c r="R774" s="256">
        <f t="shared" si="63"/>
        <v>1.0188239107720994E-2</v>
      </c>
      <c r="S774" s="256">
        <f t="shared" si="63"/>
        <v>0.54805258306841043</v>
      </c>
      <c r="T774" s="256">
        <f t="shared" si="63"/>
        <v>2.1000000000000001E-2</v>
      </c>
    </row>
    <row r="775" spans="2:20" s="216" customFormat="1" ht="25.5" hidden="1" outlineLevel="3">
      <c r="B775" s="255" t="s">
        <v>913</v>
      </c>
      <c r="C775" s="290" t="s">
        <v>243</v>
      </c>
      <c r="D775" s="227" t="s">
        <v>231</v>
      </c>
      <c r="E775" s="241">
        <v>15988869496</v>
      </c>
      <c r="F775" s="228">
        <f t="shared" si="65"/>
        <v>9.0909090909090912E-2</v>
      </c>
      <c r="G775" s="269">
        <f t="shared" si="55"/>
        <v>4.5109230846760448E-3</v>
      </c>
      <c r="H775" s="299">
        <v>46113</v>
      </c>
      <c r="I775" s="299">
        <v>46685</v>
      </c>
      <c r="J775" s="299">
        <v>46113</v>
      </c>
      <c r="K775" s="299">
        <v>46502</v>
      </c>
      <c r="L775" s="299">
        <v>46235</v>
      </c>
      <c r="M775" s="299">
        <v>46691</v>
      </c>
      <c r="N775" s="229">
        <f>[1]Нэгтгэл!$E$1168</f>
        <v>0.68706671741686576</v>
      </c>
      <c r="O775" s="229">
        <f>[1]Нэгтгэл!$G$1168</f>
        <v>1.2772497049112947E-2</v>
      </c>
      <c r="P775" s="229">
        <f>[1]Нэгтгэл!$I$1168</f>
        <v>0.33333333333333331</v>
      </c>
      <c r="Q775" s="272">
        <v>7.0000000000000001E-3</v>
      </c>
      <c r="R775" s="256">
        <f t="shared" si="63"/>
        <v>1.0188239107720994E-2</v>
      </c>
      <c r="S775" s="256">
        <f t="shared" si="63"/>
        <v>0.54805258306841043</v>
      </c>
      <c r="T775" s="256">
        <f t="shared" si="63"/>
        <v>2.1000000000000001E-2</v>
      </c>
    </row>
    <row r="776" spans="2:20" s="216" customFormat="1" ht="25.5" hidden="1" outlineLevel="3">
      <c r="B776" s="255" t="s">
        <v>914</v>
      </c>
      <c r="C776" s="290" t="s">
        <v>245</v>
      </c>
      <c r="D776" s="227" t="s">
        <v>231</v>
      </c>
      <c r="E776" s="241">
        <v>15988869496</v>
      </c>
      <c r="F776" s="228">
        <f t="shared" si="65"/>
        <v>9.0909090909090912E-2</v>
      </c>
      <c r="G776" s="269">
        <f t="shared" si="55"/>
        <v>4.5109230846760448E-3</v>
      </c>
      <c r="H776" s="299">
        <v>46113</v>
      </c>
      <c r="I776" s="299">
        <v>46685</v>
      </c>
      <c r="J776" s="299">
        <v>46113</v>
      </c>
      <c r="K776" s="299">
        <v>46502</v>
      </c>
      <c r="L776" s="299">
        <v>46235</v>
      </c>
      <c r="M776" s="299">
        <v>46691</v>
      </c>
      <c r="N776" s="229">
        <f>[1]Нэгтгэл!$E$1190</f>
        <v>0.68706671741686576</v>
      </c>
      <c r="O776" s="229">
        <f>[1]Нэгтгэл!$G$1190</f>
        <v>1.2772497049112947E-2</v>
      </c>
      <c r="P776" s="229">
        <f>[1]Нэгтгэл!$I$1190</f>
        <v>0.33333333333333331</v>
      </c>
      <c r="Q776" s="272">
        <v>7.0000000000000001E-3</v>
      </c>
      <c r="R776" s="256">
        <f t="shared" si="63"/>
        <v>1.0188239107720994E-2</v>
      </c>
      <c r="S776" s="256">
        <f t="shared" si="63"/>
        <v>0.54805258306841043</v>
      </c>
      <c r="T776" s="256">
        <f t="shared" si="63"/>
        <v>2.1000000000000001E-2</v>
      </c>
    </row>
    <row r="777" spans="2:20" s="216" customFormat="1" ht="25.5" hidden="1" outlineLevel="3">
      <c r="B777" s="255" t="s">
        <v>915</v>
      </c>
      <c r="C777" s="290" t="s">
        <v>247</v>
      </c>
      <c r="D777" s="227" t="s">
        <v>231</v>
      </c>
      <c r="E777" s="241">
        <v>15988869496</v>
      </c>
      <c r="F777" s="228">
        <f t="shared" si="65"/>
        <v>9.0909090909090912E-2</v>
      </c>
      <c r="G777" s="269">
        <f t="shared" si="55"/>
        <v>4.5109230846760448E-3</v>
      </c>
      <c r="H777" s="299">
        <v>46113</v>
      </c>
      <c r="I777" s="299">
        <v>46685</v>
      </c>
      <c r="J777" s="299">
        <v>46113</v>
      </c>
      <c r="K777" s="299">
        <v>46419</v>
      </c>
      <c r="L777" s="299">
        <v>46235</v>
      </c>
      <c r="M777" s="299">
        <v>46691</v>
      </c>
      <c r="N777" s="229">
        <f>[1]Нэгтгэл!$E$1212</f>
        <v>0.85019708914102221</v>
      </c>
      <c r="O777" s="229">
        <f>[1]Нэгтгэл!$G$1212</f>
        <v>6.1206304809320849E-2</v>
      </c>
      <c r="P777" s="229">
        <f>[1]Нэгтгэл!$I$1212</f>
        <v>0.33333333333333331</v>
      </c>
      <c r="Q777" s="272">
        <v>7.0000000000000001E-3</v>
      </c>
      <c r="R777" s="256">
        <f t="shared" si="63"/>
        <v>8.2333850461335911E-3</v>
      </c>
      <c r="S777" s="256">
        <f t="shared" si="63"/>
        <v>0.11436730287520967</v>
      </c>
      <c r="T777" s="256">
        <f t="shared" si="63"/>
        <v>2.1000000000000001E-2</v>
      </c>
    </row>
    <row r="778" spans="2:20" s="216" customFormat="1" ht="25.5" hidden="1" outlineLevel="3">
      <c r="B778" s="255" t="s">
        <v>916</v>
      </c>
      <c r="C778" s="290" t="s">
        <v>249</v>
      </c>
      <c r="D778" s="227" t="s">
        <v>231</v>
      </c>
      <c r="E778" s="241">
        <v>15988869496</v>
      </c>
      <c r="F778" s="228">
        <f t="shared" si="65"/>
        <v>9.0909090909090912E-2</v>
      </c>
      <c r="G778" s="269">
        <f t="shared" si="55"/>
        <v>4.5109230846760448E-3</v>
      </c>
      <c r="H778" s="299">
        <v>46113</v>
      </c>
      <c r="I778" s="299">
        <v>46685</v>
      </c>
      <c r="J778" s="299">
        <v>46113</v>
      </c>
      <c r="K778" s="299">
        <v>46419</v>
      </c>
      <c r="L778" s="299">
        <v>46235</v>
      </c>
      <c r="M778" s="299">
        <v>46691</v>
      </c>
      <c r="N778" s="229">
        <f>[1]Нэгтгэл!$E$1234</f>
        <v>0.85019708914102221</v>
      </c>
      <c r="O778" s="229">
        <f>[1]Нэгтгэл!$G$1234</f>
        <v>6.768774301926625E-2</v>
      </c>
      <c r="P778" s="229">
        <f>[1]Нэгтгэл!$I$1234</f>
        <v>0.33333333333333331</v>
      </c>
      <c r="Q778" s="272">
        <v>7.0000000000000001E-3</v>
      </c>
      <c r="R778" s="256">
        <f t="shared" si="63"/>
        <v>8.2333850461335911E-3</v>
      </c>
      <c r="S778" s="256">
        <f t="shared" si="63"/>
        <v>0.10341606453043589</v>
      </c>
      <c r="T778" s="256">
        <f t="shared" si="63"/>
        <v>2.1000000000000001E-2</v>
      </c>
    </row>
    <row r="779" spans="2:20" s="216" customFormat="1" ht="25.5" hidden="1" outlineLevel="3">
      <c r="B779" s="255" t="s">
        <v>917</v>
      </c>
      <c r="C779" s="290" t="s">
        <v>251</v>
      </c>
      <c r="D779" s="227" t="s">
        <v>231</v>
      </c>
      <c r="E779" s="241">
        <v>15988869496</v>
      </c>
      <c r="F779" s="228">
        <f t="shared" si="65"/>
        <v>9.0909090909090912E-2</v>
      </c>
      <c r="G779" s="269">
        <f t="shared" si="55"/>
        <v>4.5109230846760448E-3</v>
      </c>
      <c r="H779" s="299">
        <v>46113</v>
      </c>
      <c r="I779" s="299">
        <v>46685</v>
      </c>
      <c r="J779" s="299">
        <v>46113</v>
      </c>
      <c r="K779" s="299">
        <v>46419</v>
      </c>
      <c r="L779" s="299">
        <v>46235</v>
      </c>
      <c r="M779" s="299">
        <v>46691</v>
      </c>
      <c r="N779" s="229">
        <f>[1]Нэгтгэл!$E$1256</f>
        <v>0.85019708914102221</v>
      </c>
      <c r="O779" s="229">
        <f>[1]Нэгтгэл!$G$1256</f>
        <v>6.768774301926625E-2</v>
      </c>
      <c r="P779" s="229">
        <f>[1]Нэгтгэл!$I$1256</f>
        <v>0.33333333333333331</v>
      </c>
      <c r="Q779" s="272">
        <v>7.0000000000000001E-3</v>
      </c>
      <c r="R779" s="256">
        <f t="shared" si="63"/>
        <v>8.2333850461335911E-3</v>
      </c>
      <c r="S779" s="256">
        <f t="shared" si="63"/>
        <v>0.10341606453043589</v>
      </c>
      <c r="T779" s="256">
        <f t="shared" si="63"/>
        <v>2.1000000000000001E-2</v>
      </c>
    </row>
    <row r="780" spans="2:20" s="216" customFormat="1" ht="25.5" hidden="1" outlineLevel="2">
      <c r="B780" s="291" t="s">
        <v>935</v>
      </c>
      <c r="C780" s="292" t="s">
        <v>39</v>
      </c>
      <c r="D780" s="234" t="s">
        <v>33</v>
      </c>
      <c r="E780" s="240">
        <f>SUM(E781:E792)</f>
        <v>187910444274</v>
      </c>
      <c r="F780" s="223">
        <f t="shared" si="57"/>
        <v>9.6849312518274097E-2</v>
      </c>
      <c r="G780" s="293">
        <f t="shared" si="55"/>
        <v>5.301497777184172E-2</v>
      </c>
      <c r="H780" s="298">
        <v>45931</v>
      </c>
      <c r="I780" s="298">
        <v>46623</v>
      </c>
      <c r="J780" s="298">
        <v>45931</v>
      </c>
      <c r="K780" s="298">
        <v>46528</v>
      </c>
      <c r="L780" s="298">
        <v>45931</v>
      </c>
      <c r="M780" s="298">
        <v>46751</v>
      </c>
      <c r="N780" s="224">
        <f>SUMPRODUCT($F781:$F792,N781:N792)</f>
        <v>0.78039000563607075</v>
      </c>
      <c r="O780" s="224">
        <f t="shared" ref="O780:P780" si="66">SUMPRODUCT($F781:$F792,O781:O792)</f>
        <v>0.65032500469672561</v>
      </c>
      <c r="P780" s="224">
        <f t="shared" si="66"/>
        <v>0.69934505587879425</v>
      </c>
      <c r="Q780" s="270">
        <v>0.16723903853644903</v>
      </c>
      <c r="R780" s="254">
        <f t="shared" si="63"/>
        <v>0.21430187128055014</v>
      </c>
      <c r="S780" s="254">
        <f t="shared" si="63"/>
        <v>0.25716224553666017</v>
      </c>
      <c r="T780" s="254">
        <f t="shared" si="63"/>
        <v>0.23913665669130543</v>
      </c>
    </row>
    <row r="781" spans="2:20" s="216" customFormat="1" ht="25.5" hidden="1" outlineLevel="3">
      <c r="B781" s="255" t="s">
        <v>907</v>
      </c>
      <c r="C781" s="290" t="s">
        <v>230</v>
      </c>
      <c r="D781" s="227" t="s">
        <v>231</v>
      </c>
      <c r="E781" s="241">
        <v>15659203689.5</v>
      </c>
      <c r="F781" s="228">
        <f>E781/$E$780</f>
        <v>8.3333333333333329E-2</v>
      </c>
      <c r="G781" s="269">
        <f t="shared" si="55"/>
        <v>4.4179148143201428E-3</v>
      </c>
      <c r="H781" s="299">
        <v>45931</v>
      </c>
      <c r="I781" s="299">
        <v>46623</v>
      </c>
      <c r="J781" s="299">
        <v>46478</v>
      </c>
      <c r="K781" s="299">
        <v>46528</v>
      </c>
      <c r="L781" s="299">
        <v>46201</v>
      </c>
      <c r="M781" s="299">
        <v>46751</v>
      </c>
      <c r="N781" s="229">
        <f>[1]Нэгтгэл!$E$1285</f>
        <v>0.78039000563607053</v>
      </c>
      <c r="O781" s="229">
        <f>[1]Нэгтгэл!$G$1285</f>
        <v>0</v>
      </c>
      <c r="P781" s="229">
        <f>[1]Нэгтгэл!$I$1285</f>
        <v>0.2572732719068917</v>
      </c>
      <c r="Q781" s="272">
        <v>0.16723903853644903</v>
      </c>
      <c r="R781" s="256">
        <f t="shared" si="63"/>
        <v>0.2143018712805502</v>
      </c>
      <c r="S781" s="256">
        <f t="shared" si="63"/>
        <v>0</v>
      </c>
      <c r="T781" s="256">
        <f t="shared" si="63"/>
        <v>0.65004435671410732</v>
      </c>
    </row>
    <row r="782" spans="2:20" s="216" customFormat="1" ht="25.5" hidden="1" outlineLevel="3">
      <c r="B782" s="255" t="s">
        <v>908</v>
      </c>
      <c r="C782" s="290" t="s">
        <v>233</v>
      </c>
      <c r="D782" s="227" t="s">
        <v>231</v>
      </c>
      <c r="E782" s="241">
        <v>15659203689.5</v>
      </c>
      <c r="F782" s="228">
        <f t="shared" ref="F782:F792" si="67">E782/$E$780</f>
        <v>8.3333333333333329E-2</v>
      </c>
      <c r="G782" s="269">
        <f t="shared" si="55"/>
        <v>4.4179148143201428E-3</v>
      </c>
      <c r="H782" s="299">
        <v>45931</v>
      </c>
      <c r="I782" s="299">
        <v>46623</v>
      </c>
      <c r="J782" s="299">
        <v>45931</v>
      </c>
      <c r="K782" s="299">
        <v>46528</v>
      </c>
      <c r="L782" s="299">
        <v>45931</v>
      </c>
      <c r="M782" s="299">
        <v>46681</v>
      </c>
      <c r="N782" s="229">
        <f>[1]Нэгтгэл!$E$1307</f>
        <v>0.78039000563607053</v>
      </c>
      <c r="O782" s="229">
        <f>[1]Нэгтгэл!$G$1307</f>
        <v>0.78039000563607053</v>
      </c>
      <c r="P782" s="229">
        <f>[1]Нэгтгэл!$I$1307</f>
        <v>0.66727498818498221</v>
      </c>
      <c r="Q782" s="272">
        <v>0.16723903853644903</v>
      </c>
      <c r="R782" s="256">
        <f t="shared" si="63"/>
        <v>0.2143018712805502</v>
      </c>
      <c r="S782" s="256">
        <f t="shared" si="63"/>
        <v>0.2143018712805502</v>
      </c>
      <c r="T782" s="256">
        <f t="shared" si="63"/>
        <v>0.25062986249693953</v>
      </c>
    </row>
    <row r="783" spans="2:20" s="216" customFormat="1" ht="25.5" hidden="1" outlineLevel="3">
      <c r="B783" s="255" t="s">
        <v>909</v>
      </c>
      <c r="C783" s="290" t="s">
        <v>235</v>
      </c>
      <c r="D783" s="227" t="s">
        <v>231</v>
      </c>
      <c r="E783" s="241">
        <v>15659203689.5</v>
      </c>
      <c r="F783" s="228">
        <f t="shared" si="67"/>
        <v>8.3333333333333329E-2</v>
      </c>
      <c r="G783" s="269">
        <f t="shared" si="55"/>
        <v>4.4179148143201428E-3</v>
      </c>
      <c r="H783" s="299">
        <v>45931</v>
      </c>
      <c r="I783" s="299">
        <v>46623</v>
      </c>
      <c r="J783" s="299">
        <v>46478</v>
      </c>
      <c r="K783" s="299">
        <v>46528</v>
      </c>
      <c r="L783" s="299">
        <v>46136</v>
      </c>
      <c r="M783" s="299">
        <v>46749</v>
      </c>
      <c r="N783" s="229">
        <f>[1]Нэгтгэл!$E$1329</f>
        <v>0.78039000563607053</v>
      </c>
      <c r="O783" s="229">
        <f>[1]Нэгтгэл!$G$1329</f>
        <v>0</v>
      </c>
      <c r="P783" s="229">
        <f>[1]Нэгтгэл!$I$1329</f>
        <v>0.45123826076692553</v>
      </c>
      <c r="Q783" s="272">
        <v>0.16723903853644903</v>
      </c>
      <c r="R783" s="256">
        <f t="shared" si="63"/>
        <v>0.2143018712805502</v>
      </c>
      <c r="S783" s="256">
        <f t="shared" si="63"/>
        <v>0</v>
      </c>
      <c r="T783" s="256">
        <f t="shared" si="63"/>
        <v>0.37062246949584726</v>
      </c>
    </row>
    <row r="784" spans="2:20" s="216" customFormat="1" ht="25.5" hidden="1" outlineLevel="3">
      <c r="B784" s="255" t="s">
        <v>910</v>
      </c>
      <c r="C784" s="290" t="s">
        <v>237</v>
      </c>
      <c r="D784" s="227" t="s">
        <v>231</v>
      </c>
      <c r="E784" s="241">
        <v>15659203689.5</v>
      </c>
      <c r="F784" s="228">
        <f t="shared" si="67"/>
        <v>8.3333333333333329E-2</v>
      </c>
      <c r="G784" s="269">
        <f t="shared" si="55"/>
        <v>4.4179148143201428E-3</v>
      </c>
      <c r="H784" s="299">
        <v>45931</v>
      </c>
      <c r="I784" s="299">
        <v>46623</v>
      </c>
      <c r="J784" s="299">
        <v>45931</v>
      </c>
      <c r="K784" s="299">
        <v>46528</v>
      </c>
      <c r="L784" s="299">
        <v>45931</v>
      </c>
      <c r="M784" s="299">
        <v>46690</v>
      </c>
      <c r="N784" s="229">
        <f>[1]Нэгтгэл!$E$1351</f>
        <v>0.78039000563607053</v>
      </c>
      <c r="O784" s="229">
        <f>[1]Нэгтгэл!$G$1351</f>
        <v>0.78039000563607053</v>
      </c>
      <c r="P784" s="229">
        <f>[1]Нэгтгэл!$I$1351</f>
        <v>0.7615459288189852</v>
      </c>
      <c r="Q784" s="272">
        <v>0.16723903853644903</v>
      </c>
      <c r="R784" s="256">
        <f t="shared" si="63"/>
        <v>0.2143018712805502</v>
      </c>
      <c r="S784" s="256">
        <f t="shared" si="63"/>
        <v>0.2143018712805502</v>
      </c>
      <c r="T784" s="256">
        <f t="shared" si="63"/>
        <v>0.21960466494227787</v>
      </c>
    </row>
    <row r="785" spans="2:20" s="216" customFormat="1" ht="25.5" hidden="1" outlineLevel="3">
      <c r="B785" s="255" t="s">
        <v>911</v>
      </c>
      <c r="C785" s="290" t="s">
        <v>239</v>
      </c>
      <c r="D785" s="227" t="s">
        <v>231</v>
      </c>
      <c r="E785" s="241">
        <v>15659203689.5</v>
      </c>
      <c r="F785" s="228">
        <f t="shared" si="67"/>
        <v>8.3333333333333329E-2</v>
      </c>
      <c r="G785" s="269">
        <f t="shared" si="55"/>
        <v>4.4179148143201428E-3</v>
      </c>
      <c r="H785" s="299">
        <v>45931</v>
      </c>
      <c r="I785" s="299">
        <v>46623</v>
      </c>
      <c r="J785" s="299">
        <v>45931</v>
      </c>
      <c r="K785" s="299">
        <v>46528</v>
      </c>
      <c r="L785" s="299">
        <v>45931</v>
      </c>
      <c r="M785" s="299">
        <v>46690</v>
      </c>
      <c r="N785" s="229">
        <f>[1]Нэгтгэл!$E$1373</f>
        <v>0.78039000563607053</v>
      </c>
      <c r="O785" s="229">
        <f>[1]Нэгтгэл!$G$1373</f>
        <v>0.78039000563607053</v>
      </c>
      <c r="P785" s="229">
        <f>[1]Нэгтгэл!$I$1373</f>
        <v>0.76216450794848145</v>
      </c>
      <c r="Q785" s="272">
        <v>0.16723903853644903</v>
      </c>
      <c r="R785" s="256">
        <f t="shared" si="63"/>
        <v>0.2143018712805502</v>
      </c>
      <c r="S785" s="256">
        <f t="shared" si="63"/>
        <v>0.2143018712805502</v>
      </c>
      <c r="T785" s="256">
        <f t="shared" si="63"/>
        <v>0.21942643194788278</v>
      </c>
    </row>
    <row r="786" spans="2:20" s="216" customFormat="1" ht="25.5" hidden="1" outlineLevel="3">
      <c r="B786" s="255" t="s">
        <v>912</v>
      </c>
      <c r="C786" s="290" t="s">
        <v>241</v>
      </c>
      <c r="D786" s="227" t="s">
        <v>231</v>
      </c>
      <c r="E786" s="241">
        <v>15659203689.5</v>
      </c>
      <c r="F786" s="228">
        <f t="shared" si="67"/>
        <v>8.3333333333333329E-2</v>
      </c>
      <c r="G786" s="269">
        <f t="shared" si="55"/>
        <v>4.4179148143201428E-3</v>
      </c>
      <c r="H786" s="299">
        <v>45931</v>
      </c>
      <c r="I786" s="299">
        <v>46623</v>
      </c>
      <c r="J786" s="299">
        <v>45931</v>
      </c>
      <c r="K786" s="299">
        <v>46528</v>
      </c>
      <c r="L786" s="299">
        <v>45931</v>
      </c>
      <c r="M786" s="299">
        <v>46690</v>
      </c>
      <c r="N786" s="229">
        <f>[1]Нэгтгэл!$E$1395</f>
        <v>0.78039000563607053</v>
      </c>
      <c r="O786" s="229">
        <f>[1]Нэгтгэл!$G$1395</f>
        <v>0.78039000563607053</v>
      </c>
      <c r="P786" s="229">
        <f>[1]Нэгтгэл!$I$1395</f>
        <v>0.76211519502089631</v>
      </c>
      <c r="Q786" s="272">
        <v>0.16723903853644903</v>
      </c>
      <c r="R786" s="256">
        <f t="shared" si="63"/>
        <v>0.2143018712805502</v>
      </c>
      <c r="S786" s="256">
        <f t="shared" si="63"/>
        <v>0.2143018712805502</v>
      </c>
      <c r="T786" s="256">
        <f t="shared" si="63"/>
        <v>0.21944063001114095</v>
      </c>
    </row>
    <row r="787" spans="2:20" s="216" customFormat="1" ht="25.5" hidden="1" outlineLevel="3">
      <c r="B787" s="255" t="s">
        <v>913</v>
      </c>
      <c r="C787" s="290" t="s">
        <v>243</v>
      </c>
      <c r="D787" s="227" t="s">
        <v>231</v>
      </c>
      <c r="E787" s="241">
        <v>15659203689.5</v>
      </c>
      <c r="F787" s="228">
        <f t="shared" si="67"/>
        <v>8.3333333333333329E-2</v>
      </c>
      <c r="G787" s="269">
        <f t="shared" si="55"/>
        <v>4.4179148143201428E-3</v>
      </c>
      <c r="H787" s="299">
        <v>45931</v>
      </c>
      <c r="I787" s="299">
        <v>46623</v>
      </c>
      <c r="J787" s="299">
        <v>45931</v>
      </c>
      <c r="K787" s="299">
        <v>46528</v>
      </c>
      <c r="L787" s="299">
        <v>45931</v>
      </c>
      <c r="M787" s="299">
        <v>46568</v>
      </c>
      <c r="N787" s="229">
        <f>[1]Нэгтгэл!$E$1417</f>
        <v>0.78039000563607053</v>
      </c>
      <c r="O787" s="229">
        <f>[1]Нэгтгэл!$G$1417</f>
        <v>0.78039000563607053</v>
      </c>
      <c r="P787" s="229">
        <f>[1]Нэгтгэл!$I$1417</f>
        <v>0.76241454265120501</v>
      </c>
      <c r="Q787" s="272">
        <v>0.16723903853644903</v>
      </c>
      <c r="R787" s="256">
        <f t="shared" si="63"/>
        <v>0.2143018712805502</v>
      </c>
      <c r="S787" s="256">
        <f t="shared" si="63"/>
        <v>0.2143018712805502</v>
      </c>
      <c r="T787" s="256">
        <f t="shared" si="63"/>
        <v>0.21935447080389542</v>
      </c>
    </row>
    <row r="788" spans="2:20" s="216" customFormat="1" ht="25.5" hidden="1" outlineLevel="3">
      <c r="B788" s="255" t="s">
        <v>914</v>
      </c>
      <c r="C788" s="290" t="s">
        <v>245</v>
      </c>
      <c r="D788" s="227" t="s">
        <v>231</v>
      </c>
      <c r="E788" s="241">
        <v>15659203689.5</v>
      </c>
      <c r="F788" s="228">
        <f t="shared" si="67"/>
        <v>8.3333333333333329E-2</v>
      </c>
      <c r="G788" s="269">
        <f t="shared" si="55"/>
        <v>4.4179148143201428E-3</v>
      </c>
      <c r="H788" s="299">
        <v>45931</v>
      </c>
      <c r="I788" s="299">
        <v>46623</v>
      </c>
      <c r="J788" s="299">
        <v>45931</v>
      </c>
      <c r="K788" s="299">
        <v>46528</v>
      </c>
      <c r="L788" s="299">
        <v>45931</v>
      </c>
      <c r="M788" s="299">
        <v>46664</v>
      </c>
      <c r="N788" s="229">
        <f>[1]Нэгтгэл!$E$1439</f>
        <v>0.78039000563607053</v>
      </c>
      <c r="O788" s="229">
        <f>[1]Нэгтгэл!$G$1439</f>
        <v>0.78039000563607053</v>
      </c>
      <c r="P788" s="229">
        <f>[1]Нэгтгэл!$I$1439</f>
        <v>0.81409112294012331</v>
      </c>
      <c r="Q788" s="272">
        <v>0.16723903853644903</v>
      </c>
      <c r="R788" s="256">
        <f t="shared" si="63"/>
        <v>0.2143018712805502</v>
      </c>
      <c r="S788" s="256">
        <f t="shared" si="63"/>
        <v>0.2143018712805502</v>
      </c>
      <c r="T788" s="256">
        <f t="shared" si="63"/>
        <v>0.20543036746606255</v>
      </c>
    </row>
    <row r="789" spans="2:20" s="216" customFormat="1" ht="25.5" hidden="1" outlineLevel="3">
      <c r="B789" s="255" t="s">
        <v>915</v>
      </c>
      <c r="C789" s="290" t="s">
        <v>247</v>
      </c>
      <c r="D789" s="227" t="s">
        <v>231</v>
      </c>
      <c r="E789" s="241">
        <v>15659203689.5</v>
      </c>
      <c r="F789" s="228">
        <f t="shared" si="67"/>
        <v>8.3333333333333329E-2</v>
      </c>
      <c r="G789" s="269">
        <f t="shared" si="55"/>
        <v>4.4179148143201428E-3</v>
      </c>
      <c r="H789" s="299">
        <v>45931</v>
      </c>
      <c r="I789" s="299">
        <v>46623</v>
      </c>
      <c r="J789" s="299">
        <v>45931</v>
      </c>
      <c r="K789" s="299">
        <v>46528</v>
      </c>
      <c r="L789" s="299">
        <v>45931</v>
      </c>
      <c r="M789" s="299">
        <v>46537</v>
      </c>
      <c r="N789" s="229">
        <f>[1]Нэгтгэл!$E$1461</f>
        <v>0.78039000563607053</v>
      </c>
      <c r="O789" s="229">
        <f>[1]Нэгтгэл!$G$1461</f>
        <v>0.78039000563607053</v>
      </c>
      <c r="P789" s="229">
        <f>[1]Нэгтгэл!$I$1461</f>
        <v>0.80231308373092125</v>
      </c>
      <c r="Q789" s="272">
        <v>0.16723903853644903</v>
      </c>
      <c r="R789" s="256">
        <f t="shared" si="63"/>
        <v>0.2143018712805502</v>
      </c>
      <c r="S789" s="256">
        <f t="shared" si="63"/>
        <v>0.2143018712805502</v>
      </c>
      <c r="T789" s="256">
        <f t="shared" si="63"/>
        <v>0.20844610654827292</v>
      </c>
    </row>
    <row r="790" spans="2:20" s="216" customFormat="1" ht="25.5" hidden="1" outlineLevel="3">
      <c r="B790" s="255" t="s">
        <v>916</v>
      </c>
      <c r="C790" s="290" t="s">
        <v>249</v>
      </c>
      <c r="D790" s="227" t="s">
        <v>231</v>
      </c>
      <c r="E790" s="241">
        <v>15659203689.5</v>
      </c>
      <c r="F790" s="228">
        <f t="shared" si="67"/>
        <v>8.3333333333333329E-2</v>
      </c>
      <c r="G790" s="269">
        <f t="shared" si="55"/>
        <v>4.4179148143201428E-3</v>
      </c>
      <c r="H790" s="299">
        <v>45931</v>
      </c>
      <c r="I790" s="299">
        <v>46623</v>
      </c>
      <c r="J790" s="299">
        <v>45931</v>
      </c>
      <c r="K790" s="299">
        <v>46528</v>
      </c>
      <c r="L790" s="299">
        <v>45931</v>
      </c>
      <c r="M790" s="299">
        <v>46537</v>
      </c>
      <c r="N790" s="229">
        <f>[1]Нэгтгэл!$E$1483</f>
        <v>0.78039000563607053</v>
      </c>
      <c r="O790" s="229">
        <f>[1]Нэгтгэл!$G$1483</f>
        <v>0.78039000563607053</v>
      </c>
      <c r="P790" s="229">
        <f>[1]Нэгтгэл!$I$1483</f>
        <v>0.80317961808731286</v>
      </c>
      <c r="Q790" s="272">
        <v>0.16723903853644903</v>
      </c>
      <c r="R790" s="256">
        <f t="shared" si="63"/>
        <v>0.2143018712805502</v>
      </c>
      <c r="S790" s="256">
        <f t="shared" si="63"/>
        <v>0.2143018712805502</v>
      </c>
      <c r="T790" s="256">
        <f t="shared" si="63"/>
        <v>0.20822121823099929</v>
      </c>
    </row>
    <row r="791" spans="2:20" s="216" customFormat="1" ht="25.5" hidden="1" outlineLevel="3">
      <c r="B791" s="255" t="s">
        <v>917</v>
      </c>
      <c r="C791" s="290" t="s">
        <v>251</v>
      </c>
      <c r="D791" s="227" t="s">
        <v>231</v>
      </c>
      <c r="E791" s="241">
        <v>15659203689.5</v>
      </c>
      <c r="F791" s="228">
        <f t="shared" si="67"/>
        <v>8.3333333333333329E-2</v>
      </c>
      <c r="G791" s="269">
        <f t="shared" si="55"/>
        <v>4.4179148143201428E-3</v>
      </c>
      <c r="H791" s="299">
        <v>45931</v>
      </c>
      <c r="I791" s="299">
        <v>46623</v>
      </c>
      <c r="J791" s="299">
        <v>45931</v>
      </c>
      <c r="K791" s="299">
        <v>46528</v>
      </c>
      <c r="L791" s="299">
        <v>45931</v>
      </c>
      <c r="M791" s="299">
        <v>46568</v>
      </c>
      <c r="N791" s="229">
        <f>[1]Нэгтгэл!$E$1505</f>
        <v>0.78039000563607053</v>
      </c>
      <c r="O791" s="229">
        <f>[1]Нэгтгэл!$G$1505</f>
        <v>0.78039000563607053</v>
      </c>
      <c r="P791" s="229">
        <f>[1]Нэгтгэл!$I$1505</f>
        <v>0.77426507524440391</v>
      </c>
      <c r="Q791" s="272">
        <v>0.16723903853644903</v>
      </c>
      <c r="R791" s="256">
        <f t="shared" si="63"/>
        <v>0.2143018712805502</v>
      </c>
      <c r="S791" s="256">
        <f t="shared" si="63"/>
        <v>0.2143018712805502</v>
      </c>
      <c r="T791" s="256">
        <f t="shared" si="63"/>
        <v>0.21599713571435272</v>
      </c>
    </row>
    <row r="792" spans="2:20" s="216" customFormat="1" ht="25.5" hidden="1" outlineLevel="3">
      <c r="B792" s="255" t="s">
        <v>918</v>
      </c>
      <c r="C792" s="290" t="s">
        <v>253</v>
      </c>
      <c r="D792" s="227" t="s">
        <v>231</v>
      </c>
      <c r="E792" s="241">
        <v>15659203689.5</v>
      </c>
      <c r="F792" s="228">
        <f t="shared" si="67"/>
        <v>8.3333333333333329E-2</v>
      </c>
      <c r="G792" s="269">
        <f t="shared" si="55"/>
        <v>4.4179148143201428E-3</v>
      </c>
      <c r="H792" s="299">
        <v>45931</v>
      </c>
      <c r="I792" s="299">
        <v>46623</v>
      </c>
      <c r="J792" s="299">
        <v>45931</v>
      </c>
      <c r="K792" s="299">
        <v>46528</v>
      </c>
      <c r="L792" s="299">
        <v>45931</v>
      </c>
      <c r="M792" s="299">
        <v>46568</v>
      </c>
      <c r="N792" s="229">
        <f>[1]Нэгтгэл!$E$1527</f>
        <v>0.78039000563607053</v>
      </c>
      <c r="O792" s="229">
        <f>[1]Нэгтгэл!$G$1527</f>
        <v>0.78039000563607053</v>
      </c>
      <c r="P792" s="229">
        <f>[1]Нэгтгэл!$I$1527</f>
        <v>0.77426507524440391</v>
      </c>
      <c r="Q792" s="272">
        <v>0.16723903853644903</v>
      </c>
      <c r="R792" s="256">
        <f t="shared" si="63"/>
        <v>0.2143018712805502</v>
      </c>
      <c r="S792" s="256">
        <f t="shared" si="63"/>
        <v>0.2143018712805502</v>
      </c>
      <c r="T792" s="256">
        <f t="shared" si="63"/>
        <v>0.21599713571435272</v>
      </c>
    </row>
    <row r="793" spans="2:20" s="216" customFormat="1" ht="25.5" hidden="1" outlineLevel="2">
      <c r="B793" s="291" t="s">
        <v>936</v>
      </c>
      <c r="C793" s="292" t="s">
        <v>41</v>
      </c>
      <c r="D793" s="234" t="s">
        <v>33</v>
      </c>
      <c r="E793" s="240">
        <f>SUM(E794:E807)</f>
        <v>214391581132.00006</v>
      </c>
      <c r="F793" s="223">
        <f t="shared" si="57"/>
        <v>0.11049772843953055</v>
      </c>
      <c r="G793" s="293">
        <f t="shared" si="55"/>
        <v>6.0486073310591505E-2</v>
      </c>
      <c r="H793" s="298">
        <v>45931</v>
      </c>
      <c r="I793" s="298">
        <v>46545</v>
      </c>
      <c r="J793" s="298">
        <v>45931</v>
      </c>
      <c r="K793" s="298">
        <v>46453</v>
      </c>
      <c r="L793" s="298">
        <v>45919</v>
      </c>
      <c r="M793" s="298">
        <v>46542</v>
      </c>
      <c r="N793" s="224">
        <f>SUMPRODUCT($F794:$F807,N794:N807)</f>
        <v>0.90153715638538179</v>
      </c>
      <c r="O793" s="224">
        <f t="shared" ref="O793:P793" si="68">SUMPRODUCT($F794:$F807,O794:O807)</f>
        <v>0.72888307807495956</v>
      </c>
      <c r="P793" s="224">
        <f t="shared" si="68"/>
        <v>0.79452960529400551</v>
      </c>
      <c r="Q793" s="270">
        <v>0.26923323492690204</v>
      </c>
      <c r="R793" s="254">
        <f t="shared" si="63"/>
        <v>0.29863797961069549</v>
      </c>
      <c r="S793" s="254">
        <f t="shared" si="63"/>
        <v>0.36937780972768536</v>
      </c>
      <c r="T793" s="254">
        <f t="shared" si="63"/>
        <v>0.33885865691219363</v>
      </c>
    </row>
    <row r="794" spans="2:20" s="216" customFormat="1" ht="25.5" hidden="1" outlineLevel="3">
      <c r="B794" s="255" t="s">
        <v>907</v>
      </c>
      <c r="C794" s="290" t="s">
        <v>230</v>
      </c>
      <c r="D794" s="227" t="s">
        <v>231</v>
      </c>
      <c r="E794" s="241">
        <v>15313684366.571428</v>
      </c>
      <c r="F794" s="228">
        <f>E794/$E$793</f>
        <v>7.1428571428571411E-2</v>
      </c>
      <c r="G794" s="269">
        <f t="shared" si="55"/>
        <v>4.3204338078993917E-3</v>
      </c>
      <c r="H794" s="299">
        <v>45931</v>
      </c>
      <c r="I794" s="299">
        <v>46545</v>
      </c>
      <c r="J794" s="299">
        <v>45931</v>
      </c>
      <c r="K794" s="299">
        <v>46453</v>
      </c>
      <c r="L794" s="299">
        <v>45919</v>
      </c>
      <c r="M794" s="299">
        <v>46542</v>
      </c>
      <c r="N794" s="229">
        <f>[1]Нэгтгэл!$E$1556</f>
        <v>0.90153715638538168</v>
      </c>
      <c r="O794" s="229">
        <f>[1]Нэгтгэл!$G$1556</f>
        <v>0.90153715638538168</v>
      </c>
      <c r="P794" s="229">
        <f>[1]Нэгтгэл!$I$1556</f>
        <v>0.7945296052940054</v>
      </c>
      <c r="Q794" s="272">
        <v>0.26923323492690204</v>
      </c>
      <c r="R794" s="256">
        <f t="shared" si="63"/>
        <v>0.29863797961069555</v>
      </c>
      <c r="S794" s="256">
        <f t="shared" si="63"/>
        <v>0.29863797961069555</v>
      </c>
      <c r="T794" s="256">
        <f t="shared" si="63"/>
        <v>0.33885865691219369</v>
      </c>
    </row>
    <row r="795" spans="2:20" s="216" customFormat="1" ht="25.5" hidden="1" outlineLevel="3">
      <c r="B795" s="255" t="s">
        <v>908</v>
      </c>
      <c r="C795" s="290" t="s">
        <v>233</v>
      </c>
      <c r="D795" s="227" t="s">
        <v>231</v>
      </c>
      <c r="E795" s="241">
        <v>15313684366.571428</v>
      </c>
      <c r="F795" s="228">
        <f t="shared" ref="F795:F807" si="69">E795/$E$793</f>
        <v>7.1428571428571411E-2</v>
      </c>
      <c r="G795" s="269">
        <f t="shared" si="55"/>
        <v>4.3204338078993917E-3</v>
      </c>
      <c r="H795" s="299">
        <v>45931</v>
      </c>
      <c r="I795" s="299">
        <v>46545</v>
      </c>
      <c r="J795" s="299">
        <v>45931</v>
      </c>
      <c r="K795" s="299">
        <v>46453</v>
      </c>
      <c r="L795" s="299">
        <v>45919</v>
      </c>
      <c r="M795" s="299">
        <v>46542</v>
      </c>
      <c r="N795" s="229">
        <f>[1]Нэгтгэл!$E$1578</f>
        <v>0.90153715638538168</v>
      </c>
      <c r="O795" s="229">
        <f>[1]Нэгтгэл!$G$1578</f>
        <v>0.90153715638538168</v>
      </c>
      <c r="P795" s="229">
        <f>[1]Нэгтгэл!$I$1578</f>
        <v>0.7945296052940054</v>
      </c>
      <c r="Q795" s="272">
        <v>0.26923323492690204</v>
      </c>
      <c r="R795" s="256">
        <f t="shared" si="63"/>
        <v>0.29863797961069555</v>
      </c>
      <c r="S795" s="256">
        <f t="shared" si="63"/>
        <v>0.29863797961069555</v>
      </c>
      <c r="T795" s="256">
        <f t="shared" si="63"/>
        <v>0.33885865691219369</v>
      </c>
    </row>
    <row r="796" spans="2:20" s="216" customFormat="1" ht="25.5" hidden="1" outlineLevel="3">
      <c r="B796" s="255" t="s">
        <v>909</v>
      </c>
      <c r="C796" s="290" t="s">
        <v>235</v>
      </c>
      <c r="D796" s="227" t="s">
        <v>231</v>
      </c>
      <c r="E796" s="241">
        <v>15313684366.571428</v>
      </c>
      <c r="F796" s="228">
        <f t="shared" si="69"/>
        <v>7.1428571428571411E-2</v>
      </c>
      <c r="G796" s="269">
        <f t="shared" si="55"/>
        <v>4.3204338078993917E-3</v>
      </c>
      <c r="H796" s="299">
        <v>45931</v>
      </c>
      <c r="I796" s="299">
        <v>46545</v>
      </c>
      <c r="J796" s="299">
        <v>45931</v>
      </c>
      <c r="K796" s="299">
        <v>46453</v>
      </c>
      <c r="L796" s="299">
        <v>45919</v>
      </c>
      <c r="M796" s="299">
        <v>46542</v>
      </c>
      <c r="N796" s="229">
        <f>[1]Нэгтгэл!$E$1600</f>
        <v>0.90153715638538168</v>
      </c>
      <c r="O796" s="229">
        <f>[1]Нэгтгэл!$G$1600</f>
        <v>0.90153715638538168</v>
      </c>
      <c r="P796" s="229">
        <f>[1]Нэгтгэл!$I$1600</f>
        <v>0.7945296052940054</v>
      </c>
      <c r="Q796" s="272">
        <v>0.26923323492690204</v>
      </c>
      <c r="R796" s="256">
        <f t="shared" si="63"/>
        <v>0.29863797961069555</v>
      </c>
      <c r="S796" s="256">
        <f t="shared" si="63"/>
        <v>0.29863797961069555</v>
      </c>
      <c r="T796" s="256">
        <f t="shared" si="63"/>
        <v>0.33885865691219369</v>
      </c>
    </row>
    <row r="797" spans="2:20" s="216" customFormat="1" ht="25.5" hidden="1" outlineLevel="3">
      <c r="B797" s="255" t="s">
        <v>910</v>
      </c>
      <c r="C797" s="290" t="s">
        <v>237</v>
      </c>
      <c r="D797" s="227" t="s">
        <v>231</v>
      </c>
      <c r="E797" s="241">
        <v>15313684366.571428</v>
      </c>
      <c r="F797" s="228">
        <f t="shared" si="69"/>
        <v>7.1428571428571411E-2</v>
      </c>
      <c r="G797" s="269">
        <f t="shared" si="55"/>
        <v>4.3204338078993917E-3</v>
      </c>
      <c r="H797" s="299">
        <v>45931</v>
      </c>
      <c r="I797" s="299">
        <v>46545</v>
      </c>
      <c r="J797" s="299">
        <v>45931</v>
      </c>
      <c r="K797" s="299">
        <v>46453</v>
      </c>
      <c r="L797" s="299">
        <v>45919</v>
      </c>
      <c r="M797" s="299">
        <v>46542</v>
      </c>
      <c r="N797" s="229">
        <f>[1]Нэгтгэл!$E$1622</f>
        <v>0.90153715638538168</v>
      </c>
      <c r="O797" s="229">
        <f>[1]Нэгтгэл!$G$1622</f>
        <v>0.90153715638538168</v>
      </c>
      <c r="P797" s="229">
        <f>[1]Нэгтгэл!$I$1622</f>
        <v>0.7945296052940054</v>
      </c>
      <c r="Q797" s="272">
        <v>0.26923323492690204</v>
      </c>
      <c r="R797" s="256">
        <f t="shared" si="63"/>
        <v>0.29863797961069555</v>
      </c>
      <c r="S797" s="256">
        <f t="shared" si="63"/>
        <v>0.29863797961069555</v>
      </c>
      <c r="T797" s="256">
        <f t="shared" si="63"/>
        <v>0.33885865691219369</v>
      </c>
    </row>
    <row r="798" spans="2:20" s="216" customFormat="1" ht="25.5" hidden="1" outlineLevel="3">
      <c r="B798" s="255" t="s">
        <v>911</v>
      </c>
      <c r="C798" s="290" t="s">
        <v>239</v>
      </c>
      <c r="D798" s="227" t="s">
        <v>231</v>
      </c>
      <c r="E798" s="241">
        <v>15313684366.571428</v>
      </c>
      <c r="F798" s="228">
        <f t="shared" si="69"/>
        <v>7.1428571428571411E-2</v>
      </c>
      <c r="G798" s="269">
        <f t="shared" si="55"/>
        <v>4.3204338078993917E-3</v>
      </c>
      <c r="H798" s="299">
        <v>45931</v>
      </c>
      <c r="I798" s="299">
        <v>46545</v>
      </c>
      <c r="J798" s="299">
        <v>45931</v>
      </c>
      <c r="K798" s="299">
        <v>46453</v>
      </c>
      <c r="L798" s="299">
        <v>45919</v>
      </c>
      <c r="M798" s="299">
        <v>46542</v>
      </c>
      <c r="N798" s="229">
        <f>[1]Нэгтгэл!$E$1644</f>
        <v>0.90153715638538168</v>
      </c>
      <c r="O798" s="229">
        <f>[1]Нэгтгэл!$G$1644</f>
        <v>0.90153715638538168</v>
      </c>
      <c r="P798" s="229">
        <f>[1]Нэгтгэл!$I$1644</f>
        <v>0.7945296052940054</v>
      </c>
      <c r="Q798" s="272">
        <v>0.26923323492690204</v>
      </c>
      <c r="R798" s="256">
        <f t="shared" si="63"/>
        <v>0.29863797961069555</v>
      </c>
      <c r="S798" s="256">
        <f t="shared" si="63"/>
        <v>0.29863797961069555</v>
      </c>
      <c r="T798" s="256">
        <f t="shared" si="63"/>
        <v>0.33885865691219369</v>
      </c>
    </row>
    <row r="799" spans="2:20" s="216" customFormat="1" ht="25.5" hidden="1" outlineLevel="3">
      <c r="B799" s="255" t="s">
        <v>912</v>
      </c>
      <c r="C799" s="290" t="s">
        <v>241</v>
      </c>
      <c r="D799" s="227" t="s">
        <v>231</v>
      </c>
      <c r="E799" s="241">
        <v>15313684366.571428</v>
      </c>
      <c r="F799" s="228">
        <f t="shared" si="69"/>
        <v>7.1428571428571411E-2</v>
      </c>
      <c r="G799" s="269">
        <f t="shared" si="55"/>
        <v>4.3204338078993917E-3</v>
      </c>
      <c r="H799" s="299">
        <v>45931</v>
      </c>
      <c r="I799" s="299">
        <v>46545</v>
      </c>
      <c r="J799" s="299">
        <v>45931</v>
      </c>
      <c r="K799" s="299">
        <v>46453</v>
      </c>
      <c r="L799" s="299">
        <v>45919</v>
      </c>
      <c r="M799" s="299">
        <v>46542</v>
      </c>
      <c r="N799" s="229">
        <f>[1]Нэгтгэл!$E$1666</f>
        <v>0.90153715638538168</v>
      </c>
      <c r="O799" s="229">
        <f>[1]Нэгтгэл!$G$1666</f>
        <v>0.28745437281023661</v>
      </c>
      <c r="P799" s="229">
        <f>[1]Нэгтгэл!$I$1666</f>
        <v>0.7945296052940054</v>
      </c>
      <c r="Q799" s="272">
        <v>0.26923323492690204</v>
      </c>
      <c r="R799" s="256">
        <f t="shared" si="63"/>
        <v>0.29863797961069555</v>
      </c>
      <c r="S799" s="256">
        <f t="shared" si="63"/>
        <v>0.93661206922963292</v>
      </c>
      <c r="T799" s="256">
        <f t="shared" si="63"/>
        <v>0.33885865691219369</v>
      </c>
    </row>
    <row r="800" spans="2:20" s="216" customFormat="1" ht="25.5" hidden="1" outlineLevel="3">
      <c r="B800" s="255" t="s">
        <v>913</v>
      </c>
      <c r="C800" s="290" t="s">
        <v>243</v>
      </c>
      <c r="D800" s="227" t="s">
        <v>231</v>
      </c>
      <c r="E800" s="241">
        <v>15313684366.571428</v>
      </c>
      <c r="F800" s="228">
        <f t="shared" si="69"/>
        <v>7.1428571428571411E-2</v>
      </c>
      <c r="G800" s="269">
        <f t="shared" si="55"/>
        <v>4.3204338078993917E-3</v>
      </c>
      <c r="H800" s="299">
        <v>45931</v>
      </c>
      <c r="I800" s="299">
        <v>46545</v>
      </c>
      <c r="J800" s="299">
        <v>45931</v>
      </c>
      <c r="K800" s="299">
        <v>46453</v>
      </c>
      <c r="L800" s="299">
        <v>45919</v>
      </c>
      <c r="M800" s="299">
        <v>46542</v>
      </c>
      <c r="N800" s="229">
        <f>[1]Нэгтгэл!$E$1688</f>
        <v>0.90153715638538168</v>
      </c>
      <c r="O800" s="229">
        <f>[1]Нэгтгэл!$G$1688</f>
        <v>0.90153715638538168</v>
      </c>
      <c r="P800" s="229">
        <f>[1]Нэгтгэл!$I$1688</f>
        <v>0.7945296052940054</v>
      </c>
      <c r="Q800" s="272">
        <v>0.26923323492690204</v>
      </c>
      <c r="R800" s="256">
        <f t="shared" si="63"/>
        <v>0.29863797961069555</v>
      </c>
      <c r="S800" s="256">
        <f t="shared" si="63"/>
        <v>0.29863797961069555</v>
      </c>
      <c r="T800" s="256">
        <f t="shared" si="63"/>
        <v>0.33885865691219369</v>
      </c>
    </row>
    <row r="801" spans="2:20" s="216" customFormat="1" ht="25.5" hidden="1" outlineLevel="3">
      <c r="B801" s="255" t="s">
        <v>914</v>
      </c>
      <c r="C801" s="290" t="s">
        <v>245</v>
      </c>
      <c r="D801" s="227" t="s">
        <v>231</v>
      </c>
      <c r="E801" s="241">
        <v>15313684366.571428</v>
      </c>
      <c r="F801" s="228">
        <f t="shared" si="69"/>
        <v>7.1428571428571411E-2</v>
      </c>
      <c r="G801" s="269">
        <f t="shared" si="55"/>
        <v>4.3204338078993917E-3</v>
      </c>
      <c r="H801" s="299">
        <v>45931</v>
      </c>
      <c r="I801" s="299">
        <v>46545</v>
      </c>
      <c r="J801" s="299">
        <v>45931</v>
      </c>
      <c r="K801" s="299">
        <v>46453</v>
      </c>
      <c r="L801" s="299">
        <v>45919</v>
      </c>
      <c r="M801" s="299">
        <v>46542</v>
      </c>
      <c r="N801" s="229">
        <f>[1]Нэгтгэл!$E$1710</f>
        <v>0.90153715638538168</v>
      </c>
      <c r="O801" s="229">
        <f>[1]Нэгтгэл!$G$1710</f>
        <v>0.90153715638538168</v>
      </c>
      <c r="P801" s="229">
        <f>[1]Нэгтгэл!$I$1710</f>
        <v>0.7945296052940054</v>
      </c>
      <c r="Q801" s="272">
        <v>0.26923323492690204</v>
      </c>
      <c r="R801" s="256">
        <f t="shared" si="63"/>
        <v>0.29863797961069555</v>
      </c>
      <c r="S801" s="256">
        <f t="shared" si="63"/>
        <v>0.29863797961069555</v>
      </c>
      <c r="T801" s="256">
        <f t="shared" si="63"/>
        <v>0.33885865691219369</v>
      </c>
    </row>
    <row r="802" spans="2:20" s="216" customFormat="1" ht="25.5" hidden="1" outlineLevel="3">
      <c r="B802" s="255" t="s">
        <v>915</v>
      </c>
      <c r="C802" s="290" t="s">
        <v>247</v>
      </c>
      <c r="D802" s="227" t="s">
        <v>231</v>
      </c>
      <c r="E802" s="241">
        <v>15313684366.571428</v>
      </c>
      <c r="F802" s="228">
        <f t="shared" si="69"/>
        <v>7.1428571428571411E-2</v>
      </c>
      <c r="G802" s="269">
        <f t="shared" si="55"/>
        <v>4.3204338078993917E-3</v>
      </c>
      <c r="H802" s="299">
        <v>45931</v>
      </c>
      <c r="I802" s="299">
        <v>46545</v>
      </c>
      <c r="J802" s="299"/>
      <c r="K802" s="299"/>
      <c r="L802" s="299">
        <v>45919</v>
      </c>
      <c r="M802" s="299">
        <v>46542</v>
      </c>
      <c r="N802" s="229">
        <f>[1]Нэгтгэл!$E$1732</f>
        <v>0.90153715638538168</v>
      </c>
      <c r="O802" s="229">
        <f>[1]Нэгтгэл!$G$1732</f>
        <v>0</v>
      </c>
      <c r="P802" s="229">
        <f>[1]Нэгтгэл!$I$1732</f>
        <v>0.7945296052940054</v>
      </c>
      <c r="Q802" s="272">
        <v>0.26923323492690204</v>
      </c>
      <c r="R802" s="256">
        <f t="shared" si="63"/>
        <v>0.29863797961069555</v>
      </c>
      <c r="S802" s="256">
        <f t="shared" si="63"/>
        <v>0</v>
      </c>
      <c r="T802" s="256">
        <f t="shared" si="63"/>
        <v>0.33885865691219369</v>
      </c>
    </row>
    <row r="803" spans="2:20" s="216" customFormat="1" ht="25.5" hidden="1" outlineLevel="3">
      <c r="B803" s="255" t="s">
        <v>916</v>
      </c>
      <c r="C803" s="290" t="s">
        <v>249</v>
      </c>
      <c r="D803" s="227" t="s">
        <v>231</v>
      </c>
      <c r="E803" s="241">
        <v>15313684366.571428</v>
      </c>
      <c r="F803" s="228">
        <f t="shared" si="69"/>
        <v>7.1428571428571411E-2</v>
      </c>
      <c r="G803" s="269">
        <f t="shared" si="55"/>
        <v>4.3204338078993917E-3</v>
      </c>
      <c r="H803" s="299">
        <v>45931</v>
      </c>
      <c r="I803" s="299">
        <v>46545</v>
      </c>
      <c r="J803" s="299"/>
      <c r="K803" s="299"/>
      <c r="L803" s="299">
        <v>45919</v>
      </c>
      <c r="M803" s="299">
        <v>46542</v>
      </c>
      <c r="N803" s="229">
        <f>[1]Нэгтгэл!$E$1754</f>
        <v>0.90153715638538168</v>
      </c>
      <c r="O803" s="229">
        <f>[1]Нэгтгэл!$G$1754</f>
        <v>0</v>
      </c>
      <c r="P803" s="229">
        <f>[1]Нэгтгэл!$I$1754</f>
        <v>0.7945296052940054</v>
      </c>
      <c r="Q803" s="272">
        <v>0.26923323492690204</v>
      </c>
      <c r="R803" s="256">
        <f t="shared" si="63"/>
        <v>0.29863797961069555</v>
      </c>
      <c r="S803" s="256">
        <f t="shared" si="63"/>
        <v>0</v>
      </c>
      <c r="T803" s="256">
        <f t="shared" si="63"/>
        <v>0.33885865691219369</v>
      </c>
    </row>
    <row r="804" spans="2:20" s="216" customFormat="1" ht="25.5" hidden="1" outlineLevel="3">
      <c r="B804" s="255" t="s">
        <v>917</v>
      </c>
      <c r="C804" s="290" t="s">
        <v>251</v>
      </c>
      <c r="D804" s="227" t="s">
        <v>231</v>
      </c>
      <c r="E804" s="241">
        <v>15313684366.571428</v>
      </c>
      <c r="F804" s="228">
        <f t="shared" si="69"/>
        <v>7.1428571428571411E-2</v>
      </c>
      <c r="G804" s="269">
        <f t="shared" si="55"/>
        <v>4.3204338078993917E-3</v>
      </c>
      <c r="H804" s="299">
        <v>45931</v>
      </c>
      <c r="I804" s="299">
        <v>46545</v>
      </c>
      <c r="J804" s="299">
        <v>45931</v>
      </c>
      <c r="K804" s="299">
        <v>46453</v>
      </c>
      <c r="L804" s="299">
        <v>45919</v>
      </c>
      <c r="M804" s="299">
        <v>46542</v>
      </c>
      <c r="N804" s="229">
        <f>[1]Нэгтгэл!$E$1776</f>
        <v>0.90153715638538168</v>
      </c>
      <c r="O804" s="229">
        <f>[1]Нэгтгэл!$G$1776</f>
        <v>0.90153715638538168</v>
      </c>
      <c r="P804" s="229">
        <f>[1]Нэгтгэл!$I$1776</f>
        <v>0.7945296052940054</v>
      </c>
      <c r="Q804" s="272">
        <v>0.26923323492690204</v>
      </c>
      <c r="R804" s="256">
        <f t="shared" si="63"/>
        <v>0.29863797961069555</v>
      </c>
      <c r="S804" s="256">
        <f t="shared" si="63"/>
        <v>0.29863797961069555</v>
      </c>
      <c r="T804" s="256">
        <f t="shared" si="63"/>
        <v>0.33885865691219369</v>
      </c>
    </row>
    <row r="805" spans="2:20" s="216" customFormat="1" ht="25.5" hidden="1" outlineLevel="3">
      <c r="B805" s="255" t="s">
        <v>918</v>
      </c>
      <c r="C805" s="290" t="s">
        <v>253</v>
      </c>
      <c r="D805" s="227" t="s">
        <v>231</v>
      </c>
      <c r="E805" s="241">
        <v>15313684366.571428</v>
      </c>
      <c r="F805" s="228">
        <f t="shared" si="69"/>
        <v>7.1428571428571411E-2</v>
      </c>
      <c r="G805" s="269">
        <f t="shared" si="55"/>
        <v>4.3204338078993917E-3</v>
      </c>
      <c r="H805" s="299">
        <v>45931</v>
      </c>
      <c r="I805" s="299">
        <v>46545</v>
      </c>
      <c r="J805" s="299">
        <v>45931</v>
      </c>
      <c r="K805" s="299">
        <v>46453</v>
      </c>
      <c r="L805" s="299">
        <v>45919</v>
      </c>
      <c r="M805" s="299">
        <v>46542</v>
      </c>
      <c r="N805" s="229">
        <f>[1]Нэгтгэл!$E$1798</f>
        <v>0.90153715638538168</v>
      </c>
      <c r="O805" s="229">
        <f>[1]Нэгтгэл!$G$1798</f>
        <v>0.90153715638538168</v>
      </c>
      <c r="P805" s="229">
        <f>[1]Нэгтгэл!$I$1798</f>
        <v>0.7945296052940054</v>
      </c>
      <c r="Q805" s="272">
        <v>0.26923323492690204</v>
      </c>
      <c r="R805" s="256">
        <f t="shared" si="63"/>
        <v>0.29863797961069555</v>
      </c>
      <c r="S805" s="256">
        <f t="shared" si="63"/>
        <v>0.29863797961069555</v>
      </c>
      <c r="T805" s="256">
        <f t="shared" si="63"/>
        <v>0.33885865691219369</v>
      </c>
    </row>
    <row r="806" spans="2:20" s="216" customFormat="1" ht="25.5" hidden="1" outlineLevel="3">
      <c r="B806" s="255" t="s">
        <v>919</v>
      </c>
      <c r="C806" s="290" t="s">
        <v>285</v>
      </c>
      <c r="D806" s="227" t="s">
        <v>231</v>
      </c>
      <c r="E806" s="241">
        <v>15313684366.571428</v>
      </c>
      <c r="F806" s="228">
        <f t="shared" si="69"/>
        <v>7.1428571428571411E-2</v>
      </c>
      <c r="G806" s="269">
        <f t="shared" si="55"/>
        <v>4.3204338078993917E-3</v>
      </c>
      <c r="H806" s="299">
        <v>45931</v>
      </c>
      <c r="I806" s="299">
        <v>46545</v>
      </c>
      <c r="J806" s="299">
        <v>45931</v>
      </c>
      <c r="K806" s="299">
        <v>46453</v>
      </c>
      <c r="L806" s="299">
        <v>45919</v>
      </c>
      <c r="M806" s="299">
        <v>46542</v>
      </c>
      <c r="N806" s="229">
        <f>[1]Нэгтгэл!$E$1820</f>
        <v>0.90153715638538168</v>
      </c>
      <c r="O806" s="229">
        <f>[1]Нэгтгэл!$G$1820</f>
        <v>0.90153715638538168</v>
      </c>
      <c r="P806" s="229">
        <f>[1]Нэгтгэл!$I$1820</f>
        <v>0.7945296052940054</v>
      </c>
      <c r="Q806" s="272">
        <v>0.26923323492690204</v>
      </c>
      <c r="R806" s="256">
        <f t="shared" si="63"/>
        <v>0.29863797961069555</v>
      </c>
      <c r="S806" s="256">
        <f t="shared" si="63"/>
        <v>0.29863797961069555</v>
      </c>
      <c r="T806" s="256">
        <f t="shared" si="63"/>
        <v>0.33885865691219369</v>
      </c>
    </row>
    <row r="807" spans="2:20" s="216" customFormat="1" ht="25.5" hidden="1" outlineLevel="3">
      <c r="B807" s="255" t="s">
        <v>920</v>
      </c>
      <c r="C807" s="290" t="s">
        <v>287</v>
      </c>
      <c r="D807" s="227" t="s">
        <v>231</v>
      </c>
      <c r="E807" s="241">
        <v>15313684366.571428</v>
      </c>
      <c r="F807" s="228">
        <f t="shared" si="69"/>
        <v>7.1428571428571411E-2</v>
      </c>
      <c r="G807" s="269">
        <f t="shared" si="55"/>
        <v>4.3204338078993917E-3</v>
      </c>
      <c r="H807" s="299">
        <v>45931</v>
      </c>
      <c r="I807" s="299">
        <v>46545</v>
      </c>
      <c r="J807" s="299">
        <v>45931</v>
      </c>
      <c r="K807" s="299">
        <v>46453</v>
      </c>
      <c r="L807" s="299">
        <v>45919</v>
      </c>
      <c r="M807" s="299">
        <v>46542</v>
      </c>
      <c r="N807" s="229">
        <f>[1]Нэгтгэл!$E$1842</f>
        <v>0.90153715638538168</v>
      </c>
      <c r="O807" s="229">
        <f>[1]Нэгтгэл!$G$1842</f>
        <v>0.90153715638538168</v>
      </c>
      <c r="P807" s="229">
        <f>[1]Нэгтгэл!$I$1842</f>
        <v>0.7945296052940054</v>
      </c>
      <c r="Q807" s="272">
        <v>0.26923323492690204</v>
      </c>
      <c r="R807" s="256">
        <f t="shared" si="63"/>
        <v>0.29863797961069555</v>
      </c>
      <c r="S807" s="256">
        <f t="shared" si="63"/>
        <v>0.29863797961069555</v>
      </c>
      <c r="T807" s="256">
        <f t="shared" si="63"/>
        <v>0.33885865691219369</v>
      </c>
    </row>
    <row r="808" spans="2:20" s="216" customFormat="1" ht="25.5" hidden="1" outlineLevel="2">
      <c r="B808" s="291" t="s">
        <v>937</v>
      </c>
      <c r="C808" s="292" t="s">
        <v>43</v>
      </c>
      <c r="D808" s="234" t="s">
        <v>33</v>
      </c>
      <c r="E808" s="240">
        <f>SUM(E809:E825)</f>
        <v>259778021987</v>
      </c>
      <c r="F808" s="223">
        <f t="shared" si="57"/>
        <v>0.13388996515868054</v>
      </c>
      <c r="G808" s="293">
        <f t="shared" si="55"/>
        <v>7.3290902559796561E-2</v>
      </c>
      <c r="H808" s="298">
        <v>45934</v>
      </c>
      <c r="I808" s="298">
        <v>46685</v>
      </c>
      <c r="J808" s="298">
        <v>45934</v>
      </c>
      <c r="K808" s="298">
        <v>46552</v>
      </c>
      <c r="L808" s="298">
        <v>45926</v>
      </c>
      <c r="M808" s="298">
        <v>46679</v>
      </c>
      <c r="N808" s="224">
        <f>SUMPRODUCT($F809:$F825,N809:N825)</f>
        <v>0.72617050539913719</v>
      </c>
      <c r="O808" s="224">
        <f t="shared" ref="O808:P808" si="70">SUMPRODUCT($F809:$F825,O809:O825)</f>
        <v>0.66142340848536996</v>
      </c>
      <c r="P808" s="224">
        <f t="shared" si="70"/>
        <v>0.72598591806960422</v>
      </c>
      <c r="Q808" s="270">
        <v>0.31287867178736428</v>
      </c>
      <c r="R808" s="254">
        <f t="shared" si="63"/>
        <v>0.43086116753721848</v>
      </c>
      <c r="S808" s="254">
        <f t="shared" si="63"/>
        <v>0.47303840138322661</v>
      </c>
      <c r="T808" s="254">
        <f t="shared" si="63"/>
        <v>0.43097071719973346</v>
      </c>
    </row>
    <row r="809" spans="2:20" s="216" customFormat="1" ht="25.5" hidden="1" outlineLevel="3">
      <c r="B809" s="255" t="s">
        <v>907</v>
      </c>
      <c r="C809" s="290" t="s">
        <v>230</v>
      </c>
      <c r="D809" s="227" t="s">
        <v>231</v>
      </c>
      <c r="E809" s="241">
        <v>16171446768</v>
      </c>
      <c r="F809" s="228">
        <f>E809/$E$808</f>
        <v>6.2251019714089834E-2</v>
      </c>
      <c r="G809" s="269">
        <f t="shared" si="55"/>
        <v>4.5624334201133324E-3</v>
      </c>
      <c r="H809" s="299">
        <v>45934</v>
      </c>
      <c r="I809" s="299">
        <v>46685</v>
      </c>
      <c r="J809" s="299">
        <v>45934</v>
      </c>
      <c r="K809" s="299">
        <v>46528</v>
      </c>
      <c r="L809" s="299">
        <v>45926</v>
      </c>
      <c r="M809" s="299">
        <v>46628</v>
      </c>
      <c r="N809" s="229">
        <f>[1]Нэгтгэл!$E$1871</f>
        <v>0.72426442335586627</v>
      </c>
      <c r="O809" s="229">
        <f>[1]Нэгтгэл!$G$1871</f>
        <v>0.72426442335586627</v>
      </c>
      <c r="P809" s="229">
        <f>[1]Нэгтгэл!$I$1871</f>
        <v>0.82238642910257798</v>
      </c>
      <c r="Q809" s="272">
        <v>0.31287867178736428</v>
      </c>
      <c r="R809" s="256">
        <f t="shared" si="63"/>
        <v>0.43199508590750124</v>
      </c>
      <c r="S809" s="256">
        <f t="shared" si="63"/>
        <v>0.43199508590750124</v>
      </c>
      <c r="T809" s="256">
        <f t="shared" si="63"/>
        <v>0.3804521338329846</v>
      </c>
    </row>
    <row r="810" spans="2:20" s="216" customFormat="1" ht="25.5" hidden="1" outlineLevel="3">
      <c r="B810" s="255" t="s">
        <v>908</v>
      </c>
      <c r="C810" s="290" t="s">
        <v>233</v>
      </c>
      <c r="D810" s="227" t="s">
        <v>231</v>
      </c>
      <c r="E810" s="241">
        <v>16171446768</v>
      </c>
      <c r="F810" s="228">
        <f t="shared" ref="F810:F825" si="71">E810/$E$808</f>
        <v>6.2251019714089834E-2</v>
      </c>
      <c r="G810" s="269">
        <f t="shared" si="55"/>
        <v>4.5624334201133324E-3</v>
      </c>
      <c r="H810" s="299">
        <v>45934</v>
      </c>
      <c r="I810" s="299">
        <v>46685</v>
      </c>
      <c r="J810" s="299">
        <v>45934</v>
      </c>
      <c r="K810" s="299">
        <v>46528</v>
      </c>
      <c r="L810" s="299">
        <v>45926</v>
      </c>
      <c r="M810" s="299">
        <v>46628</v>
      </c>
      <c r="N810" s="229">
        <f>[1]Нэгтгэл!$E$1893</f>
        <v>0.72426442335586627</v>
      </c>
      <c r="O810" s="229">
        <f>[1]Нэгтгэл!$G$1893</f>
        <v>0.72426442335586627</v>
      </c>
      <c r="P810" s="229">
        <f>[1]Нэгтгэл!$I$1893</f>
        <v>0.82238642910257798</v>
      </c>
      <c r="Q810" s="272">
        <v>0.31287867178736428</v>
      </c>
      <c r="R810" s="256">
        <f t="shared" si="63"/>
        <v>0.43199508590750124</v>
      </c>
      <c r="S810" s="256">
        <f t="shared" si="63"/>
        <v>0.43199508590750124</v>
      </c>
      <c r="T810" s="256">
        <f t="shared" si="63"/>
        <v>0.3804521338329846</v>
      </c>
    </row>
    <row r="811" spans="2:20" s="216" customFormat="1" ht="25.5" hidden="1" outlineLevel="3">
      <c r="B811" s="255" t="s">
        <v>909</v>
      </c>
      <c r="C811" s="290" t="s">
        <v>235</v>
      </c>
      <c r="D811" s="227" t="s">
        <v>231</v>
      </c>
      <c r="E811" s="241">
        <v>16171446768</v>
      </c>
      <c r="F811" s="228">
        <f t="shared" si="71"/>
        <v>6.2251019714089834E-2</v>
      </c>
      <c r="G811" s="269">
        <f t="shared" si="55"/>
        <v>4.5624334201133324E-3</v>
      </c>
      <c r="H811" s="299">
        <v>45934</v>
      </c>
      <c r="I811" s="299">
        <v>46685</v>
      </c>
      <c r="J811" s="299">
        <v>45934</v>
      </c>
      <c r="K811" s="299">
        <v>46528</v>
      </c>
      <c r="L811" s="299">
        <v>45926</v>
      </c>
      <c r="M811" s="299">
        <v>46597</v>
      </c>
      <c r="N811" s="229">
        <f>[1]Нэгтгэл!$E$1915</f>
        <v>0.72426442335586627</v>
      </c>
      <c r="O811" s="229">
        <f>[1]Нэгтгэл!$G$1915</f>
        <v>0.72426442335586627</v>
      </c>
      <c r="P811" s="229">
        <f>[1]Нэгтгэл!$I$1915</f>
        <v>0.82302676994207868</v>
      </c>
      <c r="Q811" s="272">
        <v>0.31287867178736428</v>
      </c>
      <c r="R811" s="256">
        <f t="shared" si="63"/>
        <v>0.43199508590750124</v>
      </c>
      <c r="S811" s="256">
        <f t="shared" si="63"/>
        <v>0.43199508590750124</v>
      </c>
      <c r="T811" s="256">
        <f t="shared" si="63"/>
        <v>0.38015613004833781</v>
      </c>
    </row>
    <row r="812" spans="2:20" s="216" customFormat="1" ht="25.5" hidden="1" outlineLevel="3">
      <c r="B812" s="255" t="s">
        <v>910</v>
      </c>
      <c r="C812" s="290" t="s">
        <v>237</v>
      </c>
      <c r="D812" s="227" t="s">
        <v>231</v>
      </c>
      <c r="E812" s="241">
        <v>16171446768</v>
      </c>
      <c r="F812" s="228">
        <f t="shared" si="71"/>
        <v>6.2251019714089834E-2</v>
      </c>
      <c r="G812" s="269">
        <f t="shared" si="55"/>
        <v>4.5624334201133324E-3</v>
      </c>
      <c r="H812" s="299">
        <v>45934</v>
      </c>
      <c r="I812" s="299">
        <v>46685</v>
      </c>
      <c r="J812" s="299">
        <v>45934</v>
      </c>
      <c r="K812" s="299">
        <v>46528</v>
      </c>
      <c r="L812" s="299">
        <v>46084</v>
      </c>
      <c r="M812" s="299">
        <v>46679</v>
      </c>
      <c r="N812" s="229">
        <f>[1]Нэгтгэл!$E$1937</f>
        <v>0.72426442335586627</v>
      </c>
      <c r="O812" s="229">
        <f>[1]Нэгтгэл!$G$1937</f>
        <v>0.72426442335586627</v>
      </c>
      <c r="P812" s="229">
        <f>[1]Нэгтгэл!$I$1937</f>
        <v>0.51339252112546185</v>
      </c>
      <c r="Q812" s="272">
        <v>0.31287867178736428</v>
      </c>
      <c r="R812" s="256">
        <f t="shared" si="63"/>
        <v>0.43199508590750124</v>
      </c>
      <c r="S812" s="256">
        <f t="shared" si="63"/>
        <v>0.43199508590750124</v>
      </c>
      <c r="T812" s="256">
        <f t="shared" si="63"/>
        <v>0.60943363783615312</v>
      </c>
    </row>
    <row r="813" spans="2:20" s="216" customFormat="1" ht="25.5" hidden="1" outlineLevel="3">
      <c r="B813" s="255" t="s">
        <v>911</v>
      </c>
      <c r="C813" s="290" t="s">
        <v>239</v>
      </c>
      <c r="D813" s="227" t="s">
        <v>231</v>
      </c>
      <c r="E813" s="241">
        <v>16171446768</v>
      </c>
      <c r="F813" s="228">
        <f t="shared" si="71"/>
        <v>6.2251019714089834E-2</v>
      </c>
      <c r="G813" s="269">
        <f t="shared" si="55"/>
        <v>4.5624334201133324E-3</v>
      </c>
      <c r="H813" s="299">
        <v>45934</v>
      </c>
      <c r="I813" s="299">
        <v>46685</v>
      </c>
      <c r="J813" s="299">
        <v>45934</v>
      </c>
      <c r="K813" s="299">
        <v>46528</v>
      </c>
      <c r="L813" s="299">
        <v>46084</v>
      </c>
      <c r="M813" s="299">
        <v>46679</v>
      </c>
      <c r="N813" s="229">
        <f>[1]Нэгтгэл!$E$1959</f>
        <v>0.72426442335586627</v>
      </c>
      <c r="O813" s="229">
        <f>[1]Нэгтгэл!$G$1959</f>
        <v>0.72426442335586627</v>
      </c>
      <c r="P813" s="229">
        <f>[1]Нэгтгэл!$I$1959</f>
        <v>0.51339252112546185</v>
      </c>
      <c r="Q813" s="272">
        <v>0.31287867178736428</v>
      </c>
      <c r="R813" s="256">
        <f t="shared" si="63"/>
        <v>0.43199508590750124</v>
      </c>
      <c r="S813" s="256">
        <f t="shared" si="63"/>
        <v>0.43199508590750124</v>
      </c>
      <c r="T813" s="256">
        <f t="shared" si="63"/>
        <v>0.60943363783615312</v>
      </c>
    </row>
    <row r="814" spans="2:20" s="216" customFormat="1" ht="25.5" hidden="1" outlineLevel="3">
      <c r="B814" s="255" t="s">
        <v>912</v>
      </c>
      <c r="C814" s="290" t="s">
        <v>241</v>
      </c>
      <c r="D814" s="227" t="s">
        <v>231</v>
      </c>
      <c r="E814" s="241">
        <v>16171446768</v>
      </c>
      <c r="F814" s="228">
        <f t="shared" si="71"/>
        <v>6.2251019714089834E-2</v>
      </c>
      <c r="G814" s="269">
        <f t="shared" si="55"/>
        <v>4.5624334201133324E-3</v>
      </c>
      <c r="H814" s="299">
        <v>45934</v>
      </c>
      <c r="I814" s="299">
        <v>46685</v>
      </c>
      <c r="J814" s="299">
        <v>45934</v>
      </c>
      <c r="K814" s="299">
        <v>46528</v>
      </c>
      <c r="L814" s="299">
        <v>46084</v>
      </c>
      <c r="M814" s="299">
        <v>46679</v>
      </c>
      <c r="N814" s="229">
        <f>[1]Нэгтгэл!$E$1981</f>
        <v>0.72426442335586627</v>
      </c>
      <c r="O814" s="229">
        <f>[1]Нэгтгэл!$G$1981</f>
        <v>0.3791557677659933</v>
      </c>
      <c r="P814" s="229">
        <f>[1]Нэгтгэл!$I$1981</f>
        <v>0.51339252112546185</v>
      </c>
      <c r="Q814" s="272">
        <v>0.31287867178736428</v>
      </c>
      <c r="R814" s="256">
        <f t="shared" si="63"/>
        <v>0.43199508590750124</v>
      </c>
      <c r="S814" s="256">
        <f t="shared" si="63"/>
        <v>0.82519823878946286</v>
      </c>
      <c r="T814" s="256">
        <f t="shared" si="63"/>
        <v>0.60943363783615312</v>
      </c>
    </row>
    <row r="815" spans="2:20" s="216" customFormat="1" ht="25.5" hidden="1" outlineLevel="3">
      <c r="B815" s="255" t="s">
        <v>913</v>
      </c>
      <c r="C815" s="290" t="s">
        <v>243</v>
      </c>
      <c r="D815" s="227" t="s">
        <v>231</v>
      </c>
      <c r="E815" s="241">
        <v>16171446768</v>
      </c>
      <c r="F815" s="228">
        <f t="shared" si="71"/>
        <v>6.2251019714089834E-2</v>
      </c>
      <c r="G815" s="269">
        <f t="shared" si="55"/>
        <v>4.5624334201133324E-3</v>
      </c>
      <c r="H815" s="299">
        <v>45934</v>
      </c>
      <c r="I815" s="299">
        <v>46685</v>
      </c>
      <c r="J815" s="299">
        <v>45934</v>
      </c>
      <c r="K815" s="299">
        <v>46528</v>
      </c>
      <c r="L815" s="299">
        <v>45926</v>
      </c>
      <c r="M815" s="299">
        <v>46597</v>
      </c>
      <c r="N815" s="229">
        <f>[1]Нэгтгэл!$E$2003</f>
        <v>0.72426442335586627</v>
      </c>
      <c r="O815" s="229">
        <f>[1]Нэгтгэл!$G$2003</f>
        <v>0.72426442335586627</v>
      </c>
      <c r="P815" s="229">
        <f>[1]Нэгтгэл!$I$2003</f>
        <v>0.82302676994207868</v>
      </c>
      <c r="Q815" s="272">
        <v>0.31287867178736428</v>
      </c>
      <c r="R815" s="256">
        <f t="shared" si="63"/>
        <v>0.43199508590750124</v>
      </c>
      <c r="S815" s="256">
        <f t="shared" si="63"/>
        <v>0.43199508590750124</v>
      </c>
      <c r="T815" s="256">
        <f t="shared" si="63"/>
        <v>0.38015613004833781</v>
      </c>
    </row>
    <row r="816" spans="2:20" s="216" customFormat="1" ht="25.5" hidden="1" outlineLevel="3">
      <c r="B816" s="255" t="s">
        <v>914</v>
      </c>
      <c r="C816" s="290" t="s">
        <v>245</v>
      </c>
      <c r="D816" s="227" t="s">
        <v>231</v>
      </c>
      <c r="E816" s="241">
        <v>16171446768</v>
      </c>
      <c r="F816" s="228">
        <f t="shared" si="71"/>
        <v>6.2251019714089834E-2</v>
      </c>
      <c r="G816" s="269">
        <f t="shared" si="55"/>
        <v>4.5624334201133324E-3</v>
      </c>
      <c r="H816" s="299">
        <v>45934</v>
      </c>
      <c r="I816" s="299">
        <v>46685</v>
      </c>
      <c r="J816" s="299">
        <v>45934</v>
      </c>
      <c r="K816" s="299">
        <v>46528</v>
      </c>
      <c r="L816" s="299">
        <v>45926</v>
      </c>
      <c r="M816" s="299">
        <v>46597</v>
      </c>
      <c r="N816" s="229">
        <f>[1]Нэгтгэл!$E$2025</f>
        <v>0.72426442335586627</v>
      </c>
      <c r="O816" s="229">
        <f>[1]Нэгтгэл!$G$2025</f>
        <v>0.72426442335586627</v>
      </c>
      <c r="P816" s="229">
        <f>[1]Нэгтгэл!$I$2025</f>
        <v>0.82302676994207868</v>
      </c>
      <c r="Q816" s="272">
        <v>0.31287867178736428</v>
      </c>
      <c r="R816" s="256">
        <f t="shared" si="63"/>
        <v>0.43199508590750124</v>
      </c>
      <c r="S816" s="256">
        <f t="shared" si="63"/>
        <v>0.43199508590750124</v>
      </c>
      <c r="T816" s="256">
        <f t="shared" si="63"/>
        <v>0.38015613004833781</v>
      </c>
    </row>
    <row r="817" spans="2:20" s="216" customFormat="1" ht="25.5" hidden="1" outlineLevel="3">
      <c r="B817" s="255" t="s">
        <v>915</v>
      </c>
      <c r="C817" s="290" t="s">
        <v>247</v>
      </c>
      <c r="D817" s="227" t="s">
        <v>231</v>
      </c>
      <c r="E817" s="241">
        <v>16171446768</v>
      </c>
      <c r="F817" s="228">
        <f t="shared" si="71"/>
        <v>6.2251019714089834E-2</v>
      </c>
      <c r="G817" s="269">
        <f t="shared" si="55"/>
        <v>4.5624334201133324E-3</v>
      </c>
      <c r="H817" s="299">
        <v>45934</v>
      </c>
      <c r="I817" s="299">
        <v>46685</v>
      </c>
      <c r="J817" s="299">
        <v>45934</v>
      </c>
      <c r="K817" s="299">
        <v>46528</v>
      </c>
      <c r="L817" s="299">
        <v>46084</v>
      </c>
      <c r="M817" s="299">
        <v>46679</v>
      </c>
      <c r="N817" s="229">
        <f>[1]Нэгтгэл!$E$2047</f>
        <v>0.72426442335586627</v>
      </c>
      <c r="O817" s="229">
        <f>[1]Нэгтгэл!$G$2047</f>
        <v>0.37852818391533599</v>
      </c>
      <c r="P817" s="229">
        <f>[1]Нэгтгэл!$I$2047</f>
        <v>0.51339252112546185</v>
      </c>
      <c r="Q817" s="272">
        <v>0.31287867178736428</v>
      </c>
      <c r="R817" s="256">
        <f t="shared" si="63"/>
        <v>0.43199508590750124</v>
      </c>
      <c r="S817" s="256">
        <f t="shared" si="63"/>
        <v>0.82656638285445272</v>
      </c>
      <c r="T817" s="256">
        <f t="shared" si="63"/>
        <v>0.60943363783615312</v>
      </c>
    </row>
    <row r="818" spans="2:20" s="216" customFormat="1" ht="25.5" hidden="1" outlineLevel="3">
      <c r="B818" s="255" t="s">
        <v>916</v>
      </c>
      <c r="C818" s="290" t="s">
        <v>249</v>
      </c>
      <c r="D818" s="227" t="s">
        <v>231</v>
      </c>
      <c r="E818" s="241">
        <v>16171446768</v>
      </c>
      <c r="F818" s="228">
        <f t="shared" si="71"/>
        <v>6.2251019714089834E-2</v>
      </c>
      <c r="G818" s="269">
        <f t="shared" si="55"/>
        <v>4.5624334201133324E-3</v>
      </c>
      <c r="H818" s="299">
        <v>45934</v>
      </c>
      <c r="I818" s="299">
        <v>46685</v>
      </c>
      <c r="J818" s="299">
        <v>45934</v>
      </c>
      <c r="K818" s="299">
        <v>46552</v>
      </c>
      <c r="L818" s="299">
        <v>45926</v>
      </c>
      <c r="M818" s="299">
        <v>46628</v>
      </c>
      <c r="N818" s="229">
        <f>[1]Нэгтгэл!$E$2069</f>
        <v>0.73188875152895061</v>
      </c>
      <c r="O818" s="229">
        <f>[1]Нэгтгэл!$G$2069</f>
        <v>0.73188875152895061</v>
      </c>
      <c r="P818" s="229">
        <f>[1]Нэгтгэл!$I$2069</f>
        <v>0.82238642910257798</v>
      </c>
      <c r="Q818" s="272">
        <v>0.31287867178736428</v>
      </c>
      <c r="R818" s="256">
        <f t="shared" si="63"/>
        <v>0.42749484963902745</v>
      </c>
      <c r="S818" s="256">
        <f t="shared" si="63"/>
        <v>0.42749484963902745</v>
      </c>
      <c r="T818" s="256">
        <f t="shared" si="63"/>
        <v>0.3804521338329846</v>
      </c>
    </row>
    <row r="819" spans="2:20" s="216" customFormat="1" ht="25.5" hidden="1" outlineLevel="3">
      <c r="B819" s="255" t="s">
        <v>917</v>
      </c>
      <c r="C819" s="290" t="s">
        <v>251</v>
      </c>
      <c r="D819" s="227" t="s">
        <v>231</v>
      </c>
      <c r="E819" s="241">
        <v>16171446768</v>
      </c>
      <c r="F819" s="228">
        <f t="shared" si="71"/>
        <v>6.2251019714089834E-2</v>
      </c>
      <c r="G819" s="269">
        <f t="shared" si="55"/>
        <v>4.5624334201133324E-3</v>
      </c>
      <c r="H819" s="299">
        <v>45934</v>
      </c>
      <c r="I819" s="299">
        <v>46685</v>
      </c>
      <c r="J819" s="299">
        <v>45934</v>
      </c>
      <c r="K819" s="299">
        <v>46528</v>
      </c>
      <c r="L819" s="299">
        <v>45926</v>
      </c>
      <c r="M819" s="299">
        <v>46628</v>
      </c>
      <c r="N819" s="229">
        <f>[1]Нэгтгэл!$E$2091</f>
        <v>0.72426442335586627</v>
      </c>
      <c r="O819" s="229">
        <f>[1]Нэгтгэл!$G$2091</f>
        <v>0.72426442335586627</v>
      </c>
      <c r="P819" s="229">
        <f>[1]Нэгтгэл!$I$2091</f>
        <v>0.82238642910257798</v>
      </c>
      <c r="Q819" s="272">
        <v>0.31287867178736428</v>
      </c>
      <c r="R819" s="256">
        <f t="shared" si="63"/>
        <v>0.43199508590750124</v>
      </c>
      <c r="S819" s="256">
        <f t="shared" si="63"/>
        <v>0.43199508590750124</v>
      </c>
      <c r="T819" s="256">
        <f t="shared" si="63"/>
        <v>0.3804521338329846</v>
      </c>
    </row>
    <row r="820" spans="2:20" s="216" customFormat="1" ht="25.5" hidden="1" outlineLevel="3">
      <c r="B820" s="255" t="s">
        <v>918</v>
      </c>
      <c r="C820" s="290" t="s">
        <v>253</v>
      </c>
      <c r="D820" s="227" t="s">
        <v>231</v>
      </c>
      <c r="E820" s="241">
        <v>16171446768</v>
      </c>
      <c r="F820" s="228">
        <f t="shared" si="71"/>
        <v>6.2251019714089834E-2</v>
      </c>
      <c r="G820" s="269">
        <f t="shared" si="55"/>
        <v>4.5624334201133324E-3</v>
      </c>
      <c r="H820" s="299">
        <v>45934</v>
      </c>
      <c r="I820" s="299">
        <v>46685</v>
      </c>
      <c r="J820" s="299">
        <v>45934</v>
      </c>
      <c r="K820" s="299">
        <v>46528</v>
      </c>
      <c r="L820" s="299">
        <v>45926</v>
      </c>
      <c r="M820" s="299">
        <v>46628</v>
      </c>
      <c r="N820" s="229">
        <f>[1]Нэгтгэл!$E$2113</f>
        <v>0.72426442335586627</v>
      </c>
      <c r="O820" s="229">
        <f>[1]Нэгтгэл!$G$2113</f>
        <v>0.72426442335586627</v>
      </c>
      <c r="P820" s="229">
        <f>[1]Нэгтгэл!$I$2113</f>
        <v>0.82238642910257798</v>
      </c>
      <c r="Q820" s="272">
        <v>0.31287867178736428</v>
      </c>
      <c r="R820" s="256">
        <f t="shared" si="63"/>
        <v>0.43199508590750124</v>
      </c>
      <c r="S820" s="256">
        <f t="shared" si="63"/>
        <v>0.43199508590750124</v>
      </c>
      <c r="T820" s="256">
        <f t="shared" si="63"/>
        <v>0.3804521338329846</v>
      </c>
    </row>
    <row r="821" spans="2:20" s="216" customFormat="1" ht="25.5" hidden="1" outlineLevel="3">
      <c r="B821" s="255" t="s">
        <v>919</v>
      </c>
      <c r="C821" s="290" t="s">
        <v>285</v>
      </c>
      <c r="D821" s="227" t="s">
        <v>231</v>
      </c>
      <c r="E821" s="241">
        <v>16171446768</v>
      </c>
      <c r="F821" s="228">
        <f t="shared" si="71"/>
        <v>6.2251019714089834E-2</v>
      </c>
      <c r="G821" s="269">
        <f t="shared" si="55"/>
        <v>4.5624334201133324E-3</v>
      </c>
      <c r="H821" s="299">
        <v>45934</v>
      </c>
      <c r="I821" s="299">
        <v>46685</v>
      </c>
      <c r="J821" s="299">
        <v>45934</v>
      </c>
      <c r="K821" s="299">
        <v>46552</v>
      </c>
      <c r="L821" s="299">
        <v>45926</v>
      </c>
      <c r="M821" s="299">
        <v>46628</v>
      </c>
      <c r="N821" s="229">
        <f>[1]Нэгтгэл!$E$2135</f>
        <v>0.73188875152895061</v>
      </c>
      <c r="O821" s="229">
        <f>[1]Нэгтгэл!$G$2135</f>
        <v>0.73188875152895061</v>
      </c>
      <c r="P821" s="229">
        <f>[1]Нэгтгэл!$I$2135</f>
        <v>0.82238642910257798</v>
      </c>
      <c r="Q821" s="272">
        <v>0.31287867178736428</v>
      </c>
      <c r="R821" s="256">
        <f t="shared" si="63"/>
        <v>0.42749484963902745</v>
      </c>
      <c r="S821" s="256">
        <f t="shared" si="63"/>
        <v>0.42749484963902745</v>
      </c>
      <c r="T821" s="256">
        <f t="shared" si="63"/>
        <v>0.3804521338329846</v>
      </c>
    </row>
    <row r="822" spans="2:20" s="216" customFormat="1" ht="25.5" hidden="1" outlineLevel="3">
      <c r="B822" s="255" t="s">
        <v>920</v>
      </c>
      <c r="C822" s="290" t="s">
        <v>287</v>
      </c>
      <c r="D822" s="227" t="s">
        <v>231</v>
      </c>
      <c r="E822" s="241">
        <v>16171446768</v>
      </c>
      <c r="F822" s="228">
        <f t="shared" si="71"/>
        <v>6.2251019714089834E-2</v>
      </c>
      <c r="G822" s="269">
        <f t="shared" si="55"/>
        <v>4.5624334201133324E-3</v>
      </c>
      <c r="H822" s="299">
        <v>45934</v>
      </c>
      <c r="I822" s="299">
        <v>46685</v>
      </c>
      <c r="J822" s="299">
        <v>45934</v>
      </c>
      <c r="K822" s="299">
        <v>46552</v>
      </c>
      <c r="L822" s="299">
        <v>45926</v>
      </c>
      <c r="M822" s="299">
        <v>46628</v>
      </c>
      <c r="N822" s="229">
        <f>[1]Нэгтгэл!$E$2157</f>
        <v>0.73188875152895061</v>
      </c>
      <c r="O822" s="229">
        <f>[1]Нэгтгэл!$G$2157</f>
        <v>0.73188875152895061</v>
      </c>
      <c r="P822" s="229">
        <f>[1]Нэгтгэл!$I$2157</f>
        <v>0.82238642910257798</v>
      </c>
      <c r="Q822" s="272">
        <v>0.31287867178736428</v>
      </c>
      <c r="R822" s="256">
        <f t="shared" si="63"/>
        <v>0.42749484963902745</v>
      </c>
      <c r="S822" s="256">
        <f t="shared" si="63"/>
        <v>0.42749484963902745</v>
      </c>
      <c r="T822" s="256">
        <f t="shared" si="63"/>
        <v>0.3804521338329846</v>
      </c>
    </row>
    <row r="823" spans="2:20" s="216" customFormat="1" ht="25.5" hidden="1" outlineLevel="3">
      <c r="B823" s="255" t="s">
        <v>921</v>
      </c>
      <c r="C823" s="290" t="s">
        <v>289</v>
      </c>
      <c r="D823" s="227" t="s">
        <v>231</v>
      </c>
      <c r="E823" s="241">
        <v>16171446768</v>
      </c>
      <c r="F823" s="228">
        <f t="shared" si="71"/>
        <v>6.2251019714089834E-2</v>
      </c>
      <c r="G823" s="269">
        <f t="shared" si="55"/>
        <v>4.5624334201133324E-3</v>
      </c>
      <c r="H823" s="299">
        <v>45934</v>
      </c>
      <c r="I823" s="299">
        <v>46685</v>
      </c>
      <c r="J823" s="299">
        <v>45934</v>
      </c>
      <c r="K823" s="299">
        <v>46528</v>
      </c>
      <c r="L823" s="299">
        <v>46084</v>
      </c>
      <c r="M823" s="299">
        <v>46679</v>
      </c>
      <c r="N823" s="229">
        <f>[1]Нэгтгэл!$E$2179</f>
        <v>0.72426442335586627</v>
      </c>
      <c r="O823" s="229">
        <f>[1]Нэгтгэл!$G$2179</f>
        <v>0.3791557677659933</v>
      </c>
      <c r="P823" s="229">
        <f>[1]Нэгтгэл!$I$2179</f>
        <v>0.51339252112546185</v>
      </c>
      <c r="Q823" s="272">
        <v>0.31287867178736428</v>
      </c>
      <c r="R823" s="256">
        <f t="shared" si="63"/>
        <v>0.43199508590750124</v>
      </c>
      <c r="S823" s="256">
        <f t="shared" si="63"/>
        <v>0.82519823878946286</v>
      </c>
      <c r="T823" s="256">
        <f t="shared" si="63"/>
        <v>0.60943363783615312</v>
      </c>
    </row>
    <row r="824" spans="2:20" s="216" customFormat="1" ht="25.5" hidden="1" outlineLevel="3">
      <c r="B824" s="255" t="s">
        <v>922</v>
      </c>
      <c r="C824" s="290" t="s">
        <v>291</v>
      </c>
      <c r="D824" s="227" t="s">
        <v>231</v>
      </c>
      <c r="E824" s="241">
        <v>16171446768</v>
      </c>
      <c r="F824" s="228">
        <f t="shared" si="71"/>
        <v>6.2251019714089834E-2</v>
      </c>
      <c r="G824" s="269">
        <f t="shared" si="55"/>
        <v>4.5624334201133324E-3</v>
      </c>
      <c r="H824" s="299">
        <v>45934</v>
      </c>
      <c r="I824" s="299">
        <v>46685</v>
      </c>
      <c r="J824" s="299">
        <v>45934</v>
      </c>
      <c r="K824" s="299">
        <v>46552</v>
      </c>
      <c r="L824" s="299">
        <v>45926</v>
      </c>
      <c r="M824" s="299">
        <v>46597</v>
      </c>
      <c r="N824" s="229">
        <f>[1]Нэгтгэл!$E$2201</f>
        <v>0.73188875152895061</v>
      </c>
      <c r="O824" s="229">
        <f>[1]Нэгтгэл!$G$2201</f>
        <v>0.73188875152895061</v>
      </c>
      <c r="P824" s="229">
        <f>[1]Нэгтгэл!$I$2201</f>
        <v>0.82302676994207868</v>
      </c>
      <c r="Q824" s="272">
        <v>0.31287867178736428</v>
      </c>
      <c r="R824" s="256">
        <f t="shared" si="63"/>
        <v>0.42749484963902745</v>
      </c>
      <c r="S824" s="256">
        <f t="shared" si="63"/>
        <v>0.42749484963902745</v>
      </c>
      <c r="T824" s="256">
        <f t="shared" si="63"/>
        <v>0.38015613004833781</v>
      </c>
    </row>
    <row r="825" spans="2:20" s="216" customFormat="1" ht="25.5" hidden="1" outlineLevel="3">
      <c r="B825" s="255" t="s">
        <v>923</v>
      </c>
      <c r="C825" s="290" t="s">
        <v>366</v>
      </c>
      <c r="D825" s="227" t="s">
        <v>367</v>
      </c>
      <c r="E825" s="241">
        <v>1034873699</v>
      </c>
      <c r="F825" s="228">
        <f t="shared" si="71"/>
        <v>3.9836845745626157E-3</v>
      </c>
      <c r="G825" s="269">
        <f t="shared" si="55"/>
        <v>2.9196783798323328E-4</v>
      </c>
      <c r="H825" s="299"/>
      <c r="I825" s="299">
        <v>46685</v>
      </c>
      <c r="J825" s="299"/>
      <c r="K825" s="299"/>
      <c r="L825" s="299"/>
      <c r="M825" s="299"/>
      <c r="N825" s="229">
        <f>[1]Нэгтгэл!$E$1864</f>
        <v>0.7261705053991373</v>
      </c>
      <c r="O825" s="229">
        <f>[1]Нэгтгэл!$G$1864</f>
        <v>0.66142340848537018</v>
      </c>
      <c r="P825" s="229">
        <f>[1]Нэгтгэл!$I$1864</f>
        <v>0.72598591806960422</v>
      </c>
      <c r="Q825" s="272">
        <v>0.31287867178736428</v>
      </c>
      <c r="R825" s="256">
        <f t="shared" si="63"/>
        <v>0.43086116753721843</v>
      </c>
      <c r="S825" s="256">
        <f t="shared" si="63"/>
        <v>0.47303840138322645</v>
      </c>
      <c r="T825" s="256">
        <f t="shared" si="63"/>
        <v>0.43097071719973346</v>
      </c>
    </row>
    <row r="826" spans="2:20" s="216" customFormat="1" ht="25.5" hidden="1" outlineLevel="2">
      <c r="B826" s="291" t="s">
        <v>938</v>
      </c>
      <c r="C826" s="292" t="s">
        <v>45</v>
      </c>
      <c r="D826" s="234" t="s">
        <v>33</v>
      </c>
      <c r="E826" s="240">
        <f>SUM(E827:E840)</f>
        <v>197697448454.96002</v>
      </c>
      <c r="F826" s="223">
        <f t="shared" si="57"/>
        <v>0.10189354851165684</v>
      </c>
      <c r="G826" s="293">
        <f t="shared" si="55"/>
        <v>5.5776175059789955E-2</v>
      </c>
      <c r="H826" s="298">
        <v>45931</v>
      </c>
      <c r="I826" s="298">
        <v>46624</v>
      </c>
      <c r="J826" s="298">
        <v>45931</v>
      </c>
      <c r="K826" s="298">
        <v>46485</v>
      </c>
      <c r="L826" s="298">
        <v>45938</v>
      </c>
      <c r="M826" s="298">
        <v>46735</v>
      </c>
      <c r="N826" s="224">
        <f>SUMPRODUCT($F827:$F840,N827:N840)</f>
        <v>0.91008169372710968</v>
      </c>
      <c r="O826" s="224">
        <f t="shared" ref="O826:Q826" si="72">SUMPRODUCT($F827:$F840,O827:O840)</f>
        <v>0.71147942588799629</v>
      </c>
      <c r="P826" s="224">
        <f t="shared" si="72"/>
        <v>0.2059594749998486</v>
      </c>
      <c r="Q826" s="270">
        <f t="shared" si="72"/>
        <v>9.300262068954511E-2</v>
      </c>
      <c r="R826" s="254">
        <f t="shared" si="63"/>
        <v>0.10219150800481015</v>
      </c>
      <c r="S826" s="254">
        <f t="shared" si="63"/>
        <v>0.13071723131483204</v>
      </c>
      <c r="T826" s="254">
        <f t="shared" si="63"/>
        <v>0.45155786442752138</v>
      </c>
    </row>
    <row r="827" spans="2:20" s="216" customFormat="1" ht="25.5" hidden="1" outlineLevel="3">
      <c r="B827" s="255" t="s">
        <v>907</v>
      </c>
      <c r="C827" s="290" t="s">
        <v>230</v>
      </c>
      <c r="D827" s="227" t="s">
        <v>231</v>
      </c>
      <c r="E827" s="241">
        <v>14722338669.16</v>
      </c>
      <c r="F827" s="228">
        <f>E827/$E$826</f>
        <v>7.4469037330616245E-2</v>
      </c>
      <c r="G827" s="269">
        <f t="shared" si="55"/>
        <v>4.153598062686485E-3</v>
      </c>
      <c r="H827" s="299">
        <v>45931</v>
      </c>
      <c r="I827" s="299">
        <v>46624</v>
      </c>
      <c r="J827" s="299">
        <v>45931</v>
      </c>
      <c r="K827" s="299">
        <v>46334</v>
      </c>
      <c r="L827" s="299">
        <v>45938</v>
      </c>
      <c r="M827" s="299">
        <v>46726</v>
      </c>
      <c r="N827" s="229">
        <f>[1]Нэгтгэл!$E$2230</f>
        <v>1</v>
      </c>
      <c r="O827" s="229">
        <f>[1]Нэгтгэл!$G$2230</f>
        <v>1</v>
      </c>
      <c r="P827" s="229">
        <f>[1]Нэгтгэл!$I$2230</f>
        <v>0.21003498172398571</v>
      </c>
      <c r="Q827" s="272">
        <v>9.3002620689545137E-2</v>
      </c>
      <c r="R827" s="256">
        <f t="shared" si="63"/>
        <v>9.3002620689545137E-2</v>
      </c>
      <c r="S827" s="256">
        <f t="shared" si="63"/>
        <v>9.3002620689545137E-2</v>
      </c>
      <c r="T827" s="256">
        <f t="shared" si="63"/>
        <v>0.44279586155682926</v>
      </c>
    </row>
    <row r="828" spans="2:20" s="216" customFormat="1" ht="25.5" hidden="1" outlineLevel="3">
      <c r="B828" s="255" t="s">
        <v>908</v>
      </c>
      <c r="C828" s="290" t="s">
        <v>233</v>
      </c>
      <c r="D828" s="227" t="s">
        <v>231</v>
      </c>
      <c r="E828" s="241">
        <v>14722338669.16</v>
      </c>
      <c r="F828" s="228">
        <f t="shared" ref="F828:F840" si="73">E828/$E$826</f>
        <v>7.4469037330616245E-2</v>
      </c>
      <c r="G828" s="269">
        <f t="shared" si="55"/>
        <v>4.153598062686485E-3</v>
      </c>
      <c r="H828" s="299">
        <v>45938</v>
      </c>
      <c r="I828" s="299">
        <v>46624</v>
      </c>
      <c r="J828" s="299">
        <v>45938</v>
      </c>
      <c r="K828" s="299">
        <v>46341</v>
      </c>
      <c r="L828" s="299">
        <v>45938</v>
      </c>
      <c r="M828" s="299">
        <v>46726</v>
      </c>
      <c r="N828" s="229">
        <f>[1]Нэгтгэл!$E$2252</f>
        <v>1</v>
      </c>
      <c r="O828" s="229">
        <f>[1]Нэгтгэл!$G$2252</f>
        <v>1</v>
      </c>
      <c r="P828" s="229">
        <f>[1]Нэгтгэл!$I$2252</f>
        <v>0.11664312523615973</v>
      </c>
      <c r="Q828" s="272">
        <v>9.3002620689545137E-2</v>
      </c>
      <c r="R828" s="256">
        <f t="shared" si="63"/>
        <v>9.3002620689545137E-2</v>
      </c>
      <c r="S828" s="256">
        <f t="shared" si="63"/>
        <v>9.3002620689545137E-2</v>
      </c>
      <c r="T828" s="256">
        <f t="shared" si="63"/>
        <v>0.79732620762045592</v>
      </c>
    </row>
    <row r="829" spans="2:20" s="216" customFormat="1" ht="25.5" hidden="1" outlineLevel="3">
      <c r="B829" s="255" t="s">
        <v>909</v>
      </c>
      <c r="C829" s="290" t="s">
        <v>235</v>
      </c>
      <c r="D829" s="227" t="s">
        <v>231</v>
      </c>
      <c r="E829" s="241">
        <v>14722338669.16</v>
      </c>
      <c r="F829" s="228">
        <f t="shared" si="73"/>
        <v>7.4469037330616245E-2</v>
      </c>
      <c r="G829" s="269">
        <f t="shared" si="55"/>
        <v>4.153598062686485E-3</v>
      </c>
      <c r="H829" s="299">
        <v>45945</v>
      </c>
      <c r="I829" s="299">
        <v>46624</v>
      </c>
      <c r="J829" s="299">
        <v>45945</v>
      </c>
      <c r="K829" s="299">
        <v>46348</v>
      </c>
      <c r="L829" s="299">
        <v>45938</v>
      </c>
      <c r="M829" s="299">
        <v>46726</v>
      </c>
      <c r="N829" s="229">
        <f>[1]Нэгтгэл!$E$2274</f>
        <v>1</v>
      </c>
      <c r="O829" s="229">
        <f>[1]Нэгтгэл!$G$2274</f>
        <v>1</v>
      </c>
      <c r="P829" s="229">
        <f>[1]Нэгтгэл!$I$2274</f>
        <v>0.21028133762253459</v>
      </c>
      <c r="Q829" s="272">
        <v>9.3002620689545137E-2</v>
      </c>
      <c r="R829" s="256">
        <f t="shared" si="63"/>
        <v>9.3002620689545137E-2</v>
      </c>
      <c r="S829" s="256">
        <f t="shared" si="63"/>
        <v>9.3002620689545137E-2</v>
      </c>
      <c r="T829" s="256">
        <f t="shared" si="63"/>
        <v>0.44227710238599227</v>
      </c>
    </row>
    <row r="830" spans="2:20" s="216" customFormat="1" ht="25.5" hidden="1" outlineLevel="3">
      <c r="B830" s="255" t="s">
        <v>910</v>
      </c>
      <c r="C830" s="290" t="s">
        <v>237</v>
      </c>
      <c r="D830" s="227" t="s">
        <v>231</v>
      </c>
      <c r="E830" s="241">
        <v>14722338669.16</v>
      </c>
      <c r="F830" s="228">
        <f t="shared" si="73"/>
        <v>7.4469037330616245E-2</v>
      </c>
      <c r="G830" s="269">
        <f t="shared" si="55"/>
        <v>4.153598062686485E-3</v>
      </c>
      <c r="H830" s="299">
        <v>45952</v>
      </c>
      <c r="I830" s="299">
        <v>46624</v>
      </c>
      <c r="J830" s="299">
        <v>45952</v>
      </c>
      <c r="K830" s="299">
        <v>46355</v>
      </c>
      <c r="L830" s="299">
        <v>45938</v>
      </c>
      <c r="M830" s="299">
        <v>46726</v>
      </c>
      <c r="N830" s="229">
        <f>[1]Нэгтгэл!$E$2296</f>
        <v>1</v>
      </c>
      <c r="O830" s="229">
        <f>[1]Нэгтгэл!$G$2296</f>
        <v>1</v>
      </c>
      <c r="P830" s="229">
        <f>[1]Нэгтгэл!$I$2296</f>
        <v>0.42568943562856304</v>
      </c>
      <c r="Q830" s="272">
        <v>9.3002620689545137E-2</v>
      </c>
      <c r="R830" s="256">
        <f t="shared" si="63"/>
        <v>9.3002620689545137E-2</v>
      </c>
      <c r="S830" s="256">
        <f t="shared" si="63"/>
        <v>9.3002620689545137E-2</v>
      </c>
      <c r="T830" s="256">
        <f t="shared" si="63"/>
        <v>0.21847528480996867</v>
      </c>
    </row>
    <row r="831" spans="2:20" s="216" customFormat="1" ht="25.5" hidden="1" outlineLevel="3">
      <c r="B831" s="255" t="s">
        <v>911</v>
      </c>
      <c r="C831" s="290" t="s">
        <v>239</v>
      </c>
      <c r="D831" s="227" t="s">
        <v>231</v>
      </c>
      <c r="E831" s="241">
        <v>14722338669.16</v>
      </c>
      <c r="F831" s="228">
        <f t="shared" si="73"/>
        <v>7.4469037330616245E-2</v>
      </c>
      <c r="G831" s="269">
        <f t="shared" si="55"/>
        <v>4.153598062686485E-3</v>
      </c>
      <c r="H831" s="299">
        <v>45959</v>
      </c>
      <c r="I831" s="299">
        <v>46624</v>
      </c>
      <c r="J831" s="299">
        <v>45959</v>
      </c>
      <c r="K831" s="299">
        <v>46362</v>
      </c>
      <c r="L831" s="299">
        <v>45938</v>
      </c>
      <c r="M831" s="299">
        <v>46726</v>
      </c>
      <c r="N831" s="229">
        <f>[1]Нэгтгэл!$E$2318</f>
        <v>1</v>
      </c>
      <c r="O831" s="229">
        <f>[1]Нэгтгэл!$G$2318</f>
        <v>1</v>
      </c>
      <c r="P831" s="229">
        <f>[1]Нэгтгэл!$I$2318</f>
        <v>0.16328793297564154</v>
      </c>
      <c r="Q831" s="272">
        <v>9.3002620689545137E-2</v>
      </c>
      <c r="R831" s="256">
        <f t="shared" si="63"/>
        <v>9.3002620689545137E-2</v>
      </c>
      <c r="S831" s="256">
        <f t="shared" si="63"/>
        <v>9.3002620689545137E-2</v>
      </c>
      <c r="T831" s="256">
        <f t="shared" si="63"/>
        <v>0.56956211640831289</v>
      </c>
    </row>
    <row r="832" spans="2:20" s="216" customFormat="1" ht="25.5" hidden="1" outlineLevel="3">
      <c r="B832" s="255" t="s">
        <v>912</v>
      </c>
      <c r="C832" s="290" t="s">
        <v>241</v>
      </c>
      <c r="D832" s="227" t="s">
        <v>231</v>
      </c>
      <c r="E832" s="241">
        <v>14722338669.16</v>
      </c>
      <c r="F832" s="228">
        <f t="shared" si="73"/>
        <v>7.4469037330616245E-2</v>
      </c>
      <c r="G832" s="269">
        <f t="shared" si="55"/>
        <v>4.153598062686485E-3</v>
      </c>
      <c r="H832" s="299">
        <v>45966</v>
      </c>
      <c r="I832" s="299">
        <v>46624</v>
      </c>
      <c r="J832" s="299">
        <v>45966</v>
      </c>
      <c r="K832" s="299">
        <v>46369</v>
      </c>
      <c r="L832" s="299">
        <v>45938</v>
      </c>
      <c r="M832" s="299">
        <v>46726</v>
      </c>
      <c r="N832" s="229">
        <f>[1]Нэгтгэл!$E$2340</f>
        <v>1</v>
      </c>
      <c r="O832" s="229">
        <f>[1]Нэгтгэл!$G$2340</f>
        <v>1</v>
      </c>
      <c r="P832" s="229">
        <f>[1]Нэгтгэл!$I$2340</f>
        <v>0.42561614013963972</v>
      </c>
      <c r="Q832" s="272">
        <v>9.3002620689545137E-2</v>
      </c>
      <c r="R832" s="256">
        <f t="shared" si="63"/>
        <v>9.3002620689545137E-2</v>
      </c>
      <c r="S832" s="256">
        <f t="shared" si="63"/>
        <v>9.3002620689545137E-2</v>
      </c>
      <c r="T832" s="256">
        <f t="shared" si="63"/>
        <v>0.21851290850725741</v>
      </c>
    </row>
    <row r="833" spans="2:20" s="216" customFormat="1" ht="25.5" hidden="1" outlineLevel="3">
      <c r="B833" s="255" t="s">
        <v>919</v>
      </c>
      <c r="C833" s="290" t="s">
        <v>376</v>
      </c>
      <c r="D833" s="227" t="s">
        <v>939</v>
      </c>
      <c r="E833" s="241">
        <v>13670427055</v>
      </c>
      <c r="F833" s="228">
        <f t="shared" si="73"/>
        <v>6.9148222002037796E-2</v>
      </c>
      <c r="G833" s="269">
        <f t="shared" si="55"/>
        <v>3.85682333545888E-3</v>
      </c>
      <c r="H833" s="299">
        <v>45973</v>
      </c>
      <c r="I833" s="299">
        <v>46624</v>
      </c>
      <c r="J833" s="299">
        <v>45973</v>
      </c>
      <c r="K833" s="299">
        <v>46436</v>
      </c>
      <c r="L833" s="299">
        <v>45973</v>
      </c>
      <c r="M833" s="299">
        <v>46735</v>
      </c>
      <c r="N833" s="229">
        <f>[1]Нэгтгэл!$E$2362</f>
        <v>0.93359156386647357</v>
      </c>
      <c r="O833" s="229">
        <f>[1]Нэгтгэл!$G$2362</f>
        <v>0.93359156386647357</v>
      </c>
      <c r="P833" s="229">
        <f>[1]Нэгтгэл!$I$2362</f>
        <v>0.29222268967950921</v>
      </c>
      <c r="Q833" s="272">
        <v>9.3002620689545137E-2</v>
      </c>
      <c r="R833" s="256">
        <f t="shared" si="63"/>
        <v>9.9618103128925425E-2</v>
      </c>
      <c r="S833" s="256">
        <f t="shared" si="63"/>
        <v>9.9618103128925425E-2</v>
      </c>
      <c r="T833" s="256">
        <f t="shared" si="63"/>
        <v>0.31825940960143906</v>
      </c>
    </row>
    <row r="834" spans="2:20" s="216" customFormat="1" ht="25.5" hidden="1" outlineLevel="3">
      <c r="B834" s="255" t="s">
        <v>920</v>
      </c>
      <c r="C834" s="290" t="s">
        <v>378</v>
      </c>
      <c r="D834" s="227" t="s">
        <v>939</v>
      </c>
      <c r="E834" s="241">
        <v>13670427055</v>
      </c>
      <c r="F834" s="228">
        <f t="shared" si="73"/>
        <v>6.9148222002037796E-2</v>
      </c>
      <c r="G834" s="269">
        <f t="shared" si="55"/>
        <v>3.85682333545888E-3</v>
      </c>
      <c r="H834" s="299">
        <v>45980</v>
      </c>
      <c r="I834" s="299">
        <v>46624</v>
      </c>
      <c r="J834" s="299">
        <v>45980</v>
      </c>
      <c r="K834" s="299">
        <v>46443</v>
      </c>
      <c r="L834" s="299">
        <v>45980</v>
      </c>
      <c r="M834" s="299">
        <v>46735</v>
      </c>
      <c r="N834" s="229">
        <f>[1]Нэгтгэл!$E$2384</f>
        <v>0.90815830702820433</v>
      </c>
      <c r="O834" s="229">
        <f>[1]Нэгтгэл!$G$2384</f>
        <v>0.90815830702820433</v>
      </c>
      <c r="P834" s="229">
        <f>[1]Нэгтгэл!$I$2384</f>
        <v>0.27289908166917104</v>
      </c>
      <c r="Q834" s="272">
        <v>9.3002620689545137E-2</v>
      </c>
      <c r="R834" s="256">
        <f t="shared" si="63"/>
        <v>0.10240793919936779</v>
      </c>
      <c r="S834" s="256">
        <f t="shared" si="63"/>
        <v>0.10240793919936779</v>
      </c>
      <c r="T834" s="256">
        <f t="shared" si="63"/>
        <v>0.34079491994146749</v>
      </c>
    </row>
    <row r="835" spans="2:20" s="216" customFormat="1" ht="25.5" hidden="1" outlineLevel="3">
      <c r="B835" s="255" t="s">
        <v>921</v>
      </c>
      <c r="C835" s="290" t="s">
        <v>380</v>
      </c>
      <c r="D835" s="227" t="s">
        <v>939</v>
      </c>
      <c r="E835" s="241">
        <v>13670427055</v>
      </c>
      <c r="F835" s="228">
        <f t="shared" si="73"/>
        <v>6.9148222002037796E-2</v>
      </c>
      <c r="G835" s="269">
        <f t="shared" si="55"/>
        <v>3.85682333545888E-3</v>
      </c>
      <c r="H835" s="299">
        <v>45987</v>
      </c>
      <c r="I835" s="299">
        <v>46624</v>
      </c>
      <c r="J835" s="299">
        <v>45987</v>
      </c>
      <c r="K835" s="299">
        <v>46450</v>
      </c>
      <c r="L835" s="299">
        <v>45987</v>
      </c>
      <c r="M835" s="299">
        <v>46735</v>
      </c>
      <c r="N835" s="229">
        <f>[1]Нэгтгэл!$E$2406</f>
        <v>0.88001210760850701</v>
      </c>
      <c r="O835" s="229">
        <f>[1]Нэгтгэл!$G$2406</f>
        <v>0.88001210760850701</v>
      </c>
      <c r="P835" s="229">
        <f>[1]Нэгтгэл!$I$2406</f>
        <v>0.25415379695149082</v>
      </c>
      <c r="Q835" s="272">
        <v>9.3002620689545137E-2</v>
      </c>
      <c r="R835" s="256">
        <f t="shared" si="63"/>
        <v>0.1056833421784231</v>
      </c>
      <c r="S835" s="256">
        <f t="shared" si="63"/>
        <v>0.1056833421784231</v>
      </c>
      <c r="T835" s="256">
        <f t="shared" si="63"/>
        <v>0.36593047912361554</v>
      </c>
    </row>
    <row r="836" spans="2:20" s="216" customFormat="1" ht="25.5" hidden="1" outlineLevel="3">
      <c r="B836" s="255" t="s">
        <v>922</v>
      </c>
      <c r="C836" s="290" t="s">
        <v>382</v>
      </c>
      <c r="D836" s="227" t="s">
        <v>939</v>
      </c>
      <c r="E836" s="241">
        <v>13670427055</v>
      </c>
      <c r="F836" s="228">
        <f t="shared" si="73"/>
        <v>6.9148222002037796E-2</v>
      </c>
      <c r="G836" s="269">
        <f t="shared" si="55"/>
        <v>3.85682333545888E-3</v>
      </c>
      <c r="H836" s="299">
        <v>45994</v>
      </c>
      <c r="I836" s="299">
        <v>46624</v>
      </c>
      <c r="J836" s="299">
        <v>46318</v>
      </c>
      <c r="K836" s="299">
        <v>46457</v>
      </c>
      <c r="L836" s="299">
        <v>46117</v>
      </c>
      <c r="M836" s="299">
        <v>46735</v>
      </c>
      <c r="N836" s="229">
        <f>[1]Нэгтгэл!$E$2428</f>
        <v>0.8518659081888097</v>
      </c>
      <c r="O836" s="229">
        <f>[1]Нэгтгэл!$G$2428</f>
        <v>0.27744110856558724</v>
      </c>
      <c r="P836" s="229">
        <f>[1]Нэгтгэл!$I$2428</f>
        <v>0.13342120262980511</v>
      </c>
      <c r="Q836" s="272">
        <v>9.3002620689545137E-2</v>
      </c>
      <c r="R836" s="256">
        <f t="shared" ref="R836:T851" si="74">+IF(N836=0,0,$Q836/N836)</f>
        <v>0.10917518801436975</v>
      </c>
      <c r="S836" s="256">
        <f t="shared" si="74"/>
        <v>0.33521571900567598</v>
      </c>
      <c r="T836" s="256">
        <f t="shared" si="74"/>
        <v>0.69706027869943044</v>
      </c>
    </row>
    <row r="837" spans="2:20" s="216" customFormat="1" ht="25.5" hidden="1" outlineLevel="3">
      <c r="B837" s="255" t="s">
        <v>923</v>
      </c>
      <c r="C837" s="290" t="s">
        <v>384</v>
      </c>
      <c r="D837" s="227" t="s">
        <v>939</v>
      </c>
      <c r="E837" s="241">
        <v>13670427055</v>
      </c>
      <c r="F837" s="228">
        <f t="shared" si="73"/>
        <v>6.9148222002037796E-2</v>
      </c>
      <c r="G837" s="269">
        <f t="shared" si="55"/>
        <v>3.85682333545888E-3</v>
      </c>
      <c r="H837" s="299">
        <v>46001</v>
      </c>
      <c r="I837" s="299">
        <v>46624</v>
      </c>
      <c r="J837" s="299">
        <v>46325</v>
      </c>
      <c r="K837" s="299">
        <v>46464</v>
      </c>
      <c r="L837" s="299">
        <v>46117</v>
      </c>
      <c r="M837" s="299">
        <v>46735</v>
      </c>
      <c r="N837" s="229">
        <f>[1]Нэгтгэл!$E$2450</f>
        <v>0.82371970876911238</v>
      </c>
      <c r="O837" s="229">
        <f>[1]Нэгтгэл!$G$2450</f>
        <v>0.24929490914588995</v>
      </c>
      <c r="P837" s="229">
        <f>[1]Нэгтгэл!$I$2450</f>
        <v>0.13342120262980511</v>
      </c>
      <c r="Q837" s="272">
        <v>9.3002620689545137E-2</v>
      </c>
      <c r="R837" s="256">
        <f t="shared" si="74"/>
        <v>0.11290566402559352</v>
      </c>
      <c r="S837" s="256">
        <f t="shared" si="74"/>
        <v>0.3730626550224459</v>
      </c>
      <c r="T837" s="256">
        <f t="shared" si="74"/>
        <v>0.69706027869943044</v>
      </c>
    </row>
    <row r="838" spans="2:20" s="216" customFormat="1" ht="25.5" hidden="1" outlineLevel="3">
      <c r="B838" s="255" t="s">
        <v>924</v>
      </c>
      <c r="C838" s="290" t="s">
        <v>386</v>
      </c>
      <c r="D838" s="227" t="s">
        <v>939</v>
      </c>
      <c r="E838" s="241">
        <v>13670427055</v>
      </c>
      <c r="F838" s="228">
        <f t="shared" si="73"/>
        <v>6.9148222002037796E-2</v>
      </c>
      <c r="G838" s="269">
        <f t="shared" si="55"/>
        <v>3.85682333545888E-3</v>
      </c>
      <c r="H838" s="299">
        <v>46008</v>
      </c>
      <c r="I838" s="299">
        <v>46624</v>
      </c>
      <c r="J838" s="299">
        <v>46332</v>
      </c>
      <c r="K838" s="299">
        <v>46471</v>
      </c>
      <c r="L838" s="299">
        <v>46143</v>
      </c>
      <c r="M838" s="299">
        <v>46735</v>
      </c>
      <c r="N838" s="229">
        <f>[1]Нэгтгэл!$E$2472</f>
        <v>0.79557350934941506</v>
      </c>
      <c r="O838" s="229">
        <f>[1]Нэгтгэл!$G$2472</f>
        <v>0.22114870972619272</v>
      </c>
      <c r="P838" s="229">
        <f>[1]Нэгтгэл!$I$2472</f>
        <v>7.3820617983888115E-2</v>
      </c>
      <c r="Q838" s="272">
        <v>9.3002620689545137E-2</v>
      </c>
      <c r="R838" s="256">
        <f t="shared" si="74"/>
        <v>0.11690009734687946</v>
      </c>
      <c r="S838" s="256">
        <f t="shared" si="74"/>
        <v>0.42054335657075714</v>
      </c>
      <c r="T838" s="256">
        <f t="shared" si="74"/>
        <v>1.2598461409499935</v>
      </c>
    </row>
    <row r="839" spans="2:20" s="216" customFormat="1" ht="25.5" hidden="1" outlineLevel="3">
      <c r="B839" s="255" t="s">
        <v>925</v>
      </c>
      <c r="C839" s="290" t="s">
        <v>388</v>
      </c>
      <c r="D839" s="227" t="s">
        <v>939</v>
      </c>
      <c r="E839" s="241">
        <v>13670427055</v>
      </c>
      <c r="F839" s="228">
        <f t="shared" si="73"/>
        <v>6.9148222002037796E-2</v>
      </c>
      <c r="G839" s="269">
        <f t="shared" si="55"/>
        <v>3.85682333545888E-3</v>
      </c>
      <c r="H839" s="299">
        <v>46015</v>
      </c>
      <c r="I839" s="299">
        <v>46624</v>
      </c>
      <c r="J839" s="299">
        <v>46339</v>
      </c>
      <c r="K839" s="299">
        <v>46478</v>
      </c>
      <c r="L839" s="299">
        <v>46143</v>
      </c>
      <c r="M839" s="299">
        <v>46735</v>
      </c>
      <c r="N839" s="229">
        <f>[1]Нэгтгэл!$E$2494</f>
        <v>0.76742730992971819</v>
      </c>
      <c r="O839" s="229">
        <f>[1]Нэгтгэл!$G$2494</f>
        <v>0.1930025103064954</v>
      </c>
      <c r="P839" s="229">
        <f>[1]Нэгтгэл!$I$2494</f>
        <v>7.3820617983888115E-2</v>
      </c>
      <c r="Q839" s="272">
        <v>9.3002620689545137E-2</v>
      </c>
      <c r="R839" s="256">
        <f t="shared" si="74"/>
        <v>0.12118753070966737</v>
      </c>
      <c r="S839" s="256">
        <f t="shared" si="74"/>
        <v>0.48187259607065941</v>
      </c>
      <c r="T839" s="256">
        <f t="shared" si="74"/>
        <v>1.2598461409499935</v>
      </c>
    </row>
    <row r="840" spans="2:20" s="216" customFormat="1" ht="25.5" hidden="1" outlineLevel="3">
      <c r="B840" s="255" t="s">
        <v>926</v>
      </c>
      <c r="C840" s="290" t="s">
        <v>390</v>
      </c>
      <c r="D840" s="227" t="s">
        <v>939</v>
      </c>
      <c r="E840" s="241">
        <v>13670427055</v>
      </c>
      <c r="F840" s="228">
        <f t="shared" si="73"/>
        <v>6.9148222002037796E-2</v>
      </c>
      <c r="G840" s="269">
        <f t="shared" si="55"/>
        <v>3.85682333545888E-3</v>
      </c>
      <c r="H840" s="299">
        <v>46022</v>
      </c>
      <c r="I840" s="299">
        <v>46624</v>
      </c>
      <c r="J840" s="299">
        <v>46346</v>
      </c>
      <c r="K840" s="299">
        <v>46485</v>
      </c>
      <c r="L840" s="299">
        <v>46143</v>
      </c>
      <c r="M840" s="299">
        <v>46735</v>
      </c>
      <c r="N840" s="229">
        <f>[1]Нэгтгэл!$E$2516</f>
        <v>0.73928111051002088</v>
      </c>
      <c r="O840" s="229">
        <f>[1]Нэгтгэл!$G$2516</f>
        <v>0.16485631088679817</v>
      </c>
      <c r="P840" s="229">
        <f>[1]Нэгтгэл!$I$2516</f>
        <v>7.3820617983888115E-2</v>
      </c>
      <c r="Q840" s="272">
        <v>9.3002620689545137E-2</v>
      </c>
      <c r="R840" s="256">
        <f t="shared" si="74"/>
        <v>0.12580142975029321</v>
      </c>
      <c r="S840" s="256">
        <f t="shared" si="74"/>
        <v>0.56414352710711335</v>
      </c>
      <c r="T840" s="256">
        <f t="shared" si="74"/>
        <v>1.2598461409499935</v>
      </c>
    </row>
    <row r="841" spans="2:20" s="216" customFormat="1" ht="12.75" hidden="1" outlineLevel="2">
      <c r="B841" s="291" t="s">
        <v>940</v>
      </c>
      <c r="C841" s="292" t="s">
        <v>170</v>
      </c>
      <c r="D841" s="234" t="s">
        <v>171</v>
      </c>
      <c r="E841" s="240">
        <v>82596282000</v>
      </c>
      <c r="F841" s="223">
        <f t="shared" si="57"/>
        <v>4.25702422192204E-2</v>
      </c>
      <c r="G841" s="293">
        <f t="shared" si="55"/>
        <v>2.3302802945225343E-2</v>
      </c>
      <c r="H841" s="293"/>
      <c r="I841" s="293"/>
      <c r="J841" s="293"/>
      <c r="K841" s="293"/>
      <c r="L841" s="293"/>
      <c r="M841" s="293"/>
      <c r="N841" s="224">
        <v>0</v>
      </c>
      <c r="O841" s="224">
        <v>0</v>
      </c>
      <c r="P841" s="224">
        <v>0</v>
      </c>
      <c r="Q841" s="270">
        <f>+(113-15)/113</f>
        <v>0.86725663716814161</v>
      </c>
      <c r="R841" s="254">
        <f t="shared" si="74"/>
        <v>0</v>
      </c>
      <c r="S841" s="254">
        <f t="shared" si="74"/>
        <v>0</v>
      </c>
      <c r="T841" s="254">
        <f t="shared" si="74"/>
        <v>0</v>
      </c>
    </row>
    <row r="842" spans="2:20" s="140" customFormat="1" ht="12.75" hidden="1" outlineLevel="1">
      <c r="B842" s="294" t="s">
        <v>941</v>
      </c>
      <c r="C842" s="294" t="s">
        <v>392</v>
      </c>
      <c r="D842" s="294" t="s">
        <v>47</v>
      </c>
      <c r="E842" s="295">
        <f>+SUM(E843:E857)</f>
        <v>96959486358</v>
      </c>
      <c r="F842" s="296">
        <f>+E842/$E$718</f>
        <v>3.6449138999404565E-2</v>
      </c>
      <c r="G842" s="296">
        <f t="shared" si="55"/>
        <v>2.7355078819053129E-2</v>
      </c>
      <c r="H842" s="296"/>
      <c r="I842" s="296"/>
      <c r="J842" s="296"/>
      <c r="K842" s="296"/>
      <c r="L842" s="296"/>
      <c r="M842" s="296"/>
      <c r="N842" s="296">
        <f>+SUMPRODUCT($F843:$F856,N843:N856)</f>
        <v>0</v>
      </c>
      <c r="O842" s="296">
        <f>+SUMPRODUCT($F843:$F856,O843:O856)</f>
        <v>0</v>
      </c>
      <c r="P842" s="296">
        <f>+SUMPRODUCT($F843:$F856,P843:P856)</f>
        <v>0</v>
      </c>
      <c r="Q842" s="296">
        <f>+SUMPRODUCT($F843:$F856,Q843:Q856)</f>
        <v>6.0665826923645555E-2</v>
      </c>
      <c r="R842" s="296">
        <f t="shared" si="74"/>
        <v>0</v>
      </c>
      <c r="S842" s="296">
        <f t="shared" si="74"/>
        <v>0</v>
      </c>
      <c r="T842" s="296">
        <f t="shared" si="74"/>
        <v>0</v>
      </c>
    </row>
    <row r="843" spans="2:20" s="216" customFormat="1" ht="12.75" hidden="1" outlineLevel="2">
      <c r="B843" s="255" t="s">
        <v>942</v>
      </c>
      <c r="C843" s="245" t="s">
        <v>49</v>
      </c>
      <c r="D843" s="227" t="s">
        <v>50</v>
      </c>
      <c r="E843" s="241">
        <v>9005365437</v>
      </c>
      <c r="F843" s="228">
        <f>E843/$E$842</f>
        <v>9.2877610796635368E-2</v>
      </c>
      <c r="G843" s="269">
        <f t="shared" si="55"/>
        <v>2.5406743638672997E-3</v>
      </c>
      <c r="H843" s="269"/>
      <c r="I843" s="269"/>
      <c r="J843" s="269"/>
      <c r="K843" s="269"/>
      <c r="L843" s="269"/>
      <c r="M843" s="269"/>
      <c r="N843" s="229">
        <v>0</v>
      </c>
      <c r="O843" s="229">
        <v>0</v>
      </c>
      <c r="P843" s="229">
        <v>0</v>
      </c>
      <c r="Q843" s="272">
        <v>0</v>
      </c>
      <c r="R843" s="256">
        <f t="shared" si="74"/>
        <v>0</v>
      </c>
      <c r="S843" s="256">
        <f t="shared" si="74"/>
        <v>0</v>
      </c>
      <c r="T843" s="256">
        <f t="shared" si="74"/>
        <v>0</v>
      </c>
    </row>
    <row r="844" spans="2:20" s="216" customFormat="1" ht="12.75" hidden="1" outlineLevel="2">
      <c r="B844" s="255" t="s">
        <v>943</v>
      </c>
      <c r="C844" s="245" t="s">
        <v>52</v>
      </c>
      <c r="D844" s="227" t="s">
        <v>53</v>
      </c>
      <c r="E844" s="241">
        <v>5633852219</v>
      </c>
      <c r="F844" s="228">
        <f t="shared" ref="F844:F857" si="75">E844/$E$842</f>
        <v>5.8105219309829384E-2</v>
      </c>
      <c r="G844" s="269">
        <f t="shared" si="55"/>
        <v>1.5894728540187502E-3</v>
      </c>
      <c r="H844" s="269"/>
      <c r="I844" s="269"/>
      <c r="J844" s="269"/>
      <c r="K844" s="269"/>
      <c r="L844" s="269"/>
      <c r="M844" s="269"/>
      <c r="N844" s="229">
        <v>0</v>
      </c>
      <c r="O844" s="229">
        <v>0</v>
      </c>
      <c r="P844" s="229">
        <v>0</v>
      </c>
      <c r="Q844" s="272">
        <v>0</v>
      </c>
      <c r="R844" s="256">
        <f t="shared" si="74"/>
        <v>0</v>
      </c>
      <c r="S844" s="256">
        <f t="shared" si="74"/>
        <v>0</v>
      </c>
      <c r="T844" s="256">
        <f t="shared" si="74"/>
        <v>0</v>
      </c>
    </row>
    <row r="845" spans="2:20" s="216" customFormat="1" ht="12.75" hidden="1" outlineLevel="2">
      <c r="B845" s="255" t="s">
        <v>944</v>
      </c>
      <c r="C845" s="245" t="s">
        <v>55</v>
      </c>
      <c r="D845" s="227" t="s">
        <v>56</v>
      </c>
      <c r="E845" s="241">
        <v>2695174244</v>
      </c>
      <c r="F845" s="228">
        <f t="shared" si="75"/>
        <v>2.7796911320762424E-2</v>
      </c>
      <c r="G845" s="269">
        <f t="shared" si="55"/>
        <v>7.6038670010568615E-4</v>
      </c>
      <c r="H845" s="269"/>
      <c r="I845" s="269"/>
      <c r="J845" s="269"/>
      <c r="K845" s="269"/>
      <c r="L845" s="269"/>
      <c r="M845" s="269"/>
      <c r="N845" s="229">
        <v>0</v>
      </c>
      <c r="O845" s="229">
        <v>0</v>
      </c>
      <c r="P845" s="229">
        <v>0</v>
      </c>
      <c r="Q845" s="272">
        <v>0</v>
      </c>
      <c r="R845" s="256">
        <f t="shared" si="74"/>
        <v>0</v>
      </c>
      <c r="S845" s="256">
        <f t="shared" si="74"/>
        <v>0</v>
      </c>
      <c r="T845" s="256">
        <f t="shared" si="74"/>
        <v>0</v>
      </c>
    </row>
    <row r="846" spans="2:20" s="216" customFormat="1" ht="12.75" hidden="1" outlineLevel="2">
      <c r="B846" s="255" t="s">
        <v>945</v>
      </c>
      <c r="C846" s="245" t="s">
        <v>58</v>
      </c>
      <c r="D846" s="227" t="s">
        <v>59</v>
      </c>
      <c r="E846" s="241">
        <v>2826882949</v>
      </c>
      <c r="F846" s="228">
        <f t="shared" si="75"/>
        <v>2.9155300375276354E-2</v>
      </c>
      <c r="G846" s="269">
        <f t="shared" si="55"/>
        <v>7.9754553975885391E-4</v>
      </c>
      <c r="H846" s="269"/>
      <c r="I846" s="269"/>
      <c r="J846" s="269"/>
      <c r="K846" s="269"/>
      <c r="L846" s="269"/>
      <c r="M846" s="269"/>
      <c r="N846" s="229">
        <v>0</v>
      </c>
      <c r="O846" s="229">
        <v>0</v>
      </c>
      <c r="P846" s="229">
        <v>0</v>
      </c>
      <c r="Q846" s="272">
        <v>0</v>
      </c>
      <c r="R846" s="256">
        <f t="shared" si="74"/>
        <v>0</v>
      </c>
      <c r="S846" s="256">
        <f t="shared" si="74"/>
        <v>0</v>
      </c>
      <c r="T846" s="256">
        <f t="shared" si="74"/>
        <v>0</v>
      </c>
    </row>
    <row r="847" spans="2:20" s="216" customFormat="1" ht="12.75" hidden="1" outlineLevel="2">
      <c r="B847" s="255" t="s">
        <v>946</v>
      </c>
      <c r="C847" s="245" t="s">
        <v>61</v>
      </c>
      <c r="D847" s="227" t="s">
        <v>62</v>
      </c>
      <c r="E847" s="241">
        <v>3896103815</v>
      </c>
      <c r="F847" s="228">
        <f t="shared" si="75"/>
        <v>4.0182801717972776E-2</v>
      </c>
      <c r="G847" s="269">
        <f t="shared" si="55"/>
        <v>1.0992037081655286E-3</v>
      </c>
      <c r="H847" s="269"/>
      <c r="I847" s="269"/>
      <c r="J847" s="269"/>
      <c r="K847" s="269"/>
      <c r="L847" s="269"/>
      <c r="M847" s="269"/>
      <c r="N847" s="229">
        <v>0</v>
      </c>
      <c r="O847" s="229">
        <v>0</v>
      </c>
      <c r="P847" s="229">
        <v>0</v>
      </c>
      <c r="Q847" s="272">
        <v>0.3</v>
      </c>
      <c r="R847" s="256">
        <f t="shared" si="74"/>
        <v>0</v>
      </c>
      <c r="S847" s="256">
        <f t="shared" si="74"/>
        <v>0</v>
      </c>
      <c r="T847" s="256">
        <f t="shared" si="74"/>
        <v>0</v>
      </c>
    </row>
    <row r="848" spans="2:20" s="216" customFormat="1" ht="12.75" hidden="1" outlineLevel="2">
      <c r="B848" s="255" t="s">
        <v>947</v>
      </c>
      <c r="C848" s="245" t="s">
        <v>64</v>
      </c>
      <c r="D848" s="227" t="s">
        <v>65</v>
      </c>
      <c r="E848" s="241">
        <v>9561661087</v>
      </c>
      <c r="F848" s="228">
        <f t="shared" si="75"/>
        <v>9.8615013818202632E-2</v>
      </c>
      <c r="G848" s="269">
        <f t="shared" si="55"/>
        <v>2.6976214757389464E-3</v>
      </c>
      <c r="H848" s="269"/>
      <c r="I848" s="269"/>
      <c r="J848" s="269"/>
      <c r="K848" s="269"/>
      <c r="L848" s="269"/>
      <c r="M848" s="269"/>
      <c r="N848" s="229">
        <v>0</v>
      </c>
      <c r="O848" s="229">
        <v>0</v>
      </c>
      <c r="P848" s="229">
        <v>0</v>
      </c>
      <c r="Q848" s="272">
        <v>0.4</v>
      </c>
      <c r="R848" s="256">
        <f t="shared" si="74"/>
        <v>0</v>
      </c>
      <c r="S848" s="256">
        <f t="shared" si="74"/>
        <v>0</v>
      </c>
      <c r="T848" s="256">
        <f t="shared" si="74"/>
        <v>0</v>
      </c>
    </row>
    <row r="849" spans="2:20" s="216" customFormat="1" ht="12.75" hidden="1" outlineLevel="2">
      <c r="B849" s="255" t="s">
        <v>948</v>
      </c>
      <c r="C849" s="245" t="s">
        <v>67</v>
      </c>
      <c r="D849" s="227" t="s">
        <v>68</v>
      </c>
      <c r="E849" s="241">
        <v>8886318387</v>
      </c>
      <c r="F849" s="228">
        <f t="shared" si="75"/>
        <v>9.164980880972666E-2</v>
      </c>
      <c r="G849" s="269">
        <f t="shared" si="55"/>
        <v>2.5070877437412221E-3</v>
      </c>
      <c r="H849" s="269"/>
      <c r="I849" s="269"/>
      <c r="J849" s="269"/>
      <c r="K849" s="269"/>
      <c r="L849" s="269"/>
      <c r="M849" s="269"/>
      <c r="N849" s="229">
        <v>0</v>
      </c>
      <c r="O849" s="229">
        <v>0</v>
      </c>
      <c r="P849" s="229">
        <v>0</v>
      </c>
      <c r="Q849" s="272">
        <v>0.1</v>
      </c>
      <c r="R849" s="256">
        <f t="shared" si="74"/>
        <v>0</v>
      </c>
      <c r="S849" s="256">
        <f t="shared" si="74"/>
        <v>0</v>
      </c>
      <c r="T849" s="256">
        <f t="shared" si="74"/>
        <v>0</v>
      </c>
    </row>
    <row r="850" spans="2:20" s="216" customFormat="1" ht="25.5" hidden="1" outlineLevel="2">
      <c r="B850" s="255" t="s">
        <v>949</v>
      </c>
      <c r="C850" s="245" t="s">
        <v>70</v>
      </c>
      <c r="D850" s="227" t="s">
        <v>71</v>
      </c>
      <c r="E850" s="241">
        <v>9008445822</v>
      </c>
      <c r="F850" s="228">
        <f t="shared" si="75"/>
        <v>9.2909380612212003E-2</v>
      </c>
      <c r="G850" s="269">
        <f t="shared" si="55"/>
        <v>2.5415434296764657E-3</v>
      </c>
      <c r="H850" s="269"/>
      <c r="I850" s="269"/>
      <c r="J850" s="269"/>
      <c r="K850" s="269"/>
      <c r="L850" s="269"/>
      <c r="M850" s="269"/>
      <c r="N850" s="229">
        <v>0</v>
      </c>
      <c r="O850" s="229">
        <v>0</v>
      </c>
      <c r="P850" s="229">
        <v>0</v>
      </c>
      <c r="Q850" s="272">
        <v>0</v>
      </c>
      <c r="R850" s="256">
        <f t="shared" si="74"/>
        <v>0</v>
      </c>
      <c r="S850" s="256">
        <f t="shared" si="74"/>
        <v>0</v>
      </c>
      <c r="T850" s="256">
        <f t="shared" si="74"/>
        <v>0</v>
      </c>
    </row>
    <row r="851" spans="2:20" s="216" customFormat="1" ht="12.75" hidden="1" outlineLevel="2">
      <c r="B851" s="255" t="s">
        <v>950</v>
      </c>
      <c r="C851" s="245" t="s">
        <v>73</v>
      </c>
      <c r="D851" s="227" t="s">
        <v>74</v>
      </c>
      <c r="E851" s="241">
        <v>7842764759</v>
      </c>
      <c r="F851" s="228">
        <f t="shared" si="75"/>
        <v>8.0887028733242702E-2</v>
      </c>
      <c r="G851" s="269">
        <f t="shared" si="55"/>
        <v>2.2126710464368689E-3</v>
      </c>
      <c r="H851" s="269"/>
      <c r="I851" s="269"/>
      <c r="J851" s="269"/>
      <c r="K851" s="269"/>
      <c r="L851" s="269"/>
      <c r="M851" s="269"/>
      <c r="N851" s="229">
        <v>0</v>
      </c>
      <c r="O851" s="229">
        <v>0</v>
      </c>
      <c r="P851" s="229">
        <v>0</v>
      </c>
      <c r="Q851" s="272">
        <v>0</v>
      </c>
      <c r="R851" s="256">
        <f t="shared" si="74"/>
        <v>0</v>
      </c>
      <c r="S851" s="256">
        <f t="shared" si="74"/>
        <v>0</v>
      </c>
      <c r="T851" s="256">
        <f t="shared" si="74"/>
        <v>0</v>
      </c>
    </row>
    <row r="852" spans="2:20" s="216" customFormat="1" ht="12.75" hidden="1" outlineLevel="2">
      <c r="B852" s="255" t="s">
        <v>951</v>
      </c>
      <c r="C852" s="245" t="s">
        <v>76</v>
      </c>
      <c r="D852" s="227" t="s">
        <v>77</v>
      </c>
      <c r="E852" s="241">
        <v>11429940948</v>
      </c>
      <c r="F852" s="228">
        <f t="shared" si="75"/>
        <v>0.11788367881609482</v>
      </c>
      <c r="G852" s="269">
        <f t="shared" si="55"/>
        <v>3.2247173254942173E-3</v>
      </c>
      <c r="H852" s="269"/>
      <c r="I852" s="269"/>
      <c r="J852" s="269"/>
      <c r="K852" s="269"/>
      <c r="L852" s="269"/>
      <c r="M852" s="269"/>
      <c r="N852" s="229">
        <v>0</v>
      </c>
      <c r="O852" s="229">
        <v>0</v>
      </c>
      <c r="P852" s="229">
        <v>0</v>
      </c>
      <c r="Q852" s="272">
        <v>0</v>
      </c>
      <c r="R852" s="256">
        <f t="shared" ref="R852:T911" si="76">+IF(N852=0,0,$Q852/N852)</f>
        <v>0</v>
      </c>
      <c r="S852" s="256">
        <f t="shared" si="76"/>
        <v>0</v>
      </c>
      <c r="T852" s="256">
        <f t="shared" si="76"/>
        <v>0</v>
      </c>
    </row>
    <row r="853" spans="2:20" s="216" customFormat="1" ht="12.75" hidden="1" outlineLevel="2">
      <c r="B853" s="255" t="s">
        <v>952</v>
      </c>
      <c r="C853" s="245" t="s">
        <v>79</v>
      </c>
      <c r="D853" s="227" t="s">
        <v>80</v>
      </c>
      <c r="E853" s="241">
        <v>3979861027</v>
      </c>
      <c r="F853" s="228">
        <f t="shared" si="75"/>
        <v>4.1046638926131508E-2</v>
      </c>
      <c r="G853" s="269">
        <f t="shared" si="55"/>
        <v>1.1228340430815417E-3</v>
      </c>
      <c r="H853" s="269"/>
      <c r="I853" s="269"/>
      <c r="J853" s="269"/>
      <c r="K853" s="269"/>
      <c r="L853" s="269"/>
      <c r="M853" s="269"/>
      <c r="N853" s="229">
        <v>0</v>
      </c>
      <c r="O853" s="229">
        <v>0</v>
      </c>
      <c r="P853" s="229">
        <v>0</v>
      </c>
      <c r="Q853" s="272">
        <v>0</v>
      </c>
      <c r="R853" s="256">
        <f t="shared" si="76"/>
        <v>0</v>
      </c>
      <c r="S853" s="256">
        <f t="shared" si="76"/>
        <v>0</v>
      </c>
      <c r="T853" s="256">
        <f t="shared" si="76"/>
        <v>0</v>
      </c>
    </row>
    <row r="854" spans="2:20" s="216" customFormat="1" ht="12.75" hidden="1" outlineLevel="2">
      <c r="B854" s="255" t="s">
        <v>953</v>
      </c>
      <c r="C854" s="245" t="s">
        <v>82</v>
      </c>
      <c r="D854" s="227" t="s">
        <v>83</v>
      </c>
      <c r="E854" s="241">
        <v>5210794604</v>
      </c>
      <c r="F854" s="228">
        <f t="shared" si="75"/>
        <v>5.3741978219236555E-2</v>
      </c>
      <c r="G854" s="269">
        <f t="shared" si="55"/>
        <v>1.4701160500790523E-3</v>
      </c>
      <c r="H854" s="269"/>
      <c r="I854" s="269"/>
      <c r="J854" s="269"/>
      <c r="K854" s="269"/>
      <c r="L854" s="269"/>
      <c r="M854" s="269"/>
      <c r="N854" s="229">
        <v>0</v>
      </c>
      <c r="O854" s="229">
        <v>0</v>
      </c>
      <c r="P854" s="229">
        <v>0</v>
      </c>
      <c r="Q854" s="272">
        <v>0</v>
      </c>
      <c r="R854" s="256">
        <f t="shared" si="76"/>
        <v>0</v>
      </c>
      <c r="S854" s="256">
        <f t="shared" si="76"/>
        <v>0</v>
      </c>
      <c r="T854" s="256">
        <f t="shared" si="76"/>
        <v>0</v>
      </c>
    </row>
    <row r="855" spans="2:20" s="216" customFormat="1" ht="12.75" hidden="1" outlineLevel="2">
      <c r="B855" s="255" t="s">
        <v>954</v>
      </c>
      <c r="C855" s="245" t="s">
        <v>85</v>
      </c>
      <c r="D855" s="227" t="s">
        <v>86</v>
      </c>
      <c r="E855" s="241">
        <v>5629215156</v>
      </c>
      <c r="F855" s="228">
        <f t="shared" si="75"/>
        <v>5.8057394561842592E-2</v>
      </c>
      <c r="G855" s="269">
        <f t="shared" si="55"/>
        <v>1.5881646042680702E-3</v>
      </c>
      <c r="H855" s="269"/>
      <c r="I855" s="269"/>
      <c r="J855" s="269"/>
      <c r="K855" s="269"/>
      <c r="L855" s="269"/>
      <c r="M855" s="269"/>
      <c r="N855" s="229">
        <v>0</v>
      </c>
      <c r="O855" s="229">
        <v>0</v>
      </c>
      <c r="P855" s="229">
        <v>0</v>
      </c>
      <c r="Q855" s="272">
        <v>0</v>
      </c>
      <c r="R855" s="256">
        <f t="shared" si="76"/>
        <v>0</v>
      </c>
      <c r="S855" s="256">
        <f t="shared" si="76"/>
        <v>0</v>
      </c>
      <c r="T855" s="256">
        <f t="shared" si="76"/>
        <v>0</v>
      </c>
    </row>
    <row r="856" spans="2:20" s="216" customFormat="1" ht="12.75" hidden="1" outlineLevel="2">
      <c r="B856" s="255" t="s">
        <v>955</v>
      </c>
      <c r="C856" s="245" t="s">
        <v>88</v>
      </c>
      <c r="D856" s="227" t="s">
        <v>89</v>
      </c>
      <c r="E856" s="241">
        <v>5973938348</v>
      </c>
      <c r="F856" s="228">
        <f t="shared" si="75"/>
        <v>6.1612726844928238E-2</v>
      </c>
      <c r="G856" s="269">
        <f t="shared" si="55"/>
        <v>1.6854209990998024E-3</v>
      </c>
      <c r="H856" s="269"/>
      <c r="I856" s="269"/>
      <c r="J856" s="269"/>
      <c r="K856" s="269"/>
      <c r="L856" s="269"/>
      <c r="M856" s="269"/>
      <c r="N856" s="229">
        <v>0</v>
      </c>
      <c r="O856" s="229">
        <v>0</v>
      </c>
      <c r="P856" s="229">
        <v>0</v>
      </c>
      <c r="Q856" s="272">
        <v>0</v>
      </c>
      <c r="R856" s="256">
        <f t="shared" si="76"/>
        <v>0</v>
      </c>
      <c r="S856" s="256">
        <f t="shared" si="76"/>
        <v>0</v>
      </c>
      <c r="T856" s="256">
        <f t="shared" si="76"/>
        <v>0</v>
      </c>
    </row>
    <row r="857" spans="2:20" s="216" customFormat="1" ht="12.75" hidden="1" outlineLevel="2">
      <c r="B857" s="255" t="s">
        <v>956</v>
      </c>
      <c r="C857" s="245" t="s">
        <v>91</v>
      </c>
      <c r="D857" s="227" t="s">
        <v>92</v>
      </c>
      <c r="E857" s="241">
        <v>5379167556</v>
      </c>
      <c r="F857" s="228">
        <f t="shared" si="75"/>
        <v>5.5478507137905975E-2</v>
      </c>
      <c r="G857" s="269">
        <f t="shared" si="55"/>
        <v>1.5176189355208195E-3</v>
      </c>
      <c r="H857" s="269"/>
      <c r="I857" s="269"/>
      <c r="J857" s="269"/>
      <c r="K857" s="269"/>
      <c r="L857" s="269"/>
      <c r="M857" s="269"/>
      <c r="N857" s="229">
        <v>0</v>
      </c>
      <c r="O857" s="229">
        <v>0</v>
      </c>
      <c r="P857" s="229">
        <v>0</v>
      </c>
      <c r="Q857" s="272">
        <v>0</v>
      </c>
      <c r="R857" s="256">
        <f t="shared" si="76"/>
        <v>0</v>
      </c>
      <c r="S857" s="256">
        <f t="shared" si="76"/>
        <v>0</v>
      </c>
      <c r="T857" s="256">
        <f t="shared" si="76"/>
        <v>0</v>
      </c>
    </row>
    <row r="858" spans="2:20" s="216" customFormat="1" ht="12.75" hidden="1" outlineLevel="2">
      <c r="B858" s="294" t="s">
        <v>957</v>
      </c>
      <c r="C858" s="294"/>
      <c r="D858" s="294" t="s">
        <v>94</v>
      </c>
      <c r="E858" s="295">
        <f>E859+E871+E879+E885+E889</f>
        <v>446873239895.37</v>
      </c>
      <c r="F858" s="296">
        <f>+E858/$E$718</f>
        <v>0.16798918236757646</v>
      </c>
      <c r="G858" s="296">
        <f t="shared" si="55"/>
        <v>0.12607588136686612</v>
      </c>
      <c r="H858" s="296"/>
      <c r="I858" s="296"/>
      <c r="J858" s="296"/>
      <c r="K858" s="296"/>
      <c r="L858" s="296"/>
      <c r="M858" s="296"/>
      <c r="N858" s="296">
        <f>$F859*N859+$F871*N871+$F879*N879+$F885*N885</f>
        <v>0</v>
      </c>
      <c r="O858" s="296">
        <f>$F859*O859+$F871*O871+$F879*O879+$F885*O885</f>
        <v>0</v>
      </c>
      <c r="P858" s="296">
        <f>$F859*P859+$F871*P871+$F879*P879+$F885*P885</f>
        <v>0</v>
      </c>
      <c r="Q858" s="296">
        <f>$F859*Q859+$F871*Q871+$F879*Q879+$F885*Q885</f>
        <v>3.7816181683612685E-2</v>
      </c>
      <c r="R858" s="296">
        <f t="shared" si="76"/>
        <v>0</v>
      </c>
      <c r="S858" s="296">
        <f t="shared" si="76"/>
        <v>0</v>
      </c>
      <c r="T858" s="296">
        <f t="shared" si="76"/>
        <v>0</v>
      </c>
    </row>
    <row r="859" spans="2:20" s="140" customFormat="1" ht="12.75" hidden="1" outlineLevel="2">
      <c r="B859" s="259" t="s">
        <v>958</v>
      </c>
      <c r="C859" s="251"/>
      <c r="D859" s="236" t="s">
        <v>97</v>
      </c>
      <c r="E859" s="242">
        <f>+SUM(E860:E870)</f>
        <v>92266070128</v>
      </c>
      <c r="F859" s="232">
        <f>E859/$E$858</f>
        <v>0.2064703407829992</v>
      </c>
      <c r="G859" s="232">
        <f t="shared" si="55"/>
        <v>2.6030930190333829E-2</v>
      </c>
      <c r="H859" s="232"/>
      <c r="I859" s="232"/>
      <c r="J859" s="232"/>
      <c r="K859" s="232"/>
      <c r="L859" s="232"/>
      <c r="M859" s="232"/>
      <c r="N859" s="233">
        <f>SUMPRODUCT($F860:$F870,N860:N870)</f>
        <v>0</v>
      </c>
      <c r="O859" s="233">
        <f>SUMPRODUCT($F860:$F870,O860:O870)</f>
        <v>0</v>
      </c>
      <c r="P859" s="233">
        <f>SUMPRODUCT($F860:$F870,P860:P870)</f>
        <v>0</v>
      </c>
      <c r="Q859" s="274">
        <f>SUMPRODUCT($F860:$F870,Q860:Q870)</f>
        <v>0</v>
      </c>
      <c r="R859" s="260">
        <f t="shared" si="76"/>
        <v>0</v>
      </c>
      <c r="S859" s="260">
        <f t="shared" si="76"/>
        <v>0</v>
      </c>
      <c r="T859" s="260">
        <f t="shared" si="76"/>
        <v>0</v>
      </c>
    </row>
    <row r="860" spans="2:20" s="216" customFormat="1" ht="25.5" hidden="1" outlineLevel="3">
      <c r="B860" s="255" t="s">
        <v>959</v>
      </c>
      <c r="C860" s="245" t="s">
        <v>99</v>
      </c>
      <c r="D860" s="227" t="s">
        <v>100</v>
      </c>
      <c r="E860" s="241">
        <v>5433162476</v>
      </c>
      <c r="F860" s="228">
        <f t="shared" ref="F860:F870" si="77">E860/$E$859</f>
        <v>5.8885812178438031E-2</v>
      </c>
      <c r="G860" s="269">
        <f t="shared" si="55"/>
        <v>1.5328524660180301E-3</v>
      </c>
      <c r="H860" s="269"/>
      <c r="I860" s="269"/>
      <c r="J860" s="269"/>
      <c r="K860" s="269"/>
      <c r="L860" s="269"/>
      <c r="M860" s="269"/>
      <c r="N860" s="229">
        <v>0</v>
      </c>
      <c r="O860" s="229">
        <v>0</v>
      </c>
      <c r="P860" s="229">
        <v>0</v>
      </c>
      <c r="Q860" s="272">
        <v>0</v>
      </c>
      <c r="R860" s="256">
        <f t="shared" si="76"/>
        <v>0</v>
      </c>
      <c r="S860" s="256">
        <f t="shared" si="76"/>
        <v>0</v>
      </c>
      <c r="T860" s="256">
        <f t="shared" si="76"/>
        <v>0</v>
      </c>
    </row>
    <row r="861" spans="2:20" s="216" customFormat="1" ht="25.5" hidden="1" outlineLevel="3">
      <c r="B861" s="255" t="s">
        <v>960</v>
      </c>
      <c r="C861" s="245" t="s">
        <v>102</v>
      </c>
      <c r="D861" s="227" t="s">
        <v>103</v>
      </c>
      <c r="E861" s="241">
        <v>8809274735</v>
      </c>
      <c r="F861" s="228">
        <f t="shared" si="77"/>
        <v>9.5476860808951347E-2</v>
      </c>
      <c r="G861" s="269">
        <f t="shared" si="55"/>
        <v>2.4853514985100321E-3</v>
      </c>
      <c r="H861" s="269"/>
      <c r="I861" s="269"/>
      <c r="J861" s="269"/>
      <c r="K861" s="269"/>
      <c r="L861" s="269"/>
      <c r="M861" s="269"/>
      <c r="N861" s="229">
        <v>0</v>
      </c>
      <c r="O861" s="229">
        <v>0</v>
      </c>
      <c r="P861" s="229">
        <v>0</v>
      </c>
      <c r="Q861" s="272">
        <v>0</v>
      </c>
      <c r="R861" s="256">
        <f t="shared" si="76"/>
        <v>0</v>
      </c>
      <c r="S861" s="256">
        <f t="shared" si="76"/>
        <v>0</v>
      </c>
      <c r="T861" s="256">
        <f t="shared" si="76"/>
        <v>0</v>
      </c>
    </row>
    <row r="862" spans="2:20" s="216" customFormat="1" ht="25.5" hidden="1" outlineLevel="3">
      <c r="B862" s="255" t="s">
        <v>961</v>
      </c>
      <c r="C862" s="245" t="s">
        <v>105</v>
      </c>
      <c r="D862" s="227" t="s">
        <v>106</v>
      </c>
      <c r="E862" s="241">
        <v>7183065007</v>
      </c>
      <c r="F862" s="228">
        <f t="shared" si="77"/>
        <v>7.7851641421759807E-2</v>
      </c>
      <c r="G862" s="269">
        <f t="shared" si="55"/>
        <v>2.0265506430527311E-3</v>
      </c>
      <c r="H862" s="269"/>
      <c r="I862" s="269"/>
      <c r="J862" s="269"/>
      <c r="K862" s="269"/>
      <c r="L862" s="269"/>
      <c r="M862" s="269"/>
      <c r="N862" s="229">
        <v>0</v>
      </c>
      <c r="O862" s="229">
        <v>0</v>
      </c>
      <c r="P862" s="229">
        <v>0</v>
      </c>
      <c r="Q862" s="272">
        <v>0</v>
      </c>
      <c r="R862" s="256">
        <f t="shared" si="76"/>
        <v>0</v>
      </c>
      <c r="S862" s="256">
        <f t="shared" si="76"/>
        <v>0</v>
      </c>
      <c r="T862" s="256">
        <f t="shared" si="76"/>
        <v>0</v>
      </c>
    </row>
    <row r="863" spans="2:20" s="216" customFormat="1" ht="25.5" hidden="1" outlineLevel="3">
      <c r="B863" s="255" t="s">
        <v>962</v>
      </c>
      <c r="C863" s="245" t="s">
        <v>108</v>
      </c>
      <c r="D863" s="227" t="s">
        <v>109</v>
      </c>
      <c r="E863" s="241">
        <v>8885209508</v>
      </c>
      <c r="F863" s="228">
        <f t="shared" si="77"/>
        <v>9.6299858611877787E-2</v>
      </c>
      <c r="G863" s="269">
        <f t="shared" si="55"/>
        <v>2.5067748968648084E-3</v>
      </c>
      <c r="H863" s="269"/>
      <c r="I863" s="269"/>
      <c r="J863" s="269"/>
      <c r="K863" s="269"/>
      <c r="L863" s="269"/>
      <c r="M863" s="269"/>
      <c r="N863" s="229">
        <v>0</v>
      </c>
      <c r="O863" s="229">
        <v>0</v>
      </c>
      <c r="P863" s="229">
        <v>0</v>
      </c>
      <c r="Q863" s="272">
        <v>0</v>
      </c>
      <c r="R863" s="256">
        <f t="shared" si="76"/>
        <v>0</v>
      </c>
      <c r="S863" s="256">
        <f t="shared" si="76"/>
        <v>0</v>
      </c>
      <c r="T863" s="256">
        <f t="shared" si="76"/>
        <v>0</v>
      </c>
    </row>
    <row r="864" spans="2:20" s="216" customFormat="1" ht="38.25" hidden="1" outlineLevel="3">
      <c r="B864" s="255" t="s">
        <v>963</v>
      </c>
      <c r="C864" s="245" t="s">
        <v>111</v>
      </c>
      <c r="D864" s="227" t="s">
        <v>112</v>
      </c>
      <c r="E864" s="241">
        <v>19828566223</v>
      </c>
      <c r="F864" s="228">
        <f t="shared" si="77"/>
        <v>0.2149063701910354</v>
      </c>
      <c r="G864" s="269">
        <f t="shared" si="55"/>
        <v>5.5942127199008814E-3</v>
      </c>
      <c r="H864" s="269"/>
      <c r="I864" s="269"/>
      <c r="J864" s="269"/>
      <c r="K864" s="269"/>
      <c r="L864" s="269"/>
      <c r="M864" s="269"/>
      <c r="N864" s="229">
        <v>0</v>
      </c>
      <c r="O864" s="229">
        <v>0</v>
      </c>
      <c r="P864" s="229">
        <v>0</v>
      </c>
      <c r="Q864" s="272">
        <v>0</v>
      </c>
      <c r="R864" s="256">
        <f t="shared" si="76"/>
        <v>0</v>
      </c>
      <c r="S864" s="256">
        <f t="shared" si="76"/>
        <v>0</v>
      </c>
      <c r="T864" s="256">
        <f t="shared" si="76"/>
        <v>0</v>
      </c>
    </row>
    <row r="865" spans="2:20" s="216" customFormat="1" ht="38.25" hidden="1" outlineLevel="3">
      <c r="B865" s="255" t="s">
        <v>964</v>
      </c>
      <c r="C865" s="245" t="s">
        <v>114</v>
      </c>
      <c r="D865" s="227" t="s">
        <v>115</v>
      </c>
      <c r="E865" s="241">
        <v>10830228543</v>
      </c>
      <c r="F865" s="228">
        <f t="shared" si="77"/>
        <v>0.11738040352185054</v>
      </c>
      <c r="G865" s="269">
        <f t="shared" ref="G865:G903" si="78">+E865*$G$718/$E$718</f>
        <v>3.0555210897905065E-3</v>
      </c>
      <c r="H865" s="269"/>
      <c r="I865" s="269"/>
      <c r="J865" s="269"/>
      <c r="K865" s="269"/>
      <c r="L865" s="269"/>
      <c r="M865" s="269"/>
      <c r="N865" s="229">
        <v>0</v>
      </c>
      <c r="O865" s="229">
        <v>0</v>
      </c>
      <c r="P865" s="229">
        <v>0</v>
      </c>
      <c r="Q865" s="272">
        <v>0</v>
      </c>
      <c r="R865" s="256">
        <f t="shared" si="76"/>
        <v>0</v>
      </c>
      <c r="S865" s="256">
        <f t="shared" si="76"/>
        <v>0</v>
      </c>
      <c r="T865" s="256">
        <f t="shared" si="76"/>
        <v>0</v>
      </c>
    </row>
    <row r="866" spans="2:20" s="216" customFormat="1" ht="38.25" hidden="1" outlineLevel="3">
      <c r="B866" s="255" t="s">
        <v>965</v>
      </c>
      <c r="C866" s="245" t="s">
        <v>117</v>
      </c>
      <c r="D866" s="227" t="s">
        <v>118</v>
      </c>
      <c r="E866" s="241">
        <v>11007777007</v>
      </c>
      <c r="F866" s="228">
        <f t="shared" si="77"/>
        <v>0.11930471289964986</v>
      </c>
      <c r="G866" s="269">
        <f t="shared" si="78"/>
        <v>3.1056126528686049E-3</v>
      </c>
      <c r="H866" s="269"/>
      <c r="I866" s="269"/>
      <c r="J866" s="269"/>
      <c r="K866" s="269"/>
      <c r="L866" s="269"/>
      <c r="M866" s="269"/>
      <c r="N866" s="229">
        <v>0</v>
      </c>
      <c r="O866" s="229">
        <v>0</v>
      </c>
      <c r="P866" s="229">
        <v>0</v>
      </c>
      <c r="Q866" s="272">
        <v>0</v>
      </c>
      <c r="R866" s="256">
        <f t="shared" si="76"/>
        <v>0</v>
      </c>
      <c r="S866" s="256">
        <f t="shared" si="76"/>
        <v>0</v>
      </c>
      <c r="T866" s="256">
        <f t="shared" si="76"/>
        <v>0</v>
      </c>
    </row>
    <row r="867" spans="2:20" s="216" customFormat="1" ht="38.25" hidden="1" outlineLevel="3">
      <c r="B867" s="255" t="s">
        <v>966</v>
      </c>
      <c r="C867" s="245" t="s">
        <v>120</v>
      </c>
      <c r="D867" s="227" t="s">
        <v>121</v>
      </c>
      <c r="E867" s="241">
        <v>17684759512</v>
      </c>
      <c r="F867" s="228">
        <f t="shared" si="77"/>
        <v>0.19167132064328818</v>
      </c>
      <c r="G867" s="269">
        <f t="shared" si="78"/>
        <v>4.9893827671545253E-3</v>
      </c>
      <c r="H867" s="269"/>
      <c r="I867" s="269"/>
      <c r="J867" s="269"/>
      <c r="K867" s="269"/>
      <c r="L867" s="269"/>
      <c r="M867" s="269"/>
      <c r="N867" s="229">
        <v>0</v>
      </c>
      <c r="O867" s="229">
        <v>0</v>
      </c>
      <c r="P867" s="229">
        <v>0</v>
      </c>
      <c r="Q867" s="272">
        <v>0</v>
      </c>
      <c r="R867" s="256">
        <f t="shared" si="76"/>
        <v>0</v>
      </c>
      <c r="S867" s="256">
        <f t="shared" si="76"/>
        <v>0</v>
      </c>
      <c r="T867" s="256">
        <f t="shared" si="76"/>
        <v>0</v>
      </c>
    </row>
    <row r="868" spans="2:20" s="216" customFormat="1" ht="25.5" hidden="1" outlineLevel="3">
      <c r="B868" s="255" t="s">
        <v>967</v>
      </c>
      <c r="C868" s="245" t="s">
        <v>123</v>
      </c>
      <c r="D868" s="227" t="s">
        <v>124</v>
      </c>
      <c r="E868" s="241">
        <v>483725861</v>
      </c>
      <c r="F868" s="228">
        <f t="shared" si="77"/>
        <v>5.2427274764052581E-3</v>
      </c>
      <c r="G868" s="269">
        <f t="shared" si="78"/>
        <v>1.3647307294525031E-4</v>
      </c>
      <c r="H868" s="269"/>
      <c r="I868" s="269"/>
      <c r="J868" s="269"/>
      <c r="K868" s="269"/>
      <c r="L868" s="269"/>
      <c r="M868" s="269"/>
      <c r="N868" s="229">
        <v>0</v>
      </c>
      <c r="O868" s="229">
        <v>0</v>
      </c>
      <c r="P868" s="229">
        <v>0</v>
      </c>
      <c r="Q868" s="272">
        <v>0</v>
      </c>
      <c r="R868" s="256">
        <f t="shared" si="76"/>
        <v>0</v>
      </c>
      <c r="S868" s="256">
        <f t="shared" si="76"/>
        <v>0</v>
      </c>
      <c r="T868" s="256">
        <f t="shared" si="76"/>
        <v>0</v>
      </c>
    </row>
    <row r="869" spans="2:20" s="216" customFormat="1" ht="25.5" hidden="1" outlineLevel="3">
      <c r="B869" s="255" t="s">
        <v>968</v>
      </c>
      <c r="C869" s="245" t="s">
        <v>126</v>
      </c>
      <c r="D869" s="227" t="s">
        <v>127</v>
      </c>
      <c r="E869" s="241">
        <v>0</v>
      </c>
      <c r="F869" s="228">
        <f t="shared" si="77"/>
        <v>0</v>
      </c>
      <c r="G869" s="269">
        <f t="shared" si="78"/>
        <v>0</v>
      </c>
      <c r="H869" s="269"/>
      <c r="I869" s="269"/>
      <c r="J869" s="269"/>
      <c r="K869" s="269"/>
      <c r="L869" s="269"/>
      <c r="M869" s="269"/>
      <c r="N869" s="229">
        <v>0</v>
      </c>
      <c r="O869" s="229">
        <v>0</v>
      </c>
      <c r="P869" s="229">
        <v>0</v>
      </c>
      <c r="Q869" s="272">
        <v>0</v>
      </c>
      <c r="R869" s="256">
        <f t="shared" si="76"/>
        <v>0</v>
      </c>
      <c r="S869" s="256">
        <f t="shared" si="76"/>
        <v>0</v>
      </c>
      <c r="T869" s="256">
        <f t="shared" si="76"/>
        <v>0</v>
      </c>
    </row>
    <row r="870" spans="2:20" s="216" customFormat="1" ht="38.25" hidden="1" outlineLevel="3">
      <c r="B870" s="255" t="s">
        <v>969</v>
      </c>
      <c r="C870" s="245" t="s">
        <v>129</v>
      </c>
      <c r="D870" s="227" t="s">
        <v>130</v>
      </c>
      <c r="E870" s="241">
        <v>2120301256</v>
      </c>
      <c r="F870" s="228">
        <f t="shared" si="77"/>
        <v>2.2980292246743819E-2</v>
      </c>
      <c r="G870" s="269">
        <f t="shared" si="78"/>
        <v>5.9819838322845806E-4</v>
      </c>
      <c r="H870" s="269"/>
      <c r="I870" s="269"/>
      <c r="J870" s="269"/>
      <c r="K870" s="269"/>
      <c r="L870" s="269"/>
      <c r="M870" s="269"/>
      <c r="N870" s="229">
        <v>0</v>
      </c>
      <c r="O870" s="229">
        <v>0</v>
      </c>
      <c r="P870" s="229">
        <v>0</v>
      </c>
      <c r="Q870" s="272">
        <v>0</v>
      </c>
      <c r="R870" s="256">
        <f t="shared" si="76"/>
        <v>0</v>
      </c>
      <c r="S870" s="256">
        <f t="shared" si="76"/>
        <v>0</v>
      </c>
      <c r="T870" s="256">
        <f t="shared" si="76"/>
        <v>0</v>
      </c>
    </row>
    <row r="871" spans="2:20" s="140" customFormat="1" ht="25.5" hidden="1" outlineLevel="2">
      <c r="B871" s="259" t="s">
        <v>970</v>
      </c>
      <c r="C871" s="251"/>
      <c r="D871" s="236" t="s">
        <v>133</v>
      </c>
      <c r="E871" s="242">
        <f>+SUM(E872:E878)</f>
        <v>68661917777</v>
      </c>
      <c r="F871" s="232">
        <f>E871/$E$858</f>
        <v>0.15364965195292599</v>
      </c>
      <c r="G871" s="232">
        <f t="shared" si="78"/>
        <v>1.9371515291677365E-2</v>
      </c>
      <c r="H871" s="232"/>
      <c r="I871" s="232"/>
      <c r="J871" s="232"/>
      <c r="K871" s="232"/>
      <c r="L871" s="232"/>
      <c r="M871" s="232"/>
      <c r="N871" s="233">
        <f>SUMPRODUCT($F872:$F878,N872:N878)</f>
        <v>0</v>
      </c>
      <c r="O871" s="233">
        <f t="shared" ref="O871:Q871" si="79">SUMPRODUCT($F872:$F878,O872:O878)</f>
        <v>0</v>
      </c>
      <c r="P871" s="233">
        <f t="shared" si="79"/>
        <v>0</v>
      </c>
      <c r="Q871" s="274">
        <f t="shared" si="79"/>
        <v>9.2478020412459172E-2</v>
      </c>
      <c r="R871" s="260">
        <f t="shared" si="76"/>
        <v>0</v>
      </c>
      <c r="S871" s="260">
        <f t="shared" si="76"/>
        <v>0</v>
      </c>
      <c r="T871" s="260">
        <f t="shared" si="76"/>
        <v>0</v>
      </c>
    </row>
    <row r="872" spans="2:20" s="216" customFormat="1" ht="25.5" hidden="1" outlineLevel="3">
      <c r="B872" s="255" t="s">
        <v>971</v>
      </c>
      <c r="C872" s="245" t="s">
        <v>135</v>
      </c>
      <c r="D872" s="227" t="s">
        <v>136</v>
      </c>
      <c r="E872" s="241">
        <v>4921479346</v>
      </c>
      <c r="F872" s="228">
        <f>E872/$E$871</f>
        <v>7.1676986389805894E-2</v>
      </c>
      <c r="G872" s="269">
        <f t="shared" si="78"/>
        <v>1.3884918379114754E-3</v>
      </c>
      <c r="H872" s="269"/>
      <c r="I872" s="269"/>
      <c r="J872" s="269"/>
      <c r="K872" s="269"/>
      <c r="L872" s="269"/>
      <c r="M872" s="269"/>
      <c r="N872" s="229">
        <v>0</v>
      </c>
      <c r="O872" s="229">
        <v>0</v>
      </c>
      <c r="P872" s="229">
        <v>0</v>
      </c>
      <c r="Q872" s="272">
        <v>0.39</v>
      </c>
      <c r="R872" s="256">
        <f t="shared" si="76"/>
        <v>0</v>
      </c>
      <c r="S872" s="256">
        <f t="shared" si="76"/>
        <v>0</v>
      </c>
      <c r="T872" s="256">
        <f t="shared" si="76"/>
        <v>0</v>
      </c>
    </row>
    <row r="873" spans="2:20" s="216" customFormat="1" ht="25.5" hidden="1" outlineLevel="3">
      <c r="B873" s="255" t="s">
        <v>972</v>
      </c>
      <c r="C873" s="245" t="s">
        <v>138</v>
      </c>
      <c r="D873" s="227" t="s">
        <v>139</v>
      </c>
      <c r="E873" s="241">
        <v>10548431640</v>
      </c>
      <c r="F873" s="228">
        <f t="shared" ref="F873:F878" si="80">E873/$E$871</f>
        <v>0.15362856123913068</v>
      </c>
      <c r="G873" s="269">
        <f t="shared" si="78"/>
        <v>2.9760180232822129E-3</v>
      </c>
      <c r="H873" s="269"/>
      <c r="I873" s="269"/>
      <c r="J873" s="269"/>
      <c r="K873" s="269"/>
      <c r="L873" s="269"/>
      <c r="M873" s="269"/>
      <c r="N873" s="229">
        <v>0</v>
      </c>
      <c r="O873" s="229">
        <v>0</v>
      </c>
      <c r="P873" s="229">
        <v>0</v>
      </c>
      <c r="Q873" s="272">
        <v>0.42</v>
      </c>
      <c r="R873" s="256">
        <f t="shared" si="76"/>
        <v>0</v>
      </c>
      <c r="S873" s="256">
        <f t="shared" si="76"/>
        <v>0</v>
      </c>
      <c r="T873" s="256">
        <f t="shared" si="76"/>
        <v>0</v>
      </c>
    </row>
    <row r="874" spans="2:20" s="216" customFormat="1" ht="25.5" hidden="1" outlineLevel="3">
      <c r="B874" s="255" t="s">
        <v>973</v>
      </c>
      <c r="C874" s="245" t="s">
        <v>141</v>
      </c>
      <c r="D874" s="227" t="s">
        <v>142</v>
      </c>
      <c r="E874" s="241">
        <v>13787945814</v>
      </c>
      <c r="F874" s="228">
        <f t="shared" si="80"/>
        <v>0.20080921506999638</v>
      </c>
      <c r="G874" s="269">
        <f t="shared" si="78"/>
        <v>3.8899787804381638E-3</v>
      </c>
      <c r="H874" s="269"/>
      <c r="I874" s="269"/>
      <c r="J874" s="269"/>
      <c r="K874" s="269"/>
      <c r="L874" s="269"/>
      <c r="M874" s="269"/>
      <c r="N874" s="229">
        <v>0</v>
      </c>
      <c r="O874" s="229">
        <v>0</v>
      </c>
      <c r="P874" s="229">
        <v>0</v>
      </c>
      <c r="Q874" s="272">
        <v>0</v>
      </c>
      <c r="R874" s="256">
        <f t="shared" si="76"/>
        <v>0</v>
      </c>
      <c r="S874" s="256">
        <f t="shared" si="76"/>
        <v>0</v>
      </c>
      <c r="T874" s="256">
        <f t="shared" si="76"/>
        <v>0</v>
      </c>
    </row>
    <row r="875" spans="2:20" s="216" customFormat="1" ht="25.5" hidden="1" outlineLevel="3">
      <c r="B875" s="255" t="s">
        <v>974</v>
      </c>
      <c r="C875" s="245" t="s">
        <v>144</v>
      </c>
      <c r="D875" s="227" t="s">
        <v>145</v>
      </c>
      <c r="E875" s="241">
        <v>16244549893</v>
      </c>
      <c r="F875" s="228">
        <f t="shared" si="80"/>
        <v>0.2365874770023029</v>
      </c>
      <c r="G875" s="269">
        <f t="shared" si="78"/>
        <v>4.583057928569478E-3</v>
      </c>
      <c r="H875" s="269"/>
      <c r="I875" s="269"/>
      <c r="J875" s="269"/>
      <c r="K875" s="269"/>
      <c r="L875" s="269"/>
      <c r="M875" s="269"/>
      <c r="N875" s="229">
        <v>0</v>
      </c>
      <c r="O875" s="229">
        <v>0</v>
      </c>
      <c r="P875" s="229">
        <v>0</v>
      </c>
      <c r="Q875" s="272">
        <v>0</v>
      </c>
      <c r="R875" s="256">
        <f t="shared" si="76"/>
        <v>0</v>
      </c>
      <c r="S875" s="256">
        <f t="shared" si="76"/>
        <v>0</v>
      </c>
      <c r="T875" s="256">
        <f t="shared" si="76"/>
        <v>0</v>
      </c>
    </row>
    <row r="876" spans="2:20" s="216" customFormat="1" ht="12.75" hidden="1" outlineLevel="3">
      <c r="B876" s="255" t="s">
        <v>975</v>
      </c>
      <c r="C876" s="245" t="s">
        <v>147</v>
      </c>
      <c r="D876" s="227" t="s">
        <v>148</v>
      </c>
      <c r="E876" s="241">
        <v>9341862391</v>
      </c>
      <c r="F876" s="228">
        <f t="shared" si="80"/>
        <v>0.13605594911200233</v>
      </c>
      <c r="G876" s="269">
        <f t="shared" si="78"/>
        <v>2.6356098987468306E-3</v>
      </c>
      <c r="H876" s="269"/>
      <c r="I876" s="269"/>
      <c r="J876" s="269"/>
      <c r="K876" s="269"/>
      <c r="L876" s="269"/>
      <c r="M876" s="269"/>
      <c r="N876" s="229">
        <v>0</v>
      </c>
      <c r="O876" s="229">
        <v>0</v>
      </c>
      <c r="P876" s="229">
        <v>0</v>
      </c>
      <c r="Q876" s="272">
        <v>0</v>
      </c>
      <c r="R876" s="256">
        <f t="shared" si="76"/>
        <v>0</v>
      </c>
      <c r="S876" s="256">
        <f t="shared" si="76"/>
        <v>0</v>
      </c>
      <c r="T876" s="256">
        <f t="shared" si="76"/>
        <v>0</v>
      </c>
    </row>
    <row r="877" spans="2:20" s="216" customFormat="1" ht="25.5" hidden="1" outlineLevel="3">
      <c r="B877" s="255" t="s">
        <v>976</v>
      </c>
      <c r="C877" s="245" t="s">
        <v>150</v>
      </c>
      <c r="D877" s="227" t="s">
        <v>151</v>
      </c>
      <c r="E877" s="241">
        <v>7500000000</v>
      </c>
      <c r="F877" s="228">
        <f t="shared" si="80"/>
        <v>0.10923085522251913</v>
      </c>
      <c r="G877" s="269">
        <f t="shared" si="78"/>
        <v>2.1159671822660263E-3</v>
      </c>
      <c r="H877" s="269"/>
      <c r="I877" s="269"/>
      <c r="J877" s="269"/>
      <c r="K877" s="269"/>
      <c r="L877" s="269"/>
      <c r="M877" s="269"/>
      <c r="N877" s="229">
        <v>0</v>
      </c>
      <c r="O877" s="229">
        <v>0</v>
      </c>
      <c r="P877" s="229">
        <v>0</v>
      </c>
      <c r="Q877" s="272">
        <v>0</v>
      </c>
      <c r="R877" s="256">
        <f t="shared" si="76"/>
        <v>0</v>
      </c>
      <c r="S877" s="256">
        <f t="shared" si="76"/>
        <v>0</v>
      </c>
      <c r="T877" s="256">
        <f t="shared" si="76"/>
        <v>0</v>
      </c>
    </row>
    <row r="878" spans="2:20" s="216" customFormat="1" ht="25.5" hidden="1" outlineLevel="3">
      <c r="B878" s="255" t="s">
        <v>977</v>
      </c>
      <c r="C878" s="245" t="s">
        <v>153</v>
      </c>
      <c r="D878" s="227" t="s">
        <v>154</v>
      </c>
      <c r="E878" s="241">
        <v>6317648693</v>
      </c>
      <c r="F878" s="228">
        <f t="shared" si="80"/>
        <v>9.2010955964242705E-2</v>
      </c>
      <c r="G878" s="269">
        <f t="shared" si="78"/>
        <v>1.7823916404631802E-3</v>
      </c>
      <c r="H878" s="269"/>
      <c r="I878" s="269"/>
      <c r="J878" s="269"/>
      <c r="K878" s="269"/>
      <c r="L878" s="269"/>
      <c r="M878" s="269"/>
      <c r="N878" s="229">
        <v>0</v>
      </c>
      <c r="O878" s="229">
        <v>0</v>
      </c>
      <c r="P878" s="229">
        <v>0</v>
      </c>
      <c r="Q878" s="272">
        <v>0</v>
      </c>
      <c r="R878" s="256">
        <f t="shared" si="76"/>
        <v>0</v>
      </c>
      <c r="S878" s="256">
        <f t="shared" si="76"/>
        <v>0</v>
      </c>
      <c r="T878" s="256">
        <f t="shared" si="76"/>
        <v>0</v>
      </c>
    </row>
    <row r="879" spans="2:20" s="140" customFormat="1" ht="25.5" hidden="1" outlineLevel="1">
      <c r="B879" s="259" t="s">
        <v>957</v>
      </c>
      <c r="C879" s="251"/>
      <c r="D879" s="236" t="s">
        <v>157</v>
      </c>
      <c r="E879" s="242">
        <f>+SUM(E880:E884)</f>
        <v>68126520631</v>
      </c>
      <c r="F879" s="232">
        <f>E879/$E$858</f>
        <v>0.15245155571846505</v>
      </c>
      <c r="G879" s="232">
        <f t="shared" si="78"/>
        <v>1.9220464252955382E-2</v>
      </c>
      <c r="H879" s="232"/>
      <c r="I879" s="232"/>
      <c r="J879" s="232"/>
      <c r="K879" s="232"/>
      <c r="L879" s="232"/>
      <c r="M879" s="232"/>
      <c r="N879" s="233">
        <f>+SUMPRODUCT($F880:$F884,N880:N884)</f>
        <v>0</v>
      </c>
      <c r="O879" s="233">
        <f>+SUMPRODUCT($F880:$F884,O880:O884)</f>
        <v>0</v>
      </c>
      <c r="P879" s="233">
        <f>+SUMPRODUCT($F880:$F884,P880:P884)</f>
        <v>0</v>
      </c>
      <c r="Q879" s="274">
        <f>+SUMPRODUCT($F880:$F888,Q880:Q888)</f>
        <v>6.0861176424167093E-2</v>
      </c>
      <c r="R879" s="254">
        <f t="shared" si="76"/>
        <v>0</v>
      </c>
      <c r="S879" s="254">
        <f t="shared" si="76"/>
        <v>0</v>
      </c>
      <c r="T879" s="254">
        <f t="shared" si="76"/>
        <v>0</v>
      </c>
    </row>
    <row r="880" spans="2:20" s="216" customFormat="1" ht="12.75" hidden="1" outlineLevel="2">
      <c r="B880" s="255" t="s">
        <v>970</v>
      </c>
      <c r="C880" s="245" t="s">
        <v>181</v>
      </c>
      <c r="D880" s="227" t="s">
        <v>182</v>
      </c>
      <c r="E880" s="241">
        <v>55392097774</v>
      </c>
      <c r="F880" s="228">
        <f t="shared" ref="F880:F884" si="81">E880/$E$879</f>
        <v>0.81307686435397697</v>
      </c>
      <c r="G880" s="269">
        <f t="shared" si="78"/>
        <v>1.5627714806220664E-2</v>
      </c>
      <c r="H880" s="269"/>
      <c r="I880" s="269"/>
      <c r="J880" s="269"/>
      <c r="K880" s="269"/>
      <c r="L880" s="269"/>
      <c r="M880" s="269"/>
      <c r="N880" s="229">
        <v>0</v>
      </c>
      <c r="O880" s="229">
        <v>0</v>
      </c>
      <c r="P880" s="229">
        <v>0</v>
      </c>
      <c r="Q880" s="272">
        <v>0</v>
      </c>
      <c r="R880" s="256">
        <f t="shared" si="76"/>
        <v>0</v>
      </c>
      <c r="S880" s="256">
        <f t="shared" si="76"/>
        <v>0</v>
      </c>
      <c r="T880" s="256">
        <f t="shared" si="76"/>
        <v>0</v>
      </c>
    </row>
    <row r="881" spans="2:20" s="216" customFormat="1" ht="25.5" hidden="1" outlineLevel="2">
      <c r="B881" s="255" t="s">
        <v>978</v>
      </c>
      <c r="C881" s="245" t="s">
        <v>159</v>
      </c>
      <c r="D881" s="227" t="s">
        <v>160</v>
      </c>
      <c r="E881" s="241">
        <v>6367151848</v>
      </c>
      <c r="F881" s="228">
        <f t="shared" si="81"/>
        <v>9.3460693266385869E-2</v>
      </c>
      <c r="G881" s="269">
        <f t="shared" si="78"/>
        <v>1.7963579139829973E-3</v>
      </c>
      <c r="H881" s="269"/>
      <c r="I881" s="269"/>
      <c r="J881" s="269"/>
      <c r="K881" s="269"/>
      <c r="L881" s="269"/>
      <c r="M881" s="269"/>
      <c r="N881" s="229">
        <v>0</v>
      </c>
      <c r="O881" s="229">
        <v>0</v>
      </c>
      <c r="P881" s="229">
        <v>0</v>
      </c>
      <c r="Q881" s="272">
        <v>0</v>
      </c>
      <c r="R881" s="256">
        <f t="shared" si="76"/>
        <v>0</v>
      </c>
      <c r="S881" s="256">
        <f t="shared" si="76"/>
        <v>0</v>
      </c>
      <c r="T881" s="256">
        <f t="shared" si="76"/>
        <v>0</v>
      </c>
    </row>
    <row r="882" spans="2:20" s="216" customFormat="1" ht="25.5" hidden="1" outlineLevel="2">
      <c r="B882" s="255" t="s">
        <v>979</v>
      </c>
      <c r="C882" s="245" t="s">
        <v>162</v>
      </c>
      <c r="D882" s="227" t="s">
        <v>163</v>
      </c>
      <c r="E882" s="241">
        <v>2068897321</v>
      </c>
      <c r="F882" s="228">
        <f t="shared" si="81"/>
        <v>3.036845712708507E-2</v>
      </c>
      <c r="G882" s="269">
        <f t="shared" si="78"/>
        <v>5.8369584462854664E-4</v>
      </c>
      <c r="H882" s="269"/>
      <c r="I882" s="269"/>
      <c r="J882" s="269"/>
      <c r="K882" s="269"/>
      <c r="L882" s="269"/>
      <c r="M882" s="269"/>
      <c r="N882" s="229">
        <v>0</v>
      </c>
      <c r="O882" s="229">
        <v>0</v>
      </c>
      <c r="P882" s="229">
        <v>0</v>
      </c>
      <c r="Q882" s="272">
        <v>0</v>
      </c>
      <c r="R882" s="256">
        <f t="shared" si="76"/>
        <v>0</v>
      </c>
      <c r="S882" s="256">
        <f t="shared" si="76"/>
        <v>0</v>
      </c>
      <c r="T882" s="256">
        <f t="shared" si="76"/>
        <v>0</v>
      </c>
    </row>
    <row r="883" spans="2:20" s="216" customFormat="1" ht="12.75" hidden="1" outlineLevel="2">
      <c r="B883" s="255" t="s">
        <v>980</v>
      </c>
      <c r="C883" s="245" t="s">
        <v>165</v>
      </c>
      <c r="D883" s="227" t="s">
        <v>166</v>
      </c>
      <c r="E883" s="241">
        <v>2452696891</v>
      </c>
      <c r="F883" s="228">
        <f t="shared" si="81"/>
        <v>3.6002086533741685E-2</v>
      </c>
      <c r="G883" s="269">
        <f t="shared" si="78"/>
        <v>6.9197681725358833E-4</v>
      </c>
      <c r="H883" s="269"/>
      <c r="I883" s="269"/>
      <c r="J883" s="269"/>
      <c r="K883" s="269"/>
      <c r="L883" s="269"/>
      <c r="M883" s="269"/>
      <c r="N883" s="229">
        <v>0</v>
      </c>
      <c r="O883" s="229">
        <v>0</v>
      </c>
      <c r="P883" s="229">
        <v>0</v>
      </c>
      <c r="Q883" s="272">
        <v>0</v>
      </c>
      <c r="R883" s="256">
        <f t="shared" si="76"/>
        <v>0</v>
      </c>
      <c r="S883" s="256">
        <f t="shared" si="76"/>
        <v>0</v>
      </c>
      <c r="T883" s="256">
        <f t="shared" si="76"/>
        <v>0</v>
      </c>
    </row>
    <row r="884" spans="2:20" s="216" customFormat="1" ht="12.75" hidden="1" outlineLevel="2">
      <c r="B884" s="255" t="s">
        <v>981</v>
      </c>
      <c r="C884" s="245" t="s">
        <v>168</v>
      </c>
      <c r="D884" s="227" t="s">
        <v>169</v>
      </c>
      <c r="E884" s="241">
        <v>1845676797</v>
      </c>
      <c r="F884" s="228">
        <f t="shared" si="81"/>
        <v>2.7091898718810414E-2</v>
      </c>
      <c r="G884" s="269">
        <f t="shared" si="78"/>
        <v>5.2071887086958325E-4</v>
      </c>
      <c r="H884" s="269"/>
      <c r="I884" s="269"/>
      <c r="J884" s="269"/>
      <c r="K884" s="269"/>
      <c r="L884" s="269"/>
      <c r="M884" s="269"/>
      <c r="N884" s="229">
        <v>0</v>
      </c>
      <c r="O884" s="229">
        <v>0</v>
      </c>
      <c r="P884" s="229">
        <v>0</v>
      </c>
      <c r="Q884" s="272">
        <v>0</v>
      </c>
      <c r="R884" s="256">
        <f t="shared" si="76"/>
        <v>0</v>
      </c>
      <c r="S884" s="256">
        <f t="shared" si="76"/>
        <v>0</v>
      </c>
      <c r="T884" s="256">
        <f t="shared" si="76"/>
        <v>0</v>
      </c>
    </row>
    <row r="885" spans="2:20" s="140" customFormat="1" ht="25.5" hidden="1" outlineLevel="1">
      <c r="B885" s="259" t="s">
        <v>957</v>
      </c>
      <c r="C885" s="251"/>
      <c r="D885" s="236" t="s">
        <v>173</v>
      </c>
      <c r="E885" s="242">
        <f>+SUM(E886:E888)</f>
        <v>137603795730</v>
      </c>
      <c r="F885" s="232">
        <f>E885/$E$858</f>
        <v>0.30792579068332282</v>
      </c>
      <c r="G885" s="232">
        <f t="shared" si="78"/>
        <v>3.8822015455989053E-2</v>
      </c>
      <c r="H885" s="232"/>
      <c r="I885" s="232"/>
      <c r="J885" s="232"/>
      <c r="K885" s="232"/>
      <c r="L885" s="232"/>
      <c r="M885" s="232"/>
      <c r="N885" s="233">
        <f>+SUMPRODUCT($F886:$F888,N886:N888)</f>
        <v>0</v>
      </c>
      <c r="O885" s="233">
        <f>+SUMPRODUCT($F886:$F888,O886:O888)</f>
        <v>0</v>
      </c>
      <c r="P885" s="233">
        <f>+SUMPRODUCT($F886:$F888,P886:P888)</f>
        <v>0</v>
      </c>
      <c r="Q885" s="274">
        <f>+SUMPRODUCT($F886:$F888,Q886:Q888)</f>
        <v>4.6532591418944579E-2</v>
      </c>
      <c r="R885" s="254">
        <f t="shared" si="76"/>
        <v>0</v>
      </c>
      <c r="S885" s="254">
        <f t="shared" si="76"/>
        <v>0</v>
      </c>
      <c r="T885" s="254">
        <f t="shared" si="76"/>
        <v>0</v>
      </c>
    </row>
    <row r="886" spans="2:20" s="216" customFormat="1" ht="25.5" hidden="1" outlineLevel="2">
      <c r="B886" s="255" t="s">
        <v>958</v>
      </c>
      <c r="C886" s="245" t="s">
        <v>175</v>
      </c>
      <c r="D886" s="227" t="s">
        <v>176</v>
      </c>
      <c r="E886" s="241">
        <v>22868075730</v>
      </c>
      <c r="F886" s="228">
        <f>E886/$E$885</f>
        <v>0.16618782649623062</v>
      </c>
      <c r="G886" s="269">
        <f t="shared" si="78"/>
        <v>6.4517463688338926E-3</v>
      </c>
      <c r="H886" s="269"/>
      <c r="I886" s="269"/>
      <c r="J886" s="269"/>
      <c r="K886" s="269"/>
      <c r="L886" s="269"/>
      <c r="M886" s="269"/>
      <c r="N886" s="229">
        <v>0</v>
      </c>
      <c r="O886" s="229">
        <v>0</v>
      </c>
      <c r="P886" s="229">
        <v>0</v>
      </c>
      <c r="Q886" s="272">
        <v>0.28000000000000003</v>
      </c>
      <c r="R886" s="256">
        <f t="shared" si="76"/>
        <v>0</v>
      </c>
      <c r="S886" s="256">
        <f t="shared" si="76"/>
        <v>0</v>
      </c>
      <c r="T886" s="256">
        <f t="shared" si="76"/>
        <v>0</v>
      </c>
    </row>
    <row r="887" spans="2:20" s="216" customFormat="1" ht="25.5" hidden="1" outlineLevel="2">
      <c r="B887" s="255" t="s">
        <v>970</v>
      </c>
      <c r="C887" s="245" t="s">
        <v>178</v>
      </c>
      <c r="D887" s="227" t="s">
        <v>179</v>
      </c>
      <c r="E887" s="241">
        <v>49654650000</v>
      </c>
      <c r="F887" s="228">
        <f t="shared" ref="F887:F888" si="82">E887/$E$885</f>
        <v>0.36085232777611836</v>
      </c>
      <c r="G887" s="269">
        <f t="shared" si="78"/>
        <v>1.4009014646254097E-2</v>
      </c>
      <c r="H887" s="269"/>
      <c r="I887" s="269"/>
      <c r="J887" s="269"/>
      <c r="K887" s="269"/>
      <c r="L887" s="269"/>
      <c r="M887" s="269"/>
      <c r="N887" s="229">
        <v>0</v>
      </c>
      <c r="O887" s="229">
        <v>0</v>
      </c>
      <c r="P887" s="229">
        <v>0</v>
      </c>
      <c r="Q887" s="272">
        <v>0</v>
      </c>
      <c r="R887" s="256">
        <f t="shared" si="76"/>
        <v>0</v>
      </c>
      <c r="S887" s="256">
        <f t="shared" si="76"/>
        <v>0</v>
      </c>
      <c r="T887" s="256">
        <f t="shared" si="76"/>
        <v>0</v>
      </c>
    </row>
    <row r="888" spans="2:20" s="216" customFormat="1" ht="25.5" hidden="1" outlineLevel="2">
      <c r="B888" s="255" t="s">
        <v>978</v>
      </c>
      <c r="C888" s="245"/>
      <c r="D888" s="227" t="s">
        <v>439</v>
      </c>
      <c r="E888" s="241">
        <v>65081070000</v>
      </c>
      <c r="F888" s="228">
        <f t="shared" si="82"/>
        <v>0.47295984572765098</v>
      </c>
      <c r="G888" s="269">
        <f t="shared" si="78"/>
        <v>1.8361254440901066E-2</v>
      </c>
      <c r="H888" s="269"/>
      <c r="I888" s="269"/>
      <c r="J888" s="269"/>
      <c r="K888" s="269"/>
      <c r="L888" s="269"/>
      <c r="M888" s="269"/>
      <c r="N888" s="229">
        <v>0</v>
      </c>
      <c r="O888" s="229">
        <v>0</v>
      </c>
      <c r="P888" s="229">
        <v>0</v>
      </c>
      <c r="Q888" s="272">
        <v>0</v>
      </c>
      <c r="R888" s="256">
        <f t="shared" si="76"/>
        <v>0</v>
      </c>
      <c r="S888" s="256">
        <f t="shared" si="76"/>
        <v>0</v>
      </c>
      <c r="T888" s="256">
        <f t="shared" si="76"/>
        <v>0</v>
      </c>
    </row>
    <row r="889" spans="2:20" s="140" customFormat="1" ht="12.75" hidden="1" outlineLevel="1">
      <c r="B889" s="259" t="s">
        <v>957</v>
      </c>
      <c r="C889" s="251"/>
      <c r="D889" s="236" t="s">
        <v>441</v>
      </c>
      <c r="E889" s="242">
        <f>+SUM(E890)</f>
        <v>80214935629.369995</v>
      </c>
      <c r="F889" s="232">
        <f>E889/$E$858</f>
        <v>0.17950266086228694</v>
      </c>
      <c r="G889" s="232">
        <f t="shared" si="78"/>
        <v>2.2630956175910492E-2</v>
      </c>
      <c r="H889" s="232"/>
      <c r="I889" s="232"/>
      <c r="J889" s="232"/>
      <c r="K889" s="232"/>
      <c r="L889" s="232"/>
      <c r="M889" s="232"/>
      <c r="N889" s="233">
        <f>N890</f>
        <v>0</v>
      </c>
      <c r="O889" s="233">
        <f t="shared" ref="O889:Q889" si="83">O890</f>
        <v>0</v>
      </c>
      <c r="P889" s="233">
        <f t="shared" si="83"/>
        <v>0</v>
      </c>
      <c r="Q889" s="274">
        <f t="shared" si="83"/>
        <v>0</v>
      </c>
      <c r="R889" s="254">
        <f t="shared" si="76"/>
        <v>0</v>
      </c>
      <c r="S889" s="254">
        <f t="shared" si="76"/>
        <v>0</v>
      </c>
      <c r="T889" s="254">
        <f t="shared" si="76"/>
        <v>0</v>
      </c>
    </row>
    <row r="890" spans="2:20" s="216" customFormat="1" ht="38.25" hidden="1" outlineLevel="2">
      <c r="B890" s="255" t="s">
        <v>958</v>
      </c>
      <c r="C890" s="245" t="s">
        <v>187</v>
      </c>
      <c r="D890" s="227" t="s">
        <v>982</v>
      </c>
      <c r="E890" s="241">
        <v>80214935629.369995</v>
      </c>
      <c r="F890" s="228">
        <f>E890/$E$889</f>
        <v>1</v>
      </c>
      <c r="G890" s="269">
        <f t="shared" si="78"/>
        <v>2.2630956175910492E-2</v>
      </c>
      <c r="H890" s="269"/>
      <c r="I890" s="269"/>
      <c r="J890" s="269"/>
      <c r="K890" s="269"/>
      <c r="L890" s="269"/>
      <c r="M890" s="269"/>
      <c r="N890" s="229">
        <v>0</v>
      </c>
      <c r="O890" s="229">
        <v>0</v>
      </c>
      <c r="P890" s="229">
        <v>0</v>
      </c>
      <c r="Q890" s="272">
        <v>0</v>
      </c>
      <c r="R890" s="256">
        <f t="shared" si="76"/>
        <v>0</v>
      </c>
      <c r="S890" s="256">
        <f t="shared" si="76"/>
        <v>0</v>
      </c>
      <c r="T890" s="256">
        <f t="shared" si="76"/>
        <v>0</v>
      </c>
    </row>
    <row r="891" spans="2:20" s="140" customFormat="1" ht="12.75" hidden="1" outlineLevel="1">
      <c r="B891" s="294" t="s">
        <v>983</v>
      </c>
      <c r="C891" s="294"/>
      <c r="D891" s="294" t="s">
        <v>193</v>
      </c>
      <c r="E891" s="295">
        <f>+SUM(E892:E903)</f>
        <v>176063132660</v>
      </c>
      <c r="F891" s="296">
        <f>+E891/$E$718</f>
        <v>6.6185886869288876E-2</v>
      </c>
      <c r="G891" s="296">
        <f t="shared" si="78"/>
        <v>4.9672508095401295E-2</v>
      </c>
      <c r="H891" s="296"/>
      <c r="I891" s="296"/>
      <c r="J891" s="296"/>
      <c r="K891" s="296"/>
      <c r="L891" s="296"/>
      <c r="M891" s="296"/>
      <c r="N891" s="296">
        <f>+SUMPRODUCT($F892:$F903,N892:N903)</f>
        <v>0</v>
      </c>
      <c r="O891" s="296">
        <f t="shared" ref="O891:Q891" si="84">+SUMPRODUCT($F892:$F903,O892:O903)</f>
        <v>0</v>
      </c>
      <c r="P891" s="296">
        <f t="shared" si="84"/>
        <v>0</v>
      </c>
      <c r="Q891" s="296">
        <f t="shared" si="84"/>
        <v>0</v>
      </c>
      <c r="R891" s="296">
        <f t="shared" si="76"/>
        <v>0</v>
      </c>
      <c r="S891" s="296">
        <f t="shared" si="76"/>
        <v>0</v>
      </c>
      <c r="T891" s="296">
        <f t="shared" si="76"/>
        <v>0</v>
      </c>
    </row>
    <row r="892" spans="2:20" s="216" customFormat="1" ht="12.75" hidden="1" outlineLevel="1">
      <c r="B892" s="255" t="s">
        <v>984</v>
      </c>
      <c r="C892" s="245" t="s">
        <v>195</v>
      </c>
      <c r="D892" s="227" t="s">
        <v>196</v>
      </c>
      <c r="E892" s="241">
        <v>20180432660</v>
      </c>
      <c r="F892" s="228">
        <f>E892/$E$891</f>
        <v>0.11462043390407546</v>
      </c>
      <c r="G892" s="269">
        <f t="shared" si="78"/>
        <v>5.6934844309985974E-3</v>
      </c>
      <c r="H892" s="269"/>
      <c r="I892" s="269"/>
      <c r="J892" s="269"/>
      <c r="K892" s="269"/>
      <c r="L892" s="269"/>
      <c r="M892" s="269"/>
      <c r="N892" s="229">
        <v>0</v>
      </c>
      <c r="O892" s="229">
        <v>0</v>
      </c>
      <c r="P892" s="229">
        <v>0</v>
      </c>
      <c r="Q892" s="272">
        <v>0</v>
      </c>
      <c r="R892" s="256">
        <f t="shared" si="76"/>
        <v>0</v>
      </c>
      <c r="S892" s="256">
        <f t="shared" si="76"/>
        <v>0</v>
      </c>
      <c r="T892" s="256">
        <f t="shared" si="76"/>
        <v>0</v>
      </c>
    </row>
    <row r="893" spans="2:20" s="216" customFormat="1" ht="12.75" hidden="1" outlineLevel="1">
      <c r="B893" s="255" t="s">
        <v>985</v>
      </c>
      <c r="C893" s="245" t="s">
        <v>198</v>
      </c>
      <c r="D893" s="227" t="s">
        <v>199</v>
      </c>
      <c r="E893" s="241">
        <v>29780100000</v>
      </c>
      <c r="F893" s="228">
        <f t="shared" ref="F893:F903" si="85">E893/$E$891</f>
        <v>0.16914444012256166</v>
      </c>
      <c r="G893" s="269">
        <f t="shared" si="78"/>
        <v>8.401828571280065E-3</v>
      </c>
      <c r="H893" s="269"/>
      <c r="I893" s="269"/>
      <c r="J893" s="269"/>
      <c r="K893" s="269"/>
      <c r="L893" s="269"/>
      <c r="M893" s="269"/>
      <c r="N893" s="229">
        <v>0</v>
      </c>
      <c r="O893" s="229">
        <v>0</v>
      </c>
      <c r="P893" s="229">
        <v>0</v>
      </c>
      <c r="Q893" s="272">
        <v>0</v>
      </c>
      <c r="R893" s="256">
        <f t="shared" si="76"/>
        <v>0</v>
      </c>
      <c r="S893" s="256">
        <f t="shared" si="76"/>
        <v>0</v>
      </c>
      <c r="T893" s="256">
        <f t="shared" si="76"/>
        <v>0</v>
      </c>
    </row>
    <row r="894" spans="2:20" s="216" customFormat="1" ht="12.75" hidden="1" outlineLevel="1">
      <c r="B894" s="255" t="s">
        <v>986</v>
      </c>
      <c r="C894" s="245" t="s">
        <v>201</v>
      </c>
      <c r="D894" s="227" t="s">
        <v>202</v>
      </c>
      <c r="E894" s="241">
        <v>27102600000</v>
      </c>
      <c r="F894" s="228">
        <f t="shared" si="85"/>
        <v>0.15393682703771108</v>
      </c>
      <c r="G894" s="269">
        <f t="shared" si="78"/>
        <v>7.6464282872110937E-3</v>
      </c>
      <c r="H894" s="269"/>
      <c r="I894" s="269"/>
      <c r="J894" s="269"/>
      <c r="K894" s="269"/>
      <c r="L894" s="269"/>
      <c r="M894" s="269"/>
      <c r="N894" s="229">
        <v>0</v>
      </c>
      <c r="O894" s="229">
        <v>0</v>
      </c>
      <c r="P894" s="229">
        <v>0</v>
      </c>
      <c r="Q894" s="272">
        <v>0</v>
      </c>
      <c r="R894" s="256">
        <f t="shared" si="76"/>
        <v>0</v>
      </c>
      <c r="S894" s="256">
        <f t="shared" si="76"/>
        <v>0</v>
      </c>
      <c r="T894" s="256">
        <f t="shared" si="76"/>
        <v>0</v>
      </c>
    </row>
    <row r="895" spans="2:20" s="216" customFormat="1" ht="12.75" hidden="1" outlineLevel="1">
      <c r="B895" s="255" t="s">
        <v>987</v>
      </c>
      <c r="C895" s="245" t="s">
        <v>204</v>
      </c>
      <c r="D895" s="227" t="s">
        <v>205</v>
      </c>
      <c r="E895" s="241">
        <v>6900000000</v>
      </c>
      <c r="F895" s="228">
        <f t="shared" si="85"/>
        <v>3.9190487501575728E-2</v>
      </c>
      <c r="G895" s="269">
        <f t="shared" si="78"/>
        <v>1.9466898076847441E-3</v>
      </c>
      <c r="H895" s="269"/>
      <c r="I895" s="269"/>
      <c r="J895" s="269"/>
      <c r="K895" s="269"/>
      <c r="L895" s="269"/>
      <c r="M895" s="269"/>
      <c r="N895" s="229">
        <v>0</v>
      </c>
      <c r="O895" s="229">
        <v>0</v>
      </c>
      <c r="P895" s="229">
        <v>0</v>
      </c>
      <c r="Q895" s="272">
        <v>0</v>
      </c>
      <c r="R895" s="256">
        <f t="shared" si="76"/>
        <v>0</v>
      </c>
      <c r="S895" s="256">
        <f t="shared" si="76"/>
        <v>0</v>
      </c>
      <c r="T895" s="256">
        <f t="shared" si="76"/>
        <v>0</v>
      </c>
    </row>
    <row r="896" spans="2:20" s="216" customFormat="1" ht="12.75" hidden="1" outlineLevel="1">
      <c r="B896" s="255" t="s">
        <v>988</v>
      </c>
      <c r="C896" s="245" t="s">
        <v>207</v>
      </c>
      <c r="D896" s="227" t="s">
        <v>205</v>
      </c>
      <c r="E896" s="241">
        <v>6900000000</v>
      </c>
      <c r="F896" s="228">
        <f t="shared" si="85"/>
        <v>3.9190487501575728E-2</v>
      </c>
      <c r="G896" s="269">
        <f t="shared" si="78"/>
        <v>1.9466898076847441E-3</v>
      </c>
      <c r="H896" s="269"/>
      <c r="I896" s="269"/>
      <c r="J896" s="269"/>
      <c r="K896" s="269"/>
      <c r="L896" s="269"/>
      <c r="M896" s="269"/>
      <c r="N896" s="229">
        <v>0</v>
      </c>
      <c r="O896" s="229">
        <v>0</v>
      </c>
      <c r="P896" s="229">
        <v>0</v>
      </c>
      <c r="Q896" s="272">
        <v>0</v>
      </c>
      <c r="R896" s="256">
        <f t="shared" si="76"/>
        <v>0</v>
      </c>
      <c r="S896" s="256">
        <f t="shared" si="76"/>
        <v>0</v>
      </c>
      <c r="T896" s="256">
        <f t="shared" si="76"/>
        <v>0</v>
      </c>
    </row>
    <row r="897" spans="2:20" s="216" customFormat="1" ht="12.75" hidden="1" outlineLevel="1">
      <c r="B897" s="255" t="s">
        <v>989</v>
      </c>
      <c r="C897" s="245" t="s">
        <v>209</v>
      </c>
      <c r="D897" s="227" t="s">
        <v>205</v>
      </c>
      <c r="E897" s="241">
        <v>6900000000</v>
      </c>
      <c r="F897" s="228">
        <f t="shared" si="85"/>
        <v>3.9190487501575728E-2</v>
      </c>
      <c r="G897" s="269">
        <f t="shared" si="78"/>
        <v>1.9466898076847441E-3</v>
      </c>
      <c r="H897" s="269"/>
      <c r="I897" s="269"/>
      <c r="J897" s="269"/>
      <c r="K897" s="269"/>
      <c r="L897" s="269"/>
      <c r="M897" s="269"/>
      <c r="N897" s="229">
        <v>0</v>
      </c>
      <c r="O897" s="229">
        <v>0</v>
      </c>
      <c r="P897" s="229">
        <v>0</v>
      </c>
      <c r="Q897" s="272">
        <v>0</v>
      </c>
      <c r="R897" s="256">
        <f t="shared" si="76"/>
        <v>0</v>
      </c>
      <c r="S897" s="256">
        <f t="shared" si="76"/>
        <v>0</v>
      </c>
      <c r="T897" s="256">
        <f t="shared" si="76"/>
        <v>0</v>
      </c>
    </row>
    <row r="898" spans="2:20" s="216" customFormat="1" ht="12.75" hidden="1" outlineLevel="1">
      <c r="B898" s="255" t="s">
        <v>990</v>
      </c>
      <c r="C898" s="245" t="s">
        <v>211</v>
      </c>
      <c r="D898" s="227" t="s">
        <v>205</v>
      </c>
      <c r="E898" s="241">
        <v>6900000000</v>
      </c>
      <c r="F898" s="228">
        <f t="shared" si="85"/>
        <v>3.9190487501575728E-2</v>
      </c>
      <c r="G898" s="269">
        <f t="shared" si="78"/>
        <v>1.9466898076847441E-3</v>
      </c>
      <c r="H898" s="269"/>
      <c r="I898" s="269"/>
      <c r="J898" s="269"/>
      <c r="K898" s="269"/>
      <c r="L898" s="269"/>
      <c r="M898" s="269"/>
      <c r="N898" s="229">
        <v>0</v>
      </c>
      <c r="O898" s="229">
        <v>0</v>
      </c>
      <c r="P898" s="229">
        <v>0</v>
      </c>
      <c r="Q898" s="272">
        <v>0</v>
      </c>
      <c r="R898" s="256">
        <f t="shared" si="76"/>
        <v>0</v>
      </c>
      <c r="S898" s="256">
        <f t="shared" si="76"/>
        <v>0</v>
      </c>
      <c r="T898" s="256">
        <f t="shared" si="76"/>
        <v>0</v>
      </c>
    </row>
    <row r="899" spans="2:20" s="216" customFormat="1" ht="12.75" hidden="1" outlineLevel="1">
      <c r="B899" s="255" t="s">
        <v>991</v>
      </c>
      <c r="C899" s="245" t="s">
        <v>213</v>
      </c>
      <c r="D899" s="227" t="s">
        <v>205</v>
      </c>
      <c r="E899" s="241">
        <v>6900000000</v>
      </c>
      <c r="F899" s="228">
        <f t="shared" si="85"/>
        <v>3.9190487501575728E-2</v>
      </c>
      <c r="G899" s="269">
        <f t="shared" si="78"/>
        <v>1.9466898076847441E-3</v>
      </c>
      <c r="H899" s="269"/>
      <c r="I899" s="269"/>
      <c r="J899" s="269"/>
      <c r="K899" s="269"/>
      <c r="L899" s="269"/>
      <c r="M899" s="269"/>
      <c r="N899" s="229">
        <v>0</v>
      </c>
      <c r="O899" s="229">
        <v>0</v>
      </c>
      <c r="P899" s="229">
        <v>0</v>
      </c>
      <c r="Q899" s="272">
        <v>0</v>
      </c>
      <c r="R899" s="256">
        <f t="shared" si="76"/>
        <v>0</v>
      </c>
      <c r="S899" s="256">
        <f t="shared" si="76"/>
        <v>0</v>
      </c>
      <c r="T899" s="256">
        <f t="shared" si="76"/>
        <v>0</v>
      </c>
    </row>
    <row r="900" spans="2:20" s="216" customFormat="1" ht="12.75" hidden="1" outlineLevel="1">
      <c r="B900" s="255" t="s">
        <v>992</v>
      </c>
      <c r="C900" s="281" t="s">
        <v>215</v>
      </c>
      <c r="D900" s="282" t="s">
        <v>216</v>
      </c>
      <c r="E900" s="283">
        <v>7200000000</v>
      </c>
      <c r="F900" s="284">
        <f t="shared" si="85"/>
        <v>4.0894421740774678E-2</v>
      </c>
      <c r="G900" s="285">
        <f t="shared" si="78"/>
        <v>2.0313284949753851E-3</v>
      </c>
      <c r="H900" s="285"/>
      <c r="I900" s="285"/>
      <c r="J900" s="285"/>
      <c r="K900" s="285"/>
      <c r="L900" s="285"/>
      <c r="M900" s="285"/>
      <c r="N900" s="286">
        <v>0</v>
      </c>
      <c r="O900" s="286">
        <v>0</v>
      </c>
      <c r="P900" s="286">
        <v>0</v>
      </c>
      <c r="Q900" s="287">
        <v>0</v>
      </c>
      <c r="R900" s="288">
        <f t="shared" si="76"/>
        <v>0</v>
      </c>
      <c r="S900" s="288">
        <f t="shared" si="76"/>
        <v>0</v>
      </c>
      <c r="T900" s="288">
        <f t="shared" si="76"/>
        <v>0</v>
      </c>
    </row>
    <row r="901" spans="2:20" s="216" customFormat="1" ht="12.75" hidden="1" outlineLevel="1">
      <c r="B901" s="255" t="s">
        <v>993</v>
      </c>
      <c r="C901" s="281" t="s">
        <v>218</v>
      </c>
      <c r="D901" s="282" t="s">
        <v>219</v>
      </c>
      <c r="E901" s="283">
        <v>23100000000</v>
      </c>
      <c r="F901" s="284">
        <f t="shared" si="85"/>
        <v>0.13120293641831876</v>
      </c>
      <c r="G901" s="285">
        <f t="shared" si="78"/>
        <v>6.5171789213793602E-3</v>
      </c>
      <c r="H901" s="285"/>
      <c r="I901" s="285"/>
      <c r="J901" s="285"/>
      <c r="K901" s="285"/>
      <c r="L901" s="285"/>
      <c r="M901" s="285"/>
      <c r="N901" s="286">
        <v>0</v>
      </c>
      <c r="O901" s="286">
        <v>0</v>
      </c>
      <c r="P901" s="286">
        <v>0</v>
      </c>
      <c r="Q901" s="287">
        <v>0</v>
      </c>
      <c r="R901" s="288">
        <f t="shared" si="76"/>
        <v>0</v>
      </c>
      <c r="S901" s="288">
        <f t="shared" si="76"/>
        <v>0</v>
      </c>
      <c r="T901" s="288">
        <f t="shared" si="76"/>
        <v>0</v>
      </c>
    </row>
    <row r="902" spans="2:20" s="216" customFormat="1" ht="12.75" hidden="1" outlineLevel="1">
      <c r="B902" s="255" t="s">
        <v>994</v>
      </c>
      <c r="C902" s="281" t="s">
        <v>221</v>
      </c>
      <c r="D902" s="282" t="s">
        <v>222</v>
      </c>
      <c r="E902" s="283">
        <v>30000000000</v>
      </c>
      <c r="F902" s="284">
        <f t="shared" si="85"/>
        <v>0.17039342391989448</v>
      </c>
      <c r="G902" s="285">
        <f t="shared" si="78"/>
        <v>8.4638687290641054E-3</v>
      </c>
      <c r="H902" s="285"/>
      <c r="I902" s="285"/>
      <c r="J902" s="285"/>
      <c r="K902" s="285"/>
      <c r="L902" s="285"/>
      <c r="M902" s="285"/>
      <c r="N902" s="286">
        <v>0</v>
      </c>
      <c r="O902" s="286">
        <v>0</v>
      </c>
      <c r="P902" s="286">
        <v>0</v>
      </c>
      <c r="Q902" s="287">
        <v>0</v>
      </c>
      <c r="R902" s="288">
        <f t="shared" si="76"/>
        <v>0</v>
      </c>
      <c r="S902" s="288">
        <f t="shared" si="76"/>
        <v>0</v>
      </c>
      <c r="T902" s="288">
        <f t="shared" si="76"/>
        <v>0</v>
      </c>
    </row>
    <row r="903" spans="2:20" s="216" customFormat="1" ht="13.5" hidden="1" outlineLevel="1" thickBot="1">
      <c r="B903" s="255" t="s">
        <v>995</v>
      </c>
      <c r="C903" s="281" t="s">
        <v>224</v>
      </c>
      <c r="D903" s="282" t="s">
        <v>225</v>
      </c>
      <c r="E903" s="283">
        <v>4200000000</v>
      </c>
      <c r="F903" s="284">
        <f t="shared" si="85"/>
        <v>2.3855079348785228E-2</v>
      </c>
      <c r="G903" s="285">
        <f t="shared" si="78"/>
        <v>1.1849416220689746E-3</v>
      </c>
      <c r="H903" s="285"/>
      <c r="I903" s="285"/>
      <c r="J903" s="285"/>
      <c r="K903" s="285"/>
      <c r="L903" s="285"/>
      <c r="M903" s="285"/>
      <c r="N903" s="286">
        <v>0</v>
      </c>
      <c r="O903" s="286">
        <v>0</v>
      </c>
      <c r="P903" s="286">
        <v>0</v>
      </c>
      <c r="Q903" s="287">
        <v>0</v>
      </c>
      <c r="R903" s="288">
        <f t="shared" si="76"/>
        <v>0</v>
      </c>
      <c r="S903" s="288">
        <f t="shared" si="76"/>
        <v>0</v>
      </c>
      <c r="T903" s="288">
        <f t="shared" si="76"/>
        <v>0</v>
      </c>
    </row>
    <row r="904" spans="2:20" s="140" customFormat="1" ht="13.5" collapsed="1" thickBot="1">
      <c r="B904" s="312">
        <v>6</v>
      </c>
      <c r="C904" s="313"/>
      <c r="D904" s="314" t="s">
        <v>996</v>
      </c>
      <c r="E904" s="315"/>
      <c r="F904" s="316"/>
      <c r="G904" s="317">
        <v>0.01</v>
      </c>
      <c r="H904" s="317"/>
      <c r="I904" s="317"/>
      <c r="J904" s="317"/>
      <c r="K904" s="317"/>
      <c r="L904" s="317"/>
      <c r="M904" s="317"/>
      <c r="N904" s="318">
        <f>+SUMPRODUCT($F905:$F908,N905:N908)</f>
        <v>0</v>
      </c>
      <c r="O904" s="318">
        <f>+SUMPRODUCT($F905:$F908,O905:O908)</f>
        <v>0</v>
      </c>
      <c r="P904" s="318">
        <f>+SUMPRODUCT($F905:$F908,P905:P908)</f>
        <v>0</v>
      </c>
      <c r="Q904" s="319">
        <f>+SUMPRODUCT($F905:$F908,Q905:Q908)</f>
        <v>0</v>
      </c>
      <c r="R904" s="320">
        <f t="shared" si="76"/>
        <v>0</v>
      </c>
      <c r="S904" s="320">
        <f t="shared" si="76"/>
        <v>0</v>
      </c>
      <c r="T904" s="320">
        <f t="shared" si="76"/>
        <v>0</v>
      </c>
    </row>
    <row r="905" spans="2:20" s="140" customFormat="1" ht="12.75" hidden="1" outlineLevel="1">
      <c r="B905" s="252">
        <v>6.1</v>
      </c>
      <c r="C905" s="244"/>
      <c r="D905" s="225" t="s">
        <v>997</v>
      </c>
      <c r="E905" s="239"/>
      <c r="F905" s="221">
        <v>0.2</v>
      </c>
      <c r="G905" s="226">
        <f>+E905*$G$718/$E$718</f>
        <v>0</v>
      </c>
      <c r="H905" s="226"/>
      <c r="I905" s="226"/>
      <c r="J905" s="226"/>
      <c r="K905" s="226"/>
      <c r="L905" s="226"/>
      <c r="M905" s="226"/>
      <c r="N905" s="222">
        <v>0</v>
      </c>
      <c r="O905" s="222">
        <v>0</v>
      </c>
      <c r="P905" s="222">
        <v>0</v>
      </c>
      <c r="Q905" s="250">
        <v>0</v>
      </c>
      <c r="R905" s="253">
        <f t="shared" si="76"/>
        <v>0</v>
      </c>
      <c r="S905" s="253">
        <f t="shared" si="76"/>
        <v>0</v>
      </c>
      <c r="T905" s="253">
        <f t="shared" si="76"/>
        <v>0</v>
      </c>
    </row>
    <row r="906" spans="2:20" s="140" customFormat="1" ht="12.75" hidden="1" outlineLevel="1">
      <c r="B906" s="252">
        <v>6.2</v>
      </c>
      <c r="C906" s="244"/>
      <c r="D906" s="225" t="s">
        <v>998</v>
      </c>
      <c r="E906" s="239"/>
      <c r="F906" s="221">
        <v>0.35</v>
      </c>
      <c r="G906" s="226">
        <f>+E906*$G$718/$E$718</f>
        <v>0</v>
      </c>
      <c r="H906" s="226"/>
      <c r="I906" s="226"/>
      <c r="J906" s="226"/>
      <c r="K906" s="226"/>
      <c r="L906" s="226"/>
      <c r="M906" s="226"/>
      <c r="N906" s="222">
        <v>0</v>
      </c>
      <c r="O906" s="222">
        <v>0</v>
      </c>
      <c r="P906" s="222">
        <v>0</v>
      </c>
      <c r="Q906" s="250">
        <v>0</v>
      </c>
      <c r="R906" s="253">
        <f t="shared" si="76"/>
        <v>0</v>
      </c>
      <c r="S906" s="253">
        <f t="shared" si="76"/>
        <v>0</v>
      </c>
      <c r="T906" s="253">
        <f t="shared" si="76"/>
        <v>0</v>
      </c>
    </row>
    <row r="907" spans="2:20" s="140" customFormat="1" ht="12.75" hidden="1" outlineLevel="1">
      <c r="B907" s="252">
        <v>6.3</v>
      </c>
      <c r="C907" s="244"/>
      <c r="D907" s="225" t="s">
        <v>999</v>
      </c>
      <c r="E907" s="239"/>
      <c r="F907" s="221">
        <v>0.35</v>
      </c>
      <c r="G907" s="226">
        <f>+E907*$G$718/$E$718</f>
        <v>0</v>
      </c>
      <c r="H907" s="226"/>
      <c r="I907" s="226"/>
      <c r="J907" s="226"/>
      <c r="K907" s="226"/>
      <c r="L907" s="226"/>
      <c r="M907" s="226"/>
      <c r="N907" s="222">
        <v>0</v>
      </c>
      <c r="O907" s="222">
        <v>0</v>
      </c>
      <c r="P907" s="222">
        <v>0</v>
      </c>
      <c r="Q907" s="250">
        <v>0</v>
      </c>
      <c r="R907" s="253">
        <f t="shared" si="76"/>
        <v>0</v>
      </c>
      <c r="S907" s="253">
        <f t="shared" si="76"/>
        <v>0</v>
      </c>
      <c r="T907" s="253">
        <f t="shared" si="76"/>
        <v>0</v>
      </c>
    </row>
    <row r="908" spans="2:20" s="140" customFormat="1" ht="13.5" hidden="1" outlineLevel="1" thickBot="1">
      <c r="B908" s="261">
        <v>6.4</v>
      </c>
      <c r="C908" s="262"/>
      <c r="D908" s="263" t="s">
        <v>1000</v>
      </c>
      <c r="E908" s="264"/>
      <c r="F908" s="265">
        <v>0.1</v>
      </c>
      <c r="G908" s="266">
        <f>+E908*$G$718/$E$718</f>
        <v>0</v>
      </c>
      <c r="H908" s="266"/>
      <c r="I908" s="266"/>
      <c r="J908" s="266"/>
      <c r="K908" s="266"/>
      <c r="L908" s="266"/>
      <c r="M908" s="266"/>
      <c r="N908" s="267">
        <v>0</v>
      </c>
      <c r="O908" s="267">
        <v>0</v>
      </c>
      <c r="P908" s="267">
        <v>0</v>
      </c>
      <c r="Q908" s="271">
        <v>0</v>
      </c>
      <c r="R908" s="268">
        <f t="shared" si="76"/>
        <v>0</v>
      </c>
      <c r="S908" s="268">
        <f t="shared" si="76"/>
        <v>0</v>
      </c>
      <c r="T908" s="268">
        <f t="shared" si="76"/>
        <v>0</v>
      </c>
    </row>
    <row r="909" spans="2:20" s="140" customFormat="1" ht="12.75" collapsed="1">
      <c r="B909" s="312">
        <v>7</v>
      </c>
      <c r="C909" s="313"/>
      <c r="D909" s="314" t="s">
        <v>1001</v>
      </c>
      <c r="E909" s="315"/>
      <c r="F909" s="316"/>
      <c r="G909" s="317">
        <v>0</v>
      </c>
      <c r="H909" s="317"/>
      <c r="I909" s="317"/>
      <c r="J909" s="317"/>
      <c r="K909" s="317"/>
      <c r="L909" s="317"/>
      <c r="M909" s="317"/>
      <c r="N909" s="318">
        <f>+SUMPRODUCT($F910:$F911,N910:N911)</f>
        <v>0</v>
      </c>
      <c r="O909" s="318">
        <f>+SUMPRODUCT($F910:$F911,O910:O911)</f>
        <v>0</v>
      </c>
      <c r="P909" s="318">
        <f>+SUMPRODUCT($F910:$F911,P910:P911)</f>
        <v>0</v>
      </c>
      <c r="Q909" s="319">
        <f>+SUMPRODUCT($F910:$F911,Q910:Q911)</f>
        <v>0</v>
      </c>
      <c r="R909" s="320">
        <f t="shared" si="76"/>
        <v>0</v>
      </c>
      <c r="S909" s="320">
        <f t="shared" si="76"/>
        <v>0</v>
      </c>
      <c r="T909" s="320">
        <f t="shared" si="76"/>
        <v>0</v>
      </c>
    </row>
    <row r="910" spans="2:20" s="140" customFormat="1" ht="25.5" hidden="1" outlineLevel="1">
      <c r="B910" s="252">
        <v>7.1</v>
      </c>
      <c r="C910" s="244"/>
      <c r="D910" s="225" t="s">
        <v>1002</v>
      </c>
      <c r="E910" s="239"/>
      <c r="F910" s="221">
        <v>0.5</v>
      </c>
      <c r="G910" s="226">
        <f>+E910*$G$718/$E$718</f>
        <v>0</v>
      </c>
      <c r="H910" s="226"/>
      <c r="I910" s="226"/>
      <c r="J910" s="226"/>
      <c r="K910" s="226"/>
      <c r="L910" s="226"/>
      <c r="M910" s="226"/>
      <c r="N910" s="222">
        <v>0</v>
      </c>
      <c r="O910" s="222">
        <v>0</v>
      </c>
      <c r="P910" s="222">
        <v>0</v>
      </c>
      <c r="Q910" s="250">
        <v>0</v>
      </c>
      <c r="R910" s="253">
        <f t="shared" si="76"/>
        <v>0</v>
      </c>
      <c r="S910" s="253">
        <f t="shared" si="76"/>
        <v>0</v>
      </c>
      <c r="T910" s="253">
        <f t="shared" si="76"/>
        <v>0</v>
      </c>
    </row>
    <row r="911" spans="2:20" s="140" customFormat="1" ht="13.5" hidden="1" outlineLevel="1" thickBot="1">
      <c r="B911" s="261">
        <v>7.2</v>
      </c>
      <c r="C911" s="262"/>
      <c r="D911" s="263" t="s">
        <v>1003</v>
      </c>
      <c r="E911" s="264"/>
      <c r="F911" s="265">
        <v>0.5</v>
      </c>
      <c r="G911" s="266">
        <f>+E911*$G$718/$E$718</f>
        <v>0</v>
      </c>
      <c r="H911" s="266"/>
      <c r="I911" s="266"/>
      <c r="J911" s="266"/>
      <c r="K911" s="266"/>
      <c r="L911" s="266"/>
      <c r="M911" s="266"/>
      <c r="N911" s="267">
        <v>0</v>
      </c>
      <c r="O911" s="267">
        <v>0</v>
      </c>
      <c r="P911" s="267">
        <v>0</v>
      </c>
      <c r="Q911" s="271">
        <v>0</v>
      </c>
      <c r="R911" s="268">
        <f t="shared" si="76"/>
        <v>0</v>
      </c>
      <c r="S911" s="268">
        <f t="shared" si="76"/>
        <v>0</v>
      </c>
      <c r="T911" s="268">
        <f t="shared" si="76"/>
        <v>0</v>
      </c>
    </row>
    <row r="912" spans="2:20" s="203" customFormat="1" collapsed="1">
      <c r="B912" s="141"/>
      <c r="C912" s="141"/>
      <c r="D912" s="237"/>
      <c r="E912" s="243"/>
      <c r="F912" s="215"/>
      <c r="Q912" s="161"/>
      <c r="R912" s="151"/>
      <c r="S912" s="151"/>
      <c r="T912" s="151"/>
    </row>
    <row r="913" spans="2:20" s="203" customFormat="1">
      <c r="B913" s="141"/>
      <c r="C913" s="141"/>
      <c r="D913" s="237"/>
      <c r="E913" s="243"/>
      <c r="F913" s="215"/>
      <c r="Q913" s="161"/>
      <c r="R913" s="151"/>
      <c r="S913" s="151"/>
      <c r="T913" s="151"/>
    </row>
    <row r="914" spans="2:20" s="203" customFormat="1">
      <c r="B914" s="141"/>
      <c r="C914" s="141"/>
      <c r="D914" s="237"/>
      <c r="E914" s="243"/>
      <c r="F914" s="215"/>
      <c r="Q914" s="161"/>
      <c r="R914" s="151"/>
      <c r="S914" s="151"/>
      <c r="T914" s="151"/>
    </row>
    <row r="915" spans="2:20" s="203" customFormat="1">
      <c r="B915" s="141"/>
      <c r="C915" s="141"/>
      <c r="D915" s="237"/>
      <c r="E915" s="243"/>
      <c r="F915" s="215"/>
      <c r="Q915" s="161"/>
      <c r="R915" s="151"/>
      <c r="S915" s="151"/>
      <c r="T915" s="151"/>
    </row>
    <row r="916" spans="2:20" s="203" customFormat="1">
      <c r="B916" s="141"/>
      <c r="C916" s="141"/>
      <c r="D916" s="237"/>
      <c r="E916" s="243"/>
      <c r="F916" s="215"/>
      <c r="Q916" s="161"/>
      <c r="R916" s="151"/>
      <c r="S916" s="151"/>
      <c r="T916" s="151"/>
    </row>
    <row r="917" spans="2:20" s="203" customFormat="1">
      <c r="B917" s="141"/>
      <c r="C917" s="141"/>
      <c r="D917" s="237"/>
      <c r="E917" s="243"/>
      <c r="F917" s="215"/>
      <c r="Q917" s="161"/>
      <c r="R917" s="151"/>
      <c r="S917" s="151"/>
      <c r="T917" s="151"/>
    </row>
    <row r="918" spans="2:20" s="203" customFormat="1">
      <c r="B918" s="141"/>
      <c r="C918" s="141"/>
      <c r="D918" s="237"/>
      <c r="E918" s="243"/>
      <c r="F918" s="215"/>
      <c r="Q918" s="161"/>
      <c r="R918" s="151"/>
      <c r="S918" s="151"/>
      <c r="T918" s="151"/>
    </row>
    <row r="919" spans="2:20" s="203" customFormat="1">
      <c r="B919" s="141"/>
      <c r="C919" s="141"/>
      <c r="D919" s="237"/>
      <c r="E919" s="243"/>
      <c r="F919" s="215"/>
      <c r="Q919" s="161"/>
      <c r="R919" s="151"/>
      <c r="S919" s="151"/>
      <c r="T919" s="151"/>
    </row>
  </sheetData>
  <mergeCells count="19">
    <mergeCell ref="B6:D6"/>
    <mergeCell ref="L4:M4"/>
    <mergeCell ref="N4:N5"/>
    <mergeCell ref="O4:O5"/>
    <mergeCell ref="P4:P5"/>
    <mergeCell ref="B1:Q1"/>
    <mergeCell ref="B2:T2"/>
    <mergeCell ref="B4:B5"/>
    <mergeCell ref="C4:C5"/>
    <mergeCell ref="D4:D5"/>
    <mergeCell ref="E4:E5"/>
    <mergeCell ref="F4:F5"/>
    <mergeCell ref="G4:G5"/>
    <mergeCell ref="H4:I4"/>
    <mergeCell ref="J4:K4"/>
    <mergeCell ref="S4:S5"/>
    <mergeCell ref="T4:T5"/>
    <mergeCell ref="Q4:Q5"/>
    <mergeCell ref="R4:R5"/>
  </mergeCells>
  <pageMargins left="0.7" right="0.7" top="0.75" bottom="0.75" header="0.3" footer="0.3"/>
  <pageSetup paperSize="9" scale="27" fitToHeight="0" orientation="portrait" r:id="rId1"/>
  <colBreaks count="1" manualBreakCount="1">
    <brk id="19" max="1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99FD-1C41-43C6-AC58-22785B294F04}">
  <sheetPr>
    <pageSetUpPr fitToPage="1"/>
  </sheetPr>
  <dimension ref="A1:AP919"/>
  <sheetViews>
    <sheetView view="pageBreakPreview" zoomScale="85" zoomScaleNormal="85" zoomScaleSheetLayoutView="85" workbookViewId="0">
      <pane xSplit="7" ySplit="6" topLeftCell="AF7" activePane="bottomRight" state="frozen"/>
      <selection pane="bottomRight" activeCell="E27" sqref="E27"/>
      <selection pane="bottomLeft" activeCell="A7" sqref="A7"/>
      <selection pane="topRight" activeCell="H1" sqref="H1"/>
    </sheetView>
  </sheetViews>
  <sheetFormatPr defaultColWidth="9" defaultRowHeight="15" outlineLevelRow="5"/>
  <cols>
    <col min="1" max="1" width="9" style="141"/>
    <col min="2" max="3" width="9.85546875" style="141" customWidth="1"/>
    <col min="4" max="4" width="37.42578125" style="237" customWidth="1"/>
    <col min="5" max="5" width="19.7109375" style="243" customWidth="1"/>
    <col min="6" max="6" width="14.28515625" style="215" customWidth="1"/>
    <col min="7" max="7" width="13.28515625" style="203" customWidth="1"/>
    <col min="8" max="11" width="15.28515625" style="362" customWidth="1"/>
    <col min="12" max="12" width="11.28515625" style="362" bestFit="1" customWidth="1"/>
    <col min="13" max="13" width="15.28515625" style="362" customWidth="1"/>
    <col min="14" max="42" width="17.5703125" style="161" customWidth="1"/>
    <col min="43" max="16384" width="9" style="141"/>
  </cols>
  <sheetData>
    <row r="1" spans="1:42" s="10" customFormat="1" ht="12"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63"/>
      <c r="O1" s="219"/>
      <c r="P1" s="219"/>
      <c r="Q1" s="218"/>
      <c r="R1" s="218"/>
      <c r="S1" s="218"/>
      <c r="T1" s="219"/>
      <c r="U1" s="218"/>
      <c r="V1" s="219"/>
      <c r="W1" s="219"/>
      <c r="X1" s="218"/>
      <c r="Y1" s="218"/>
      <c r="Z1" s="218"/>
      <c r="AA1" s="219"/>
      <c r="AB1" s="219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</row>
    <row r="2" spans="1:42" s="10" customFormat="1" ht="20.25" customHeight="1">
      <c r="B2" s="455" t="s">
        <v>1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64"/>
      <c r="O2" s="219"/>
      <c r="P2" s="219"/>
      <c r="Q2" s="218"/>
      <c r="R2" s="218"/>
      <c r="S2" s="218"/>
      <c r="T2" s="219"/>
      <c r="U2" s="218"/>
      <c r="V2" s="219"/>
      <c r="W2" s="219"/>
      <c r="X2" s="218"/>
      <c r="Y2" s="218"/>
      <c r="Z2" s="218"/>
      <c r="AA2" s="219"/>
      <c r="AB2" s="219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</row>
    <row r="3" spans="1:42" s="10" customFormat="1" ht="12.75" thickBot="1">
      <c r="D3" s="235"/>
      <c r="E3" s="238"/>
      <c r="H3" s="355"/>
      <c r="I3" s="355"/>
      <c r="J3" s="355"/>
      <c r="K3" s="355"/>
      <c r="L3" s="355"/>
      <c r="M3" s="355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</row>
    <row r="4" spans="1:42" s="137" customFormat="1" ht="28.5" customHeight="1" thickBot="1">
      <c r="B4" s="447" t="s">
        <v>3</v>
      </c>
      <c r="C4" s="449" t="s">
        <v>4</v>
      </c>
      <c r="D4" s="449" t="s">
        <v>5</v>
      </c>
      <c r="E4" s="453" t="s">
        <v>6</v>
      </c>
      <c r="F4" s="438" t="s">
        <v>7</v>
      </c>
      <c r="G4" s="436" t="s">
        <v>8</v>
      </c>
      <c r="H4" s="442" t="s">
        <v>1004</v>
      </c>
      <c r="I4" s="443"/>
      <c r="J4" s="442" t="s">
        <v>1005</v>
      </c>
      <c r="K4" s="443"/>
      <c r="L4" s="444" t="s">
        <v>1006</v>
      </c>
      <c r="M4" s="462"/>
      <c r="N4" s="459" t="s">
        <v>1007</v>
      </c>
      <c r="O4" s="460"/>
      <c r="P4" s="460"/>
      <c r="Q4" s="460"/>
      <c r="R4" s="460"/>
      <c r="S4" s="459" t="s">
        <v>1008</v>
      </c>
      <c r="T4" s="460"/>
      <c r="U4" s="460"/>
      <c r="V4" s="460"/>
      <c r="W4" s="460"/>
      <c r="X4" s="460"/>
      <c r="Y4" s="460"/>
      <c r="Z4" s="460"/>
      <c r="AA4" s="460"/>
      <c r="AB4" s="460"/>
      <c r="AC4" s="460"/>
      <c r="AD4" s="461"/>
      <c r="AE4" s="459" t="s">
        <v>1009</v>
      </c>
      <c r="AF4" s="460"/>
      <c r="AG4" s="460"/>
      <c r="AH4" s="460"/>
      <c r="AI4" s="460"/>
      <c r="AJ4" s="460"/>
      <c r="AK4" s="460"/>
      <c r="AL4" s="460"/>
      <c r="AM4" s="460"/>
      <c r="AN4" s="460"/>
      <c r="AO4" s="460"/>
      <c r="AP4" s="461"/>
    </row>
    <row r="5" spans="1:42" s="140" customFormat="1" ht="26.25" thickBot="1">
      <c r="B5" s="448"/>
      <c r="C5" s="450"/>
      <c r="D5" s="450"/>
      <c r="E5" s="454"/>
      <c r="F5" s="439"/>
      <c r="G5" s="437"/>
      <c r="H5" s="356" t="s">
        <v>1010</v>
      </c>
      <c r="I5" s="356" t="s">
        <v>1011</v>
      </c>
      <c r="J5" s="356" t="s">
        <v>1010</v>
      </c>
      <c r="K5" s="356" t="s">
        <v>1011</v>
      </c>
      <c r="L5" s="363" t="s">
        <v>1012</v>
      </c>
      <c r="M5" s="363" t="s">
        <v>1013</v>
      </c>
      <c r="N5" s="364" t="s">
        <v>1014</v>
      </c>
      <c r="O5" s="364" t="s">
        <v>1015</v>
      </c>
      <c r="P5" s="364" t="s">
        <v>1016</v>
      </c>
      <c r="Q5" s="364" t="s">
        <v>1017</v>
      </c>
      <c r="R5" s="365" t="s">
        <v>1018</v>
      </c>
      <c r="S5" s="383" t="s">
        <v>1019</v>
      </c>
      <c r="T5" s="364" t="s">
        <v>1020</v>
      </c>
      <c r="U5" s="364" t="s">
        <v>1021</v>
      </c>
      <c r="V5" s="364" t="s">
        <v>1022</v>
      </c>
      <c r="W5" s="364" t="s">
        <v>1023</v>
      </c>
      <c r="X5" s="364" t="s">
        <v>1024</v>
      </c>
      <c r="Y5" s="364" t="s">
        <v>1025</v>
      </c>
      <c r="Z5" s="364" t="s">
        <v>1026</v>
      </c>
      <c r="AA5" s="364" t="s">
        <v>1027</v>
      </c>
      <c r="AB5" s="364" t="s">
        <v>1028</v>
      </c>
      <c r="AC5" s="364" t="s">
        <v>1029</v>
      </c>
      <c r="AD5" s="384" t="s">
        <v>1025</v>
      </c>
      <c r="AE5" s="384" t="s">
        <v>1030</v>
      </c>
      <c r="AF5" s="384" t="s">
        <v>1031</v>
      </c>
      <c r="AG5" s="384" t="s">
        <v>1032</v>
      </c>
      <c r="AH5" s="384" t="s">
        <v>1033</v>
      </c>
      <c r="AI5" s="384" t="s">
        <v>1034</v>
      </c>
      <c r="AJ5" s="384" t="s">
        <v>1035</v>
      </c>
      <c r="AK5" s="384" t="s">
        <v>1036</v>
      </c>
      <c r="AL5" s="384" t="s">
        <v>1037</v>
      </c>
      <c r="AM5" s="384" t="s">
        <v>1038</v>
      </c>
      <c r="AN5" s="384" t="s">
        <v>1039</v>
      </c>
      <c r="AO5" s="384" t="s">
        <v>1040</v>
      </c>
      <c r="AP5" s="384" t="s">
        <v>1041</v>
      </c>
    </row>
    <row r="6" spans="1:42" s="140" customFormat="1" ht="13.5" thickBot="1">
      <c r="B6" s="434" t="s">
        <v>21</v>
      </c>
      <c r="C6" s="435"/>
      <c r="D6" s="435"/>
      <c r="E6" s="307">
        <f>E7+E9+E528</f>
        <v>2495841880529.3301</v>
      </c>
      <c r="F6" s="308"/>
      <c r="G6" s="309">
        <f>+G7+G9+G83+G268+G342+G528+G904+G909</f>
        <v>1</v>
      </c>
      <c r="H6" s="357"/>
      <c r="I6" s="357"/>
      <c r="J6" s="357"/>
      <c r="K6" s="357"/>
      <c r="L6" s="357"/>
      <c r="M6" s="357"/>
      <c r="N6" s="310">
        <f t="shared" ref="N6:R6" si="0">+$G7*N7+$G9*N9+$G83*N83+$G268*N268+$G342*N342+$G528*N528+$G904*N904+$G909*N909</f>
        <v>0.26425966242028393</v>
      </c>
      <c r="O6" s="310">
        <f t="shared" si="0"/>
        <v>0.36780663673051911</v>
      </c>
      <c r="P6" s="310">
        <f t="shared" si="0"/>
        <v>0.42935311737967358</v>
      </c>
      <c r="Q6" s="310">
        <f t="shared" si="0"/>
        <v>0.47631610904059885</v>
      </c>
      <c r="R6" s="366">
        <f t="shared" si="0"/>
        <v>0.51925876782531954</v>
      </c>
      <c r="S6" s="385">
        <f t="shared" ref="S6" si="1">+$G7*S7+$G9*S9+$G83*S83+$G268*S268+$G342*S342+$G528*S528+$G904*S904+$G909*S909</f>
        <v>0.56015026170534687</v>
      </c>
      <c r="T6" s="310">
        <f t="shared" ref="T6" si="2">+$G7*T7+$G9*T9+$G83*T83+$G268*T268+$G342*T342+$G528*T528+$G904*T904+$G909*T909</f>
        <v>0.57845179711608408</v>
      </c>
      <c r="U6" s="310">
        <f t="shared" ref="U6" si="3">+$G7*U7+$G9*U9+$G83*U83+$G268*U268+$G342*U342+$G528*U528+$G904*U904+$G909*U909</f>
        <v>0.60422566494625429</v>
      </c>
      <c r="V6" s="310">
        <f t="shared" ref="V6" si="4">+$G7*V7+$G9*V9+$G83*V83+$G268*V268+$G342*V342+$G528*V528+$G904*V904+$G909*V909</f>
        <v>0.64843292190084167</v>
      </c>
      <c r="W6" s="310">
        <f t="shared" ref="W6" si="5">+$G7*W7+$G9*W9+$G83*W83+$G268*W268+$G342*W342+$G528*W528+$G904*W904+$G909*W909</f>
        <v>0.69783578133463509</v>
      </c>
      <c r="X6" s="310">
        <f t="shared" ref="X6" si="6">+$G7*X7+$G9*X9+$G83*X83+$G268*X268+$G342*X342+$G528*X528+$G904*X904+$G909*X909</f>
        <v>0.75430830358866652</v>
      </c>
      <c r="Y6" s="310">
        <f t="shared" ref="Y6" si="7">+$G7*Y7+$G9*Y9+$G83*Y83+$G268*Y268+$G342*Y342+$G528*Y528+$G904*Y904+$G909*Y909</f>
        <v>0.81189471993815165</v>
      </c>
      <c r="Z6" s="310">
        <f t="shared" ref="Z6" si="8">+$G7*Z7+$G9*Z9+$G83*Z83+$G268*Z268+$G342*Z342+$G528*Z528+$G904*Z904+$G909*Z909</f>
        <v>0.84520562048140357</v>
      </c>
      <c r="AA6" s="310">
        <f t="shared" ref="AA6" si="9">+$G7*AA7+$G9*AA9+$G83*AA83+$G268*AA268+$G342*AA342+$G528*AA528+$G904*AA904+$G909*AA909</f>
        <v>0.8643218612783059</v>
      </c>
      <c r="AB6" s="310">
        <f t="shared" ref="AB6" si="10">+$G7*AB7+$G9*AB9+$G83*AB83+$G268*AB268+$G342*AB342+$G528*AB528+$G904*AB904+$G909*AB909</f>
        <v>0.87768560766282244</v>
      </c>
      <c r="AC6" s="310">
        <f t="shared" ref="AC6" si="11">+$G7*AC7+$G9*AC9+$G83*AC83+$G268*AC268+$G342*AC342+$G528*AC528+$G904*AC904+$G909*AC909</f>
        <v>0.88815906918017395</v>
      </c>
      <c r="AD6" s="311">
        <f t="shared" ref="AD6:AF6" si="12">+$G7*AD7+$G9*AD9+$G83*AD83+$G268*AD268+$G342*AD342+$G528*AD528+$G904*AD904+$G909*AD909</f>
        <v>0.8944526612869208</v>
      </c>
      <c r="AE6" s="311">
        <f t="shared" si="12"/>
        <v>0.89548726888474095</v>
      </c>
      <c r="AF6" s="311">
        <f t="shared" si="12"/>
        <v>0.89585740111959578</v>
      </c>
      <c r="AG6" s="311">
        <f t="shared" ref="AG6" si="13">+$G7*AG7+$G9*AG9+$G83*AG83+$G268*AG268+$G342*AG342+$G528*AG528+$G904*AG904+$G909*AG909</f>
        <v>0.89622753335445049</v>
      </c>
      <c r="AH6" s="311">
        <f t="shared" ref="AH6" si="14">+$G7*AH7+$G9*AH9+$G83*AH83+$G268*AH268+$G342*AH342+$G528*AH528+$G904*AH904+$G909*AH909</f>
        <v>0.89659766558930531</v>
      </c>
      <c r="AI6" s="311">
        <f t="shared" ref="AI6" si="15">+$G7*AI7+$G9*AI9+$G83*AI83+$G268*AI268+$G342*AI342+$G528*AI528+$G904*AI904+$G909*AI909</f>
        <v>0.89715286394158722</v>
      </c>
      <c r="AJ6" s="311">
        <f t="shared" ref="AJ6" si="16">+$G7*AJ7+$G9*AJ9+$G83*AJ83+$G268*AJ268+$G342*AJ342+$G528*AJ528+$G904*AJ904+$G909*AJ909</f>
        <v>0.89770806229386935</v>
      </c>
      <c r="AK6" s="311">
        <f t="shared" ref="AK6" si="17">+$G7*AK7+$G9*AK9+$G83*AK83+$G268*AK268+$G342*AK342+$G528*AK528+$G904*AK904+$G909*AK909</f>
        <v>0.89844832676357889</v>
      </c>
      <c r="AL6" s="311">
        <f t="shared" ref="AL6" si="18">+$G7*AL7+$G9*AL9+$G83*AL83+$G268*AL268+$G342*AL342+$G528*AL528+$G904*AL904+$G909*AL909</f>
        <v>0.89909605817457472</v>
      </c>
      <c r="AM6" s="311">
        <f t="shared" ref="AM6" si="19">+$G7*AM7+$G9*AM9+$G83*AM83+$G268*AM268+$G342*AM342+$G528*AM528+$G904*AM904+$G909*AM909</f>
        <v>0.89909605817457472</v>
      </c>
      <c r="AN6" s="311">
        <f t="shared" ref="AN6" si="20">+$G7*AN7+$G9*AN9+$G83*AN83+$G268*AN268+$G342*AN342+$G528*AN528+$G904*AN904+$G909*AN909</f>
        <v>0.89909605817457472</v>
      </c>
      <c r="AO6" s="311">
        <f t="shared" ref="AO6" si="21">+$G7*AO7+$G9*AO9+$G83*AO83+$G268*AO268+$G342*AO342+$G528*AO528+$G904*AO904+$G909*AO909</f>
        <v>0.89909605817457472</v>
      </c>
      <c r="AP6" s="311">
        <f t="shared" ref="AP6" si="22">+$G7*AP7+$G9*AP9+$G83*AP83+$G268*AP268+$G342*AP342+$G528*AP528+$G904*AP904+$G909*AP909</f>
        <v>0.89909605817457472</v>
      </c>
    </row>
    <row r="7" spans="1:42" s="140" customFormat="1" ht="13.5" thickBot="1">
      <c r="B7" s="312">
        <v>1</v>
      </c>
      <c r="C7" s="313"/>
      <c r="D7" s="314" t="s">
        <v>22</v>
      </c>
      <c r="E7" s="315">
        <f>E8</f>
        <v>3553800000</v>
      </c>
      <c r="F7" s="316"/>
      <c r="G7" s="317">
        <v>0.05</v>
      </c>
      <c r="H7" s="357">
        <v>45390</v>
      </c>
      <c r="I7" s="357">
        <v>45555</v>
      </c>
      <c r="J7" s="358"/>
      <c r="K7" s="358"/>
      <c r="L7" s="358"/>
      <c r="M7" s="358"/>
      <c r="N7" s="319">
        <f t="shared" ref="N7:AP7" si="23">+($F8*N8)</f>
        <v>1</v>
      </c>
      <c r="O7" s="319">
        <f t="shared" si="23"/>
        <v>1</v>
      </c>
      <c r="P7" s="319">
        <f t="shared" si="23"/>
        <v>1</v>
      </c>
      <c r="Q7" s="319">
        <f t="shared" si="23"/>
        <v>1</v>
      </c>
      <c r="R7" s="367">
        <f t="shared" si="23"/>
        <v>1</v>
      </c>
      <c r="S7" s="386">
        <f t="shared" si="23"/>
        <v>1</v>
      </c>
      <c r="T7" s="319">
        <f t="shared" si="23"/>
        <v>1</v>
      </c>
      <c r="U7" s="319">
        <f t="shared" si="23"/>
        <v>1</v>
      </c>
      <c r="V7" s="319">
        <f t="shared" si="23"/>
        <v>1</v>
      </c>
      <c r="W7" s="319">
        <f t="shared" si="23"/>
        <v>1</v>
      </c>
      <c r="X7" s="319">
        <f t="shared" si="23"/>
        <v>1</v>
      </c>
      <c r="Y7" s="319">
        <f t="shared" si="23"/>
        <v>1</v>
      </c>
      <c r="Z7" s="319">
        <f t="shared" si="23"/>
        <v>1</v>
      </c>
      <c r="AA7" s="319">
        <f t="shared" si="23"/>
        <v>1</v>
      </c>
      <c r="AB7" s="319">
        <f t="shared" si="23"/>
        <v>1</v>
      </c>
      <c r="AC7" s="319">
        <f t="shared" si="23"/>
        <v>1</v>
      </c>
      <c r="AD7" s="320">
        <f t="shared" si="23"/>
        <v>1</v>
      </c>
      <c r="AE7" s="320">
        <f t="shared" si="23"/>
        <v>1</v>
      </c>
      <c r="AF7" s="320">
        <f t="shared" si="23"/>
        <v>1</v>
      </c>
      <c r="AG7" s="320">
        <f t="shared" si="23"/>
        <v>1</v>
      </c>
      <c r="AH7" s="320">
        <f t="shared" si="23"/>
        <v>1</v>
      </c>
      <c r="AI7" s="320">
        <f t="shared" si="23"/>
        <v>1</v>
      </c>
      <c r="AJ7" s="320">
        <f t="shared" si="23"/>
        <v>1</v>
      </c>
      <c r="AK7" s="320">
        <f t="shared" si="23"/>
        <v>1</v>
      </c>
      <c r="AL7" s="320">
        <f t="shared" si="23"/>
        <v>1</v>
      </c>
      <c r="AM7" s="320">
        <f t="shared" si="23"/>
        <v>1</v>
      </c>
      <c r="AN7" s="320">
        <f t="shared" si="23"/>
        <v>1</v>
      </c>
      <c r="AO7" s="320">
        <f t="shared" si="23"/>
        <v>1</v>
      </c>
      <c r="AP7" s="320">
        <f t="shared" si="23"/>
        <v>1</v>
      </c>
    </row>
    <row r="8" spans="1:42" s="235" customFormat="1" ht="51.75" customHeight="1" outlineLevel="1" thickBot="1">
      <c r="B8" s="303" t="s">
        <v>23</v>
      </c>
      <c r="C8" s="304" t="s">
        <v>24</v>
      </c>
      <c r="D8" s="304" t="s">
        <v>25</v>
      </c>
      <c r="E8" s="302">
        <v>3553800000</v>
      </c>
      <c r="F8" s="305">
        <v>1</v>
      </c>
      <c r="G8" s="305">
        <f>+F8*G7</f>
        <v>0.05</v>
      </c>
      <c r="H8" s="306"/>
      <c r="I8" s="306"/>
      <c r="J8" s="306"/>
      <c r="K8" s="306"/>
      <c r="L8" s="306"/>
      <c r="M8" s="306"/>
      <c r="N8" s="305">
        <v>1</v>
      </c>
      <c r="O8" s="305">
        <v>1</v>
      </c>
      <c r="P8" s="305">
        <v>1</v>
      </c>
      <c r="Q8" s="305">
        <v>1</v>
      </c>
      <c r="R8" s="368">
        <v>1</v>
      </c>
      <c r="S8" s="387">
        <v>1</v>
      </c>
      <c r="T8" s="305">
        <v>1</v>
      </c>
      <c r="U8" s="305">
        <v>1</v>
      </c>
      <c r="V8" s="305">
        <v>1</v>
      </c>
      <c r="W8" s="305">
        <v>1</v>
      </c>
      <c r="X8" s="305">
        <v>1</v>
      </c>
      <c r="Y8" s="305">
        <v>1</v>
      </c>
      <c r="Z8" s="305">
        <v>1</v>
      </c>
      <c r="AA8" s="305">
        <v>1</v>
      </c>
      <c r="AB8" s="305">
        <v>1</v>
      </c>
      <c r="AC8" s="305">
        <v>1</v>
      </c>
      <c r="AD8" s="388">
        <v>1</v>
      </c>
      <c r="AE8" s="388">
        <v>1</v>
      </c>
      <c r="AF8" s="388">
        <v>1</v>
      </c>
      <c r="AG8" s="388">
        <v>1</v>
      </c>
      <c r="AH8" s="388">
        <v>1</v>
      </c>
      <c r="AI8" s="388">
        <v>1</v>
      </c>
      <c r="AJ8" s="388">
        <v>1</v>
      </c>
      <c r="AK8" s="388">
        <v>1</v>
      </c>
      <c r="AL8" s="388">
        <v>1</v>
      </c>
      <c r="AM8" s="388">
        <v>1</v>
      </c>
      <c r="AN8" s="388">
        <v>1</v>
      </c>
      <c r="AO8" s="388">
        <v>1</v>
      </c>
      <c r="AP8" s="388">
        <v>1</v>
      </c>
    </row>
    <row r="9" spans="1:42" s="140" customFormat="1" ht="13.5" thickBot="1">
      <c r="B9" s="312">
        <v>2</v>
      </c>
      <c r="C9" s="313"/>
      <c r="D9" s="314" t="s">
        <v>26</v>
      </c>
      <c r="E9" s="315">
        <f>E10+E61+E62</f>
        <v>8220164289</v>
      </c>
      <c r="F9" s="316"/>
      <c r="G9" s="317">
        <v>0.1</v>
      </c>
      <c r="H9" s="357">
        <v>45390</v>
      </c>
      <c r="I9" s="358">
        <v>45884</v>
      </c>
      <c r="J9" s="358"/>
      <c r="K9" s="358"/>
      <c r="L9" s="358"/>
      <c r="M9" s="358"/>
      <c r="N9" s="319">
        <f t="shared" ref="N9:AF9" si="24">($F10*N10+$F61*N61+$F62*N62+$F70*N70)</f>
        <v>0.92023451085568309</v>
      </c>
      <c r="O9" s="319">
        <f t="shared" si="24"/>
        <v>0.92023451085568309</v>
      </c>
      <c r="P9" s="319">
        <f t="shared" si="24"/>
        <v>0.92023451085568309</v>
      </c>
      <c r="Q9" s="319">
        <f t="shared" si="24"/>
        <v>0.92023451085568309</v>
      </c>
      <c r="R9" s="367">
        <f t="shared" si="24"/>
        <v>0.92023451085568309</v>
      </c>
      <c r="S9" s="386">
        <f t="shared" si="24"/>
        <v>0.92023451085568309</v>
      </c>
      <c r="T9" s="319">
        <f t="shared" si="24"/>
        <v>0.92023451085568309</v>
      </c>
      <c r="U9" s="319">
        <f t="shared" si="24"/>
        <v>0.92023451085568309</v>
      </c>
      <c r="V9" s="319">
        <f t="shared" si="24"/>
        <v>0.92023451085568309</v>
      </c>
      <c r="W9" s="319">
        <f t="shared" si="24"/>
        <v>0.92023451085568309</v>
      </c>
      <c r="X9" s="319">
        <f t="shared" si="24"/>
        <v>0.92023451085568309</v>
      </c>
      <c r="Y9" s="319">
        <f t="shared" si="24"/>
        <v>0.92023451085568309</v>
      </c>
      <c r="Z9" s="319">
        <f t="shared" si="24"/>
        <v>0.92023451085568309</v>
      </c>
      <c r="AA9" s="319">
        <f t="shared" si="24"/>
        <v>0.92023451085568309</v>
      </c>
      <c r="AB9" s="319">
        <f t="shared" si="24"/>
        <v>0.92023451085568309</v>
      </c>
      <c r="AC9" s="319">
        <f t="shared" si="24"/>
        <v>0.92023451085568309</v>
      </c>
      <c r="AD9" s="320">
        <f t="shared" si="24"/>
        <v>0.92023451085568309</v>
      </c>
      <c r="AE9" s="320">
        <f t="shared" si="24"/>
        <v>0.92023451085568309</v>
      </c>
      <c r="AF9" s="320">
        <f t="shared" si="24"/>
        <v>0.92023451085568309</v>
      </c>
      <c r="AG9" s="320">
        <f t="shared" ref="AG9:AP9" si="25">($F10*AG10+$F61*AG61+$F62*AG62+$F70*AG70)</f>
        <v>0.92023451085568309</v>
      </c>
      <c r="AH9" s="320">
        <f t="shared" si="25"/>
        <v>0.92023451085568309</v>
      </c>
      <c r="AI9" s="320">
        <f t="shared" si="25"/>
        <v>0.92023451085568309</v>
      </c>
      <c r="AJ9" s="320">
        <f t="shared" si="25"/>
        <v>0.92023451085568309</v>
      </c>
      <c r="AK9" s="320">
        <f t="shared" si="25"/>
        <v>0.92023451085568309</v>
      </c>
      <c r="AL9" s="320">
        <f t="shared" si="25"/>
        <v>0.92023451085568309</v>
      </c>
      <c r="AM9" s="320">
        <f t="shared" si="25"/>
        <v>0.92023451085568309</v>
      </c>
      <c r="AN9" s="320">
        <f t="shared" si="25"/>
        <v>0.92023451085568309</v>
      </c>
      <c r="AO9" s="320">
        <f t="shared" si="25"/>
        <v>0.92023451085568309</v>
      </c>
      <c r="AP9" s="320">
        <f t="shared" si="25"/>
        <v>0.92023451085568309</v>
      </c>
    </row>
    <row r="10" spans="1:42" s="235" customFormat="1" ht="64.5" customHeight="1" outlineLevel="1">
      <c r="B10" s="303">
        <v>2.1</v>
      </c>
      <c r="C10" s="304" t="s">
        <v>27</v>
      </c>
      <c r="D10" s="304" t="s">
        <v>28</v>
      </c>
      <c r="E10" s="302">
        <v>533070000</v>
      </c>
      <c r="F10" s="305">
        <v>0.66600000000000004</v>
      </c>
      <c r="G10" s="305">
        <f>+F10*G9</f>
        <v>6.6600000000000006E-2</v>
      </c>
      <c r="H10" s="306"/>
      <c r="I10" s="306"/>
      <c r="J10" s="306"/>
      <c r="K10" s="306"/>
      <c r="L10" s="306"/>
      <c r="M10" s="306"/>
      <c r="N10" s="305">
        <f t="shared" ref="N10:R10" si="26">$F11*N11+$F19*N19+$F35*N35</f>
        <v>0.97452447707466083</v>
      </c>
      <c r="O10" s="305">
        <f t="shared" si="26"/>
        <v>0.97452447707466083</v>
      </c>
      <c r="P10" s="305">
        <f t="shared" si="26"/>
        <v>0.97452447707466083</v>
      </c>
      <c r="Q10" s="305">
        <f t="shared" si="26"/>
        <v>0.97452447707466083</v>
      </c>
      <c r="R10" s="368">
        <f t="shared" si="26"/>
        <v>0.97452447707466083</v>
      </c>
      <c r="S10" s="387">
        <f t="shared" ref="S10" si="27">$F11*S11+$F19*S19+$F35*S35</f>
        <v>0.97452447707466083</v>
      </c>
      <c r="T10" s="305">
        <f t="shared" ref="T10" si="28">$F11*T11+$F19*T19+$F35*T35</f>
        <v>0.97452447707466083</v>
      </c>
      <c r="U10" s="305">
        <f t="shared" ref="U10" si="29">$F11*U11+$F19*U19+$F35*U35</f>
        <v>0.97452447707466083</v>
      </c>
      <c r="V10" s="305">
        <f t="shared" ref="V10" si="30">$F11*V11+$F19*V19+$F35*V35</f>
        <v>0.97452447707466083</v>
      </c>
      <c r="W10" s="305">
        <f t="shared" ref="W10" si="31">$F11*W11+$F19*W19+$F35*W35</f>
        <v>0.97452447707466083</v>
      </c>
      <c r="X10" s="305">
        <f t="shared" ref="X10" si="32">$F11*X11+$F19*X19+$F35*X35</f>
        <v>0.97452447707466083</v>
      </c>
      <c r="Y10" s="305">
        <f t="shared" ref="Y10" si="33">$F11*Y11+$F19*Y19+$F35*Y35</f>
        <v>0.97452447707466083</v>
      </c>
      <c r="Z10" s="305">
        <f t="shared" ref="Z10" si="34">$F11*Z11+$F19*Z19+$F35*Z35</f>
        <v>0.97452447707466083</v>
      </c>
      <c r="AA10" s="305">
        <f t="shared" ref="AA10" si="35">$F11*AA11+$F19*AA19+$F35*AA35</f>
        <v>0.97452447707466083</v>
      </c>
      <c r="AB10" s="305">
        <f t="shared" ref="AB10" si="36">$F11*AB11+$F19*AB19+$F35*AB35</f>
        <v>0.97452447707466083</v>
      </c>
      <c r="AC10" s="305">
        <f t="shared" ref="AC10" si="37">$F11*AC11+$F19*AC19+$F35*AC35</f>
        <v>0.97452447707466083</v>
      </c>
      <c r="AD10" s="388">
        <f t="shared" ref="AD10:AF10" si="38">$F11*AD11+$F19*AD19+$F35*AD35</f>
        <v>0.97452447707466083</v>
      </c>
      <c r="AE10" s="388">
        <f t="shared" si="38"/>
        <v>0.97452447707466083</v>
      </c>
      <c r="AF10" s="388">
        <f t="shared" si="38"/>
        <v>0.97452447707466083</v>
      </c>
      <c r="AG10" s="388">
        <f t="shared" ref="AG10" si="39">$F11*AG11+$F19*AG19+$F35*AG35</f>
        <v>0.97452447707466083</v>
      </c>
      <c r="AH10" s="388">
        <f t="shared" ref="AH10" si="40">$F11*AH11+$F19*AH19+$F35*AH35</f>
        <v>0.97452447707466083</v>
      </c>
      <c r="AI10" s="388">
        <f t="shared" ref="AI10" si="41">$F11*AI11+$F19*AI19+$F35*AI35</f>
        <v>0.97452447707466083</v>
      </c>
      <c r="AJ10" s="388">
        <f t="shared" ref="AJ10" si="42">$F11*AJ11+$F19*AJ19+$F35*AJ35</f>
        <v>0.97452447707466083</v>
      </c>
      <c r="AK10" s="388">
        <f t="shared" ref="AK10" si="43">$F11*AK11+$F19*AK19+$F35*AK35</f>
        <v>0.97452447707466083</v>
      </c>
      <c r="AL10" s="388">
        <f t="shared" ref="AL10" si="44">$F11*AL11+$F19*AL19+$F35*AL35</f>
        <v>0.97452447707466083</v>
      </c>
      <c r="AM10" s="388">
        <f t="shared" ref="AM10" si="45">$F11*AM11+$F19*AM19+$F35*AM35</f>
        <v>0.97452447707466083</v>
      </c>
      <c r="AN10" s="388">
        <f t="shared" ref="AN10" si="46">$F11*AN11+$F19*AN19+$F35*AN35</f>
        <v>0.97452447707466083</v>
      </c>
      <c r="AO10" s="388">
        <f t="shared" ref="AO10" si="47">$F11*AO11+$F19*AO19+$F35*AO35</f>
        <v>0.97452447707466083</v>
      </c>
      <c r="AP10" s="388">
        <f t="shared" ref="AP10" si="48">$F11*AP11+$F19*AP19+$F35*AP35</f>
        <v>0.97452447707466083</v>
      </c>
    </row>
    <row r="11" spans="1:42" s="140" customFormat="1" ht="13.5" customHeight="1" outlineLevel="2">
      <c r="B11" s="323" t="s">
        <v>29</v>
      </c>
      <c r="C11" s="324" t="s">
        <v>30</v>
      </c>
      <c r="D11" s="324" t="s">
        <v>31</v>
      </c>
      <c r="E11" s="325"/>
      <c r="F11" s="326">
        <f>F719</f>
        <v>0.78107171599540315</v>
      </c>
      <c r="G11" s="326">
        <f>+F11*G9</f>
        <v>7.8107171599540323E-2</v>
      </c>
      <c r="H11" s="327"/>
      <c r="I11" s="327"/>
      <c r="J11" s="327"/>
      <c r="K11" s="327"/>
      <c r="L11" s="327"/>
      <c r="M11" s="327"/>
      <c r="N11" s="326">
        <f t="shared" ref="N11" si="49">+$F12*N12+$F13*N13+$F14*N14+$F15*N15+$F16*N16+$F17*N17+$F18*N18</f>
        <v>1</v>
      </c>
      <c r="O11" s="326">
        <f t="shared" ref="O11:Q11" si="50">+$F12*O12+$F13*O13+$F14*O14+$F15*O15+$F16*O16+$F17*O17+$F18*O18</f>
        <v>1</v>
      </c>
      <c r="P11" s="326">
        <f t="shared" si="50"/>
        <v>1</v>
      </c>
      <c r="Q11" s="326">
        <f t="shared" si="50"/>
        <v>1</v>
      </c>
      <c r="R11" s="369">
        <f t="shared" ref="R11:AC11" si="51">+$F12*R12+$F13*R13+$F14*R14+$F15*R15+$F16*R16+$F17*R17+$F18*R18</f>
        <v>1</v>
      </c>
      <c r="S11" s="389">
        <f t="shared" si="51"/>
        <v>1</v>
      </c>
      <c r="T11" s="326">
        <f t="shared" si="51"/>
        <v>1</v>
      </c>
      <c r="U11" s="326">
        <f t="shared" ref="U11:Y11" si="52">+$F12*U12+$F13*U13+$F14*U14+$F15*U15+$F16*U16+$F17*U17+$F18*U18</f>
        <v>1</v>
      </c>
      <c r="V11" s="326">
        <f t="shared" si="52"/>
        <v>1</v>
      </c>
      <c r="W11" s="326">
        <f t="shared" si="52"/>
        <v>1</v>
      </c>
      <c r="X11" s="326">
        <f t="shared" si="52"/>
        <v>1</v>
      </c>
      <c r="Y11" s="326">
        <f t="shared" si="52"/>
        <v>1</v>
      </c>
      <c r="Z11" s="326">
        <f t="shared" si="51"/>
        <v>1</v>
      </c>
      <c r="AA11" s="326">
        <f t="shared" si="51"/>
        <v>1</v>
      </c>
      <c r="AB11" s="326">
        <f t="shared" si="51"/>
        <v>1</v>
      </c>
      <c r="AC11" s="326">
        <f t="shared" si="51"/>
        <v>1</v>
      </c>
      <c r="AD11" s="390">
        <f t="shared" ref="AD11:AE11" si="53">+$F12*AD12+$F13*AD13+$F14*AD14+$F15*AD15+$F16*AD16+$F17*AD17+$F18*AD18</f>
        <v>1</v>
      </c>
      <c r="AE11" s="390">
        <f t="shared" si="53"/>
        <v>1</v>
      </c>
      <c r="AF11" s="390">
        <f t="shared" ref="AF11:AP11" si="54">+$F12*AF12+$F13*AF13+$F14*AF14+$F15*AF15+$F16*AF16+$F17*AF17+$F18*AF18</f>
        <v>1</v>
      </c>
      <c r="AG11" s="390">
        <f t="shared" si="54"/>
        <v>1</v>
      </c>
      <c r="AH11" s="390">
        <f t="shared" si="54"/>
        <v>1</v>
      </c>
      <c r="AI11" s="390">
        <f t="shared" si="54"/>
        <v>1</v>
      </c>
      <c r="AJ11" s="390">
        <f t="shared" si="54"/>
        <v>1</v>
      </c>
      <c r="AK11" s="390">
        <f t="shared" si="54"/>
        <v>1</v>
      </c>
      <c r="AL11" s="390">
        <f t="shared" si="54"/>
        <v>1</v>
      </c>
      <c r="AM11" s="390">
        <f t="shared" si="54"/>
        <v>1</v>
      </c>
      <c r="AN11" s="390">
        <f t="shared" si="54"/>
        <v>1</v>
      </c>
      <c r="AO11" s="390">
        <f t="shared" si="54"/>
        <v>1</v>
      </c>
      <c r="AP11" s="390">
        <f t="shared" si="54"/>
        <v>1</v>
      </c>
    </row>
    <row r="12" spans="1:42" s="140" customFormat="1" ht="13.5" customHeight="1" outlineLevel="3">
      <c r="A12" s="216"/>
      <c r="B12" s="291" t="s">
        <v>29</v>
      </c>
      <c r="C12" s="292" t="s">
        <v>32</v>
      </c>
      <c r="D12" s="234" t="s">
        <v>33</v>
      </c>
      <c r="E12" s="240"/>
      <c r="F12" s="223">
        <v>0.20095296602369636</v>
      </c>
      <c r="G12" s="293">
        <f>+F12*G11</f>
        <v>1.5695867800649448E-2</v>
      </c>
      <c r="H12" s="298"/>
      <c r="I12" s="298"/>
      <c r="J12" s="298"/>
      <c r="K12" s="298"/>
      <c r="L12" s="298"/>
      <c r="M12" s="298"/>
      <c r="N12" s="270">
        <v>1</v>
      </c>
      <c r="O12" s="270">
        <v>1</v>
      </c>
      <c r="P12" s="270">
        <v>1</v>
      </c>
      <c r="Q12" s="270">
        <v>1</v>
      </c>
      <c r="R12" s="370">
        <v>1</v>
      </c>
      <c r="S12" s="391">
        <v>1</v>
      </c>
      <c r="T12" s="270">
        <v>1</v>
      </c>
      <c r="U12" s="270">
        <v>1</v>
      </c>
      <c r="V12" s="270">
        <v>1</v>
      </c>
      <c r="W12" s="270">
        <v>1</v>
      </c>
      <c r="X12" s="270">
        <v>1</v>
      </c>
      <c r="Y12" s="270">
        <v>1</v>
      </c>
      <c r="Z12" s="270">
        <v>1</v>
      </c>
      <c r="AA12" s="270">
        <v>1</v>
      </c>
      <c r="AB12" s="270">
        <v>1</v>
      </c>
      <c r="AC12" s="270">
        <v>1</v>
      </c>
      <c r="AD12" s="392">
        <v>1</v>
      </c>
      <c r="AE12" s="392">
        <v>1</v>
      </c>
      <c r="AF12" s="392">
        <v>1</v>
      </c>
      <c r="AG12" s="392">
        <v>1</v>
      </c>
      <c r="AH12" s="392">
        <v>1</v>
      </c>
      <c r="AI12" s="392">
        <v>1</v>
      </c>
      <c r="AJ12" s="392">
        <v>1</v>
      </c>
      <c r="AK12" s="392">
        <v>1</v>
      </c>
      <c r="AL12" s="392">
        <v>1</v>
      </c>
      <c r="AM12" s="392">
        <v>1</v>
      </c>
      <c r="AN12" s="392">
        <v>1</v>
      </c>
      <c r="AO12" s="392">
        <v>1</v>
      </c>
      <c r="AP12" s="392">
        <v>1</v>
      </c>
    </row>
    <row r="13" spans="1:42" s="140" customFormat="1" ht="13.5" customHeight="1" outlineLevel="3">
      <c r="A13" s="216"/>
      <c r="B13" s="291" t="s">
        <v>34</v>
      </c>
      <c r="C13" s="292" t="s">
        <v>35</v>
      </c>
      <c r="D13" s="234" t="s">
        <v>33</v>
      </c>
      <c r="E13" s="240"/>
      <c r="F13" s="223">
        <v>0.24153553060977856</v>
      </c>
      <c r="G13" s="293">
        <f>+F13*G11</f>
        <v>1.8865657136723998E-2</v>
      </c>
      <c r="H13" s="298"/>
      <c r="I13" s="298"/>
      <c r="J13" s="298"/>
      <c r="K13" s="298"/>
      <c r="L13" s="298"/>
      <c r="M13" s="298"/>
      <c r="N13" s="270">
        <v>1</v>
      </c>
      <c r="O13" s="270">
        <v>1</v>
      </c>
      <c r="P13" s="270">
        <v>1</v>
      </c>
      <c r="Q13" s="270">
        <v>1</v>
      </c>
      <c r="R13" s="370">
        <v>1</v>
      </c>
      <c r="S13" s="391">
        <v>1</v>
      </c>
      <c r="T13" s="270">
        <v>1</v>
      </c>
      <c r="U13" s="270">
        <v>1</v>
      </c>
      <c r="V13" s="270">
        <v>1</v>
      </c>
      <c r="W13" s="270">
        <v>1</v>
      </c>
      <c r="X13" s="270">
        <v>1</v>
      </c>
      <c r="Y13" s="270">
        <v>1</v>
      </c>
      <c r="Z13" s="270">
        <v>1</v>
      </c>
      <c r="AA13" s="270">
        <v>1</v>
      </c>
      <c r="AB13" s="270">
        <v>1</v>
      </c>
      <c r="AC13" s="270">
        <v>1</v>
      </c>
      <c r="AD13" s="392">
        <v>1</v>
      </c>
      <c r="AE13" s="392">
        <v>1</v>
      </c>
      <c r="AF13" s="392">
        <v>1</v>
      </c>
      <c r="AG13" s="392">
        <v>1</v>
      </c>
      <c r="AH13" s="392">
        <v>1</v>
      </c>
      <c r="AI13" s="392">
        <v>1</v>
      </c>
      <c r="AJ13" s="392">
        <v>1</v>
      </c>
      <c r="AK13" s="392">
        <v>1</v>
      </c>
      <c r="AL13" s="392">
        <v>1</v>
      </c>
      <c r="AM13" s="392">
        <v>1</v>
      </c>
      <c r="AN13" s="392">
        <v>1</v>
      </c>
      <c r="AO13" s="392">
        <v>1</v>
      </c>
      <c r="AP13" s="392">
        <v>1</v>
      </c>
    </row>
    <row r="14" spans="1:42" s="140" customFormat="1" ht="13.5" customHeight="1" outlineLevel="3">
      <c r="A14" s="216"/>
      <c r="B14" s="291" t="s">
        <v>36</v>
      </c>
      <c r="C14" s="292" t="s">
        <v>37</v>
      </c>
      <c r="D14" s="234" t="s">
        <v>33</v>
      </c>
      <c r="E14" s="240"/>
      <c r="F14" s="223">
        <v>9.4678015032851906E-2</v>
      </c>
      <c r="G14" s="293">
        <f>+F14*G11</f>
        <v>7.3950319668748222E-3</v>
      </c>
      <c r="H14" s="298"/>
      <c r="I14" s="298"/>
      <c r="J14" s="298"/>
      <c r="K14" s="298"/>
      <c r="L14" s="298"/>
      <c r="M14" s="298"/>
      <c r="N14" s="270">
        <v>1</v>
      </c>
      <c r="O14" s="270">
        <v>1</v>
      </c>
      <c r="P14" s="270">
        <v>1</v>
      </c>
      <c r="Q14" s="270">
        <v>1</v>
      </c>
      <c r="R14" s="370">
        <v>1</v>
      </c>
      <c r="S14" s="391">
        <v>1</v>
      </c>
      <c r="T14" s="270">
        <v>1</v>
      </c>
      <c r="U14" s="270">
        <v>1</v>
      </c>
      <c r="V14" s="270">
        <v>1</v>
      </c>
      <c r="W14" s="270">
        <v>1</v>
      </c>
      <c r="X14" s="270">
        <v>1</v>
      </c>
      <c r="Y14" s="270">
        <v>1</v>
      </c>
      <c r="Z14" s="270">
        <v>1</v>
      </c>
      <c r="AA14" s="270">
        <v>1</v>
      </c>
      <c r="AB14" s="270">
        <v>1</v>
      </c>
      <c r="AC14" s="270">
        <v>1</v>
      </c>
      <c r="AD14" s="392">
        <v>1</v>
      </c>
      <c r="AE14" s="392">
        <v>1</v>
      </c>
      <c r="AF14" s="392">
        <v>1</v>
      </c>
      <c r="AG14" s="392">
        <v>1</v>
      </c>
      <c r="AH14" s="392">
        <v>1</v>
      </c>
      <c r="AI14" s="392">
        <v>1</v>
      </c>
      <c r="AJ14" s="392">
        <v>1</v>
      </c>
      <c r="AK14" s="392">
        <v>1</v>
      </c>
      <c r="AL14" s="392">
        <v>1</v>
      </c>
      <c r="AM14" s="392">
        <v>1</v>
      </c>
      <c r="AN14" s="392">
        <v>1</v>
      </c>
      <c r="AO14" s="392">
        <v>1</v>
      </c>
      <c r="AP14" s="392">
        <v>1</v>
      </c>
    </row>
    <row r="15" spans="1:42" s="140" customFormat="1" ht="13.5" customHeight="1" outlineLevel="3">
      <c r="A15" s="216"/>
      <c r="B15" s="291" t="s">
        <v>38</v>
      </c>
      <c r="C15" s="292" t="s">
        <v>39</v>
      </c>
      <c r="D15" s="234" t="s">
        <v>33</v>
      </c>
      <c r="E15" s="240"/>
      <c r="F15" s="223">
        <v>0.10115552784024648</v>
      </c>
      <c r="G15" s="293">
        <f>+F15*G11</f>
        <v>7.90097217126021E-3</v>
      </c>
      <c r="H15" s="298"/>
      <c r="I15" s="298"/>
      <c r="J15" s="298"/>
      <c r="K15" s="298"/>
      <c r="L15" s="298"/>
      <c r="M15" s="298"/>
      <c r="N15" s="270">
        <v>1</v>
      </c>
      <c r="O15" s="270">
        <v>1</v>
      </c>
      <c r="P15" s="270">
        <v>1</v>
      </c>
      <c r="Q15" s="270">
        <v>1</v>
      </c>
      <c r="R15" s="370">
        <v>1</v>
      </c>
      <c r="S15" s="391">
        <v>1</v>
      </c>
      <c r="T15" s="270">
        <v>1</v>
      </c>
      <c r="U15" s="270">
        <v>1</v>
      </c>
      <c r="V15" s="270">
        <v>1</v>
      </c>
      <c r="W15" s="270">
        <v>1</v>
      </c>
      <c r="X15" s="270">
        <v>1</v>
      </c>
      <c r="Y15" s="270">
        <v>1</v>
      </c>
      <c r="Z15" s="270">
        <v>1</v>
      </c>
      <c r="AA15" s="270">
        <v>1</v>
      </c>
      <c r="AB15" s="270">
        <v>1</v>
      </c>
      <c r="AC15" s="270">
        <v>1</v>
      </c>
      <c r="AD15" s="392">
        <v>1</v>
      </c>
      <c r="AE15" s="392">
        <v>1</v>
      </c>
      <c r="AF15" s="392">
        <v>1</v>
      </c>
      <c r="AG15" s="392">
        <v>1</v>
      </c>
      <c r="AH15" s="392">
        <v>1</v>
      </c>
      <c r="AI15" s="392">
        <v>1</v>
      </c>
      <c r="AJ15" s="392">
        <v>1</v>
      </c>
      <c r="AK15" s="392">
        <v>1</v>
      </c>
      <c r="AL15" s="392">
        <v>1</v>
      </c>
      <c r="AM15" s="392">
        <v>1</v>
      </c>
      <c r="AN15" s="392">
        <v>1</v>
      </c>
      <c r="AO15" s="392">
        <v>1</v>
      </c>
      <c r="AP15" s="392">
        <v>1</v>
      </c>
    </row>
    <row r="16" spans="1:42" s="140" customFormat="1" ht="13.5" customHeight="1" outlineLevel="3">
      <c r="A16" s="216"/>
      <c r="B16" s="291" t="s">
        <v>40</v>
      </c>
      <c r="C16" s="292" t="s">
        <v>41</v>
      </c>
      <c r="D16" s="234" t="s">
        <v>33</v>
      </c>
      <c r="E16" s="240"/>
      <c r="F16" s="223">
        <v>0.11541079389014661</v>
      </c>
      <c r="G16" s="293">
        <f>+F16*G11</f>
        <v>9.0144106828168608E-3</v>
      </c>
      <c r="H16" s="298"/>
      <c r="I16" s="298"/>
      <c r="J16" s="298"/>
      <c r="K16" s="298"/>
      <c r="L16" s="298"/>
      <c r="M16" s="298"/>
      <c r="N16" s="270">
        <v>1</v>
      </c>
      <c r="O16" s="270">
        <v>1</v>
      </c>
      <c r="P16" s="270">
        <v>1</v>
      </c>
      <c r="Q16" s="270">
        <v>1</v>
      </c>
      <c r="R16" s="370">
        <v>1</v>
      </c>
      <c r="S16" s="391">
        <v>1</v>
      </c>
      <c r="T16" s="270">
        <v>1</v>
      </c>
      <c r="U16" s="270">
        <v>1</v>
      </c>
      <c r="V16" s="270">
        <v>1</v>
      </c>
      <c r="W16" s="270">
        <v>1</v>
      </c>
      <c r="X16" s="270">
        <v>1</v>
      </c>
      <c r="Y16" s="270">
        <v>1</v>
      </c>
      <c r="Z16" s="270">
        <v>1</v>
      </c>
      <c r="AA16" s="270">
        <v>1</v>
      </c>
      <c r="AB16" s="270">
        <v>1</v>
      </c>
      <c r="AC16" s="270">
        <v>1</v>
      </c>
      <c r="AD16" s="392">
        <v>1</v>
      </c>
      <c r="AE16" s="392">
        <v>1</v>
      </c>
      <c r="AF16" s="392">
        <v>1</v>
      </c>
      <c r="AG16" s="392">
        <v>1</v>
      </c>
      <c r="AH16" s="392">
        <v>1</v>
      </c>
      <c r="AI16" s="392">
        <v>1</v>
      </c>
      <c r="AJ16" s="392">
        <v>1</v>
      </c>
      <c r="AK16" s="392">
        <v>1</v>
      </c>
      <c r="AL16" s="392">
        <v>1</v>
      </c>
      <c r="AM16" s="392">
        <v>1</v>
      </c>
      <c r="AN16" s="392">
        <v>1</v>
      </c>
      <c r="AO16" s="392">
        <v>1</v>
      </c>
      <c r="AP16" s="392">
        <v>1</v>
      </c>
    </row>
    <row r="17" spans="1:42" s="140" customFormat="1" ht="13.5" customHeight="1" outlineLevel="3">
      <c r="A17" s="216"/>
      <c r="B17" s="291" t="s">
        <v>42</v>
      </c>
      <c r="C17" s="292" t="s">
        <v>43</v>
      </c>
      <c r="D17" s="234" t="s">
        <v>33</v>
      </c>
      <c r="E17" s="240"/>
      <c r="F17" s="223">
        <v>0.13984312067866289</v>
      </c>
      <c r="G17" s="293">
        <f>+F17*G11</f>
        <v>1.0922750623863548E-2</v>
      </c>
      <c r="H17" s="298"/>
      <c r="I17" s="298"/>
      <c r="J17" s="298"/>
      <c r="K17" s="298"/>
      <c r="L17" s="298"/>
      <c r="M17" s="298"/>
      <c r="N17" s="270">
        <v>1</v>
      </c>
      <c r="O17" s="270">
        <v>1</v>
      </c>
      <c r="P17" s="270">
        <v>1</v>
      </c>
      <c r="Q17" s="270">
        <v>1</v>
      </c>
      <c r="R17" s="370">
        <v>1</v>
      </c>
      <c r="S17" s="391">
        <v>1</v>
      </c>
      <c r="T17" s="270">
        <v>1</v>
      </c>
      <c r="U17" s="270">
        <v>1</v>
      </c>
      <c r="V17" s="270">
        <v>1</v>
      </c>
      <c r="W17" s="270">
        <v>1</v>
      </c>
      <c r="X17" s="270">
        <v>1</v>
      </c>
      <c r="Y17" s="270">
        <v>1</v>
      </c>
      <c r="Z17" s="270">
        <v>1</v>
      </c>
      <c r="AA17" s="270">
        <v>1</v>
      </c>
      <c r="AB17" s="270">
        <v>1</v>
      </c>
      <c r="AC17" s="270">
        <v>1</v>
      </c>
      <c r="AD17" s="392">
        <v>1</v>
      </c>
      <c r="AE17" s="392">
        <v>1</v>
      </c>
      <c r="AF17" s="392">
        <v>1</v>
      </c>
      <c r="AG17" s="392">
        <v>1</v>
      </c>
      <c r="AH17" s="392">
        <v>1</v>
      </c>
      <c r="AI17" s="392">
        <v>1</v>
      </c>
      <c r="AJ17" s="392">
        <v>1</v>
      </c>
      <c r="AK17" s="392">
        <v>1</v>
      </c>
      <c r="AL17" s="392">
        <v>1</v>
      </c>
      <c r="AM17" s="392">
        <v>1</v>
      </c>
      <c r="AN17" s="392">
        <v>1</v>
      </c>
      <c r="AO17" s="392">
        <v>1</v>
      </c>
      <c r="AP17" s="392">
        <v>1</v>
      </c>
    </row>
    <row r="18" spans="1:42" s="140" customFormat="1" ht="13.5" customHeight="1" outlineLevel="3">
      <c r="A18" s="216"/>
      <c r="B18" s="291" t="s">
        <v>44</v>
      </c>
      <c r="C18" s="292" t="s">
        <v>45</v>
      </c>
      <c r="D18" s="234" t="s">
        <v>33</v>
      </c>
      <c r="E18" s="240"/>
      <c r="F18" s="223">
        <v>0.10642404592461722</v>
      </c>
      <c r="G18" s="293">
        <f>+F18*G11</f>
        <v>8.3124812173514372E-3</v>
      </c>
      <c r="H18" s="298"/>
      <c r="I18" s="298"/>
      <c r="J18" s="298"/>
      <c r="K18" s="298"/>
      <c r="L18" s="298"/>
      <c r="M18" s="298"/>
      <c r="N18" s="270">
        <v>1</v>
      </c>
      <c r="O18" s="270">
        <v>1</v>
      </c>
      <c r="P18" s="270">
        <v>1</v>
      </c>
      <c r="Q18" s="270">
        <v>1</v>
      </c>
      <c r="R18" s="370">
        <v>1</v>
      </c>
      <c r="S18" s="391">
        <v>1</v>
      </c>
      <c r="T18" s="270">
        <v>1</v>
      </c>
      <c r="U18" s="270">
        <v>1</v>
      </c>
      <c r="V18" s="270">
        <v>1</v>
      </c>
      <c r="W18" s="270">
        <v>1</v>
      </c>
      <c r="X18" s="270">
        <v>1</v>
      </c>
      <c r="Y18" s="270">
        <v>1</v>
      </c>
      <c r="Z18" s="270">
        <v>1</v>
      </c>
      <c r="AA18" s="270">
        <v>1</v>
      </c>
      <c r="AB18" s="270">
        <v>1</v>
      </c>
      <c r="AC18" s="270">
        <v>1</v>
      </c>
      <c r="AD18" s="392">
        <v>1</v>
      </c>
      <c r="AE18" s="392">
        <v>1</v>
      </c>
      <c r="AF18" s="392">
        <v>1</v>
      </c>
      <c r="AG18" s="392">
        <v>1</v>
      </c>
      <c r="AH18" s="392">
        <v>1</v>
      </c>
      <c r="AI18" s="392">
        <v>1</v>
      </c>
      <c r="AJ18" s="392">
        <v>1</v>
      </c>
      <c r="AK18" s="392">
        <v>1</v>
      </c>
      <c r="AL18" s="392">
        <v>1</v>
      </c>
      <c r="AM18" s="392">
        <v>1</v>
      </c>
      <c r="AN18" s="392">
        <v>1</v>
      </c>
      <c r="AO18" s="392">
        <v>1</v>
      </c>
      <c r="AP18" s="392">
        <v>1</v>
      </c>
    </row>
    <row r="19" spans="1:42" s="140" customFormat="1" ht="13.5" customHeight="1" outlineLevel="2">
      <c r="B19" s="323" t="s">
        <v>34</v>
      </c>
      <c r="C19" s="324" t="s">
        <v>46</v>
      </c>
      <c r="D19" s="324" t="s">
        <v>47</v>
      </c>
      <c r="E19" s="325"/>
      <c r="F19" s="326">
        <f t="shared" ref="F19:F35" si="55">F842</f>
        <v>3.9032542437386124E-2</v>
      </c>
      <c r="G19" s="326">
        <f>+F19*G9</f>
        <v>3.9032542437386127E-3</v>
      </c>
      <c r="H19" s="327"/>
      <c r="I19" s="327"/>
      <c r="J19" s="327"/>
      <c r="K19" s="327"/>
      <c r="L19" s="327"/>
      <c r="M19" s="327"/>
      <c r="N19" s="337">
        <f t="shared" ref="N19:R19" si="56">+SUMPRODUCT($F20:$F34,N20:N34)</f>
        <v>0.9070906193877879</v>
      </c>
      <c r="O19" s="337">
        <f t="shared" si="56"/>
        <v>0.9070906193877879</v>
      </c>
      <c r="P19" s="337">
        <f t="shared" si="56"/>
        <v>0.9070906193877879</v>
      </c>
      <c r="Q19" s="337">
        <f t="shared" si="56"/>
        <v>0.9070906193877879</v>
      </c>
      <c r="R19" s="371">
        <f t="shared" si="56"/>
        <v>0.9070906193877879</v>
      </c>
      <c r="S19" s="393">
        <f t="shared" ref="S19" si="57">+SUMPRODUCT($F20:$F34,S20:S34)</f>
        <v>0.9070906193877879</v>
      </c>
      <c r="T19" s="337">
        <f t="shared" ref="T19" si="58">+SUMPRODUCT($F20:$F34,T20:T34)</f>
        <v>0.9070906193877879</v>
      </c>
      <c r="U19" s="337">
        <f t="shared" ref="U19" si="59">+SUMPRODUCT($F20:$F34,U20:U34)</f>
        <v>0.9070906193877879</v>
      </c>
      <c r="V19" s="337">
        <f t="shared" ref="V19" si="60">+SUMPRODUCT($F20:$F34,V20:V34)</f>
        <v>0.9070906193877879</v>
      </c>
      <c r="W19" s="337">
        <f t="shared" ref="W19" si="61">+SUMPRODUCT($F20:$F34,W20:W34)</f>
        <v>0.9070906193877879</v>
      </c>
      <c r="X19" s="337">
        <f t="shared" ref="X19" si="62">+SUMPRODUCT($F20:$F34,X20:X34)</f>
        <v>0.9070906193877879</v>
      </c>
      <c r="Y19" s="337">
        <f t="shared" ref="Y19" si="63">+SUMPRODUCT($F20:$F34,Y20:Y34)</f>
        <v>0.9070906193877879</v>
      </c>
      <c r="Z19" s="337">
        <f t="shared" ref="Z19" si="64">+SUMPRODUCT($F20:$F34,Z20:Z34)</f>
        <v>0.9070906193877879</v>
      </c>
      <c r="AA19" s="337">
        <f t="shared" ref="AA19" si="65">+SUMPRODUCT($F20:$F34,AA20:AA34)</f>
        <v>0.9070906193877879</v>
      </c>
      <c r="AB19" s="337">
        <f t="shared" ref="AB19" si="66">+SUMPRODUCT($F20:$F34,AB20:AB34)</f>
        <v>0.9070906193877879</v>
      </c>
      <c r="AC19" s="337">
        <f t="shared" ref="AC19" si="67">+SUMPRODUCT($F20:$F34,AC20:AC34)</f>
        <v>0.9070906193877879</v>
      </c>
      <c r="AD19" s="394">
        <f t="shared" ref="AD19:AF19" si="68">+SUMPRODUCT($F20:$F34,AD20:AD34)</f>
        <v>0.9070906193877879</v>
      </c>
      <c r="AE19" s="394">
        <f t="shared" si="68"/>
        <v>0.9070906193877879</v>
      </c>
      <c r="AF19" s="394">
        <f t="shared" si="68"/>
        <v>0.9070906193877879</v>
      </c>
      <c r="AG19" s="394">
        <f t="shared" ref="AG19" si="69">+SUMPRODUCT($F20:$F34,AG20:AG34)</f>
        <v>0.9070906193877879</v>
      </c>
      <c r="AH19" s="394">
        <f t="shared" ref="AH19" si="70">+SUMPRODUCT($F20:$F34,AH20:AH34)</f>
        <v>0.9070906193877879</v>
      </c>
      <c r="AI19" s="394">
        <f t="shared" ref="AI19" si="71">+SUMPRODUCT($F20:$F34,AI20:AI34)</f>
        <v>0.9070906193877879</v>
      </c>
      <c r="AJ19" s="394">
        <f t="shared" ref="AJ19" si="72">+SUMPRODUCT($F20:$F34,AJ20:AJ34)</f>
        <v>0.9070906193877879</v>
      </c>
      <c r="AK19" s="394">
        <f t="shared" ref="AK19" si="73">+SUMPRODUCT($F20:$F34,AK20:AK34)</f>
        <v>0.9070906193877879</v>
      </c>
      <c r="AL19" s="394">
        <f t="shared" ref="AL19" si="74">+SUMPRODUCT($F20:$F34,AL20:AL34)</f>
        <v>0.9070906193877879</v>
      </c>
      <c r="AM19" s="394">
        <f t="shared" ref="AM19" si="75">+SUMPRODUCT($F20:$F34,AM20:AM34)</f>
        <v>0.9070906193877879</v>
      </c>
      <c r="AN19" s="394">
        <f t="shared" ref="AN19" si="76">+SUMPRODUCT($F20:$F34,AN20:AN34)</f>
        <v>0.9070906193877879</v>
      </c>
      <c r="AO19" s="394">
        <f t="shared" ref="AO19" si="77">+SUMPRODUCT($F20:$F34,AO20:AO34)</f>
        <v>0.9070906193877879</v>
      </c>
      <c r="AP19" s="394">
        <f t="shared" ref="AP19" si="78">+SUMPRODUCT($F20:$F34,AP20:AP34)</f>
        <v>0.9070906193877879</v>
      </c>
    </row>
    <row r="20" spans="1:42" s="140" customFormat="1" ht="13.5" customHeight="1" outlineLevel="4">
      <c r="A20" s="216"/>
      <c r="B20" s="255" t="s">
        <v>48</v>
      </c>
      <c r="C20" s="245" t="s">
        <v>49</v>
      </c>
      <c r="D20" s="227" t="s">
        <v>50</v>
      </c>
      <c r="E20" s="241"/>
      <c r="F20" s="228">
        <f t="shared" si="55"/>
        <v>9.2877610796635368E-2</v>
      </c>
      <c r="G20" s="269">
        <f>+F20*G19</f>
        <v>3.6252492849027021E-4</v>
      </c>
      <c r="H20" s="299"/>
      <c r="I20" s="299"/>
      <c r="J20" s="299"/>
      <c r="K20" s="299"/>
      <c r="L20" s="299"/>
      <c r="M20" s="299"/>
      <c r="N20" s="272">
        <v>1</v>
      </c>
      <c r="O20" s="272">
        <v>1</v>
      </c>
      <c r="P20" s="272">
        <v>1</v>
      </c>
      <c r="Q20" s="272">
        <v>1</v>
      </c>
      <c r="R20" s="372">
        <v>1</v>
      </c>
      <c r="S20" s="395">
        <v>1</v>
      </c>
      <c r="T20" s="272">
        <v>1</v>
      </c>
      <c r="U20" s="272">
        <v>1</v>
      </c>
      <c r="V20" s="272">
        <v>1</v>
      </c>
      <c r="W20" s="272">
        <v>1</v>
      </c>
      <c r="X20" s="272">
        <v>1</v>
      </c>
      <c r="Y20" s="272">
        <v>1</v>
      </c>
      <c r="Z20" s="272">
        <v>1</v>
      </c>
      <c r="AA20" s="272">
        <v>1</v>
      </c>
      <c r="AB20" s="272">
        <v>1</v>
      </c>
      <c r="AC20" s="272">
        <v>1</v>
      </c>
      <c r="AD20" s="396">
        <v>1</v>
      </c>
      <c r="AE20" s="396">
        <v>1</v>
      </c>
      <c r="AF20" s="396">
        <v>1</v>
      </c>
      <c r="AG20" s="396">
        <v>1</v>
      </c>
      <c r="AH20" s="396">
        <v>1</v>
      </c>
      <c r="AI20" s="396">
        <v>1</v>
      </c>
      <c r="AJ20" s="396">
        <v>1</v>
      </c>
      <c r="AK20" s="396">
        <v>1</v>
      </c>
      <c r="AL20" s="396">
        <v>1</v>
      </c>
      <c r="AM20" s="396">
        <v>1</v>
      </c>
      <c r="AN20" s="396">
        <v>1</v>
      </c>
      <c r="AO20" s="396">
        <v>1</v>
      </c>
      <c r="AP20" s="396">
        <v>1</v>
      </c>
    </row>
    <row r="21" spans="1:42" s="140" customFormat="1" ht="13.5" customHeight="1" outlineLevel="4">
      <c r="A21" s="216"/>
      <c r="B21" s="255" t="s">
        <v>51</v>
      </c>
      <c r="C21" s="245" t="s">
        <v>52</v>
      </c>
      <c r="D21" s="227" t="s">
        <v>53</v>
      </c>
      <c r="E21" s="241"/>
      <c r="F21" s="228">
        <f t="shared" si="55"/>
        <v>5.8105219309829384E-2</v>
      </c>
      <c r="G21" s="269">
        <f>+F21*G19</f>
        <v>2.2679944385445432E-4</v>
      </c>
      <c r="H21" s="299"/>
      <c r="I21" s="299"/>
      <c r="J21" s="299"/>
      <c r="K21" s="299"/>
      <c r="L21" s="299"/>
      <c r="M21" s="299"/>
      <c r="N21" s="272">
        <v>1</v>
      </c>
      <c r="O21" s="272">
        <v>1</v>
      </c>
      <c r="P21" s="272">
        <v>1</v>
      </c>
      <c r="Q21" s="272">
        <v>1</v>
      </c>
      <c r="R21" s="372">
        <v>1</v>
      </c>
      <c r="S21" s="395">
        <v>1</v>
      </c>
      <c r="T21" s="272">
        <v>1</v>
      </c>
      <c r="U21" s="272">
        <v>1</v>
      </c>
      <c r="V21" s="272">
        <v>1</v>
      </c>
      <c r="W21" s="272">
        <v>1</v>
      </c>
      <c r="X21" s="272">
        <v>1</v>
      </c>
      <c r="Y21" s="272">
        <v>1</v>
      </c>
      <c r="Z21" s="272">
        <v>1</v>
      </c>
      <c r="AA21" s="272">
        <v>1</v>
      </c>
      <c r="AB21" s="272">
        <v>1</v>
      </c>
      <c r="AC21" s="272">
        <v>1</v>
      </c>
      <c r="AD21" s="396">
        <v>1</v>
      </c>
      <c r="AE21" s="396">
        <v>1</v>
      </c>
      <c r="AF21" s="396">
        <v>1</v>
      </c>
      <c r="AG21" s="396">
        <v>1</v>
      </c>
      <c r="AH21" s="396">
        <v>1</v>
      </c>
      <c r="AI21" s="396">
        <v>1</v>
      </c>
      <c r="AJ21" s="396">
        <v>1</v>
      </c>
      <c r="AK21" s="396">
        <v>1</v>
      </c>
      <c r="AL21" s="396">
        <v>1</v>
      </c>
      <c r="AM21" s="396">
        <v>1</v>
      </c>
      <c r="AN21" s="396">
        <v>1</v>
      </c>
      <c r="AO21" s="396">
        <v>1</v>
      </c>
      <c r="AP21" s="396">
        <v>1</v>
      </c>
    </row>
    <row r="22" spans="1:42" s="140" customFormat="1" ht="13.5" customHeight="1" outlineLevel="4">
      <c r="A22" s="216"/>
      <c r="B22" s="255" t="s">
        <v>54</v>
      </c>
      <c r="C22" s="245" t="s">
        <v>55</v>
      </c>
      <c r="D22" s="227" t="s">
        <v>56</v>
      </c>
      <c r="E22" s="241"/>
      <c r="F22" s="228">
        <f t="shared" si="55"/>
        <v>2.7796911320762424E-2</v>
      </c>
      <c r="G22" s="269">
        <f>+F22*G19</f>
        <v>1.0849841207559182E-4</v>
      </c>
      <c r="H22" s="299"/>
      <c r="I22" s="299"/>
      <c r="J22" s="299"/>
      <c r="K22" s="299"/>
      <c r="L22" s="299"/>
      <c r="M22" s="299"/>
      <c r="N22" s="272">
        <v>1</v>
      </c>
      <c r="O22" s="272">
        <v>1</v>
      </c>
      <c r="P22" s="272">
        <v>1</v>
      </c>
      <c r="Q22" s="272">
        <v>1</v>
      </c>
      <c r="R22" s="372">
        <v>1</v>
      </c>
      <c r="S22" s="395">
        <v>1</v>
      </c>
      <c r="T22" s="272">
        <v>1</v>
      </c>
      <c r="U22" s="272">
        <v>1</v>
      </c>
      <c r="V22" s="272">
        <v>1</v>
      </c>
      <c r="W22" s="272">
        <v>1</v>
      </c>
      <c r="X22" s="272">
        <v>1</v>
      </c>
      <c r="Y22" s="272">
        <v>1</v>
      </c>
      <c r="Z22" s="272">
        <v>1</v>
      </c>
      <c r="AA22" s="272">
        <v>1</v>
      </c>
      <c r="AB22" s="272">
        <v>1</v>
      </c>
      <c r="AC22" s="272">
        <v>1</v>
      </c>
      <c r="AD22" s="396">
        <v>1</v>
      </c>
      <c r="AE22" s="396">
        <v>1</v>
      </c>
      <c r="AF22" s="396">
        <v>1</v>
      </c>
      <c r="AG22" s="396">
        <v>1</v>
      </c>
      <c r="AH22" s="396">
        <v>1</v>
      </c>
      <c r="AI22" s="396">
        <v>1</v>
      </c>
      <c r="AJ22" s="396">
        <v>1</v>
      </c>
      <c r="AK22" s="396">
        <v>1</v>
      </c>
      <c r="AL22" s="396">
        <v>1</v>
      </c>
      <c r="AM22" s="396">
        <v>1</v>
      </c>
      <c r="AN22" s="396">
        <v>1</v>
      </c>
      <c r="AO22" s="396">
        <v>1</v>
      </c>
      <c r="AP22" s="396">
        <v>1</v>
      </c>
    </row>
    <row r="23" spans="1:42" s="140" customFormat="1" ht="13.5" customHeight="1" outlineLevel="4">
      <c r="A23" s="216"/>
      <c r="B23" s="255" t="s">
        <v>57</v>
      </c>
      <c r="C23" s="245" t="s">
        <v>58</v>
      </c>
      <c r="D23" s="227" t="s">
        <v>59</v>
      </c>
      <c r="E23" s="241"/>
      <c r="F23" s="228">
        <f t="shared" si="55"/>
        <v>2.9155300375276354E-2</v>
      </c>
      <c r="G23" s="269">
        <f>+F23*G19</f>
        <v>1.1380054991727139E-4</v>
      </c>
      <c r="H23" s="299"/>
      <c r="I23" s="299"/>
      <c r="J23" s="299"/>
      <c r="K23" s="299"/>
      <c r="L23" s="299"/>
      <c r="M23" s="299"/>
      <c r="N23" s="272">
        <v>1</v>
      </c>
      <c r="O23" s="272">
        <v>1</v>
      </c>
      <c r="P23" s="272">
        <v>1</v>
      </c>
      <c r="Q23" s="272">
        <v>1</v>
      </c>
      <c r="R23" s="372">
        <v>1</v>
      </c>
      <c r="S23" s="395">
        <v>1</v>
      </c>
      <c r="T23" s="272">
        <v>1</v>
      </c>
      <c r="U23" s="272">
        <v>1</v>
      </c>
      <c r="V23" s="272">
        <v>1</v>
      </c>
      <c r="W23" s="272">
        <v>1</v>
      </c>
      <c r="X23" s="272">
        <v>1</v>
      </c>
      <c r="Y23" s="272">
        <v>1</v>
      </c>
      <c r="Z23" s="272">
        <v>1</v>
      </c>
      <c r="AA23" s="272">
        <v>1</v>
      </c>
      <c r="AB23" s="272">
        <v>1</v>
      </c>
      <c r="AC23" s="272">
        <v>1</v>
      </c>
      <c r="AD23" s="396">
        <v>1</v>
      </c>
      <c r="AE23" s="396">
        <v>1</v>
      </c>
      <c r="AF23" s="396">
        <v>1</v>
      </c>
      <c r="AG23" s="396">
        <v>1</v>
      </c>
      <c r="AH23" s="396">
        <v>1</v>
      </c>
      <c r="AI23" s="396">
        <v>1</v>
      </c>
      <c r="AJ23" s="396">
        <v>1</v>
      </c>
      <c r="AK23" s="396">
        <v>1</v>
      </c>
      <c r="AL23" s="396">
        <v>1</v>
      </c>
      <c r="AM23" s="396">
        <v>1</v>
      </c>
      <c r="AN23" s="396">
        <v>1</v>
      </c>
      <c r="AO23" s="396">
        <v>1</v>
      </c>
      <c r="AP23" s="396">
        <v>1</v>
      </c>
    </row>
    <row r="24" spans="1:42" s="140" customFormat="1" ht="13.5" customHeight="1" outlineLevel="4">
      <c r="A24" s="216"/>
      <c r="B24" s="255" t="s">
        <v>60</v>
      </c>
      <c r="C24" s="245" t="s">
        <v>61</v>
      </c>
      <c r="D24" s="227" t="s">
        <v>62</v>
      </c>
      <c r="E24" s="241"/>
      <c r="F24" s="228">
        <f t="shared" si="55"/>
        <v>4.0182801717972776E-2</v>
      </c>
      <c r="G24" s="269">
        <f>+F24*G19</f>
        <v>1.5684369133098445E-4</v>
      </c>
      <c r="H24" s="299"/>
      <c r="I24" s="299"/>
      <c r="J24" s="299"/>
      <c r="K24" s="299"/>
      <c r="L24" s="299"/>
      <c r="M24" s="299"/>
      <c r="N24" s="272">
        <v>1</v>
      </c>
      <c r="O24" s="272">
        <v>1</v>
      </c>
      <c r="P24" s="272">
        <v>1</v>
      </c>
      <c r="Q24" s="272">
        <v>1</v>
      </c>
      <c r="R24" s="372">
        <v>1</v>
      </c>
      <c r="S24" s="395">
        <v>1</v>
      </c>
      <c r="T24" s="272">
        <v>1</v>
      </c>
      <c r="U24" s="272">
        <v>1</v>
      </c>
      <c r="V24" s="272">
        <v>1</v>
      </c>
      <c r="W24" s="272">
        <v>1</v>
      </c>
      <c r="X24" s="272">
        <v>1</v>
      </c>
      <c r="Y24" s="272">
        <v>1</v>
      </c>
      <c r="Z24" s="272">
        <v>1</v>
      </c>
      <c r="AA24" s="272">
        <v>1</v>
      </c>
      <c r="AB24" s="272">
        <v>1</v>
      </c>
      <c r="AC24" s="272">
        <v>1</v>
      </c>
      <c r="AD24" s="396">
        <v>1</v>
      </c>
      <c r="AE24" s="396">
        <v>1</v>
      </c>
      <c r="AF24" s="396">
        <v>1</v>
      </c>
      <c r="AG24" s="396">
        <v>1</v>
      </c>
      <c r="AH24" s="396">
        <v>1</v>
      </c>
      <c r="AI24" s="396">
        <v>1</v>
      </c>
      <c r="AJ24" s="396">
        <v>1</v>
      </c>
      <c r="AK24" s="396">
        <v>1</v>
      </c>
      <c r="AL24" s="396">
        <v>1</v>
      </c>
      <c r="AM24" s="396">
        <v>1</v>
      </c>
      <c r="AN24" s="396">
        <v>1</v>
      </c>
      <c r="AO24" s="396">
        <v>1</v>
      </c>
      <c r="AP24" s="396">
        <v>1</v>
      </c>
    </row>
    <row r="25" spans="1:42" s="140" customFormat="1" ht="13.5" customHeight="1" outlineLevel="4">
      <c r="A25" s="216"/>
      <c r="B25" s="255" t="s">
        <v>63</v>
      </c>
      <c r="C25" s="245" t="s">
        <v>64</v>
      </c>
      <c r="D25" s="227" t="s">
        <v>65</v>
      </c>
      <c r="E25" s="241"/>
      <c r="F25" s="228">
        <f t="shared" si="55"/>
        <v>9.8615013818202632E-2</v>
      </c>
      <c r="G25" s="269">
        <f>+F25*G19</f>
        <v>3.8491947118224134E-4</v>
      </c>
      <c r="H25" s="299"/>
      <c r="I25" s="299"/>
      <c r="J25" s="299"/>
      <c r="K25" s="299"/>
      <c r="L25" s="299"/>
      <c r="M25" s="299"/>
      <c r="N25" s="272">
        <v>1</v>
      </c>
      <c r="O25" s="272">
        <v>1</v>
      </c>
      <c r="P25" s="272">
        <v>1</v>
      </c>
      <c r="Q25" s="272">
        <v>1</v>
      </c>
      <c r="R25" s="372">
        <v>1</v>
      </c>
      <c r="S25" s="395">
        <v>1</v>
      </c>
      <c r="T25" s="272">
        <v>1</v>
      </c>
      <c r="U25" s="272">
        <v>1</v>
      </c>
      <c r="V25" s="272">
        <v>1</v>
      </c>
      <c r="W25" s="272">
        <v>1</v>
      </c>
      <c r="X25" s="272">
        <v>1</v>
      </c>
      <c r="Y25" s="272">
        <v>1</v>
      </c>
      <c r="Z25" s="272">
        <v>1</v>
      </c>
      <c r="AA25" s="272">
        <v>1</v>
      </c>
      <c r="AB25" s="272">
        <v>1</v>
      </c>
      <c r="AC25" s="272">
        <v>1</v>
      </c>
      <c r="AD25" s="396">
        <v>1</v>
      </c>
      <c r="AE25" s="396">
        <v>1</v>
      </c>
      <c r="AF25" s="396">
        <v>1</v>
      </c>
      <c r="AG25" s="396">
        <v>1</v>
      </c>
      <c r="AH25" s="396">
        <v>1</v>
      </c>
      <c r="AI25" s="396">
        <v>1</v>
      </c>
      <c r="AJ25" s="396">
        <v>1</v>
      </c>
      <c r="AK25" s="396">
        <v>1</v>
      </c>
      <c r="AL25" s="396">
        <v>1</v>
      </c>
      <c r="AM25" s="396">
        <v>1</v>
      </c>
      <c r="AN25" s="396">
        <v>1</v>
      </c>
      <c r="AO25" s="396">
        <v>1</v>
      </c>
      <c r="AP25" s="396">
        <v>1</v>
      </c>
    </row>
    <row r="26" spans="1:42" s="140" customFormat="1" ht="13.5" customHeight="1" outlineLevel="4">
      <c r="A26" s="216"/>
      <c r="B26" s="255" t="s">
        <v>66</v>
      </c>
      <c r="C26" s="245" t="s">
        <v>67</v>
      </c>
      <c r="D26" s="227" t="s">
        <v>68</v>
      </c>
      <c r="E26" s="241"/>
      <c r="F26" s="228">
        <f t="shared" si="55"/>
        <v>9.164980880972666E-2</v>
      </c>
      <c r="G26" s="269">
        <f>+F26*G19</f>
        <v>3.5773250517439806E-4</v>
      </c>
      <c r="H26" s="299"/>
      <c r="I26" s="299"/>
      <c r="J26" s="299"/>
      <c r="K26" s="299"/>
      <c r="L26" s="299"/>
      <c r="M26" s="299"/>
      <c r="N26" s="272">
        <v>1</v>
      </c>
      <c r="O26" s="272">
        <v>1</v>
      </c>
      <c r="P26" s="272">
        <v>1</v>
      </c>
      <c r="Q26" s="272">
        <v>1</v>
      </c>
      <c r="R26" s="372">
        <v>1</v>
      </c>
      <c r="S26" s="395">
        <v>1</v>
      </c>
      <c r="T26" s="272">
        <v>1</v>
      </c>
      <c r="U26" s="272">
        <v>1</v>
      </c>
      <c r="V26" s="272">
        <v>1</v>
      </c>
      <c r="W26" s="272">
        <v>1</v>
      </c>
      <c r="X26" s="272">
        <v>1</v>
      </c>
      <c r="Y26" s="272">
        <v>1</v>
      </c>
      <c r="Z26" s="272">
        <v>1</v>
      </c>
      <c r="AA26" s="272">
        <v>1</v>
      </c>
      <c r="AB26" s="272">
        <v>1</v>
      </c>
      <c r="AC26" s="272">
        <v>1</v>
      </c>
      <c r="AD26" s="396">
        <v>1</v>
      </c>
      <c r="AE26" s="396">
        <v>1</v>
      </c>
      <c r="AF26" s="396">
        <v>1</v>
      </c>
      <c r="AG26" s="396">
        <v>1</v>
      </c>
      <c r="AH26" s="396">
        <v>1</v>
      </c>
      <c r="AI26" s="396">
        <v>1</v>
      </c>
      <c r="AJ26" s="396">
        <v>1</v>
      </c>
      <c r="AK26" s="396">
        <v>1</v>
      </c>
      <c r="AL26" s="396">
        <v>1</v>
      </c>
      <c r="AM26" s="396">
        <v>1</v>
      </c>
      <c r="AN26" s="396">
        <v>1</v>
      </c>
      <c r="AO26" s="396">
        <v>1</v>
      </c>
      <c r="AP26" s="396">
        <v>1</v>
      </c>
    </row>
    <row r="27" spans="1:42" s="140" customFormat="1" ht="26.25" customHeight="1" outlineLevel="4">
      <c r="A27" s="216"/>
      <c r="B27" s="255" t="s">
        <v>69</v>
      </c>
      <c r="C27" s="245" t="s">
        <v>70</v>
      </c>
      <c r="D27" s="227" t="s">
        <v>71</v>
      </c>
      <c r="E27" s="334"/>
      <c r="F27" s="335">
        <f t="shared" si="55"/>
        <v>9.2909380612212003E-2</v>
      </c>
      <c r="G27" s="269">
        <f>+F27*G19</f>
        <v>3.6264893415774251E-4</v>
      </c>
      <c r="H27" s="299"/>
      <c r="I27" s="299"/>
      <c r="J27" s="299"/>
      <c r="K27" s="299"/>
      <c r="L27" s="299"/>
      <c r="M27" s="299"/>
      <c r="N27" s="336">
        <v>0</v>
      </c>
      <c r="O27" s="336">
        <v>0</v>
      </c>
      <c r="P27" s="336">
        <v>0</v>
      </c>
      <c r="Q27" s="336">
        <v>0</v>
      </c>
      <c r="R27" s="373">
        <v>0</v>
      </c>
      <c r="S27" s="397">
        <v>0</v>
      </c>
      <c r="T27" s="336">
        <v>0</v>
      </c>
      <c r="U27" s="336">
        <v>0</v>
      </c>
      <c r="V27" s="336">
        <v>0</v>
      </c>
      <c r="W27" s="336">
        <v>0</v>
      </c>
      <c r="X27" s="336">
        <v>0</v>
      </c>
      <c r="Y27" s="336">
        <v>0</v>
      </c>
      <c r="Z27" s="336">
        <v>0</v>
      </c>
      <c r="AA27" s="336">
        <v>0</v>
      </c>
      <c r="AB27" s="336">
        <v>0</v>
      </c>
      <c r="AC27" s="336">
        <v>0</v>
      </c>
      <c r="AD27" s="398">
        <v>0</v>
      </c>
      <c r="AE27" s="398">
        <v>0</v>
      </c>
      <c r="AF27" s="398">
        <v>0</v>
      </c>
      <c r="AG27" s="398"/>
      <c r="AH27" s="398"/>
      <c r="AI27" s="398"/>
      <c r="AJ27" s="398"/>
      <c r="AK27" s="398"/>
      <c r="AL27" s="398"/>
      <c r="AM27" s="398"/>
      <c r="AN27" s="398"/>
      <c r="AO27" s="398"/>
      <c r="AP27" s="398"/>
    </row>
    <row r="28" spans="1:42" s="140" customFormat="1" ht="13.5" customHeight="1" outlineLevel="4">
      <c r="A28" s="216"/>
      <c r="B28" s="255" t="s">
        <v>72</v>
      </c>
      <c r="C28" s="245" t="s">
        <v>73</v>
      </c>
      <c r="D28" s="227" t="s">
        <v>74</v>
      </c>
      <c r="E28" s="241"/>
      <c r="F28" s="228">
        <f t="shared" si="55"/>
        <v>8.0887028733242702E-2</v>
      </c>
      <c r="G28" s="269">
        <f>+F28*G19</f>
        <v>3.1572263816643668E-4</v>
      </c>
      <c r="H28" s="299"/>
      <c r="I28" s="299"/>
      <c r="J28" s="299"/>
      <c r="K28" s="299"/>
      <c r="L28" s="299"/>
      <c r="M28" s="299"/>
      <c r="N28" s="272">
        <v>1</v>
      </c>
      <c r="O28" s="272">
        <v>1</v>
      </c>
      <c r="P28" s="272">
        <v>1</v>
      </c>
      <c r="Q28" s="272">
        <v>1</v>
      </c>
      <c r="R28" s="372">
        <v>1</v>
      </c>
      <c r="S28" s="395">
        <v>1</v>
      </c>
      <c r="T28" s="272">
        <v>1</v>
      </c>
      <c r="U28" s="272">
        <v>1</v>
      </c>
      <c r="V28" s="272">
        <v>1</v>
      </c>
      <c r="W28" s="272">
        <v>1</v>
      </c>
      <c r="X28" s="272">
        <v>1</v>
      </c>
      <c r="Y28" s="272">
        <v>1</v>
      </c>
      <c r="Z28" s="272">
        <v>1</v>
      </c>
      <c r="AA28" s="272">
        <v>1</v>
      </c>
      <c r="AB28" s="272">
        <v>1</v>
      </c>
      <c r="AC28" s="272">
        <v>1</v>
      </c>
      <c r="AD28" s="396">
        <v>1</v>
      </c>
      <c r="AE28" s="396">
        <v>1</v>
      </c>
      <c r="AF28" s="396">
        <v>1</v>
      </c>
      <c r="AG28" s="396">
        <v>1</v>
      </c>
      <c r="AH28" s="396">
        <v>1</v>
      </c>
      <c r="AI28" s="396">
        <v>1</v>
      </c>
      <c r="AJ28" s="396">
        <v>1</v>
      </c>
      <c r="AK28" s="396">
        <v>1</v>
      </c>
      <c r="AL28" s="396">
        <v>1</v>
      </c>
      <c r="AM28" s="396">
        <v>1</v>
      </c>
      <c r="AN28" s="396">
        <v>1</v>
      </c>
      <c r="AO28" s="396">
        <v>1</v>
      </c>
      <c r="AP28" s="396">
        <v>1</v>
      </c>
    </row>
    <row r="29" spans="1:42" s="140" customFormat="1" ht="13.5" customHeight="1" outlineLevel="4">
      <c r="A29" s="216"/>
      <c r="B29" s="255" t="s">
        <v>75</v>
      </c>
      <c r="C29" s="245" t="s">
        <v>76</v>
      </c>
      <c r="D29" s="227" t="s">
        <v>77</v>
      </c>
      <c r="E29" s="241"/>
      <c r="F29" s="228">
        <f t="shared" si="55"/>
        <v>0.11788367881609482</v>
      </c>
      <c r="G29" s="269">
        <f>+F29*G19</f>
        <v>4.6012996960644173E-4</v>
      </c>
      <c r="H29" s="299"/>
      <c r="I29" s="299"/>
      <c r="J29" s="299"/>
      <c r="K29" s="299"/>
      <c r="L29" s="299"/>
      <c r="M29" s="299"/>
      <c r="N29" s="272">
        <v>1</v>
      </c>
      <c r="O29" s="272">
        <v>1</v>
      </c>
      <c r="P29" s="272">
        <v>1</v>
      </c>
      <c r="Q29" s="272">
        <v>1</v>
      </c>
      <c r="R29" s="372">
        <v>1</v>
      </c>
      <c r="S29" s="395">
        <v>1</v>
      </c>
      <c r="T29" s="272">
        <v>1</v>
      </c>
      <c r="U29" s="272">
        <v>1</v>
      </c>
      <c r="V29" s="272">
        <v>1</v>
      </c>
      <c r="W29" s="272">
        <v>1</v>
      </c>
      <c r="X29" s="272">
        <v>1</v>
      </c>
      <c r="Y29" s="272">
        <v>1</v>
      </c>
      <c r="Z29" s="272">
        <v>1</v>
      </c>
      <c r="AA29" s="272">
        <v>1</v>
      </c>
      <c r="AB29" s="272">
        <v>1</v>
      </c>
      <c r="AC29" s="272">
        <v>1</v>
      </c>
      <c r="AD29" s="396">
        <v>1</v>
      </c>
      <c r="AE29" s="396">
        <v>1</v>
      </c>
      <c r="AF29" s="396">
        <v>1</v>
      </c>
      <c r="AG29" s="396">
        <v>1</v>
      </c>
      <c r="AH29" s="396">
        <v>1</v>
      </c>
      <c r="AI29" s="396">
        <v>1</v>
      </c>
      <c r="AJ29" s="396">
        <v>1</v>
      </c>
      <c r="AK29" s="396">
        <v>1</v>
      </c>
      <c r="AL29" s="396">
        <v>1</v>
      </c>
      <c r="AM29" s="396">
        <v>1</v>
      </c>
      <c r="AN29" s="396">
        <v>1</v>
      </c>
      <c r="AO29" s="396">
        <v>1</v>
      </c>
      <c r="AP29" s="396">
        <v>1</v>
      </c>
    </row>
    <row r="30" spans="1:42" s="140" customFormat="1" ht="13.5" customHeight="1" outlineLevel="4">
      <c r="A30" s="216"/>
      <c r="B30" s="255" t="s">
        <v>78</v>
      </c>
      <c r="C30" s="245" t="s">
        <v>79</v>
      </c>
      <c r="D30" s="227" t="s">
        <v>80</v>
      </c>
      <c r="E30" s="241"/>
      <c r="F30" s="228">
        <f t="shared" si="55"/>
        <v>4.1046638926131508E-2</v>
      </c>
      <c r="G30" s="269">
        <f>+F30*G19</f>
        <v>1.6021546757962935E-4</v>
      </c>
      <c r="H30" s="299"/>
      <c r="I30" s="299"/>
      <c r="J30" s="299"/>
      <c r="K30" s="299"/>
      <c r="L30" s="299"/>
      <c r="M30" s="299"/>
      <c r="N30" s="272">
        <v>1</v>
      </c>
      <c r="O30" s="272">
        <v>1</v>
      </c>
      <c r="P30" s="272">
        <v>1</v>
      </c>
      <c r="Q30" s="272">
        <v>1</v>
      </c>
      <c r="R30" s="372">
        <v>1</v>
      </c>
      <c r="S30" s="395">
        <v>1</v>
      </c>
      <c r="T30" s="272">
        <v>1</v>
      </c>
      <c r="U30" s="272">
        <v>1</v>
      </c>
      <c r="V30" s="272">
        <v>1</v>
      </c>
      <c r="W30" s="272">
        <v>1</v>
      </c>
      <c r="X30" s="272">
        <v>1</v>
      </c>
      <c r="Y30" s="272">
        <v>1</v>
      </c>
      <c r="Z30" s="272">
        <v>1</v>
      </c>
      <c r="AA30" s="272">
        <v>1</v>
      </c>
      <c r="AB30" s="272">
        <v>1</v>
      </c>
      <c r="AC30" s="272">
        <v>1</v>
      </c>
      <c r="AD30" s="396">
        <v>1</v>
      </c>
      <c r="AE30" s="396">
        <v>1</v>
      </c>
      <c r="AF30" s="396">
        <v>1</v>
      </c>
      <c r="AG30" s="396">
        <v>1</v>
      </c>
      <c r="AH30" s="396">
        <v>1</v>
      </c>
      <c r="AI30" s="396">
        <v>1</v>
      </c>
      <c r="AJ30" s="396">
        <v>1</v>
      </c>
      <c r="AK30" s="396">
        <v>1</v>
      </c>
      <c r="AL30" s="396">
        <v>1</v>
      </c>
      <c r="AM30" s="396">
        <v>1</v>
      </c>
      <c r="AN30" s="396">
        <v>1</v>
      </c>
      <c r="AO30" s="396">
        <v>1</v>
      </c>
      <c r="AP30" s="396">
        <v>1</v>
      </c>
    </row>
    <row r="31" spans="1:42" s="140" customFormat="1" ht="13.5" customHeight="1" outlineLevel="4">
      <c r="A31" s="216"/>
      <c r="B31" s="255" t="s">
        <v>81</v>
      </c>
      <c r="C31" s="245" t="s">
        <v>82</v>
      </c>
      <c r="D31" s="227" t="s">
        <v>83</v>
      </c>
      <c r="E31" s="241"/>
      <c r="F31" s="228">
        <f t="shared" si="55"/>
        <v>5.3741978219236555E-2</v>
      </c>
      <c r="G31" s="269">
        <f>+F31*G19</f>
        <v>2.0976860455114318E-4</v>
      </c>
      <c r="H31" s="299"/>
      <c r="I31" s="299"/>
      <c r="J31" s="299"/>
      <c r="K31" s="299"/>
      <c r="L31" s="299"/>
      <c r="M31" s="299"/>
      <c r="N31" s="272">
        <v>1</v>
      </c>
      <c r="O31" s="272">
        <v>1</v>
      </c>
      <c r="P31" s="272">
        <v>1</v>
      </c>
      <c r="Q31" s="272">
        <v>1</v>
      </c>
      <c r="R31" s="372">
        <v>1</v>
      </c>
      <c r="S31" s="395">
        <v>1</v>
      </c>
      <c r="T31" s="272">
        <v>1</v>
      </c>
      <c r="U31" s="272">
        <v>1</v>
      </c>
      <c r="V31" s="272">
        <v>1</v>
      </c>
      <c r="W31" s="272">
        <v>1</v>
      </c>
      <c r="X31" s="272">
        <v>1</v>
      </c>
      <c r="Y31" s="272">
        <v>1</v>
      </c>
      <c r="Z31" s="272">
        <v>1</v>
      </c>
      <c r="AA31" s="272">
        <v>1</v>
      </c>
      <c r="AB31" s="272">
        <v>1</v>
      </c>
      <c r="AC31" s="272">
        <v>1</v>
      </c>
      <c r="AD31" s="396">
        <v>1</v>
      </c>
      <c r="AE31" s="396">
        <v>1</v>
      </c>
      <c r="AF31" s="396">
        <v>1</v>
      </c>
      <c r="AG31" s="396">
        <v>1</v>
      </c>
      <c r="AH31" s="396">
        <v>1</v>
      </c>
      <c r="AI31" s="396">
        <v>1</v>
      </c>
      <c r="AJ31" s="396">
        <v>1</v>
      </c>
      <c r="AK31" s="396">
        <v>1</v>
      </c>
      <c r="AL31" s="396">
        <v>1</v>
      </c>
      <c r="AM31" s="396">
        <v>1</v>
      </c>
      <c r="AN31" s="396">
        <v>1</v>
      </c>
      <c r="AO31" s="396">
        <v>1</v>
      </c>
      <c r="AP31" s="396">
        <v>1</v>
      </c>
    </row>
    <row r="32" spans="1:42" s="140" customFormat="1" ht="13.5" customHeight="1" outlineLevel="4">
      <c r="A32" s="216"/>
      <c r="B32" s="255" t="s">
        <v>84</v>
      </c>
      <c r="C32" s="245" t="s">
        <v>85</v>
      </c>
      <c r="D32" s="227" t="s">
        <v>86</v>
      </c>
      <c r="E32" s="241"/>
      <c r="F32" s="228">
        <f t="shared" si="55"/>
        <v>5.8057394561842592E-2</v>
      </c>
      <c r="G32" s="269">
        <f>+F32*G19</f>
        <v>2.2661277170391914E-4</v>
      </c>
      <c r="H32" s="299"/>
      <c r="I32" s="299"/>
      <c r="J32" s="299"/>
      <c r="K32" s="299"/>
      <c r="L32" s="299"/>
      <c r="M32" s="299"/>
      <c r="N32" s="272">
        <v>1</v>
      </c>
      <c r="O32" s="272">
        <v>1</v>
      </c>
      <c r="P32" s="272">
        <v>1</v>
      </c>
      <c r="Q32" s="272">
        <v>1</v>
      </c>
      <c r="R32" s="372">
        <v>1</v>
      </c>
      <c r="S32" s="395">
        <v>1</v>
      </c>
      <c r="T32" s="272">
        <v>1</v>
      </c>
      <c r="U32" s="272">
        <v>1</v>
      </c>
      <c r="V32" s="272">
        <v>1</v>
      </c>
      <c r="W32" s="272">
        <v>1</v>
      </c>
      <c r="X32" s="272">
        <v>1</v>
      </c>
      <c r="Y32" s="272">
        <v>1</v>
      </c>
      <c r="Z32" s="272">
        <v>1</v>
      </c>
      <c r="AA32" s="272">
        <v>1</v>
      </c>
      <c r="AB32" s="272">
        <v>1</v>
      </c>
      <c r="AC32" s="272">
        <v>1</v>
      </c>
      <c r="AD32" s="396">
        <v>1</v>
      </c>
      <c r="AE32" s="396">
        <v>1</v>
      </c>
      <c r="AF32" s="396">
        <v>1</v>
      </c>
      <c r="AG32" s="396">
        <v>1</v>
      </c>
      <c r="AH32" s="396">
        <v>1</v>
      </c>
      <c r="AI32" s="396">
        <v>1</v>
      </c>
      <c r="AJ32" s="396">
        <v>1</v>
      </c>
      <c r="AK32" s="396">
        <v>1</v>
      </c>
      <c r="AL32" s="396">
        <v>1</v>
      </c>
      <c r="AM32" s="396">
        <v>1</v>
      </c>
      <c r="AN32" s="396">
        <v>1</v>
      </c>
      <c r="AO32" s="396">
        <v>1</v>
      </c>
      <c r="AP32" s="396">
        <v>1</v>
      </c>
    </row>
    <row r="33" spans="1:42" s="140" customFormat="1" ht="13.5" customHeight="1" outlineLevel="4">
      <c r="A33" s="216"/>
      <c r="B33" s="255" t="s">
        <v>87</v>
      </c>
      <c r="C33" s="245" t="s">
        <v>88</v>
      </c>
      <c r="D33" s="227" t="s">
        <v>89</v>
      </c>
      <c r="E33" s="241"/>
      <c r="F33" s="228">
        <f t="shared" si="55"/>
        <v>6.1612726844928238E-2</v>
      </c>
      <c r="G33" s="269">
        <f>+F33*G19</f>
        <v>2.404901375257741E-4</v>
      </c>
      <c r="H33" s="299"/>
      <c r="I33" s="299"/>
      <c r="J33" s="299"/>
      <c r="K33" s="299"/>
      <c r="L33" s="299"/>
      <c r="M33" s="299"/>
      <c r="N33" s="272">
        <v>1</v>
      </c>
      <c r="O33" s="272">
        <v>1</v>
      </c>
      <c r="P33" s="272">
        <v>1</v>
      </c>
      <c r="Q33" s="272">
        <v>1</v>
      </c>
      <c r="R33" s="372">
        <v>1</v>
      </c>
      <c r="S33" s="395">
        <v>1</v>
      </c>
      <c r="T33" s="272">
        <v>1</v>
      </c>
      <c r="U33" s="272">
        <v>1</v>
      </c>
      <c r="V33" s="272">
        <v>1</v>
      </c>
      <c r="W33" s="272">
        <v>1</v>
      </c>
      <c r="X33" s="272">
        <v>1</v>
      </c>
      <c r="Y33" s="272">
        <v>1</v>
      </c>
      <c r="Z33" s="272">
        <v>1</v>
      </c>
      <c r="AA33" s="272">
        <v>1</v>
      </c>
      <c r="AB33" s="272">
        <v>1</v>
      </c>
      <c r="AC33" s="272">
        <v>1</v>
      </c>
      <c r="AD33" s="396">
        <v>1</v>
      </c>
      <c r="AE33" s="396">
        <v>1</v>
      </c>
      <c r="AF33" s="396">
        <v>1</v>
      </c>
      <c r="AG33" s="396">
        <v>1</v>
      </c>
      <c r="AH33" s="396">
        <v>1</v>
      </c>
      <c r="AI33" s="396">
        <v>1</v>
      </c>
      <c r="AJ33" s="396">
        <v>1</v>
      </c>
      <c r="AK33" s="396">
        <v>1</v>
      </c>
      <c r="AL33" s="396">
        <v>1</v>
      </c>
      <c r="AM33" s="396">
        <v>1</v>
      </c>
      <c r="AN33" s="396">
        <v>1</v>
      </c>
      <c r="AO33" s="396">
        <v>1</v>
      </c>
      <c r="AP33" s="396">
        <v>1</v>
      </c>
    </row>
    <row r="34" spans="1:42" s="140" customFormat="1" ht="13.5" customHeight="1" outlineLevel="4">
      <c r="A34" s="216"/>
      <c r="B34" s="255" t="s">
        <v>90</v>
      </c>
      <c r="C34" s="245" t="s">
        <v>91</v>
      </c>
      <c r="D34" s="227" t="s">
        <v>92</v>
      </c>
      <c r="E34" s="241"/>
      <c r="F34" s="228">
        <f t="shared" si="55"/>
        <v>5.5478507137905975E-2</v>
      </c>
      <c r="G34" s="269">
        <f>+F34*G19</f>
        <v>2.1654671842231442E-4</v>
      </c>
      <c r="H34" s="299"/>
      <c r="I34" s="299"/>
      <c r="J34" s="299"/>
      <c r="K34" s="299"/>
      <c r="L34" s="299"/>
      <c r="M34" s="299"/>
      <c r="N34" s="272">
        <v>1</v>
      </c>
      <c r="O34" s="272">
        <v>1</v>
      </c>
      <c r="P34" s="272">
        <v>1</v>
      </c>
      <c r="Q34" s="272">
        <v>1</v>
      </c>
      <c r="R34" s="372">
        <v>1</v>
      </c>
      <c r="S34" s="395">
        <v>1</v>
      </c>
      <c r="T34" s="272">
        <v>1</v>
      </c>
      <c r="U34" s="272">
        <v>1</v>
      </c>
      <c r="V34" s="272">
        <v>1</v>
      </c>
      <c r="W34" s="272">
        <v>1</v>
      </c>
      <c r="X34" s="272">
        <v>1</v>
      </c>
      <c r="Y34" s="272">
        <v>1</v>
      </c>
      <c r="Z34" s="272">
        <v>1</v>
      </c>
      <c r="AA34" s="272">
        <v>1</v>
      </c>
      <c r="AB34" s="272">
        <v>1</v>
      </c>
      <c r="AC34" s="272">
        <v>1</v>
      </c>
      <c r="AD34" s="396">
        <v>1</v>
      </c>
      <c r="AE34" s="396">
        <v>1</v>
      </c>
      <c r="AF34" s="396">
        <v>1</v>
      </c>
      <c r="AG34" s="396">
        <v>1</v>
      </c>
      <c r="AH34" s="396">
        <v>1</v>
      </c>
      <c r="AI34" s="396">
        <v>1</v>
      </c>
      <c r="AJ34" s="396">
        <v>1</v>
      </c>
      <c r="AK34" s="396">
        <v>1</v>
      </c>
      <c r="AL34" s="396">
        <v>1</v>
      </c>
      <c r="AM34" s="396">
        <v>1</v>
      </c>
      <c r="AN34" s="396">
        <v>1</v>
      </c>
      <c r="AO34" s="396">
        <v>1</v>
      </c>
      <c r="AP34" s="396">
        <v>1</v>
      </c>
    </row>
    <row r="35" spans="1:42" s="140" customFormat="1" ht="29.25" customHeight="1" outlineLevel="2">
      <c r="A35" s="216"/>
      <c r="B35" s="329" t="s">
        <v>36</v>
      </c>
      <c r="C35" s="330" t="s">
        <v>93</v>
      </c>
      <c r="D35" s="330" t="s">
        <v>94</v>
      </c>
      <c r="E35" s="331"/>
      <c r="F35" s="332">
        <f t="shared" si="55"/>
        <v>0.17989574156721069</v>
      </c>
      <c r="G35" s="332">
        <f>+F35*G9</f>
        <v>1.7989574156721071E-2</v>
      </c>
      <c r="H35" s="333"/>
      <c r="I35" s="333"/>
      <c r="J35" s="333"/>
      <c r="K35" s="333"/>
      <c r="L35" s="333"/>
      <c r="M35" s="333"/>
      <c r="N35" s="332">
        <f t="shared" ref="N35:R35" si="79">+$F36*N36+$F48*N48+$F56*N56</f>
        <v>0.87854613236857104</v>
      </c>
      <c r="O35" s="332">
        <f t="shared" si="79"/>
        <v>0.87854613236857104</v>
      </c>
      <c r="P35" s="332">
        <f t="shared" si="79"/>
        <v>0.87854613236857104</v>
      </c>
      <c r="Q35" s="332">
        <f t="shared" si="79"/>
        <v>0.87854613236857104</v>
      </c>
      <c r="R35" s="374">
        <f t="shared" si="79"/>
        <v>0.87854613236857104</v>
      </c>
      <c r="S35" s="399">
        <f t="shared" ref="S35" si="80">+$F36*S36+$F48*S48+$F56*S56</f>
        <v>0.87854613236857104</v>
      </c>
      <c r="T35" s="332">
        <f t="shared" ref="T35" si="81">+$F36*T36+$F48*T48+$F56*T56</f>
        <v>0.87854613236857104</v>
      </c>
      <c r="U35" s="332">
        <f t="shared" ref="U35" si="82">+$F36*U36+$F48*U48+$F56*U56</f>
        <v>0.87854613236857104</v>
      </c>
      <c r="V35" s="332">
        <f t="shared" ref="V35" si="83">+$F36*V36+$F48*V48+$F56*V56</f>
        <v>0.87854613236857104</v>
      </c>
      <c r="W35" s="332">
        <f t="shared" ref="W35" si="84">+$F36*W36+$F48*W48+$F56*W56</f>
        <v>0.87854613236857104</v>
      </c>
      <c r="X35" s="332">
        <f t="shared" ref="X35" si="85">+$F36*X36+$F48*X48+$F56*X56</f>
        <v>0.87854613236857104</v>
      </c>
      <c r="Y35" s="332">
        <f t="shared" ref="Y35" si="86">+$F36*Y36+$F48*Y48+$F56*Y56</f>
        <v>0.87854613236857104</v>
      </c>
      <c r="Z35" s="332">
        <f t="shared" ref="Z35" si="87">+$F36*Z36+$F48*Z48+$F56*Z56</f>
        <v>0.87854613236857104</v>
      </c>
      <c r="AA35" s="332">
        <f t="shared" ref="AA35" si="88">+$F36*AA36+$F48*AA48+$F56*AA56</f>
        <v>0.87854613236857104</v>
      </c>
      <c r="AB35" s="332">
        <f t="shared" ref="AB35" si="89">+$F36*AB36+$F48*AB48+$F56*AB56</f>
        <v>0.87854613236857104</v>
      </c>
      <c r="AC35" s="332">
        <f t="shared" ref="AC35" si="90">+$F36*AC36+$F48*AC48+$F56*AC56</f>
        <v>0.87854613236857104</v>
      </c>
      <c r="AD35" s="400">
        <f t="shared" ref="AD35:AF35" si="91">+$F36*AD36+$F48*AD48+$F56*AD56</f>
        <v>0.87854613236857104</v>
      </c>
      <c r="AE35" s="400">
        <f t="shared" si="91"/>
        <v>0.87854613236857104</v>
      </c>
      <c r="AF35" s="400">
        <f t="shared" si="91"/>
        <v>0.87854613236857104</v>
      </c>
      <c r="AG35" s="400">
        <f t="shared" ref="AG35" si="92">+$F36*AG36+$F48*AG48+$F56*AG56</f>
        <v>0.87854613236857104</v>
      </c>
      <c r="AH35" s="400">
        <f t="shared" ref="AH35" si="93">+$F36*AH36+$F48*AH48+$F56*AH56</f>
        <v>0.87854613236857104</v>
      </c>
      <c r="AI35" s="400">
        <f t="shared" ref="AI35" si="94">+$F36*AI36+$F48*AI48+$F56*AI56</f>
        <v>0.87854613236857104</v>
      </c>
      <c r="AJ35" s="400">
        <f t="shared" ref="AJ35" si="95">+$F36*AJ36+$F48*AJ48+$F56*AJ56</f>
        <v>0.87854613236857104</v>
      </c>
      <c r="AK35" s="400">
        <f t="shared" ref="AK35" si="96">+$F36*AK36+$F48*AK48+$F56*AK56</f>
        <v>0.87854613236857104</v>
      </c>
      <c r="AL35" s="400">
        <f t="shared" ref="AL35" si="97">+$F36*AL36+$F48*AL48+$F56*AL56</f>
        <v>0.87854613236857104</v>
      </c>
      <c r="AM35" s="400">
        <f t="shared" ref="AM35" si="98">+$F36*AM36+$F48*AM48+$F56*AM56</f>
        <v>0.87854613236857104</v>
      </c>
      <c r="AN35" s="400">
        <f t="shared" ref="AN35" si="99">+$F36*AN36+$F48*AN48+$F56*AN56</f>
        <v>0.87854613236857104</v>
      </c>
      <c r="AO35" s="400">
        <f t="shared" ref="AO35" si="100">+$F36*AO36+$F48*AO48+$F56*AO56</f>
        <v>0.87854613236857104</v>
      </c>
      <c r="AP35" s="400">
        <f t="shared" ref="AP35" si="101">+$F36*AP36+$F48*AP48+$F56*AP56</f>
        <v>0.87854613236857104</v>
      </c>
    </row>
    <row r="36" spans="1:42" s="140" customFormat="1" ht="13.5" customHeight="1" outlineLevel="2">
      <c r="B36" s="301" t="s">
        <v>95</v>
      </c>
      <c r="C36" s="251" t="s">
        <v>96</v>
      </c>
      <c r="D36" s="236" t="s">
        <v>97</v>
      </c>
      <c r="E36" s="242"/>
      <c r="F36" s="232">
        <v>0.56856090035361229</v>
      </c>
      <c r="G36" s="232">
        <f>+F36*G35</f>
        <v>1.0228168479523408E-2</v>
      </c>
      <c r="H36" s="321"/>
      <c r="I36" s="321"/>
      <c r="J36" s="321"/>
      <c r="K36" s="321"/>
      <c r="L36" s="321"/>
      <c r="M36" s="321"/>
      <c r="N36" s="274">
        <f t="shared" ref="N36:R36" si="102">+SUMPRODUCT($F37:$F47,N37:N47)</f>
        <v>0.86016081336716643</v>
      </c>
      <c r="O36" s="274">
        <f t="shared" si="102"/>
        <v>0.86016081336716643</v>
      </c>
      <c r="P36" s="274">
        <f t="shared" si="102"/>
        <v>0.86016081336716643</v>
      </c>
      <c r="Q36" s="274">
        <f t="shared" si="102"/>
        <v>0.86016081336716643</v>
      </c>
      <c r="R36" s="375">
        <f t="shared" si="102"/>
        <v>0.86016081336716643</v>
      </c>
      <c r="S36" s="401">
        <f t="shared" ref="S36" si="103">+SUMPRODUCT($F37:$F47,S37:S47)</f>
        <v>0.86016081336716643</v>
      </c>
      <c r="T36" s="274">
        <f t="shared" ref="T36" si="104">+SUMPRODUCT($F37:$F47,T37:T47)</f>
        <v>0.86016081336716643</v>
      </c>
      <c r="U36" s="274">
        <f t="shared" ref="U36" si="105">+SUMPRODUCT($F37:$F47,U37:U47)</f>
        <v>0.86016081336716643</v>
      </c>
      <c r="V36" s="274">
        <f t="shared" ref="V36" si="106">+SUMPRODUCT($F37:$F47,V37:V47)</f>
        <v>0.86016081336716643</v>
      </c>
      <c r="W36" s="274">
        <f t="shared" ref="W36" si="107">+SUMPRODUCT($F37:$F47,W37:W47)</f>
        <v>0.86016081336716643</v>
      </c>
      <c r="X36" s="274">
        <f t="shared" ref="X36" si="108">+SUMPRODUCT($F37:$F47,X37:X47)</f>
        <v>0.86016081336716643</v>
      </c>
      <c r="Y36" s="274">
        <f t="shared" ref="Y36" si="109">+SUMPRODUCT($F37:$F47,Y37:Y47)</f>
        <v>0.86016081336716643</v>
      </c>
      <c r="Z36" s="274">
        <f t="shared" ref="Z36" si="110">+SUMPRODUCT($F37:$F47,Z37:Z47)</f>
        <v>0.86016081336716643</v>
      </c>
      <c r="AA36" s="274">
        <f t="shared" ref="AA36" si="111">+SUMPRODUCT($F37:$F47,AA37:AA47)</f>
        <v>0.86016081336716643</v>
      </c>
      <c r="AB36" s="274">
        <f t="shared" ref="AB36" si="112">+SUMPRODUCT($F37:$F47,AB37:AB47)</f>
        <v>0.86016081336716643</v>
      </c>
      <c r="AC36" s="274">
        <f t="shared" ref="AC36" si="113">+SUMPRODUCT($F37:$F47,AC37:AC47)</f>
        <v>0.86016081336716643</v>
      </c>
      <c r="AD36" s="402">
        <f t="shared" ref="AD36:AF36" si="114">+SUMPRODUCT($F37:$F47,AD37:AD47)</f>
        <v>0.86016081336716643</v>
      </c>
      <c r="AE36" s="402">
        <f t="shared" si="114"/>
        <v>0.86016081336716643</v>
      </c>
      <c r="AF36" s="402">
        <f t="shared" si="114"/>
        <v>0.86016081336716643</v>
      </c>
      <c r="AG36" s="402">
        <f t="shared" ref="AG36" si="115">+SUMPRODUCT($F37:$F47,AG37:AG47)</f>
        <v>0.86016081336716643</v>
      </c>
      <c r="AH36" s="402">
        <f t="shared" ref="AH36" si="116">+SUMPRODUCT($F37:$F47,AH37:AH47)</f>
        <v>0.86016081336716643</v>
      </c>
      <c r="AI36" s="402">
        <f t="shared" ref="AI36" si="117">+SUMPRODUCT($F37:$F47,AI37:AI47)</f>
        <v>0.86016081336716643</v>
      </c>
      <c r="AJ36" s="402">
        <f t="shared" ref="AJ36" si="118">+SUMPRODUCT($F37:$F47,AJ37:AJ47)</f>
        <v>0.86016081336716643</v>
      </c>
      <c r="AK36" s="402">
        <f t="shared" ref="AK36" si="119">+SUMPRODUCT($F37:$F47,AK37:AK47)</f>
        <v>0.86016081336716643</v>
      </c>
      <c r="AL36" s="402">
        <f t="shared" ref="AL36" si="120">+SUMPRODUCT($F37:$F47,AL37:AL47)</f>
        <v>0.86016081336716643</v>
      </c>
      <c r="AM36" s="402">
        <f t="shared" ref="AM36" si="121">+SUMPRODUCT($F37:$F47,AM37:AM47)</f>
        <v>0.86016081336716643</v>
      </c>
      <c r="AN36" s="402">
        <f t="shared" ref="AN36" si="122">+SUMPRODUCT($F37:$F47,AN37:AN47)</f>
        <v>0.86016081336716643</v>
      </c>
      <c r="AO36" s="402">
        <f t="shared" ref="AO36" si="123">+SUMPRODUCT($F37:$F47,AO37:AO47)</f>
        <v>0.86016081336716643</v>
      </c>
      <c r="AP36" s="402">
        <f t="shared" ref="AP36" si="124">+SUMPRODUCT($F37:$F47,AP37:AP47)</f>
        <v>0.86016081336716643</v>
      </c>
    </row>
    <row r="37" spans="1:42" s="140" customFormat="1" ht="26.25" customHeight="1" outlineLevel="4">
      <c r="A37" s="216"/>
      <c r="B37" s="255" t="s">
        <v>98</v>
      </c>
      <c r="C37" s="245" t="s">
        <v>99</v>
      </c>
      <c r="D37" s="227" t="s">
        <v>100</v>
      </c>
      <c r="E37" s="241"/>
      <c r="F37" s="228">
        <v>5.0651268099191453E-2</v>
      </c>
      <c r="G37" s="269">
        <f>+F37*G36</f>
        <v>5.1806970382003959E-4</v>
      </c>
      <c r="H37" s="299"/>
      <c r="I37" s="299"/>
      <c r="J37" s="299"/>
      <c r="K37" s="299"/>
      <c r="L37" s="299"/>
      <c r="M37" s="299"/>
      <c r="N37" s="272">
        <v>1</v>
      </c>
      <c r="O37" s="272">
        <v>1</v>
      </c>
      <c r="P37" s="272">
        <v>1</v>
      </c>
      <c r="Q37" s="272">
        <v>1</v>
      </c>
      <c r="R37" s="372">
        <v>1</v>
      </c>
      <c r="S37" s="395">
        <v>1</v>
      </c>
      <c r="T37" s="272">
        <v>1</v>
      </c>
      <c r="U37" s="272">
        <v>1</v>
      </c>
      <c r="V37" s="272">
        <v>1</v>
      </c>
      <c r="W37" s="272">
        <v>1</v>
      </c>
      <c r="X37" s="272">
        <v>1</v>
      </c>
      <c r="Y37" s="272">
        <v>1</v>
      </c>
      <c r="Z37" s="272">
        <v>1</v>
      </c>
      <c r="AA37" s="272">
        <v>1</v>
      </c>
      <c r="AB37" s="272">
        <v>1</v>
      </c>
      <c r="AC37" s="272">
        <v>1</v>
      </c>
      <c r="AD37" s="396">
        <v>1</v>
      </c>
      <c r="AE37" s="396">
        <v>1</v>
      </c>
      <c r="AF37" s="396">
        <v>1</v>
      </c>
      <c r="AG37" s="396">
        <v>1</v>
      </c>
      <c r="AH37" s="396">
        <v>1</v>
      </c>
      <c r="AI37" s="396">
        <v>1</v>
      </c>
      <c r="AJ37" s="396">
        <v>1</v>
      </c>
      <c r="AK37" s="396">
        <v>1</v>
      </c>
      <c r="AL37" s="396">
        <v>1</v>
      </c>
      <c r="AM37" s="396">
        <v>1</v>
      </c>
      <c r="AN37" s="396">
        <v>1</v>
      </c>
      <c r="AO37" s="396">
        <v>1</v>
      </c>
      <c r="AP37" s="396">
        <v>1</v>
      </c>
    </row>
    <row r="38" spans="1:42" s="140" customFormat="1" ht="26.25" customHeight="1" outlineLevel="4">
      <c r="A38" s="216"/>
      <c r="B38" s="255" t="s">
        <v>101</v>
      </c>
      <c r="C38" s="245" t="s">
        <v>102</v>
      </c>
      <c r="D38" s="227" t="s">
        <v>103</v>
      </c>
      <c r="E38" s="241"/>
      <c r="F38" s="228">
        <v>8.2125454251171334E-2</v>
      </c>
      <c r="G38" s="269">
        <f>+F38*G36</f>
        <v>8.3999298253837229E-4</v>
      </c>
      <c r="H38" s="299"/>
      <c r="I38" s="299"/>
      <c r="J38" s="299"/>
      <c r="K38" s="299"/>
      <c r="L38" s="299"/>
      <c r="M38" s="299"/>
      <c r="N38" s="272">
        <v>1</v>
      </c>
      <c r="O38" s="272">
        <v>1</v>
      </c>
      <c r="P38" s="272">
        <v>1</v>
      </c>
      <c r="Q38" s="272">
        <v>1</v>
      </c>
      <c r="R38" s="372">
        <v>1</v>
      </c>
      <c r="S38" s="395">
        <v>1</v>
      </c>
      <c r="T38" s="272">
        <v>1</v>
      </c>
      <c r="U38" s="272">
        <v>1</v>
      </c>
      <c r="V38" s="272">
        <v>1</v>
      </c>
      <c r="W38" s="272">
        <v>1</v>
      </c>
      <c r="X38" s="272">
        <v>1</v>
      </c>
      <c r="Y38" s="272">
        <v>1</v>
      </c>
      <c r="Z38" s="272">
        <v>1</v>
      </c>
      <c r="AA38" s="272">
        <v>1</v>
      </c>
      <c r="AB38" s="272">
        <v>1</v>
      </c>
      <c r="AC38" s="272">
        <v>1</v>
      </c>
      <c r="AD38" s="396">
        <v>1</v>
      </c>
      <c r="AE38" s="396">
        <v>1</v>
      </c>
      <c r="AF38" s="396">
        <v>1</v>
      </c>
      <c r="AG38" s="396">
        <v>1</v>
      </c>
      <c r="AH38" s="396">
        <v>1</v>
      </c>
      <c r="AI38" s="396">
        <v>1</v>
      </c>
      <c r="AJ38" s="396">
        <v>1</v>
      </c>
      <c r="AK38" s="396">
        <v>1</v>
      </c>
      <c r="AL38" s="396">
        <v>1</v>
      </c>
      <c r="AM38" s="396">
        <v>1</v>
      </c>
      <c r="AN38" s="396">
        <v>1</v>
      </c>
      <c r="AO38" s="396">
        <v>1</v>
      </c>
      <c r="AP38" s="396">
        <v>1</v>
      </c>
    </row>
    <row r="39" spans="1:42" s="140" customFormat="1" ht="26.25" customHeight="1" outlineLevel="4">
      <c r="A39" s="216"/>
      <c r="B39" s="255" t="s">
        <v>104</v>
      </c>
      <c r="C39" s="245" t="s">
        <v>105</v>
      </c>
      <c r="D39" s="227" t="s">
        <v>106</v>
      </c>
      <c r="E39" s="241"/>
      <c r="F39" s="228">
        <v>6.6964931207309911E-2</v>
      </c>
      <c r="G39" s="269">
        <f>+F39*G36</f>
        <v>6.8492859860806059E-4</v>
      </c>
      <c r="H39" s="299"/>
      <c r="I39" s="299"/>
      <c r="J39" s="299"/>
      <c r="K39" s="299"/>
      <c r="L39" s="299"/>
      <c r="M39" s="299"/>
      <c r="N39" s="272">
        <v>1</v>
      </c>
      <c r="O39" s="272">
        <v>1</v>
      </c>
      <c r="P39" s="272">
        <v>1</v>
      </c>
      <c r="Q39" s="272">
        <v>1</v>
      </c>
      <c r="R39" s="372">
        <v>1</v>
      </c>
      <c r="S39" s="395">
        <v>1</v>
      </c>
      <c r="T39" s="272">
        <v>1</v>
      </c>
      <c r="U39" s="272">
        <v>1</v>
      </c>
      <c r="V39" s="272">
        <v>1</v>
      </c>
      <c r="W39" s="272">
        <v>1</v>
      </c>
      <c r="X39" s="272">
        <v>1</v>
      </c>
      <c r="Y39" s="272">
        <v>1</v>
      </c>
      <c r="Z39" s="272">
        <v>1</v>
      </c>
      <c r="AA39" s="272">
        <v>1</v>
      </c>
      <c r="AB39" s="272">
        <v>1</v>
      </c>
      <c r="AC39" s="272">
        <v>1</v>
      </c>
      <c r="AD39" s="396">
        <v>1</v>
      </c>
      <c r="AE39" s="396">
        <v>1</v>
      </c>
      <c r="AF39" s="396">
        <v>1</v>
      </c>
      <c r="AG39" s="396">
        <v>1</v>
      </c>
      <c r="AH39" s="396">
        <v>1</v>
      </c>
      <c r="AI39" s="396">
        <v>1</v>
      </c>
      <c r="AJ39" s="396">
        <v>1</v>
      </c>
      <c r="AK39" s="396">
        <v>1</v>
      </c>
      <c r="AL39" s="396">
        <v>1</v>
      </c>
      <c r="AM39" s="396">
        <v>1</v>
      </c>
      <c r="AN39" s="396">
        <v>1</v>
      </c>
      <c r="AO39" s="396">
        <v>1</v>
      </c>
      <c r="AP39" s="396">
        <v>1</v>
      </c>
    </row>
    <row r="40" spans="1:42" s="140" customFormat="1" ht="26.25" customHeight="1" outlineLevel="4">
      <c r="A40" s="216"/>
      <c r="B40" s="255" t="s">
        <v>107</v>
      </c>
      <c r="C40" s="245" t="s">
        <v>108</v>
      </c>
      <c r="D40" s="227" t="s">
        <v>109</v>
      </c>
      <c r="E40" s="241"/>
      <c r="F40" s="228">
        <v>8.2833364710735921E-2</v>
      </c>
      <c r="G40" s="269">
        <f>+F40*G36</f>
        <v>8.4723360998721577E-4</v>
      </c>
      <c r="H40" s="299"/>
      <c r="I40" s="299"/>
      <c r="J40" s="299"/>
      <c r="K40" s="299"/>
      <c r="L40" s="299"/>
      <c r="M40" s="299"/>
      <c r="N40" s="272">
        <v>1</v>
      </c>
      <c r="O40" s="272">
        <v>1</v>
      </c>
      <c r="P40" s="272">
        <v>1</v>
      </c>
      <c r="Q40" s="272">
        <v>1</v>
      </c>
      <c r="R40" s="372">
        <v>1</v>
      </c>
      <c r="S40" s="395">
        <v>1</v>
      </c>
      <c r="T40" s="272">
        <v>1</v>
      </c>
      <c r="U40" s="272">
        <v>1</v>
      </c>
      <c r="V40" s="272">
        <v>1</v>
      </c>
      <c r="W40" s="272">
        <v>1</v>
      </c>
      <c r="X40" s="272">
        <v>1</v>
      </c>
      <c r="Y40" s="272">
        <v>1</v>
      </c>
      <c r="Z40" s="272">
        <v>1</v>
      </c>
      <c r="AA40" s="272">
        <v>1</v>
      </c>
      <c r="AB40" s="272">
        <v>1</v>
      </c>
      <c r="AC40" s="272">
        <v>1</v>
      </c>
      <c r="AD40" s="396">
        <v>1</v>
      </c>
      <c r="AE40" s="396">
        <v>1</v>
      </c>
      <c r="AF40" s="396">
        <v>1</v>
      </c>
      <c r="AG40" s="396">
        <v>1</v>
      </c>
      <c r="AH40" s="396">
        <v>1</v>
      </c>
      <c r="AI40" s="396">
        <v>1</v>
      </c>
      <c r="AJ40" s="396">
        <v>1</v>
      </c>
      <c r="AK40" s="396">
        <v>1</v>
      </c>
      <c r="AL40" s="396">
        <v>1</v>
      </c>
      <c r="AM40" s="396">
        <v>1</v>
      </c>
      <c r="AN40" s="396">
        <v>1</v>
      </c>
      <c r="AO40" s="396">
        <v>1</v>
      </c>
      <c r="AP40" s="396">
        <v>1</v>
      </c>
    </row>
    <row r="41" spans="1:42" s="140" customFormat="1" ht="39" customHeight="1" outlineLevel="4">
      <c r="A41" s="216"/>
      <c r="B41" s="255" t="s">
        <v>110</v>
      </c>
      <c r="C41" s="245" t="s">
        <v>111</v>
      </c>
      <c r="D41" s="227" t="s">
        <v>112</v>
      </c>
      <c r="E41" s="241"/>
      <c r="F41" s="228">
        <v>0.18485403818130638</v>
      </c>
      <c r="G41" s="269">
        <f>+F41*G36</f>
        <v>1.8907182466386546E-3</v>
      </c>
      <c r="H41" s="299"/>
      <c r="I41" s="299"/>
      <c r="J41" s="299"/>
      <c r="K41" s="299"/>
      <c r="L41" s="299"/>
      <c r="M41" s="299"/>
      <c r="N41" s="272">
        <v>1</v>
      </c>
      <c r="O41" s="272">
        <v>1</v>
      </c>
      <c r="P41" s="272">
        <v>1</v>
      </c>
      <c r="Q41" s="272">
        <v>1</v>
      </c>
      <c r="R41" s="372">
        <v>1</v>
      </c>
      <c r="S41" s="395">
        <v>1</v>
      </c>
      <c r="T41" s="272">
        <v>1</v>
      </c>
      <c r="U41" s="272">
        <v>1</v>
      </c>
      <c r="V41" s="272">
        <v>1</v>
      </c>
      <c r="W41" s="272">
        <v>1</v>
      </c>
      <c r="X41" s="272">
        <v>1</v>
      </c>
      <c r="Y41" s="272">
        <v>1</v>
      </c>
      <c r="Z41" s="272">
        <v>1</v>
      </c>
      <c r="AA41" s="272">
        <v>1</v>
      </c>
      <c r="AB41" s="272">
        <v>1</v>
      </c>
      <c r="AC41" s="272">
        <v>1</v>
      </c>
      <c r="AD41" s="396">
        <v>1</v>
      </c>
      <c r="AE41" s="396">
        <v>1</v>
      </c>
      <c r="AF41" s="396">
        <v>1</v>
      </c>
      <c r="AG41" s="396">
        <v>1</v>
      </c>
      <c r="AH41" s="396">
        <v>1</v>
      </c>
      <c r="AI41" s="396">
        <v>1</v>
      </c>
      <c r="AJ41" s="396">
        <v>1</v>
      </c>
      <c r="AK41" s="396">
        <v>1</v>
      </c>
      <c r="AL41" s="396">
        <v>1</v>
      </c>
      <c r="AM41" s="396">
        <v>1</v>
      </c>
      <c r="AN41" s="396">
        <v>1</v>
      </c>
      <c r="AO41" s="396">
        <v>1</v>
      </c>
      <c r="AP41" s="396">
        <v>1</v>
      </c>
    </row>
    <row r="42" spans="1:42" s="140" customFormat="1" ht="39" customHeight="1" outlineLevel="4">
      <c r="A42" s="216"/>
      <c r="B42" s="255" t="s">
        <v>113</v>
      </c>
      <c r="C42" s="245" t="s">
        <v>114</v>
      </c>
      <c r="D42" s="227" t="s">
        <v>115</v>
      </c>
      <c r="E42" s="241"/>
      <c r="F42" s="228">
        <v>0.10096602336672117</v>
      </c>
      <c r="G42" s="269">
        <f>+F42*G36</f>
        <v>1.0326974977023214E-3</v>
      </c>
      <c r="H42" s="299"/>
      <c r="I42" s="299"/>
      <c r="J42" s="299"/>
      <c r="K42" s="299"/>
      <c r="L42" s="299"/>
      <c r="M42" s="299"/>
      <c r="N42" s="272">
        <v>1</v>
      </c>
      <c r="O42" s="272">
        <v>1</v>
      </c>
      <c r="P42" s="272">
        <v>1</v>
      </c>
      <c r="Q42" s="272">
        <v>1</v>
      </c>
      <c r="R42" s="372">
        <v>1</v>
      </c>
      <c r="S42" s="395">
        <v>1</v>
      </c>
      <c r="T42" s="272">
        <v>1</v>
      </c>
      <c r="U42" s="272">
        <v>1</v>
      </c>
      <c r="V42" s="272">
        <v>1</v>
      </c>
      <c r="W42" s="272">
        <v>1</v>
      </c>
      <c r="X42" s="272">
        <v>1</v>
      </c>
      <c r="Y42" s="272">
        <v>1</v>
      </c>
      <c r="Z42" s="272">
        <v>1</v>
      </c>
      <c r="AA42" s="272">
        <v>1</v>
      </c>
      <c r="AB42" s="272">
        <v>1</v>
      </c>
      <c r="AC42" s="272">
        <v>1</v>
      </c>
      <c r="AD42" s="396">
        <v>1</v>
      </c>
      <c r="AE42" s="396">
        <v>1</v>
      </c>
      <c r="AF42" s="396">
        <v>1</v>
      </c>
      <c r="AG42" s="396">
        <v>1</v>
      </c>
      <c r="AH42" s="396">
        <v>1</v>
      </c>
      <c r="AI42" s="396">
        <v>1</v>
      </c>
      <c r="AJ42" s="396">
        <v>1</v>
      </c>
      <c r="AK42" s="396">
        <v>1</v>
      </c>
      <c r="AL42" s="396">
        <v>1</v>
      </c>
      <c r="AM42" s="396">
        <v>1</v>
      </c>
      <c r="AN42" s="396">
        <v>1</v>
      </c>
      <c r="AO42" s="396">
        <v>1</v>
      </c>
      <c r="AP42" s="396">
        <v>1</v>
      </c>
    </row>
    <row r="43" spans="1:42" s="140" customFormat="1" ht="39" customHeight="1" outlineLevel="4">
      <c r="A43" s="216"/>
      <c r="B43" s="255" t="s">
        <v>116</v>
      </c>
      <c r="C43" s="245" t="s">
        <v>117</v>
      </c>
      <c r="D43" s="227" t="s">
        <v>118</v>
      </c>
      <c r="E43" s="241"/>
      <c r="F43" s="228">
        <v>0.10262123888629911</v>
      </c>
      <c r="G43" s="269">
        <f>+F43*G36</f>
        <v>1.0496273209064863E-3</v>
      </c>
      <c r="H43" s="299"/>
      <c r="I43" s="299"/>
      <c r="J43" s="299"/>
      <c r="K43" s="299"/>
      <c r="L43" s="299"/>
      <c r="M43" s="299"/>
      <c r="N43" s="272">
        <v>1</v>
      </c>
      <c r="O43" s="272">
        <v>1</v>
      </c>
      <c r="P43" s="272">
        <v>1</v>
      </c>
      <c r="Q43" s="272">
        <v>1</v>
      </c>
      <c r="R43" s="372">
        <v>1</v>
      </c>
      <c r="S43" s="395">
        <v>1</v>
      </c>
      <c r="T43" s="272">
        <v>1</v>
      </c>
      <c r="U43" s="272">
        <v>1</v>
      </c>
      <c r="V43" s="272">
        <v>1</v>
      </c>
      <c r="W43" s="272">
        <v>1</v>
      </c>
      <c r="X43" s="272">
        <v>1</v>
      </c>
      <c r="Y43" s="272">
        <v>1</v>
      </c>
      <c r="Z43" s="272">
        <v>1</v>
      </c>
      <c r="AA43" s="272">
        <v>1</v>
      </c>
      <c r="AB43" s="272">
        <v>1</v>
      </c>
      <c r="AC43" s="272">
        <v>1</v>
      </c>
      <c r="AD43" s="396">
        <v>1</v>
      </c>
      <c r="AE43" s="396">
        <v>1</v>
      </c>
      <c r="AF43" s="396">
        <v>1</v>
      </c>
      <c r="AG43" s="396">
        <v>1</v>
      </c>
      <c r="AH43" s="396">
        <v>1</v>
      </c>
      <c r="AI43" s="396">
        <v>1</v>
      </c>
      <c r="AJ43" s="396">
        <v>1</v>
      </c>
      <c r="AK43" s="396">
        <v>1</v>
      </c>
      <c r="AL43" s="396">
        <v>1</v>
      </c>
      <c r="AM43" s="396">
        <v>1</v>
      </c>
      <c r="AN43" s="396">
        <v>1</v>
      </c>
      <c r="AO43" s="396">
        <v>1</v>
      </c>
      <c r="AP43" s="396">
        <v>1</v>
      </c>
    </row>
    <row r="44" spans="1:42" s="140" customFormat="1" ht="39" customHeight="1" outlineLevel="4">
      <c r="A44" s="216"/>
      <c r="B44" s="255" t="s">
        <v>119</v>
      </c>
      <c r="C44" s="245" t="s">
        <v>120</v>
      </c>
      <c r="D44" s="227" t="s">
        <v>121</v>
      </c>
      <c r="E44" s="241"/>
      <c r="F44" s="228">
        <v>0.16486815906368971</v>
      </c>
      <c r="G44" s="269">
        <f>+F44*G36</f>
        <v>1.6862993078122824E-3</v>
      </c>
      <c r="H44" s="299"/>
      <c r="I44" s="299"/>
      <c r="J44" s="299"/>
      <c r="K44" s="299"/>
      <c r="L44" s="299"/>
      <c r="M44" s="299"/>
      <c r="N44" s="272">
        <v>1</v>
      </c>
      <c r="O44" s="272">
        <v>1</v>
      </c>
      <c r="P44" s="272">
        <v>1</v>
      </c>
      <c r="Q44" s="272">
        <v>1</v>
      </c>
      <c r="R44" s="372">
        <v>1</v>
      </c>
      <c r="S44" s="395">
        <v>1</v>
      </c>
      <c r="T44" s="272">
        <v>1</v>
      </c>
      <c r="U44" s="272">
        <v>1</v>
      </c>
      <c r="V44" s="272">
        <v>1</v>
      </c>
      <c r="W44" s="272">
        <v>1</v>
      </c>
      <c r="X44" s="272">
        <v>1</v>
      </c>
      <c r="Y44" s="272">
        <v>1</v>
      </c>
      <c r="Z44" s="272">
        <v>1</v>
      </c>
      <c r="AA44" s="272">
        <v>1</v>
      </c>
      <c r="AB44" s="272">
        <v>1</v>
      </c>
      <c r="AC44" s="272">
        <v>1</v>
      </c>
      <c r="AD44" s="396">
        <v>1</v>
      </c>
      <c r="AE44" s="396">
        <v>1</v>
      </c>
      <c r="AF44" s="396">
        <v>1</v>
      </c>
      <c r="AG44" s="396">
        <v>1</v>
      </c>
      <c r="AH44" s="396">
        <v>1</v>
      </c>
      <c r="AI44" s="396">
        <v>1</v>
      </c>
      <c r="AJ44" s="396">
        <v>1</v>
      </c>
      <c r="AK44" s="396">
        <v>1</v>
      </c>
      <c r="AL44" s="396">
        <v>1</v>
      </c>
      <c r="AM44" s="396">
        <v>1</v>
      </c>
      <c r="AN44" s="396">
        <v>1</v>
      </c>
      <c r="AO44" s="396">
        <v>1</v>
      </c>
      <c r="AP44" s="396">
        <v>1</v>
      </c>
    </row>
    <row r="45" spans="1:42" s="140" customFormat="1" ht="26.25" customHeight="1" outlineLevel="4">
      <c r="A45" s="216"/>
      <c r="B45" s="255" t="s">
        <v>122</v>
      </c>
      <c r="C45" s="245" t="s">
        <v>123</v>
      </c>
      <c r="D45" s="227" t="s">
        <v>124</v>
      </c>
      <c r="E45" s="241"/>
      <c r="F45" s="228">
        <v>4.5095887303671384E-3</v>
      </c>
      <c r="G45" s="269">
        <f>+F45*G36</f>
        <v>4.6124833307555149E-5</v>
      </c>
      <c r="H45" s="299"/>
      <c r="I45" s="299"/>
      <c r="J45" s="299"/>
      <c r="K45" s="299"/>
      <c r="L45" s="299"/>
      <c r="M45" s="299"/>
      <c r="N45" s="272">
        <v>0.99999999999999989</v>
      </c>
      <c r="O45" s="272">
        <v>0.99999999999999989</v>
      </c>
      <c r="P45" s="272">
        <v>0.99999999999999989</v>
      </c>
      <c r="Q45" s="272">
        <v>0.99999999999999989</v>
      </c>
      <c r="R45" s="372">
        <v>0.99999999999999989</v>
      </c>
      <c r="S45" s="395">
        <v>0.99999999999999989</v>
      </c>
      <c r="T45" s="272">
        <v>0.99999999999999989</v>
      </c>
      <c r="U45" s="272">
        <v>0.99999999999999989</v>
      </c>
      <c r="V45" s="272">
        <v>0.99999999999999989</v>
      </c>
      <c r="W45" s="272">
        <v>0.99999999999999989</v>
      </c>
      <c r="X45" s="272">
        <v>0.99999999999999989</v>
      </c>
      <c r="Y45" s="272">
        <v>0.99999999999999989</v>
      </c>
      <c r="Z45" s="272">
        <v>0.99999999999999989</v>
      </c>
      <c r="AA45" s="272">
        <v>0.99999999999999989</v>
      </c>
      <c r="AB45" s="272">
        <v>0.99999999999999989</v>
      </c>
      <c r="AC45" s="272">
        <v>0.99999999999999989</v>
      </c>
      <c r="AD45" s="396">
        <v>0.99999999999999989</v>
      </c>
      <c r="AE45" s="396">
        <v>0.99999999999999989</v>
      </c>
      <c r="AF45" s="396">
        <v>0.99999999999999989</v>
      </c>
      <c r="AG45" s="396">
        <v>0.99999999999999989</v>
      </c>
      <c r="AH45" s="396">
        <v>0.99999999999999989</v>
      </c>
      <c r="AI45" s="396">
        <v>0.99999999999999989</v>
      </c>
      <c r="AJ45" s="396">
        <v>0.99999999999999989</v>
      </c>
      <c r="AK45" s="396">
        <v>0.99999999999999989</v>
      </c>
      <c r="AL45" s="396">
        <v>0.99999999999999989</v>
      </c>
      <c r="AM45" s="396">
        <v>0.99999999999999989</v>
      </c>
      <c r="AN45" s="396">
        <v>0.99999999999999989</v>
      </c>
      <c r="AO45" s="396">
        <v>0.99999999999999989</v>
      </c>
      <c r="AP45" s="396">
        <v>0.99999999999999989</v>
      </c>
    </row>
    <row r="46" spans="1:42" s="140" customFormat="1" ht="26.25" customHeight="1" outlineLevel="4">
      <c r="A46" s="216"/>
      <c r="B46" s="255" t="s">
        <v>125</v>
      </c>
      <c r="C46" s="245" t="s">
        <v>126</v>
      </c>
      <c r="D46" s="227" t="s">
        <v>127</v>
      </c>
      <c r="E46" s="241"/>
      <c r="F46" s="228">
        <v>0.13983918663283351</v>
      </c>
      <c r="G46" s="269">
        <f>+F46*G36</f>
        <v>1.4302987609201387E-3</v>
      </c>
      <c r="H46" s="299"/>
      <c r="I46" s="299"/>
      <c r="J46" s="299"/>
      <c r="K46" s="299"/>
      <c r="L46" s="299"/>
      <c r="M46" s="299"/>
      <c r="N46" s="272">
        <v>0</v>
      </c>
      <c r="O46" s="272">
        <v>0</v>
      </c>
      <c r="P46" s="272">
        <v>0</v>
      </c>
      <c r="Q46" s="272">
        <v>0</v>
      </c>
      <c r="R46" s="372">
        <v>0</v>
      </c>
      <c r="S46" s="395">
        <v>0</v>
      </c>
      <c r="T46" s="272">
        <v>0</v>
      </c>
      <c r="U46" s="272">
        <v>0</v>
      </c>
      <c r="V46" s="272">
        <v>0</v>
      </c>
      <c r="W46" s="272">
        <v>0</v>
      </c>
      <c r="X46" s="272">
        <v>0</v>
      </c>
      <c r="Y46" s="272">
        <v>0</v>
      </c>
      <c r="Z46" s="272">
        <v>0</v>
      </c>
      <c r="AA46" s="272">
        <v>0</v>
      </c>
      <c r="AB46" s="272">
        <v>0</v>
      </c>
      <c r="AC46" s="272">
        <v>0</v>
      </c>
      <c r="AD46" s="396">
        <v>0</v>
      </c>
      <c r="AE46" s="396">
        <v>0</v>
      </c>
      <c r="AF46" s="396">
        <v>0</v>
      </c>
      <c r="AG46" s="396"/>
      <c r="AH46" s="396"/>
      <c r="AI46" s="396"/>
      <c r="AJ46" s="396"/>
      <c r="AK46" s="396"/>
      <c r="AL46" s="396"/>
      <c r="AM46" s="396"/>
      <c r="AN46" s="396"/>
      <c r="AO46" s="396"/>
      <c r="AP46" s="396"/>
    </row>
    <row r="47" spans="1:42" s="140" customFormat="1" ht="39" customHeight="1" outlineLevel="4">
      <c r="A47" s="216"/>
      <c r="B47" s="255" t="s">
        <v>128</v>
      </c>
      <c r="C47" s="245" t="s">
        <v>129</v>
      </c>
      <c r="D47" s="227" t="s">
        <v>130</v>
      </c>
      <c r="E47" s="241"/>
      <c r="F47" s="228">
        <v>1.9766746870374354E-2</v>
      </c>
      <c r="G47" s="269">
        <f>+F47*G36</f>
        <v>2.0217761728228095E-4</v>
      </c>
      <c r="H47" s="299"/>
      <c r="I47" s="299"/>
      <c r="J47" s="299"/>
      <c r="K47" s="299"/>
      <c r="L47" s="299"/>
      <c r="M47" s="299"/>
      <c r="N47" s="272">
        <v>0.99999999999999989</v>
      </c>
      <c r="O47" s="272">
        <v>0.99999999999999989</v>
      </c>
      <c r="P47" s="272">
        <v>0.99999999999999989</v>
      </c>
      <c r="Q47" s="272">
        <v>0.99999999999999989</v>
      </c>
      <c r="R47" s="372">
        <v>0.99999999999999989</v>
      </c>
      <c r="S47" s="395">
        <v>0.99999999999999989</v>
      </c>
      <c r="T47" s="272">
        <v>0.99999999999999989</v>
      </c>
      <c r="U47" s="272">
        <v>0.99999999999999989</v>
      </c>
      <c r="V47" s="272">
        <v>0.99999999999999989</v>
      </c>
      <c r="W47" s="272">
        <v>0.99999999999999989</v>
      </c>
      <c r="X47" s="272">
        <v>0.99999999999999989</v>
      </c>
      <c r="Y47" s="272">
        <v>0.99999999999999989</v>
      </c>
      <c r="Z47" s="272">
        <v>0.99999999999999989</v>
      </c>
      <c r="AA47" s="272">
        <v>0.99999999999999989</v>
      </c>
      <c r="AB47" s="272">
        <v>0.99999999999999989</v>
      </c>
      <c r="AC47" s="272">
        <v>0.99999999999999989</v>
      </c>
      <c r="AD47" s="396">
        <v>0.99999999999999989</v>
      </c>
      <c r="AE47" s="396">
        <v>0.99999999999999989</v>
      </c>
      <c r="AF47" s="396">
        <v>0.99999999999999989</v>
      </c>
      <c r="AG47" s="396">
        <v>0.99999999999999989</v>
      </c>
      <c r="AH47" s="396">
        <v>0.99999999999999989</v>
      </c>
      <c r="AI47" s="396">
        <v>0.99999999999999989</v>
      </c>
      <c r="AJ47" s="396">
        <v>0.99999999999999989</v>
      </c>
      <c r="AK47" s="396">
        <v>0.99999999999999989</v>
      </c>
      <c r="AL47" s="396">
        <v>0.99999999999999989</v>
      </c>
      <c r="AM47" s="396">
        <v>0.99999999999999989</v>
      </c>
      <c r="AN47" s="396">
        <v>0.99999999999999989</v>
      </c>
      <c r="AO47" s="396">
        <v>0.99999999999999989</v>
      </c>
      <c r="AP47" s="396">
        <v>0.99999999999999989</v>
      </c>
    </row>
    <row r="48" spans="1:42" s="140" customFormat="1" ht="26.25" customHeight="1" outlineLevel="2">
      <c r="B48" s="301" t="s">
        <v>131</v>
      </c>
      <c r="C48" s="236" t="s">
        <v>132</v>
      </c>
      <c r="D48" s="236" t="s">
        <v>133</v>
      </c>
      <c r="E48" s="242"/>
      <c r="F48" s="232">
        <v>0.36394063609291044</v>
      </c>
      <c r="G48" s="232">
        <f>+F48*G35</f>
        <v>6.5471370616376496E-3</v>
      </c>
      <c r="H48" s="321"/>
      <c r="I48" s="321"/>
      <c r="J48" s="321"/>
      <c r="K48" s="321"/>
      <c r="L48" s="321"/>
      <c r="M48" s="321"/>
      <c r="N48" s="274">
        <f t="shared" ref="N48:R48" si="125">+SUMPRODUCT($F49:$F55,N49:N55)</f>
        <v>0.89076914478384417</v>
      </c>
      <c r="O48" s="274">
        <f t="shared" si="125"/>
        <v>0.89076914478384417</v>
      </c>
      <c r="P48" s="274">
        <f t="shared" si="125"/>
        <v>0.89076914478384417</v>
      </c>
      <c r="Q48" s="274">
        <f t="shared" si="125"/>
        <v>0.89076914478384417</v>
      </c>
      <c r="R48" s="375">
        <f t="shared" si="125"/>
        <v>0.89076914478384417</v>
      </c>
      <c r="S48" s="401">
        <f t="shared" ref="S48" si="126">+SUMPRODUCT($F49:$F55,S49:S55)</f>
        <v>0.89076914478384417</v>
      </c>
      <c r="T48" s="274">
        <f t="shared" ref="T48" si="127">+SUMPRODUCT($F49:$F55,T49:T55)</f>
        <v>0.89076914478384417</v>
      </c>
      <c r="U48" s="274">
        <f t="shared" ref="U48" si="128">+SUMPRODUCT($F49:$F55,U49:U55)</f>
        <v>0.89076914478384417</v>
      </c>
      <c r="V48" s="274">
        <f t="shared" ref="V48" si="129">+SUMPRODUCT($F49:$F55,V49:V55)</f>
        <v>0.89076914478384417</v>
      </c>
      <c r="W48" s="274">
        <f t="shared" ref="W48" si="130">+SUMPRODUCT($F49:$F55,W49:W55)</f>
        <v>0.89076914478384417</v>
      </c>
      <c r="X48" s="274">
        <f t="shared" ref="X48" si="131">+SUMPRODUCT($F49:$F55,X49:X55)</f>
        <v>0.89076914478384417</v>
      </c>
      <c r="Y48" s="274">
        <f t="shared" ref="Y48" si="132">+SUMPRODUCT($F49:$F55,Y49:Y55)</f>
        <v>0.89076914478384417</v>
      </c>
      <c r="Z48" s="274">
        <f t="shared" ref="Z48" si="133">+SUMPRODUCT($F49:$F55,Z49:Z55)</f>
        <v>0.89076914478384417</v>
      </c>
      <c r="AA48" s="274">
        <f t="shared" ref="AA48" si="134">+SUMPRODUCT($F49:$F55,AA49:AA55)</f>
        <v>0.89076914478384417</v>
      </c>
      <c r="AB48" s="274">
        <f t="shared" ref="AB48" si="135">+SUMPRODUCT($F49:$F55,AB49:AB55)</f>
        <v>0.89076914478384417</v>
      </c>
      <c r="AC48" s="274">
        <f t="shared" ref="AC48" si="136">+SUMPRODUCT($F49:$F55,AC49:AC55)</f>
        <v>0.89076914478384417</v>
      </c>
      <c r="AD48" s="402">
        <f t="shared" ref="AD48:AF48" si="137">+SUMPRODUCT($F49:$F55,AD49:AD55)</f>
        <v>0.89076914478384417</v>
      </c>
      <c r="AE48" s="402">
        <f t="shared" si="137"/>
        <v>0.89076914478384417</v>
      </c>
      <c r="AF48" s="402">
        <f t="shared" si="137"/>
        <v>0.89076914478384417</v>
      </c>
      <c r="AG48" s="402">
        <f t="shared" ref="AG48" si="138">+SUMPRODUCT($F49:$F55,AG49:AG55)</f>
        <v>0.89076914478384417</v>
      </c>
      <c r="AH48" s="402">
        <f t="shared" ref="AH48" si="139">+SUMPRODUCT($F49:$F55,AH49:AH55)</f>
        <v>0.89076914478384417</v>
      </c>
      <c r="AI48" s="402">
        <f t="shared" ref="AI48" si="140">+SUMPRODUCT($F49:$F55,AI49:AI55)</f>
        <v>0.89076914478384417</v>
      </c>
      <c r="AJ48" s="402">
        <f t="shared" ref="AJ48" si="141">+SUMPRODUCT($F49:$F55,AJ49:AJ55)</f>
        <v>0.89076914478384417</v>
      </c>
      <c r="AK48" s="402">
        <f t="shared" ref="AK48" si="142">+SUMPRODUCT($F49:$F55,AK49:AK55)</f>
        <v>0.89076914478384417</v>
      </c>
      <c r="AL48" s="402">
        <f t="shared" ref="AL48" si="143">+SUMPRODUCT($F49:$F55,AL49:AL55)</f>
        <v>0.89076914478384417</v>
      </c>
      <c r="AM48" s="402">
        <f t="shared" ref="AM48" si="144">+SUMPRODUCT($F49:$F55,AM49:AM55)</f>
        <v>0.89076914478384417</v>
      </c>
      <c r="AN48" s="402">
        <f t="shared" ref="AN48" si="145">+SUMPRODUCT($F49:$F55,AN49:AN55)</f>
        <v>0.89076914478384417</v>
      </c>
      <c r="AO48" s="402">
        <f t="shared" ref="AO48" si="146">+SUMPRODUCT($F49:$F55,AO49:AO55)</f>
        <v>0.89076914478384417</v>
      </c>
      <c r="AP48" s="402">
        <f t="shared" ref="AP48" si="147">+SUMPRODUCT($F49:$F55,AP49:AP55)</f>
        <v>0.89076914478384417</v>
      </c>
    </row>
    <row r="49" spans="1:42" s="140" customFormat="1" ht="26.25" customHeight="1" outlineLevel="5">
      <c r="A49" s="216"/>
      <c r="B49" s="255" t="s">
        <v>134</v>
      </c>
      <c r="C49" s="245" t="s">
        <v>135</v>
      </c>
      <c r="D49" s="227" t="s">
        <v>136</v>
      </c>
      <c r="E49" s="241"/>
      <c r="F49" s="228">
        <v>7.1676986443886703E-2</v>
      </c>
      <c r="G49" s="269">
        <f>+F49*G48</f>
        <v>4.6927905441327002E-4</v>
      </c>
      <c r="H49" s="299"/>
      <c r="I49" s="299"/>
      <c r="J49" s="299"/>
      <c r="K49" s="299"/>
      <c r="L49" s="299"/>
      <c r="M49" s="299"/>
      <c r="N49" s="272">
        <v>1</v>
      </c>
      <c r="O49" s="272">
        <v>1</v>
      </c>
      <c r="P49" s="272">
        <v>1</v>
      </c>
      <c r="Q49" s="272">
        <v>1</v>
      </c>
      <c r="R49" s="372">
        <v>1</v>
      </c>
      <c r="S49" s="395">
        <v>1</v>
      </c>
      <c r="T49" s="272">
        <v>1</v>
      </c>
      <c r="U49" s="272">
        <v>1</v>
      </c>
      <c r="V49" s="272">
        <v>1</v>
      </c>
      <c r="W49" s="272">
        <v>1</v>
      </c>
      <c r="X49" s="272">
        <v>1</v>
      </c>
      <c r="Y49" s="272">
        <v>1</v>
      </c>
      <c r="Z49" s="272">
        <v>1</v>
      </c>
      <c r="AA49" s="272">
        <v>1</v>
      </c>
      <c r="AB49" s="272">
        <v>1</v>
      </c>
      <c r="AC49" s="272">
        <v>1</v>
      </c>
      <c r="AD49" s="396">
        <v>1</v>
      </c>
      <c r="AE49" s="396">
        <v>1</v>
      </c>
      <c r="AF49" s="396">
        <v>1</v>
      </c>
      <c r="AG49" s="396">
        <v>1</v>
      </c>
      <c r="AH49" s="396">
        <v>1</v>
      </c>
      <c r="AI49" s="396">
        <v>1</v>
      </c>
      <c r="AJ49" s="396">
        <v>1</v>
      </c>
      <c r="AK49" s="396">
        <v>1</v>
      </c>
      <c r="AL49" s="396">
        <v>1</v>
      </c>
      <c r="AM49" s="396">
        <v>1</v>
      </c>
      <c r="AN49" s="396">
        <v>1</v>
      </c>
      <c r="AO49" s="396">
        <v>1</v>
      </c>
      <c r="AP49" s="396">
        <v>1</v>
      </c>
    </row>
    <row r="50" spans="1:42" s="140" customFormat="1" ht="26.25" customHeight="1" outlineLevel="5">
      <c r="A50" s="216"/>
      <c r="B50" s="255" t="s">
        <v>137</v>
      </c>
      <c r="C50" s="245" t="s">
        <v>138</v>
      </c>
      <c r="D50" s="227" t="s">
        <v>139</v>
      </c>
      <c r="E50" s="241"/>
      <c r="F50" s="228">
        <v>0.15362856123018082</v>
      </c>
      <c r="G50" s="269">
        <f>+F50*G48</f>
        <v>1.0058272469561857E-3</v>
      </c>
      <c r="H50" s="299"/>
      <c r="I50" s="299"/>
      <c r="J50" s="299"/>
      <c r="K50" s="299"/>
      <c r="L50" s="299"/>
      <c r="M50" s="299"/>
      <c r="N50" s="272">
        <v>1</v>
      </c>
      <c r="O50" s="272">
        <v>1</v>
      </c>
      <c r="P50" s="272">
        <v>1</v>
      </c>
      <c r="Q50" s="272">
        <v>1</v>
      </c>
      <c r="R50" s="372">
        <v>1</v>
      </c>
      <c r="S50" s="395">
        <v>1</v>
      </c>
      <c r="T50" s="272">
        <v>1</v>
      </c>
      <c r="U50" s="272">
        <v>1</v>
      </c>
      <c r="V50" s="272">
        <v>1</v>
      </c>
      <c r="W50" s="272">
        <v>1</v>
      </c>
      <c r="X50" s="272">
        <v>1</v>
      </c>
      <c r="Y50" s="272">
        <v>1</v>
      </c>
      <c r="Z50" s="272">
        <v>1</v>
      </c>
      <c r="AA50" s="272">
        <v>1</v>
      </c>
      <c r="AB50" s="272">
        <v>1</v>
      </c>
      <c r="AC50" s="272">
        <v>1</v>
      </c>
      <c r="AD50" s="396">
        <v>1</v>
      </c>
      <c r="AE50" s="396">
        <v>1</v>
      </c>
      <c r="AF50" s="396">
        <v>1</v>
      </c>
      <c r="AG50" s="396">
        <v>1</v>
      </c>
      <c r="AH50" s="396">
        <v>1</v>
      </c>
      <c r="AI50" s="396">
        <v>1</v>
      </c>
      <c r="AJ50" s="396">
        <v>1</v>
      </c>
      <c r="AK50" s="396">
        <v>1</v>
      </c>
      <c r="AL50" s="396">
        <v>1</v>
      </c>
      <c r="AM50" s="396">
        <v>1</v>
      </c>
      <c r="AN50" s="396">
        <v>1</v>
      </c>
      <c r="AO50" s="396">
        <v>1</v>
      </c>
      <c r="AP50" s="396">
        <v>1</v>
      </c>
    </row>
    <row r="51" spans="1:42" s="140" customFormat="1" ht="26.25" customHeight="1" outlineLevel="5">
      <c r="A51" s="216"/>
      <c r="B51" s="255" t="s">
        <v>140</v>
      </c>
      <c r="C51" s="245" t="s">
        <v>141</v>
      </c>
      <c r="D51" s="227" t="s">
        <v>142</v>
      </c>
      <c r="E51" s="241"/>
      <c r="F51" s="228">
        <v>0.20080921505829794</v>
      </c>
      <c r="G51" s="269">
        <f>+F51*G48</f>
        <v>1.3147254542265475E-3</v>
      </c>
      <c r="H51" s="299"/>
      <c r="I51" s="299"/>
      <c r="J51" s="299"/>
      <c r="K51" s="299"/>
      <c r="L51" s="299"/>
      <c r="M51" s="299"/>
      <c r="N51" s="272">
        <v>1</v>
      </c>
      <c r="O51" s="272">
        <v>1</v>
      </c>
      <c r="P51" s="272">
        <v>1</v>
      </c>
      <c r="Q51" s="272">
        <v>1</v>
      </c>
      <c r="R51" s="372">
        <v>1</v>
      </c>
      <c r="S51" s="395">
        <v>1</v>
      </c>
      <c r="T51" s="272">
        <v>1</v>
      </c>
      <c r="U51" s="272">
        <v>1</v>
      </c>
      <c r="V51" s="272">
        <v>1</v>
      </c>
      <c r="W51" s="272">
        <v>1</v>
      </c>
      <c r="X51" s="272">
        <v>1</v>
      </c>
      <c r="Y51" s="272">
        <v>1</v>
      </c>
      <c r="Z51" s="272">
        <v>1</v>
      </c>
      <c r="AA51" s="272">
        <v>1</v>
      </c>
      <c r="AB51" s="272">
        <v>1</v>
      </c>
      <c r="AC51" s="272">
        <v>1</v>
      </c>
      <c r="AD51" s="396">
        <v>1</v>
      </c>
      <c r="AE51" s="396">
        <v>1</v>
      </c>
      <c r="AF51" s="396">
        <v>1</v>
      </c>
      <c r="AG51" s="396">
        <v>1</v>
      </c>
      <c r="AH51" s="396">
        <v>1</v>
      </c>
      <c r="AI51" s="396">
        <v>1</v>
      </c>
      <c r="AJ51" s="396">
        <v>1</v>
      </c>
      <c r="AK51" s="396">
        <v>1</v>
      </c>
      <c r="AL51" s="396">
        <v>1</v>
      </c>
      <c r="AM51" s="396">
        <v>1</v>
      </c>
      <c r="AN51" s="396">
        <v>1</v>
      </c>
      <c r="AO51" s="396">
        <v>1</v>
      </c>
      <c r="AP51" s="396">
        <v>1</v>
      </c>
    </row>
    <row r="52" spans="1:42" s="140" customFormat="1" ht="26.25" customHeight="1" outlineLevel="5">
      <c r="A52" s="216"/>
      <c r="B52" s="255" t="s">
        <v>143</v>
      </c>
      <c r="C52" s="245" t="s">
        <v>144</v>
      </c>
      <c r="D52" s="227" t="s">
        <v>145</v>
      </c>
      <c r="E52" s="241"/>
      <c r="F52" s="228">
        <v>0.23658747698852015</v>
      </c>
      <c r="G52" s="269">
        <f>+F52*G48</f>
        <v>1.5489706389108849E-3</v>
      </c>
      <c r="H52" s="299"/>
      <c r="I52" s="299"/>
      <c r="J52" s="299"/>
      <c r="K52" s="299"/>
      <c r="L52" s="299"/>
      <c r="M52" s="299"/>
      <c r="N52" s="272">
        <v>1</v>
      </c>
      <c r="O52" s="272">
        <v>1</v>
      </c>
      <c r="P52" s="272">
        <v>1</v>
      </c>
      <c r="Q52" s="272">
        <v>1</v>
      </c>
      <c r="R52" s="372">
        <v>1</v>
      </c>
      <c r="S52" s="395">
        <v>1</v>
      </c>
      <c r="T52" s="272">
        <v>1</v>
      </c>
      <c r="U52" s="272">
        <v>1</v>
      </c>
      <c r="V52" s="272">
        <v>1</v>
      </c>
      <c r="W52" s="272">
        <v>1</v>
      </c>
      <c r="X52" s="272">
        <v>1</v>
      </c>
      <c r="Y52" s="272">
        <v>1</v>
      </c>
      <c r="Z52" s="272">
        <v>1</v>
      </c>
      <c r="AA52" s="272">
        <v>1</v>
      </c>
      <c r="AB52" s="272">
        <v>1</v>
      </c>
      <c r="AC52" s="272">
        <v>1</v>
      </c>
      <c r="AD52" s="396">
        <v>1</v>
      </c>
      <c r="AE52" s="396">
        <v>1</v>
      </c>
      <c r="AF52" s="396">
        <v>1</v>
      </c>
      <c r="AG52" s="396">
        <v>1</v>
      </c>
      <c r="AH52" s="396">
        <v>1</v>
      </c>
      <c r="AI52" s="396">
        <v>1</v>
      </c>
      <c r="AJ52" s="396">
        <v>1</v>
      </c>
      <c r="AK52" s="396">
        <v>1</v>
      </c>
      <c r="AL52" s="396">
        <v>1</v>
      </c>
      <c r="AM52" s="396">
        <v>1</v>
      </c>
      <c r="AN52" s="396">
        <v>1</v>
      </c>
      <c r="AO52" s="396">
        <v>1</v>
      </c>
      <c r="AP52" s="396">
        <v>1</v>
      </c>
    </row>
    <row r="53" spans="1:42" s="140" customFormat="1" ht="13.5" customHeight="1" outlineLevel="5">
      <c r="A53" s="216"/>
      <c r="B53" s="255" t="s">
        <v>146</v>
      </c>
      <c r="C53" s="245" t="s">
        <v>147</v>
      </c>
      <c r="D53" s="227" t="s">
        <v>148</v>
      </c>
      <c r="E53" s="241"/>
      <c r="F53" s="228">
        <v>0.1360559491040762</v>
      </c>
      <c r="G53" s="269">
        <f>+F53*G48</f>
        <v>8.9077694683558305E-4</v>
      </c>
      <c r="H53" s="299"/>
      <c r="I53" s="299"/>
      <c r="J53" s="299"/>
      <c r="K53" s="299"/>
      <c r="L53" s="299"/>
      <c r="M53" s="299"/>
      <c r="N53" s="272">
        <v>1</v>
      </c>
      <c r="O53" s="272">
        <v>1</v>
      </c>
      <c r="P53" s="272">
        <v>1</v>
      </c>
      <c r="Q53" s="272">
        <v>1</v>
      </c>
      <c r="R53" s="372">
        <v>1</v>
      </c>
      <c r="S53" s="395">
        <v>1</v>
      </c>
      <c r="T53" s="272">
        <v>1</v>
      </c>
      <c r="U53" s="272">
        <v>1</v>
      </c>
      <c r="V53" s="272">
        <v>1</v>
      </c>
      <c r="W53" s="272">
        <v>1</v>
      </c>
      <c r="X53" s="272">
        <v>1</v>
      </c>
      <c r="Y53" s="272">
        <v>1</v>
      </c>
      <c r="Z53" s="272">
        <v>1</v>
      </c>
      <c r="AA53" s="272">
        <v>1</v>
      </c>
      <c r="AB53" s="272">
        <v>1</v>
      </c>
      <c r="AC53" s="272">
        <v>1</v>
      </c>
      <c r="AD53" s="396">
        <v>1</v>
      </c>
      <c r="AE53" s="396">
        <v>1</v>
      </c>
      <c r="AF53" s="396">
        <v>1</v>
      </c>
      <c r="AG53" s="396">
        <v>1</v>
      </c>
      <c r="AH53" s="396">
        <v>1</v>
      </c>
      <c r="AI53" s="396">
        <v>1</v>
      </c>
      <c r="AJ53" s="396">
        <v>1</v>
      </c>
      <c r="AK53" s="396">
        <v>1</v>
      </c>
      <c r="AL53" s="396">
        <v>1</v>
      </c>
      <c r="AM53" s="396">
        <v>1</v>
      </c>
      <c r="AN53" s="396">
        <v>1</v>
      </c>
      <c r="AO53" s="396">
        <v>1</v>
      </c>
      <c r="AP53" s="396">
        <v>1</v>
      </c>
    </row>
    <row r="54" spans="1:42" s="140" customFormat="1" ht="13.5" customHeight="1" outlineLevel="5">
      <c r="A54" s="216"/>
      <c r="B54" s="255" t="s">
        <v>149</v>
      </c>
      <c r="C54" s="245" t="s">
        <v>150</v>
      </c>
      <c r="D54" s="227" t="s">
        <v>151</v>
      </c>
      <c r="E54" s="241"/>
      <c r="F54" s="228">
        <v>0.10923085521615573</v>
      </c>
      <c r="G54" s="269">
        <f>+F54*G48</f>
        <v>7.1514938046006937E-4</v>
      </c>
      <c r="H54" s="338"/>
      <c r="I54" s="338"/>
      <c r="J54" s="338"/>
      <c r="K54" s="338"/>
      <c r="L54" s="338"/>
      <c r="M54" s="338"/>
      <c r="N54" s="272">
        <v>0</v>
      </c>
      <c r="O54" s="272">
        <v>0</v>
      </c>
      <c r="P54" s="272">
        <v>0</v>
      </c>
      <c r="Q54" s="272">
        <v>0</v>
      </c>
      <c r="R54" s="372">
        <v>0</v>
      </c>
      <c r="S54" s="395">
        <v>0</v>
      </c>
      <c r="T54" s="272">
        <v>0</v>
      </c>
      <c r="U54" s="272">
        <v>0</v>
      </c>
      <c r="V54" s="272">
        <v>0</v>
      </c>
      <c r="W54" s="272">
        <v>0</v>
      </c>
      <c r="X54" s="272">
        <v>0</v>
      </c>
      <c r="Y54" s="272">
        <v>0</v>
      </c>
      <c r="Z54" s="272">
        <v>0</v>
      </c>
      <c r="AA54" s="272">
        <v>0</v>
      </c>
      <c r="AB54" s="272">
        <v>0</v>
      </c>
      <c r="AC54" s="272">
        <v>0</v>
      </c>
      <c r="AD54" s="396">
        <v>0</v>
      </c>
      <c r="AE54" s="396">
        <v>0</v>
      </c>
      <c r="AF54" s="396">
        <v>0</v>
      </c>
      <c r="AG54" s="396"/>
      <c r="AH54" s="396"/>
      <c r="AI54" s="396"/>
      <c r="AJ54" s="396"/>
      <c r="AK54" s="396"/>
      <c r="AL54" s="396"/>
      <c r="AM54" s="396"/>
      <c r="AN54" s="396"/>
      <c r="AO54" s="396"/>
      <c r="AP54" s="396"/>
    </row>
    <row r="55" spans="1:42" s="140" customFormat="1" ht="26.25" customHeight="1" outlineLevel="5">
      <c r="A55" s="216"/>
      <c r="B55" s="255" t="s">
        <v>152</v>
      </c>
      <c r="C55" s="245" t="s">
        <v>153</v>
      </c>
      <c r="D55" s="227" t="s">
        <v>154</v>
      </c>
      <c r="E55" s="241"/>
      <c r="F55" s="228">
        <v>9.2010955958882465E-2</v>
      </c>
      <c r="G55" s="269">
        <f>+F55*G48</f>
        <v>6.0240833983510897E-4</v>
      </c>
      <c r="H55" s="299"/>
      <c r="I55" s="299"/>
      <c r="J55" s="299"/>
      <c r="K55" s="299"/>
      <c r="L55" s="299"/>
      <c r="M55" s="299"/>
      <c r="N55" s="272">
        <v>1</v>
      </c>
      <c r="O55" s="272">
        <v>1</v>
      </c>
      <c r="P55" s="272">
        <v>1</v>
      </c>
      <c r="Q55" s="272">
        <v>1</v>
      </c>
      <c r="R55" s="372">
        <v>1</v>
      </c>
      <c r="S55" s="395">
        <v>1</v>
      </c>
      <c r="T55" s="272">
        <v>1</v>
      </c>
      <c r="U55" s="272">
        <v>1</v>
      </c>
      <c r="V55" s="272">
        <v>1</v>
      </c>
      <c r="W55" s="272">
        <v>1</v>
      </c>
      <c r="X55" s="272">
        <v>1</v>
      </c>
      <c r="Y55" s="272">
        <v>1</v>
      </c>
      <c r="Z55" s="272">
        <v>1</v>
      </c>
      <c r="AA55" s="272">
        <v>1</v>
      </c>
      <c r="AB55" s="272">
        <v>1</v>
      </c>
      <c r="AC55" s="272">
        <v>1</v>
      </c>
      <c r="AD55" s="396">
        <v>1</v>
      </c>
      <c r="AE55" s="396">
        <v>1</v>
      </c>
      <c r="AF55" s="396">
        <v>1</v>
      </c>
      <c r="AG55" s="396">
        <v>1</v>
      </c>
      <c r="AH55" s="396">
        <v>1</v>
      </c>
      <c r="AI55" s="396">
        <v>1</v>
      </c>
      <c r="AJ55" s="396">
        <v>1</v>
      </c>
      <c r="AK55" s="396">
        <v>1</v>
      </c>
      <c r="AL55" s="396">
        <v>1</v>
      </c>
      <c r="AM55" s="396">
        <v>1</v>
      </c>
      <c r="AN55" s="396">
        <v>1</v>
      </c>
      <c r="AO55" s="396">
        <v>1</v>
      </c>
      <c r="AP55" s="396">
        <v>1</v>
      </c>
    </row>
    <row r="56" spans="1:42" s="140" customFormat="1" ht="26.25" customHeight="1" outlineLevel="2">
      <c r="B56" s="301" t="s">
        <v>155</v>
      </c>
      <c r="C56" s="236" t="s">
        <v>156</v>
      </c>
      <c r="D56" s="236" t="s">
        <v>157</v>
      </c>
      <c r="E56" s="242"/>
      <c r="F56" s="232">
        <v>6.7498463553477217E-2</v>
      </c>
      <c r="G56" s="232">
        <f>+F56*G35</f>
        <v>1.2142686155600128E-3</v>
      </c>
      <c r="H56" s="321"/>
      <c r="I56" s="321"/>
      <c r="J56" s="321"/>
      <c r="K56" s="321"/>
      <c r="L56" s="321"/>
      <c r="M56" s="321"/>
      <c r="N56" s="274">
        <f t="shared" ref="N56:R56" si="148">+SUMPRODUCT($F57:$F60,N57:N60)</f>
        <v>0.96750701081262203</v>
      </c>
      <c r="O56" s="274">
        <f t="shared" si="148"/>
        <v>0.96750701081262203</v>
      </c>
      <c r="P56" s="274">
        <f t="shared" si="148"/>
        <v>0.96750701081262203</v>
      </c>
      <c r="Q56" s="274">
        <f t="shared" si="148"/>
        <v>0.96750701081262203</v>
      </c>
      <c r="R56" s="375">
        <f t="shared" si="148"/>
        <v>0.96750701081262203</v>
      </c>
      <c r="S56" s="401">
        <f t="shared" ref="S56" si="149">+SUMPRODUCT($F57:$F60,S57:S60)</f>
        <v>0.96750701081262203</v>
      </c>
      <c r="T56" s="274">
        <f t="shared" ref="T56" si="150">+SUMPRODUCT($F57:$F60,T57:T60)</f>
        <v>0.96750701081262203</v>
      </c>
      <c r="U56" s="274">
        <f t="shared" ref="U56" si="151">+SUMPRODUCT($F57:$F60,U57:U60)</f>
        <v>0.96750701081262203</v>
      </c>
      <c r="V56" s="274">
        <f t="shared" ref="V56" si="152">+SUMPRODUCT($F57:$F60,V57:V60)</f>
        <v>0.96750701081262203</v>
      </c>
      <c r="W56" s="274">
        <f t="shared" ref="W56" si="153">+SUMPRODUCT($F57:$F60,W57:W60)</f>
        <v>0.96750701081262203</v>
      </c>
      <c r="X56" s="274">
        <f t="shared" ref="X56" si="154">+SUMPRODUCT($F57:$F60,X57:X60)</f>
        <v>0.96750701081262203</v>
      </c>
      <c r="Y56" s="274">
        <f t="shared" ref="Y56" si="155">+SUMPRODUCT($F57:$F60,Y57:Y60)</f>
        <v>0.96750701081262203</v>
      </c>
      <c r="Z56" s="274">
        <f t="shared" ref="Z56" si="156">+SUMPRODUCT($F57:$F60,Z57:Z60)</f>
        <v>0.96750701081262203</v>
      </c>
      <c r="AA56" s="274">
        <f t="shared" ref="AA56" si="157">+SUMPRODUCT($F57:$F60,AA57:AA60)</f>
        <v>0.96750701081262203</v>
      </c>
      <c r="AB56" s="274">
        <f t="shared" ref="AB56" si="158">+SUMPRODUCT($F57:$F60,AB57:AB60)</f>
        <v>0.96750701081262203</v>
      </c>
      <c r="AC56" s="274">
        <f t="shared" ref="AC56" si="159">+SUMPRODUCT($F57:$F60,AC57:AC60)</f>
        <v>0.96750701081262203</v>
      </c>
      <c r="AD56" s="402">
        <f t="shared" ref="AD56:AF56" si="160">+SUMPRODUCT($F57:$F60,AD57:AD60)</f>
        <v>0.96750701081262203</v>
      </c>
      <c r="AE56" s="402">
        <f t="shared" si="160"/>
        <v>0.96750701081262203</v>
      </c>
      <c r="AF56" s="402">
        <f t="shared" si="160"/>
        <v>0.96750701081262203</v>
      </c>
      <c r="AG56" s="402">
        <f t="shared" ref="AG56" si="161">+SUMPRODUCT($F57:$F60,AG57:AG60)</f>
        <v>0.96750701081262203</v>
      </c>
      <c r="AH56" s="402">
        <f t="shared" ref="AH56" si="162">+SUMPRODUCT($F57:$F60,AH57:AH60)</f>
        <v>0.96750701081262203</v>
      </c>
      <c r="AI56" s="402">
        <f t="shared" ref="AI56" si="163">+SUMPRODUCT($F57:$F60,AI57:AI60)</f>
        <v>0.96750701081262203</v>
      </c>
      <c r="AJ56" s="402">
        <f t="shared" ref="AJ56" si="164">+SUMPRODUCT($F57:$F60,AJ57:AJ60)</f>
        <v>0.96750701081262203</v>
      </c>
      <c r="AK56" s="402">
        <f t="shared" ref="AK56" si="165">+SUMPRODUCT($F57:$F60,AK57:AK60)</f>
        <v>0.96750701081262203</v>
      </c>
      <c r="AL56" s="402">
        <f t="shared" ref="AL56" si="166">+SUMPRODUCT($F57:$F60,AL57:AL60)</f>
        <v>0.96750701081262203</v>
      </c>
      <c r="AM56" s="402">
        <f t="shared" ref="AM56" si="167">+SUMPRODUCT($F57:$F60,AM57:AM60)</f>
        <v>0.96750701081262203</v>
      </c>
      <c r="AN56" s="402">
        <f t="shared" ref="AN56" si="168">+SUMPRODUCT($F57:$F60,AN57:AN60)</f>
        <v>0.96750701081262203</v>
      </c>
      <c r="AO56" s="402">
        <f t="shared" ref="AO56" si="169">+SUMPRODUCT($F57:$F60,AO57:AO60)</f>
        <v>0.96750701081262203</v>
      </c>
      <c r="AP56" s="402">
        <f t="shared" ref="AP56" si="170">+SUMPRODUCT($F57:$F60,AP57:AP60)</f>
        <v>0.96750701081262203</v>
      </c>
    </row>
    <row r="57" spans="1:42" s="140" customFormat="1" ht="13.5" customHeight="1" outlineLevel="2">
      <c r="A57" s="216"/>
      <c r="B57" s="255" t="s">
        <v>158</v>
      </c>
      <c r="C57" s="245" t="s">
        <v>159</v>
      </c>
      <c r="D57" s="227" t="s">
        <v>160</v>
      </c>
      <c r="E57" s="241"/>
      <c r="F57" s="228">
        <v>0.49999532130347257</v>
      </c>
      <c r="G57" s="269">
        <f>+F57*G56</f>
        <v>6.0712862658565138E-4</v>
      </c>
      <c r="H57" s="299"/>
      <c r="I57" s="299"/>
      <c r="J57" s="299"/>
      <c r="K57" s="299"/>
      <c r="L57" s="299"/>
      <c r="M57" s="299"/>
      <c r="N57" s="272">
        <v>1</v>
      </c>
      <c r="O57" s="272">
        <v>1</v>
      </c>
      <c r="P57" s="272">
        <v>1</v>
      </c>
      <c r="Q57" s="272">
        <v>1</v>
      </c>
      <c r="R57" s="372">
        <v>1</v>
      </c>
      <c r="S57" s="395">
        <v>1</v>
      </c>
      <c r="T57" s="272">
        <v>1</v>
      </c>
      <c r="U57" s="272">
        <v>1</v>
      </c>
      <c r="V57" s="272">
        <v>1</v>
      </c>
      <c r="W57" s="272">
        <v>1</v>
      </c>
      <c r="X57" s="272">
        <v>1</v>
      </c>
      <c r="Y57" s="272">
        <v>1</v>
      </c>
      <c r="Z57" s="272">
        <v>1</v>
      </c>
      <c r="AA57" s="272">
        <v>1</v>
      </c>
      <c r="AB57" s="272">
        <v>1</v>
      </c>
      <c r="AC57" s="272">
        <v>1</v>
      </c>
      <c r="AD57" s="396">
        <v>1</v>
      </c>
      <c r="AE57" s="396">
        <v>1</v>
      </c>
      <c r="AF57" s="396">
        <v>1</v>
      </c>
      <c r="AG57" s="396">
        <v>1</v>
      </c>
      <c r="AH57" s="396">
        <v>1</v>
      </c>
      <c r="AI57" s="396">
        <v>1</v>
      </c>
      <c r="AJ57" s="396">
        <v>1</v>
      </c>
      <c r="AK57" s="396">
        <v>1</v>
      </c>
      <c r="AL57" s="396">
        <v>1</v>
      </c>
      <c r="AM57" s="396">
        <v>1</v>
      </c>
      <c r="AN57" s="396">
        <v>1</v>
      </c>
      <c r="AO57" s="396">
        <v>1</v>
      </c>
      <c r="AP57" s="396">
        <v>1</v>
      </c>
    </row>
    <row r="58" spans="1:42" s="140" customFormat="1" ht="26.25" customHeight="1" outlineLevel="2">
      <c r="A58" s="216"/>
      <c r="B58" s="255" t="s">
        <v>161</v>
      </c>
      <c r="C58" s="245" t="s">
        <v>162</v>
      </c>
      <c r="D58" s="227" t="s">
        <v>163</v>
      </c>
      <c r="E58" s="241"/>
      <c r="F58" s="228">
        <v>0.1624649459368899</v>
      </c>
      <c r="G58" s="269">
        <f>+F58*G56</f>
        <v>1.9727608497981962E-4</v>
      </c>
      <c r="H58" s="338"/>
      <c r="I58" s="338"/>
      <c r="J58" s="338"/>
      <c r="K58" s="338"/>
      <c r="L58" s="338"/>
      <c r="M58" s="338"/>
      <c r="N58" s="336">
        <v>0.8</v>
      </c>
      <c r="O58" s="336">
        <v>0.8</v>
      </c>
      <c r="P58" s="336">
        <v>0.8</v>
      </c>
      <c r="Q58" s="336">
        <v>0.8</v>
      </c>
      <c r="R58" s="373">
        <v>0.8</v>
      </c>
      <c r="S58" s="397">
        <v>0.8</v>
      </c>
      <c r="T58" s="336">
        <v>0.8</v>
      </c>
      <c r="U58" s="336">
        <v>0.8</v>
      </c>
      <c r="V58" s="336">
        <v>0.8</v>
      </c>
      <c r="W58" s="336">
        <v>0.8</v>
      </c>
      <c r="X58" s="336">
        <v>0.8</v>
      </c>
      <c r="Y58" s="336">
        <v>0.8</v>
      </c>
      <c r="Z58" s="336">
        <v>0.8</v>
      </c>
      <c r="AA58" s="336">
        <v>0.8</v>
      </c>
      <c r="AB58" s="336">
        <v>0.8</v>
      </c>
      <c r="AC58" s="336">
        <v>0.8</v>
      </c>
      <c r="AD58" s="398">
        <v>0.8</v>
      </c>
      <c r="AE58" s="398">
        <v>0.8</v>
      </c>
      <c r="AF58" s="398">
        <v>0.8</v>
      </c>
      <c r="AG58" s="398">
        <v>0.8</v>
      </c>
      <c r="AH58" s="398">
        <v>0.8</v>
      </c>
      <c r="AI58" s="398">
        <v>0.8</v>
      </c>
      <c r="AJ58" s="398">
        <v>0.8</v>
      </c>
      <c r="AK58" s="398">
        <v>0.8</v>
      </c>
      <c r="AL58" s="398">
        <v>0.8</v>
      </c>
      <c r="AM58" s="398">
        <v>0.8</v>
      </c>
      <c r="AN58" s="398">
        <v>0.8</v>
      </c>
      <c r="AO58" s="398">
        <v>0.8</v>
      </c>
      <c r="AP58" s="398">
        <v>0.8</v>
      </c>
    </row>
    <row r="59" spans="1:42" s="140" customFormat="1" ht="13.5" customHeight="1" outlineLevel="2">
      <c r="A59" s="216"/>
      <c r="B59" s="255" t="s">
        <v>164</v>
      </c>
      <c r="C59" s="245" t="s">
        <v>165</v>
      </c>
      <c r="D59" s="227" t="s">
        <v>166</v>
      </c>
      <c r="E59" s="241"/>
      <c r="F59" s="228">
        <v>0.19260369461123825</v>
      </c>
      <c r="G59" s="269">
        <f>+F59*G56</f>
        <v>2.3387262160733176E-4</v>
      </c>
      <c r="H59" s="299"/>
      <c r="I59" s="299"/>
      <c r="J59" s="299"/>
      <c r="K59" s="299"/>
      <c r="L59" s="299"/>
      <c r="M59" s="299"/>
      <c r="N59" s="272">
        <v>1</v>
      </c>
      <c r="O59" s="272">
        <v>1</v>
      </c>
      <c r="P59" s="272">
        <v>1</v>
      </c>
      <c r="Q59" s="272">
        <v>1</v>
      </c>
      <c r="R59" s="372">
        <v>1</v>
      </c>
      <c r="S59" s="395">
        <v>1</v>
      </c>
      <c r="T59" s="272">
        <v>1</v>
      </c>
      <c r="U59" s="272">
        <v>1</v>
      </c>
      <c r="V59" s="272">
        <v>1</v>
      </c>
      <c r="W59" s="272">
        <v>1</v>
      </c>
      <c r="X59" s="272">
        <v>1</v>
      </c>
      <c r="Y59" s="272">
        <v>1</v>
      </c>
      <c r="Z59" s="272">
        <v>1</v>
      </c>
      <c r="AA59" s="272">
        <v>1</v>
      </c>
      <c r="AB59" s="272">
        <v>1</v>
      </c>
      <c r="AC59" s="272">
        <v>1</v>
      </c>
      <c r="AD59" s="396">
        <v>1</v>
      </c>
      <c r="AE59" s="396">
        <v>1</v>
      </c>
      <c r="AF59" s="396">
        <v>1</v>
      </c>
      <c r="AG59" s="396">
        <v>1</v>
      </c>
      <c r="AH59" s="396">
        <v>1</v>
      </c>
      <c r="AI59" s="396">
        <v>1</v>
      </c>
      <c r="AJ59" s="396">
        <v>1</v>
      </c>
      <c r="AK59" s="396">
        <v>1</v>
      </c>
      <c r="AL59" s="396">
        <v>1</v>
      </c>
      <c r="AM59" s="396">
        <v>1</v>
      </c>
      <c r="AN59" s="396">
        <v>1</v>
      </c>
      <c r="AO59" s="396">
        <v>1</v>
      </c>
      <c r="AP59" s="396">
        <v>1</v>
      </c>
    </row>
    <row r="60" spans="1:42" s="140" customFormat="1" ht="13.5" customHeight="1" outlineLevel="2">
      <c r="A60" s="216"/>
      <c r="B60" s="255" t="s">
        <v>167</v>
      </c>
      <c r="C60" s="245" t="s">
        <v>168</v>
      </c>
      <c r="D60" s="227" t="s">
        <v>169</v>
      </c>
      <c r="E60" s="241"/>
      <c r="F60" s="228">
        <v>0.14493603814839931</v>
      </c>
      <c r="G60" s="269">
        <f>+F60*G56</f>
        <v>1.7599128238721004E-4</v>
      </c>
      <c r="H60" s="299"/>
      <c r="I60" s="299"/>
      <c r="J60" s="299"/>
      <c r="K60" s="299"/>
      <c r="L60" s="299"/>
      <c r="M60" s="299"/>
      <c r="N60" s="272">
        <v>1</v>
      </c>
      <c r="O60" s="272">
        <v>1</v>
      </c>
      <c r="P60" s="272">
        <v>1</v>
      </c>
      <c r="Q60" s="272">
        <v>1</v>
      </c>
      <c r="R60" s="372">
        <v>1</v>
      </c>
      <c r="S60" s="395">
        <v>1</v>
      </c>
      <c r="T60" s="272">
        <v>1</v>
      </c>
      <c r="U60" s="272">
        <v>1</v>
      </c>
      <c r="V60" s="272">
        <v>1</v>
      </c>
      <c r="W60" s="272">
        <v>1</v>
      </c>
      <c r="X60" s="272">
        <v>1</v>
      </c>
      <c r="Y60" s="272">
        <v>1</v>
      </c>
      <c r="Z60" s="272">
        <v>1</v>
      </c>
      <c r="AA60" s="272">
        <v>1</v>
      </c>
      <c r="AB60" s="272">
        <v>1</v>
      </c>
      <c r="AC60" s="272">
        <v>1</v>
      </c>
      <c r="AD60" s="396">
        <v>1</v>
      </c>
      <c r="AE60" s="396">
        <v>1</v>
      </c>
      <c r="AF60" s="396">
        <v>1</v>
      </c>
      <c r="AG60" s="396">
        <v>1</v>
      </c>
      <c r="AH60" s="396">
        <v>1</v>
      </c>
      <c r="AI60" s="396">
        <v>1</v>
      </c>
      <c r="AJ60" s="396">
        <v>1</v>
      </c>
      <c r="AK60" s="396">
        <v>1</v>
      </c>
      <c r="AL60" s="396">
        <v>1</v>
      </c>
      <c r="AM60" s="396">
        <v>1</v>
      </c>
      <c r="AN60" s="396">
        <v>1</v>
      </c>
      <c r="AO60" s="396">
        <v>1</v>
      </c>
      <c r="AP60" s="396">
        <v>1</v>
      </c>
    </row>
    <row r="61" spans="1:42" s="140" customFormat="1" ht="13.5" customHeight="1" outlineLevel="1">
      <c r="A61" s="216"/>
      <c r="B61" s="303">
        <v>2.2000000000000002</v>
      </c>
      <c r="C61" s="304" t="s">
        <v>170</v>
      </c>
      <c r="D61" s="304" t="s">
        <v>171</v>
      </c>
      <c r="E61" s="302">
        <v>2231740000</v>
      </c>
      <c r="F61" s="305">
        <v>0.16700000000000001</v>
      </c>
      <c r="G61" s="305">
        <f>+F61*G11</f>
        <v>1.3043897657123235E-2</v>
      </c>
      <c r="H61" s="306"/>
      <c r="I61" s="306"/>
      <c r="J61" s="306"/>
      <c r="K61" s="306"/>
      <c r="L61" s="306"/>
      <c r="M61" s="306"/>
      <c r="N61" s="305">
        <v>0.92</v>
      </c>
      <c r="O61" s="305">
        <v>0.92</v>
      </c>
      <c r="P61" s="305">
        <v>0.92</v>
      </c>
      <c r="Q61" s="305">
        <v>0.92</v>
      </c>
      <c r="R61" s="368">
        <v>0.92</v>
      </c>
      <c r="S61" s="387">
        <v>0.92</v>
      </c>
      <c r="T61" s="305">
        <v>0.92</v>
      </c>
      <c r="U61" s="305">
        <v>0.92</v>
      </c>
      <c r="V61" s="305">
        <v>0.92</v>
      </c>
      <c r="W61" s="305">
        <v>0.92</v>
      </c>
      <c r="X61" s="305">
        <v>0.92</v>
      </c>
      <c r="Y61" s="305">
        <v>0.92</v>
      </c>
      <c r="Z61" s="305">
        <v>0.92</v>
      </c>
      <c r="AA61" s="305">
        <v>0.92</v>
      </c>
      <c r="AB61" s="305">
        <v>0.92</v>
      </c>
      <c r="AC61" s="305">
        <v>0.92</v>
      </c>
      <c r="AD61" s="388">
        <v>0.92</v>
      </c>
      <c r="AE61" s="388">
        <v>0.92</v>
      </c>
      <c r="AF61" s="388">
        <v>0.92</v>
      </c>
      <c r="AG61" s="388">
        <v>0.92</v>
      </c>
      <c r="AH61" s="388">
        <v>0.92</v>
      </c>
      <c r="AI61" s="388">
        <v>0.92</v>
      </c>
      <c r="AJ61" s="388">
        <v>0.92</v>
      </c>
      <c r="AK61" s="388">
        <v>0.92</v>
      </c>
      <c r="AL61" s="388">
        <v>0.92</v>
      </c>
      <c r="AM61" s="388">
        <v>0.92</v>
      </c>
      <c r="AN61" s="388">
        <v>0.92</v>
      </c>
      <c r="AO61" s="388">
        <v>0.92</v>
      </c>
      <c r="AP61" s="388">
        <v>0.92</v>
      </c>
    </row>
    <row r="62" spans="1:42" s="140" customFormat="1" ht="21" customHeight="1" outlineLevel="1">
      <c r="B62" s="303">
        <v>2.2999999999999998</v>
      </c>
      <c r="C62" s="304" t="s">
        <v>172</v>
      </c>
      <c r="D62" s="304" t="s">
        <v>173</v>
      </c>
      <c r="E62" s="302">
        <f>SUM(E63:E69)</f>
        <v>5455354289</v>
      </c>
      <c r="F62" s="305">
        <v>0.16700000000000001</v>
      </c>
      <c r="G62" s="305">
        <f>+F62*G35</f>
        <v>3.004258884172419E-3</v>
      </c>
      <c r="H62" s="306"/>
      <c r="I62" s="306"/>
      <c r="J62" s="306"/>
      <c r="K62" s="306"/>
      <c r="L62" s="306"/>
      <c r="M62" s="306"/>
      <c r="N62" s="305">
        <f t="shared" ref="N62:R62" si="171">+SUMPRODUCT($F63:$F69,N63:N69)</f>
        <v>0.66504223132042306</v>
      </c>
      <c r="O62" s="305">
        <f t="shared" si="171"/>
        <v>0.66504223132042306</v>
      </c>
      <c r="P62" s="305">
        <f t="shared" si="171"/>
        <v>0.66504223132042306</v>
      </c>
      <c r="Q62" s="305">
        <f t="shared" si="171"/>
        <v>0.66504223132042306</v>
      </c>
      <c r="R62" s="368">
        <f t="shared" si="171"/>
        <v>0.66504223132042306</v>
      </c>
      <c r="S62" s="387">
        <f t="shared" ref="S62" si="172">+SUMPRODUCT($F63:$F69,S63:S69)</f>
        <v>0.66504223132042306</v>
      </c>
      <c r="T62" s="305">
        <f t="shared" ref="T62" si="173">+SUMPRODUCT($F63:$F69,T63:T69)</f>
        <v>0.66504223132042306</v>
      </c>
      <c r="U62" s="305">
        <f t="shared" ref="U62" si="174">+SUMPRODUCT($F63:$F69,U63:U69)</f>
        <v>0.66504223132042306</v>
      </c>
      <c r="V62" s="305">
        <f t="shared" ref="V62" si="175">+SUMPRODUCT($F63:$F69,V63:V69)</f>
        <v>0.66504223132042306</v>
      </c>
      <c r="W62" s="305">
        <f t="shared" ref="W62" si="176">+SUMPRODUCT($F63:$F69,W63:W69)</f>
        <v>0.66504223132042306</v>
      </c>
      <c r="X62" s="305">
        <f t="shared" ref="X62" si="177">+SUMPRODUCT($F63:$F69,X63:X69)</f>
        <v>0.66504223132042306</v>
      </c>
      <c r="Y62" s="305">
        <f t="shared" ref="Y62" si="178">+SUMPRODUCT($F63:$F69,Y63:Y69)</f>
        <v>0.66504223132042306</v>
      </c>
      <c r="Z62" s="305">
        <f t="shared" ref="Z62" si="179">+SUMPRODUCT($F63:$F69,Z63:Z69)</f>
        <v>0.66504223132042306</v>
      </c>
      <c r="AA62" s="305">
        <f t="shared" ref="AA62" si="180">+SUMPRODUCT($F63:$F69,AA63:AA69)</f>
        <v>0.66504223132042306</v>
      </c>
      <c r="AB62" s="305">
        <f t="shared" ref="AB62" si="181">+SUMPRODUCT($F63:$F69,AB63:AB69)</f>
        <v>0.66504223132042306</v>
      </c>
      <c r="AC62" s="305">
        <f t="shared" ref="AC62" si="182">+SUMPRODUCT($F63:$F69,AC63:AC69)</f>
        <v>0.66504223132042306</v>
      </c>
      <c r="AD62" s="388">
        <f t="shared" ref="AD62:AF62" si="183">+SUMPRODUCT($F63:$F69,AD63:AD69)</f>
        <v>0.66504223132042306</v>
      </c>
      <c r="AE62" s="388">
        <f t="shared" si="183"/>
        <v>0.66504223132042306</v>
      </c>
      <c r="AF62" s="388">
        <f t="shared" si="183"/>
        <v>0.66504223132042306</v>
      </c>
      <c r="AG62" s="388">
        <f t="shared" ref="AG62" si="184">+SUMPRODUCT($F63:$F69,AG63:AG69)</f>
        <v>0.66504223132042306</v>
      </c>
      <c r="AH62" s="388">
        <f t="shared" ref="AH62" si="185">+SUMPRODUCT($F63:$F69,AH63:AH69)</f>
        <v>0.66504223132042306</v>
      </c>
      <c r="AI62" s="388">
        <f t="shared" ref="AI62" si="186">+SUMPRODUCT($F63:$F69,AI63:AI69)</f>
        <v>0.66504223132042306</v>
      </c>
      <c r="AJ62" s="388">
        <f t="shared" ref="AJ62" si="187">+SUMPRODUCT($F63:$F69,AJ63:AJ69)</f>
        <v>0.66504223132042306</v>
      </c>
      <c r="AK62" s="388">
        <f t="shared" ref="AK62" si="188">+SUMPRODUCT($F63:$F69,AK63:AK69)</f>
        <v>0.66504223132042306</v>
      </c>
      <c r="AL62" s="388">
        <f t="shared" ref="AL62" si="189">+SUMPRODUCT($F63:$F69,AL63:AL69)</f>
        <v>0.66504223132042306</v>
      </c>
      <c r="AM62" s="388">
        <f t="shared" ref="AM62" si="190">+SUMPRODUCT($F63:$F69,AM63:AM69)</f>
        <v>0.66504223132042306</v>
      </c>
      <c r="AN62" s="388">
        <f t="shared" ref="AN62" si="191">+SUMPRODUCT($F63:$F69,AN63:AN69)</f>
        <v>0.66504223132042306</v>
      </c>
      <c r="AO62" s="388">
        <f t="shared" ref="AO62" si="192">+SUMPRODUCT($F63:$F69,AO63:AO69)</f>
        <v>0.66504223132042306</v>
      </c>
      <c r="AP62" s="388">
        <f t="shared" ref="AP62" si="193">+SUMPRODUCT($F63:$F69,AP63:AP69)</f>
        <v>0.66504223132042306</v>
      </c>
    </row>
    <row r="63" spans="1:42" s="140" customFormat="1" ht="26.25" customHeight="1" outlineLevel="2">
      <c r="A63" s="216"/>
      <c r="B63" s="255" t="s">
        <v>174</v>
      </c>
      <c r="C63" s="245" t="s">
        <v>175</v>
      </c>
      <c r="D63" s="227" t="s">
        <v>176</v>
      </c>
      <c r="E63" s="328">
        <v>505000000</v>
      </c>
      <c r="F63" s="228">
        <f>E63/$E$62</f>
        <v>9.256960652734611E-2</v>
      </c>
      <c r="G63" s="269">
        <f>+F63*G62</f>
        <v>2.781030628141247E-4</v>
      </c>
      <c r="H63" s="299"/>
      <c r="I63" s="299"/>
      <c r="J63" s="299"/>
      <c r="K63" s="299"/>
      <c r="L63" s="299"/>
      <c r="M63" s="299"/>
      <c r="N63" s="272">
        <v>1</v>
      </c>
      <c r="O63" s="272">
        <v>1</v>
      </c>
      <c r="P63" s="272">
        <v>1</v>
      </c>
      <c r="Q63" s="272">
        <v>1</v>
      </c>
      <c r="R63" s="372">
        <v>1</v>
      </c>
      <c r="S63" s="395">
        <v>1</v>
      </c>
      <c r="T63" s="272">
        <v>1</v>
      </c>
      <c r="U63" s="272">
        <v>1</v>
      </c>
      <c r="V63" s="272">
        <v>1</v>
      </c>
      <c r="W63" s="272">
        <v>1</v>
      </c>
      <c r="X63" s="272">
        <v>1</v>
      </c>
      <c r="Y63" s="272">
        <v>1</v>
      </c>
      <c r="Z63" s="272">
        <v>1</v>
      </c>
      <c r="AA63" s="272">
        <v>1</v>
      </c>
      <c r="AB63" s="272">
        <v>1</v>
      </c>
      <c r="AC63" s="272">
        <v>1</v>
      </c>
      <c r="AD63" s="396">
        <v>1</v>
      </c>
      <c r="AE63" s="396">
        <v>1</v>
      </c>
      <c r="AF63" s="396">
        <v>1</v>
      </c>
      <c r="AG63" s="396">
        <v>1</v>
      </c>
      <c r="AH63" s="396">
        <v>1</v>
      </c>
      <c r="AI63" s="396">
        <v>1</v>
      </c>
      <c r="AJ63" s="396">
        <v>1</v>
      </c>
      <c r="AK63" s="396">
        <v>1</v>
      </c>
      <c r="AL63" s="396">
        <v>1</v>
      </c>
      <c r="AM63" s="396">
        <v>1</v>
      </c>
      <c r="AN63" s="396">
        <v>1</v>
      </c>
      <c r="AO63" s="396">
        <v>1</v>
      </c>
      <c r="AP63" s="396">
        <v>1</v>
      </c>
    </row>
    <row r="64" spans="1:42" s="140" customFormat="1" ht="26.25" customHeight="1" outlineLevel="2">
      <c r="A64" s="216"/>
      <c r="B64" s="255" t="s">
        <v>177</v>
      </c>
      <c r="C64" s="245" t="s">
        <v>178</v>
      </c>
      <c r="D64" s="227" t="s">
        <v>179</v>
      </c>
      <c r="E64" s="328">
        <v>0</v>
      </c>
      <c r="F64" s="228">
        <f t="shared" ref="F64:F69" si="194">E64/$E$62</f>
        <v>0</v>
      </c>
      <c r="G64" s="269">
        <f>+F64*G62</f>
        <v>0</v>
      </c>
      <c r="H64" s="299"/>
      <c r="I64" s="299"/>
      <c r="J64" s="299"/>
      <c r="K64" s="299"/>
      <c r="L64" s="299"/>
      <c r="M64" s="299"/>
      <c r="N64" s="272">
        <v>0</v>
      </c>
      <c r="O64" s="272">
        <v>0</v>
      </c>
      <c r="P64" s="272">
        <v>0</v>
      </c>
      <c r="Q64" s="272">
        <v>0</v>
      </c>
      <c r="R64" s="372">
        <v>0</v>
      </c>
      <c r="S64" s="395">
        <v>0</v>
      </c>
      <c r="T64" s="272">
        <v>0</v>
      </c>
      <c r="U64" s="272">
        <v>0</v>
      </c>
      <c r="V64" s="272">
        <v>0</v>
      </c>
      <c r="W64" s="272">
        <v>0</v>
      </c>
      <c r="X64" s="272">
        <v>0</v>
      </c>
      <c r="Y64" s="272">
        <v>0</v>
      </c>
      <c r="Z64" s="272">
        <v>0</v>
      </c>
      <c r="AA64" s="272">
        <v>0</v>
      </c>
      <c r="AB64" s="272">
        <v>0</v>
      </c>
      <c r="AC64" s="272">
        <v>0</v>
      </c>
      <c r="AD64" s="396">
        <v>0</v>
      </c>
      <c r="AE64" s="396">
        <v>0</v>
      </c>
      <c r="AF64" s="396">
        <v>0</v>
      </c>
      <c r="AG64" s="396"/>
      <c r="AH64" s="396"/>
      <c r="AI64" s="396"/>
      <c r="AJ64" s="396"/>
      <c r="AK64" s="396"/>
      <c r="AL64" s="396"/>
      <c r="AM64" s="396"/>
      <c r="AN64" s="396"/>
      <c r="AO64" s="396"/>
      <c r="AP64" s="396"/>
    </row>
    <row r="65" spans="1:42" s="140" customFormat="1" ht="13.5" customHeight="1" outlineLevel="2">
      <c r="A65" s="216"/>
      <c r="B65" s="255" t="s">
        <v>180</v>
      </c>
      <c r="C65" s="245" t="s">
        <v>181</v>
      </c>
      <c r="D65" s="227" t="s">
        <v>182</v>
      </c>
      <c r="E65" s="328">
        <v>323040989</v>
      </c>
      <c r="F65" s="228">
        <f t="shared" si="194"/>
        <v>5.9215400483039096E-2</v>
      </c>
      <c r="G65" s="269">
        <f>+F65*G56</f>
        <v>7.1903402364371591E-5</v>
      </c>
      <c r="H65" s="299"/>
      <c r="I65" s="299"/>
      <c r="J65" s="299"/>
      <c r="K65" s="299"/>
      <c r="L65" s="299"/>
      <c r="M65" s="299"/>
      <c r="N65" s="272">
        <v>1</v>
      </c>
      <c r="O65" s="272">
        <v>1</v>
      </c>
      <c r="P65" s="272">
        <v>1</v>
      </c>
      <c r="Q65" s="272">
        <v>1</v>
      </c>
      <c r="R65" s="372">
        <v>1</v>
      </c>
      <c r="S65" s="395">
        <v>1</v>
      </c>
      <c r="T65" s="272">
        <v>1</v>
      </c>
      <c r="U65" s="272">
        <v>1</v>
      </c>
      <c r="V65" s="272">
        <v>1</v>
      </c>
      <c r="W65" s="272">
        <v>1</v>
      </c>
      <c r="X65" s="272">
        <v>1</v>
      </c>
      <c r="Y65" s="272">
        <v>1</v>
      </c>
      <c r="Z65" s="272">
        <v>1</v>
      </c>
      <c r="AA65" s="272">
        <v>1</v>
      </c>
      <c r="AB65" s="272">
        <v>1</v>
      </c>
      <c r="AC65" s="272">
        <v>1</v>
      </c>
      <c r="AD65" s="396">
        <v>1</v>
      </c>
      <c r="AE65" s="396">
        <v>1</v>
      </c>
      <c r="AF65" s="396">
        <v>1</v>
      </c>
      <c r="AG65" s="396">
        <v>1</v>
      </c>
      <c r="AH65" s="396">
        <v>1</v>
      </c>
      <c r="AI65" s="396">
        <v>1</v>
      </c>
      <c r="AJ65" s="396">
        <v>1</v>
      </c>
      <c r="AK65" s="396">
        <v>1</v>
      </c>
      <c r="AL65" s="396">
        <v>1</v>
      </c>
      <c r="AM65" s="396">
        <v>1</v>
      </c>
      <c r="AN65" s="396">
        <v>1</v>
      </c>
      <c r="AO65" s="396">
        <v>1</v>
      </c>
      <c r="AP65" s="396">
        <v>1</v>
      </c>
    </row>
    <row r="66" spans="1:42" s="140" customFormat="1" ht="39" customHeight="1" outlineLevel="2">
      <c r="A66" s="216"/>
      <c r="B66" s="255" t="s">
        <v>180</v>
      </c>
      <c r="C66" s="245" t="s">
        <v>183</v>
      </c>
      <c r="D66" s="227" t="s">
        <v>184</v>
      </c>
      <c r="E66" s="328">
        <v>1500000000</v>
      </c>
      <c r="F66" s="228">
        <f t="shared" si="194"/>
        <v>0.27495922730894884</v>
      </c>
      <c r="G66" s="269">
        <f t="shared" ref="G66:G69" si="195">+F66*G57</f>
        <v>1.6693561804313403E-4</v>
      </c>
      <c r="H66" s="299"/>
      <c r="I66" s="299"/>
      <c r="J66" s="299"/>
      <c r="K66" s="299"/>
      <c r="L66" s="299"/>
      <c r="M66" s="299"/>
      <c r="N66" s="272">
        <v>0</v>
      </c>
      <c r="O66" s="272">
        <v>0</v>
      </c>
      <c r="P66" s="272">
        <v>0</v>
      </c>
      <c r="Q66" s="272">
        <v>0</v>
      </c>
      <c r="R66" s="372">
        <v>0</v>
      </c>
      <c r="S66" s="395">
        <v>0</v>
      </c>
      <c r="T66" s="272">
        <v>0</v>
      </c>
      <c r="U66" s="272">
        <v>0</v>
      </c>
      <c r="V66" s="272">
        <v>0</v>
      </c>
      <c r="W66" s="272">
        <v>0</v>
      </c>
      <c r="X66" s="272">
        <v>0</v>
      </c>
      <c r="Y66" s="272">
        <v>0</v>
      </c>
      <c r="Z66" s="272">
        <v>0</v>
      </c>
      <c r="AA66" s="272">
        <v>0</v>
      </c>
      <c r="AB66" s="272">
        <v>0</v>
      </c>
      <c r="AC66" s="272">
        <v>0</v>
      </c>
      <c r="AD66" s="396">
        <v>0</v>
      </c>
      <c r="AE66" s="396">
        <v>0</v>
      </c>
      <c r="AF66" s="396">
        <v>0</v>
      </c>
      <c r="AG66" s="396"/>
      <c r="AH66" s="396"/>
      <c r="AI66" s="396"/>
      <c r="AJ66" s="396"/>
      <c r="AK66" s="396"/>
      <c r="AL66" s="396"/>
      <c r="AM66" s="396"/>
      <c r="AN66" s="396"/>
      <c r="AO66" s="396"/>
      <c r="AP66" s="396"/>
    </row>
    <row r="67" spans="1:42" s="140" customFormat="1" ht="26.25" customHeight="1" outlineLevel="2">
      <c r="A67" s="216"/>
      <c r="B67" s="255" t="s">
        <v>180</v>
      </c>
      <c r="C67" s="245" t="s">
        <v>185</v>
      </c>
      <c r="D67" s="227" t="s">
        <v>186</v>
      </c>
      <c r="E67" s="328">
        <v>327313300</v>
      </c>
      <c r="F67" s="228">
        <f t="shared" si="194"/>
        <v>5.9998541370628107E-2</v>
      </c>
      <c r="G67" s="269">
        <f t="shared" si="195"/>
        <v>1.1836277346097253E-5</v>
      </c>
      <c r="H67" s="299"/>
      <c r="I67" s="299"/>
      <c r="J67" s="299"/>
      <c r="K67" s="299"/>
      <c r="L67" s="299"/>
      <c r="M67" s="299"/>
      <c r="N67" s="272">
        <v>0</v>
      </c>
      <c r="O67" s="272">
        <v>0</v>
      </c>
      <c r="P67" s="272">
        <v>0</v>
      </c>
      <c r="Q67" s="272">
        <v>0</v>
      </c>
      <c r="R67" s="372">
        <v>0</v>
      </c>
      <c r="S67" s="395">
        <v>0</v>
      </c>
      <c r="T67" s="272">
        <v>0</v>
      </c>
      <c r="U67" s="272">
        <v>0</v>
      </c>
      <c r="V67" s="272">
        <v>0</v>
      </c>
      <c r="W67" s="272">
        <v>0</v>
      </c>
      <c r="X67" s="272">
        <v>0</v>
      </c>
      <c r="Y67" s="272">
        <v>0</v>
      </c>
      <c r="Z67" s="272">
        <v>0</v>
      </c>
      <c r="AA67" s="272">
        <v>0</v>
      </c>
      <c r="AB67" s="272">
        <v>0</v>
      </c>
      <c r="AC67" s="272">
        <v>0</v>
      </c>
      <c r="AD67" s="396">
        <v>0</v>
      </c>
      <c r="AE67" s="396">
        <v>0</v>
      </c>
      <c r="AF67" s="396">
        <v>0</v>
      </c>
      <c r="AG67" s="396"/>
      <c r="AH67" s="396"/>
      <c r="AI67" s="396"/>
      <c r="AJ67" s="396"/>
      <c r="AK67" s="396"/>
      <c r="AL67" s="396"/>
      <c r="AM67" s="396"/>
      <c r="AN67" s="396"/>
      <c r="AO67" s="396"/>
      <c r="AP67" s="396"/>
    </row>
    <row r="68" spans="1:42" s="140" customFormat="1" ht="13.5" customHeight="1" outlineLevel="2">
      <c r="A68" s="216"/>
      <c r="B68" s="255" t="s">
        <v>180</v>
      </c>
      <c r="C68" s="245" t="s">
        <v>187</v>
      </c>
      <c r="D68" s="227" t="s">
        <v>188</v>
      </c>
      <c r="E68" s="328">
        <v>0</v>
      </c>
      <c r="F68" s="228">
        <f t="shared" si="194"/>
        <v>0</v>
      </c>
      <c r="G68" s="269">
        <f t="shared" si="195"/>
        <v>0</v>
      </c>
      <c r="H68" s="299"/>
      <c r="I68" s="299"/>
      <c r="J68" s="299"/>
      <c r="K68" s="299"/>
      <c r="L68" s="299"/>
      <c r="M68" s="299"/>
      <c r="N68" s="272">
        <v>0</v>
      </c>
      <c r="O68" s="272">
        <v>0</v>
      </c>
      <c r="P68" s="272">
        <v>0</v>
      </c>
      <c r="Q68" s="272">
        <v>0</v>
      </c>
      <c r="R68" s="372">
        <v>0</v>
      </c>
      <c r="S68" s="395">
        <v>0</v>
      </c>
      <c r="T68" s="272">
        <v>0</v>
      </c>
      <c r="U68" s="272">
        <v>0</v>
      </c>
      <c r="V68" s="272">
        <v>0</v>
      </c>
      <c r="W68" s="272">
        <v>0</v>
      </c>
      <c r="X68" s="272">
        <v>0</v>
      </c>
      <c r="Y68" s="272">
        <v>0</v>
      </c>
      <c r="Z68" s="272">
        <v>0</v>
      </c>
      <c r="AA68" s="272">
        <v>0</v>
      </c>
      <c r="AB68" s="272">
        <v>0</v>
      </c>
      <c r="AC68" s="272">
        <v>0</v>
      </c>
      <c r="AD68" s="396">
        <v>0</v>
      </c>
      <c r="AE68" s="396">
        <v>0</v>
      </c>
      <c r="AF68" s="396">
        <v>0</v>
      </c>
      <c r="AG68" s="396"/>
      <c r="AH68" s="396"/>
      <c r="AI68" s="396"/>
      <c r="AJ68" s="396"/>
      <c r="AK68" s="396"/>
      <c r="AL68" s="396"/>
      <c r="AM68" s="396"/>
      <c r="AN68" s="396"/>
      <c r="AO68" s="396"/>
      <c r="AP68" s="396"/>
    </row>
    <row r="69" spans="1:42" s="140" customFormat="1" ht="39" customHeight="1" outlineLevel="2">
      <c r="A69" s="216"/>
      <c r="B69" s="255" t="s">
        <v>180</v>
      </c>
      <c r="C69" s="341" t="s">
        <v>189</v>
      </c>
      <c r="D69" s="227" t="s">
        <v>190</v>
      </c>
      <c r="E69" s="353">
        <v>2800000000</v>
      </c>
      <c r="F69" s="228">
        <f t="shared" si="194"/>
        <v>0.51325722431003784</v>
      </c>
      <c r="G69" s="269">
        <f t="shared" si="195"/>
        <v>9.0328797100823477E-5</v>
      </c>
      <c r="H69" s="299"/>
      <c r="I69" s="299"/>
      <c r="J69" s="299"/>
      <c r="K69" s="299"/>
      <c r="L69" s="299"/>
      <c r="M69" s="299"/>
      <c r="N69" s="272">
        <v>1</v>
      </c>
      <c r="O69" s="272">
        <v>1</v>
      </c>
      <c r="P69" s="272">
        <v>1</v>
      </c>
      <c r="Q69" s="272">
        <v>1</v>
      </c>
      <c r="R69" s="372">
        <v>1</v>
      </c>
      <c r="S69" s="395">
        <v>1</v>
      </c>
      <c r="T69" s="272">
        <v>1</v>
      </c>
      <c r="U69" s="272">
        <v>1</v>
      </c>
      <c r="V69" s="272">
        <v>1</v>
      </c>
      <c r="W69" s="272">
        <v>1</v>
      </c>
      <c r="X69" s="272">
        <v>1</v>
      </c>
      <c r="Y69" s="272">
        <v>1</v>
      </c>
      <c r="Z69" s="272">
        <v>1</v>
      </c>
      <c r="AA69" s="272">
        <v>1</v>
      </c>
      <c r="AB69" s="272">
        <v>1</v>
      </c>
      <c r="AC69" s="272">
        <v>1</v>
      </c>
      <c r="AD69" s="396">
        <v>1</v>
      </c>
      <c r="AE69" s="396">
        <v>1</v>
      </c>
      <c r="AF69" s="396">
        <v>1</v>
      </c>
      <c r="AG69" s="396">
        <v>1</v>
      </c>
      <c r="AH69" s="396">
        <v>1</v>
      </c>
      <c r="AI69" s="396">
        <v>1</v>
      </c>
      <c r="AJ69" s="396">
        <v>1</v>
      </c>
      <c r="AK69" s="396">
        <v>1</v>
      </c>
      <c r="AL69" s="396">
        <v>1</v>
      </c>
      <c r="AM69" s="396">
        <v>1</v>
      </c>
      <c r="AN69" s="396">
        <v>1</v>
      </c>
      <c r="AO69" s="396">
        <v>1</v>
      </c>
      <c r="AP69" s="396">
        <v>1</v>
      </c>
    </row>
    <row r="70" spans="1:42" s="140" customFormat="1" ht="13.5" customHeight="1" outlineLevel="1">
      <c r="B70" s="300" t="s">
        <v>191</v>
      </c>
      <c r="C70" s="294" t="s">
        <v>192</v>
      </c>
      <c r="D70" s="294" t="s">
        <v>193</v>
      </c>
      <c r="E70" s="295"/>
      <c r="F70" s="296">
        <f t="shared" ref="F70:F82" si="196">F891</f>
        <v>7.0876940001895719E-2</v>
      </c>
      <c r="G70" s="296">
        <f>+F70*G9</f>
        <v>7.0876940001895726E-3</v>
      </c>
      <c r="H70" s="297"/>
      <c r="I70" s="297"/>
      <c r="J70" s="297"/>
      <c r="K70" s="297"/>
      <c r="L70" s="297"/>
      <c r="M70" s="297"/>
      <c r="N70" s="296">
        <f t="shared" ref="N70:R70" si="197">+SUMPRODUCT($F71:$F82,N71:N82)</f>
        <v>9.1696347123260372E-2</v>
      </c>
      <c r="O70" s="296">
        <f t="shared" si="197"/>
        <v>9.1696347123260372E-2</v>
      </c>
      <c r="P70" s="296">
        <f t="shared" si="197"/>
        <v>9.1696347123260372E-2</v>
      </c>
      <c r="Q70" s="296">
        <f t="shared" si="197"/>
        <v>9.1696347123260372E-2</v>
      </c>
      <c r="R70" s="376">
        <f t="shared" si="197"/>
        <v>9.1696347123260372E-2</v>
      </c>
      <c r="S70" s="403">
        <f t="shared" ref="S70" si="198">+SUMPRODUCT($F71:$F82,S71:S82)</f>
        <v>9.1696347123260372E-2</v>
      </c>
      <c r="T70" s="296">
        <f t="shared" ref="T70" si="199">+SUMPRODUCT($F71:$F82,T71:T82)</f>
        <v>9.1696347123260372E-2</v>
      </c>
      <c r="U70" s="296">
        <f t="shared" ref="U70" si="200">+SUMPRODUCT($F71:$F82,U71:U82)</f>
        <v>9.1696347123260372E-2</v>
      </c>
      <c r="V70" s="296">
        <f t="shared" ref="V70" si="201">+SUMPRODUCT($F71:$F82,V71:V82)</f>
        <v>9.1696347123260372E-2</v>
      </c>
      <c r="W70" s="296">
        <f t="shared" ref="W70" si="202">+SUMPRODUCT($F71:$F82,W71:W82)</f>
        <v>9.1696347123260372E-2</v>
      </c>
      <c r="X70" s="296">
        <f t="shared" ref="X70" si="203">+SUMPRODUCT($F71:$F82,X71:X82)</f>
        <v>9.1696347123260372E-2</v>
      </c>
      <c r="Y70" s="296">
        <f t="shared" ref="Y70" si="204">+SUMPRODUCT($F71:$F82,Y71:Y82)</f>
        <v>9.1696347123260372E-2</v>
      </c>
      <c r="Z70" s="296">
        <f t="shared" ref="Z70" si="205">+SUMPRODUCT($F71:$F82,Z71:Z82)</f>
        <v>9.1696347123260372E-2</v>
      </c>
      <c r="AA70" s="296">
        <f t="shared" ref="AA70" si="206">+SUMPRODUCT($F71:$F82,AA71:AA82)</f>
        <v>9.1696347123260372E-2</v>
      </c>
      <c r="AB70" s="296">
        <f t="shared" ref="AB70" si="207">+SUMPRODUCT($F71:$F82,AB71:AB82)</f>
        <v>9.1696347123260372E-2</v>
      </c>
      <c r="AC70" s="296">
        <f t="shared" ref="AC70" si="208">+SUMPRODUCT($F71:$F82,AC71:AC82)</f>
        <v>9.1696347123260372E-2</v>
      </c>
      <c r="AD70" s="404">
        <f t="shared" ref="AD70:AF70" si="209">+SUMPRODUCT($F71:$F82,AD71:AD82)</f>
        <v>9.1696347123260372E-2</v>
      </c>
      <c r="AE70" s="404">
        <f t="shared" si="209"/>
        <v>9.1696347123260372E-2</v>
      </c>
      <c r="AF70" s="404">
        <f t="shared" si="209"/>
        <v>9.1696347123260372E-2</v>
      </c>
      <c r="AG70" s="404">
        <f t="shared" ref="AG70" si="210">+SUMPRODUCT($F71:$F82,AG71:AG82)</f>
        <v>9.1696347123260372E-2</v>
      </c>
      <c r="AH70" s="404">
        <f t="shared" ref="AH70" si="211">+SUMPRODUCT($F71:$F82,AH71:AH82)</f>
        <v>9.1696347123260372E-2</v>
      </c>
      <c r="AI70" s="404">
        <f t="shared" ref="AI70" si="212">+SUMPRODUCT($F71:$F82,AI71:AI82)</f>
        <v>9.1696347123260372E-2</v>
      </c>
      <c r="AJ70" s="404">
        <f t="shared" ref="AJ70" si="213">+SUMPRODUCT($F71:$F82,AJ71:AJ82)</f>
        <v>9.1696347123260372E-2</v>
      </c>
      <c r="AK70" s="404">
        <f t="shared" ref="AK70" si="214">+SUMPRODUCT($F71:$F82,AK71:AK82)</f>
        <v>9.1696347123260372E-2</v>
      </c>
      <c r="AL70" s="404">
        <f t="shared" ref="AL70" si="215">+SUMPRODUCT($F71:$F82,AL71:AL82)</f>
        <v>9.1696347123260372E-2</v>
      </c>
      <c r="AM70" s="404">
        <f t="shared" ref="AM70" si="216">+SUMPRODUCT($F71:$F82,AM71:AM82)</f>
        <v>9.1696347123260372E-2</v>
      </c>
      <c r="AN70" s="404">
        <f t="shared" ref="AN70" si="217">+SUMPRODUCT($F71:$F82,AN71:AN82)</f>
        <v>9.1696347123260372E-2</v>
      </c>
      <c r="AO70" s="404">
        <f t="shared" ref="AO70" si="218">+SUMPRODUCT($F71:$F82,AO71:AO82)</f>
        <v>9.1696347123260372E-2</v>
      </c>
      <c r="AP70" s="404">
        <f t="shared" ref="AP70" si="219">+SUMPRODUCT($F71:$F82,AP71:AP82)</f>
        <v>9.1696347123260372E-2</v>
      </c>
    </row>
    <row r="71" spans="1:42" s="140" customFormat="1" ht="13.5" customHeight="1" outlineLevel="1">
      <c r="A71" s="216"/>
      <c r="B71" s="255" t="s">
        <v>194</v>
      </c>
      <c r="C71" s="245" t="s">
        <v>195</v>
      </c>
      <c r="D71" s="227" t="s">
        <v>196</v>
      </c>
      <c r="E71" s="241"/>
      <c r="F71" s="228">
        <f t="shared" si="196"/>
        <v>0.11462043390407546</v>
      </c>
      <c r="G71" s="269">
        <f>+F71*G70</f>
        <v>8.1239456168104112E-4</v>
      </c>
      <c r="H71" s="299"/>
      <c r="I71" s="299"/>
      <c r="J71" s="299"/>
      <c r="K71" s="299"/>
      <c r="L71" s="299"/>
      <c r="M71" s="299"/>
      <c r="N71" s="272">
        <v>0.8</v>
      </c>
      <c r="O71" s="272">
        <v>0.8</v>
      </c>
      <c r="P71" s="272">
        <v>0.8</v>
      </c>
      <c r="Q71" s="272">
        <v>0.8</v>
      </c>
      <c r="R71" s="372">
        <v>0.8</v>
      </c>
      <c r="S71" s="395">
        <v>0.8</v>
      </c>
      <c r="T71" s="272">
        <v>0.8</v>
      </c>
      <c r="U71" s="272">
        <v>0.8</v>
      </c>
      <c r="V71" s="272">
        <v>0.8</v>
      </c>
      <c r="W71" s="272">
        <v>0.8</v>
      </c>
      <c r="X71" s="272">
        <v>0.8</v>
      </c>
      <c r="Y71" s="272">
        <v>0.8</v>
      </c>
      <c r="Z71" s="272">
        <v>0.8</v>
      </c>
      <c r="AA71" s="272">
        <v>0.8</v>
      </c>
      <c r="AB71" s="272">
        <v>0.8</v>
      </c>
      <c r="AC71" s="272">
        <v>0.8</v>
      </c>
      <c r="AD71" s="396">
        <v>0.8</v>
      </c>
      <c r="AE71" s="396">
        <v>0.8</v>
      </c>
      <c r="AF71" s="396">
        <v>0.8</v>
      </c>
      <c r="AG71" s="396">
        <v>0.8</v>
      </c>
      <c r="AH71" s="396">
        <v>0.8</v>
      </c>
      <c r="AI71" s="396">
        <v>0.8</v>
      </c>
      <c r="AJ71" s="396">
        <v>0.8</v>
      </c>
      <c r="AK71" s="396">
        <v>0.8</v>
      </c>
      <c r="AL71" s="396">
        <v>0.8</v>
      </c>
      <c r="AM71" s="396">
        <v>0.8</v>
      </c>
      <c r="AN71" s="396">
        <v>0.8</v>
      </c>
      <c r="AO71" s="396">
        <v>0.8</v>
      </c>
      <c r="AP71" s="396">
        <v>0.8</v>
      </c>
    </row>
    <row r="72" spans="1:42" s="140" customFormat="1" ht="13.5" customHeight="1" outlineLevel="1">
      <c r="A72" s="216"/>
      <c r="B72" s="255" t="s">
        <v>197</v>
      </c>
      <c r="C72" s="245" t="s">
        <v>198</v>
      </c>
      <c r="D72" s="227" t="s">
        <v>199</v>
      </c>
      <c r="E72" s="241"/>
      <c r="F72" s="228">
        <f t="shared" si="196"/>
        <v>0.16914444012256166</v>
      </c>
      <c r="G72" s="269">
        <f>+F72*G70</f>
        <v>1.1988440334221046E-3</v>
      </c>
      <c r="H72" s="299"/>
      <c r="I72" s="299"/>
      <c r="J72" s="299"/>
      <c r="K72" s="299"/>
      <c r="L72" s="299"/>
      <c r="M72" s="299"/>
      <c r="N72" s="272">
        <v>0</v>
      </c>
      <c r="O72" s="272">
        <v>0</v>
      </c>
      <c r="P72" s="272">
        <v>0</v>
      </c>
      <c r="Q72" s="272">
        <v>0</v>
      </c>
      <c r="R72" s="372">
        <v>0</v>
      </c>
      <c r="S72" s="395">
        <v>0</v>
      </c>
      <c r="T72" s="272">
        <v>0</v>
      </c>
      <c r="U72" s="272">
        <v>0</v>
      </c>
      <c r="V72" s="272">
        <v>0</v>
      </c>
      <c r="W72" s="272">
        <v>0</v>
      </c>
      <c r="X72" s="272">
        <v>0</v>
      </c>
      <c r="Y72" s="272">
        <v>0</v>
      </c>
      <c r="Z72" s="272">
        <v>0</v>
      </c>
      <c r="AA72" s="272">
        <v>0</v>
      </c>
      <c r="AB72" s="272">
        <v>0</v>
      </c>
      <c r="AC72" s="272">
        <v>0</v>
      </c>
      <c r="AD72" s="396">
        <v>0</v>
      </c>
      <c r="AE72" s="396">
        <v>0</v>
      </c>
      <c r="AF72" s="396">
        <v>0</v>
      </c>
      <c r="AG72" s="396"/>
      <c r="AH72" s="396"/>
      <c r="AI72" s="396"/>
      <c r="AJ72" s="396"/>
      <c r="AK72" s="396"/>
      <c r="AL72" s="396"/>
      <c r="AM72" s="396"/>
      <c r="AN72" s="396"/>
      <c r="AO72" s="396"/>
      <c r="AP72" s="396"/>
    </row>
    <row r="73" spans="1:42" s="140" customFormat="1" ht="13.5" customHeight="1" outlineLevel="1">
      <c r="A73" s="216"/>
      <c r="B73" s="255" t="s">
        <v>200</v>
      </c>
      <c r="C73" s="245" t="s">
        <v>201</v>
      </c>
      <c r="D73" s="227" t="s">
        <v>202</v>
      </c>
      <c r="E73" s="241"/>
      <c r="F73" s="228">
        <f t="shared" si="196"/>
        <v>0.15393682703771108</v>
      </c>
      <c r="G73" s="269">
        <f>+F73*G70</f>
        <v>1.0910571254034048E-3</v>
      </c>
      <c r="H73" s="299"/>
      <c r="I73" s="299"/>
      <c r="J73" s="299"/>
      <c r="K73" s="299"/>
      <c r="L73" s="299"/>
      <c r="M73" s="299"/>
      <c r="N73" s="272">
        <v>0</v>
      </c>
      <c r="O73" s="272">
        <v>0</v>
      </c>
      <c r="P73" s="272">
        <v>0</v>
      </c>
      <c r="Q73" s="272">
        <v>0</v>
      </c>
      <c r="R73" s="372">
        <v>0</v>
      </c>
      <c r="S73" s="395">
        <v>0</v>
      </c>
      <c r="T73" s="272">
        <v>0</v>
      </c>
      <c r="U73" s="272">
        <v>0</v>
      </c>
      <c r="V73" s="272">
        <v>0</v>
      </c>
      <c r="W73" s="272">
        <v>0</v>
      </c>
      <c r="X73" s="272">
        <v>0</v>
      </c>
      <c r="Y73" s="272">
        <v>0</v>
      </c>
      <c r="Z73" s="272">
        <v>0</v>
      </c>
      <c r="AA73" s="272">
        <v>0</v>
      </c>
      <c r="AB73" s="272">
        <v>0</v>
      </c>
      <c r="AC73" s="272">
        <v>0</v>
      </c>
      <c r="AD73" s="396">
        <v>0</v>
      </c>
      <c r="AE73" s="396">
        <v>0</v>
      </c>
      <c r="AF73" s="396">
        <v>0</v>
      </c>
      <c r="AG73" s="396"/>
      <c r="AH73" s="396"/>
      <c r="AI73" s="396"/>
      <c r="AJ73" s="396"/>
      <c r="AK73" s="396"/>
      <c r="AL73" s="396"/>
      <c r="AM73" s="396"/>
      <c r="AN73" s="396"/>
      <c r="AO73" s="396"/>
      <c r="AP73" s="396"/>
    </row>
    <row r="74" spans="1:42" s="140" customFormat="1" ht="13.5" customHeight="1" outlineLevel="1">
      <c r="A74" s="216"/>
      <c r="B74" s="255" t="s">
        <v>203</v>
      </c>
      <c r="C74" s="245" t="s">
        <v>204</v>
      </c>
      <c r="D74" s="227" t="s">
        <v>205</v>
      </c>
      <c r="E74" s="241"/>
      <c r="F74" s="228">
        <f t="shared" si="196"/>
        <v>3.9190487501575728E-2</v>
      </c>
      <c r="G74" s="269">
        <f>+F74*G70</f>
        <v>2.777701831294227E-4</v>
      </c>
      <c r="H74" s="299"/>
      <c r="I74" s="299"/>
      <c r="J74" s="299"/>
      <c r="K74" s="299"/>
      <c r="L74" s="299"/>
      <c r="M74" s="299"/>
      <c r="N74" s="272">
        <v>0</v>
      </c>
      <c r="O74" s="272">
        <v>0</v>
      </c>
      <c r="P74" s="272">
        <v>0</v>
      </c>
      <c r="Q74" s="272">
        <v>0</v>
      </c>
      <c r="R74" s="372">
        <v>0</v>
      </c>
      <c r="S74" s="395">
        <v>0</v>
      </c>
      <c r="T74" s="272">
        <v>0</v>
      </c>
      <c r="U74" s="272">
        <v>0</v>
      </c>
      <c r="V74" s="272">
        <v>0</v>
      </c>
      <c r="W74" s="272">
        <v>0</v>
      </c>
      <c r="X74" s="272">
        <v>0</v>
      </c>
      <c r="Y74" s="272">
        <v>0</v>
      </c>
      <c r="Z74" s="272">
        <v>0</v>
      </c>
      <c r="AA74" s="272">
        <v>0</v>
      </c>
      <c r="AB74" s="272">
        <v>0</v>
      </c>
      <c r="AC74" s="272">
        <v>0</v>
      </c>
      <c r="AD74" s="396">
        <v>0</v>
      </c>
      <c r="AE74" s="396">
        <v>0</v>
      </c>
      <c r="AF74" s="396">
        <v>0</v>
      </c>
      <c r="AG74" s="396"/>
      <c r="AH74" s="396"/>
      <c r="AI74" s="396"/>
      <c r="AJ74" s="396"/>
      <c r="AK74" s="396"/>
      <c r="AL74" s="396"/>
      <c r="AM74" s="396"/>
      <c r="AN74" s="396"/>
      <c r="AO74" s="396"/>
      <c r="AP74" s="396"/>
    </row>
    <row r="75" spans="1:42" s="140" customFormat="1" ht="13.5" customHeight="1" outlineLevel="1">
      <c r="A75" s="216"/>
      <c r="B75" s="255" t="s">
        <v>206</v>
      </c>
      <c r="C75" s="245" t="s">
        <v>207</v>
      </c>
      <c r="D75" s="227" t="s">
        <v>205</v>
      </c>
      <c r="E75" s="241"/>
      <c r="F75" s="228">
        <f t="shared" si="196"/>
        <v>3.9190487501575728E-2</v>
      </c>
      <c r="G75" s="269">
        <f>+F75*G70</f>
        <v>2.777701831294227E-4</v>
      </c>
      <c r="H75" s="299"/>
      <c r="I75" s="299"/>
      <c r="J75" s="299"/>
      <c r="K75" s="299"/>
      <c r="L75" s="299"/>
      <c r="M75" s="299"/>
      <c r="N75" s="272">
        <v>0</v>
      </c>
      <c r="O75" s="272">
        <v>0</v>
      </c>
      <c r="P75" s="272">
        <v>0</v>
      </c>
      <c r="Q75" s="272">
        <v>0</v>
      </c>
      <c r="R75" s="372">
        <v>0</v>
      </c>
      <c r="S75" s="395">
        <v>0</v>
      </c>
      <c r="T75" s="272">
        <v>0</v>
      </c>
      <c r="U75" s="272">
        <v>0</v>
      </c>
      <c r="V75" s="272">
        <v>0</v>
      </c>
      <c r="W75" s="272">
        <v>0</v>
      </c>
      <c r="X75" s="272">
        <v>0</v>
      </c>
      <c r="Y75" s="272">
        <v>0</v>
      </c>
      <c r="Z75" s="272">
        <v>0</v>
      </c>
      <c r="AA75" s="272">
        <v>0</v>
      </c>
      <c r="AB75" s="272">
        <v>0</v>
      </c>
      <c r="AC75" s="272">
        <v>0</v>
      </c>
      <c r="AD75" s="396">
        <v>0</v>
      </c>
      <c r="AE75" s="396">
        <v>0</v>
      </c>
      <c r="AF75" s="396">
        <v>0</v>
      </c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</row>
    <row r="76" spans="1:42" s="140" customFormat="1" ht="13.5" customHeight="1" outlineLevel="1">
      <c r="A76" s="216"/>
      <c r="B76" s="255" t="s">
        <v>208</v>
      </c>
      <c r="C76" s="245" t="s">
        <v>209</v>
      </c>
      <c r="D76" s="227" t="s">
        <v>205</v>
      </c>
      <c r="E76" s="241"/>
      <c r="F76" s="228">
        <f t="shared" si="196"/>
        <v>3.9190487501575728E-2</v>
      </c>
      <c r="G76" s="269">
        <f>+F76*G70</f>
        <v>2.777701831294227E-4</v>
      </c>
      <c r="H76" s="299"/>
      <c r="I76" s="299"/>
      <c r="J76" s="299"/>
      <c r="K76" s="299"/>
      <c r="L76" s="299"/>
      <c r="M76" s="299"/>
      <c r="N76" s="272">
        <v>0</v>
      </c>
      <c r="O76" s="272">
        <v>0</v>
      </c>
      <c r="P76" s="272">
        <v>0</v>
      </c>
      <c r="Q76" s="272">
        <v>0</v>
      </c>
      <c r="R76" s="372">
        <v>0</v>
      </c>
      <c r="S76" s="395">
        <v>0</v>
      </c>
      <c r="T76" s="272">
        <v>0</v>
      </c>
      <c r="U76" s="272">
        <v>0</v>
      </c>
      <c r="V76" s="272">
        <v>0</v>
      </c>
      <c r="W76" s="272">
        <v>0</v>
      </c>
      <c r="X76" s="272">
        <v>0</v>
      </c>
      <c r="Y76" s="272">
        <v>0</v>
      </c>
      <c r="Z76" s="272">
        <v>0</v>
      </c>
      <c r="AA76" s="272">
        <v>0</v>
      </c>
      <c r="AB76" s="272">
        <v>0</v>
      </c>
      <c r="AC76" s="272">
        <v>0</v>
      </c>
      <c r="AD76" s="396">
        <v>0</v>
      </c>
      <c r="AE76" s="396">
        <v>0</v>
      </c>
      <c r="AF76" s="396">
        <v>0</v>
      </c>
      <c r="AG76" s="396"/>
      <c r="AH76" s="396"/>
      <c r="AI76" s="396"/>
      <c r="AJ76" s="396"/>
      <c r="AK76" s="396"/>
      <c r="AL76" s="396"/>
      <c r="AM76" s="396"/>
      <c r="AN76" s="396"/>
      <c r="AO76" s="396"/>
      <c r="AP76" s="396"/>
    </row>
    <row r="77" spans="1:42" s="140" customFormat="1" ht="13.5" customHeight="1" outlineLevel="1">
      <c r="A77" s="216"/>
      <c r="B77" s="255" t="s">
        <v>210</v>
      </c>
      <c r="C77" s="245" t="s">
        <v>211</v>
      </c>
      <c r="D77" s="227" t="s">
        <v>205</v>
      </c>
      <c r="E77" s="241"/>
      <c r="F77" s="228">
        <f t="shared" si="196"/>
        <v>3.9190487501575728E-2</v>
      </c>
      <c r="G77" s="269">
        <f>+F77*G70</f>
        <v>2.777701831294227E-4</v>
      </c>
      <c r="H77" s="299"/>
      <c r="I77" s="299"/>
      <c r="J77" s="299"/>
      <c r="K77" s="299"/>
      <c r="L77" s="299"/>
      <c r="M77" s="299"/>
      <c r="N77" s="272">
        <v>0</v>
      </c>
      <c r="O77" s="272">
        <v>0</v>
      </c>
      <c r="P77" s="272">
        <v>0</v>
      </c>
      <c r="Q77" s="272">
        <v>0</v>
      </c>
      <c r="R77" s="372">
        <v>0</v>
      </c>
      <c r="S77" s="395">
        <v>0</v>
      </c>
      <c r="T77" s="272">
        <v>0</v>
      </c>
      <c r="U77" s="272">
        <v>0</v>
      </c>
      <c r="V77" s="272">
        <v>0</v>
      </c>
      <c r="W77" s="272">
        <v>0</v>
      </c>
      <c r="X77" s="272">
        <v>0</v>
      </c>
      <c r="Y77" s="272">
        <v>0</v>
      </c>
      <c r="Z77" s="272">
        <v>0</v>
      </c>
      <c r="AA77" s="272">
        <v>0</v>
      </c>
      <c r="AB77" s="272">
        <v>0</v>
      </c>
      <c r="AC77" s="272">
        <v>0</v>
      </c>
      <c r="AD77" s="396">
        <v>0</v>
      </c>
      <c r="AE77" s="396">
        <v>0</v>
      </c>
      <c r="AF77" s="396">
        <v>0</v>
      </c>
      <c r="AG77" s="396"/>
      <c r="AH77" s="396"/>
      <c r="AI77" s="396"/>
      <c r="AJ77" s="396"/>
      <c r="AK77" s="396"/>
      <c r="AL77" s="396"/>
      <c r="AM77" s="396"/>
      <c r="AN77" s="396"/>
      <c r="AO77" s="396"/>
      <c r="AP77" s="396"/>
    </row>
    <row r="78" spans="1:42" s="140" customFormat="1" ht="13.5" customHeight="1" outlineLevel="1">
      <c r="A78" s="216"/>
      <c r="B78" s="255" t="s">
        <v>212</v>
      </c>
      <c r="C78" s="245" t="s">
        <v>213</v>
      </c>
      <c r="D78" s="227" t="s">
        <v>205</v>
      </c>
      <c r="E78" s="241"/>
      <c r="F78" s="228">
        <f t="shared" si="196"/>
        <v>3.9190487501575728E-2</v>
      </c>
      <c r="G78" s="269">
        <f>+F78*G70</f>
        <v>2.777701831294227E-4</v>
      </c>
      <c r="H78" s="299"/>
      <c r="I78" s="299"/>
      <c r="J78" s="299"/>
      <c r="K78" s="299"/>
      <c r="L78" s="299"/>
      <c r="M78" s="299"/>
      <c r="N78" s="272">
        <v>0</v>
      </c>
      <c r="O78" s="272">
        <v>0</v>
      </c>
      <c r="P78" s="272">
        <v>0</v>
      </c>
      <c r="Q78" s="272">
        <v>0</v>
      </c>
      <c r="R78" s="372">
        <v>0</v>
      </c>
      <c r="S78" s="395">
        <v>0</v>
      </c>
      <c r="T78" s="272">
        <v>0</v>
      </c>
      <c r="U78" s="272">
        <v>0</v>
      </c>
      <c r="V78" s="272">
        <v>0</v>
      </c>
      <c r="W78" s="272">
        <v>0</v>
      </c>
      <c r="X78" s="272">
        <v>0</v>
      </c>
      <c r="Y78" s="272">
        <v>0</v>
      </c>
      <c r="Z78" s="272">
        <v>0</v>
      </c>
      <c r="AA78" s="272">
        <v>0</v>
      </c>
      <c r="AB78" s="272">
        <v>0</v>
      </c>
      <c r="AC78" s="272">
        <v>0</v>
      </c>
      <c r="AD78" s="396">
        <v>0</v>
      </c>
      <c r="AE78" s="396">
        <v>0</v>
      </c>
      <c r="AF78" s="396">
        <v>0</v>
      </c>
      <c r="AG78" s="396"/>
      <c r="AH78" s="396"/>
      <c r="AI78" s="396"/>
      <c r="AJ78" s="396"/>
      <c r="AK78" s="396"/>
      <c r="AL78" s="396"/>
      <c r="AM78" s="396"/>
      <c r="AN78" s="396"/>
      <c r="AO78" s="396"/>
      <c r="AP78" s="396"/>
    </row>
    <row r="79" spans="1:42" s="140" customFormat="1" ht="13.5" customHeight="1" outlineLevel="1">
      <c r="A79" s="216"/>
      <c r="B79" s="255" t="s">
        <v>214</v>
      </c>
      <c r="C79" s="281" t="s">
        <v>215</v>
      </c>
      <c r="D79" s="282" t="s">
        <v>216</v>
      </c>
      <c r="E79" s="283"/>
      <c r="F79" s="284">
        <f t="shared" si="196"/>
        <v>4.0894421740774678E-2</v>
      </c>
      <c r="G79" s="285">
        <f>+F79*G70</f>
        <v>2.8984714761331071E-4</v>
      </c>
      <c r="H79" s="322"/>
      <c r="I79" s="322"/>
      <c r="J79" s="322"/>
      <c r="K79" s="322"/>
      <c r="L79" s="322"/>
      <c r="M79" s="322"/>
      <c r="N79" s="287">
        <v>0</v>
      </c>
      <c r="O79" s="287">
        <v>0</v>
      </c>
      <c r="P79" s="287">
        <v>0</v>
      </c>
      <c r="Q79" s="287">
        <v>0</v>
      </c>
      <c r="R79" s="377">
        <v>0</v>
      </c>
      <c r="S79" s="405">
        <v>0</v>
      </c>
      <c r="T79" s="287">
        <v>0</v>
      </c>
      <c r="U79" s="287">
        <v>0</v>
      </c>
      <c r="V79" s="287">
        <v>0</v>
      </c>
      <c r="W79" s="287">
        <v>0</v>
      </c>
      <c r="X79" s="287">
        <v>0</v>
      </c>
      <c r="Y79" s="287">
        <v>0</v>
      </c>
      <c r="Z79" s="287">
        <v>0</v>
      </c>
      <c r="AA79" s="287">
        <v>0</v>
      </c>
      <c r="AB79" s="287">
        <v>0</v>
      </c>
      <c r="AC79" s="287">
        <v>0</v>
      </c>
      <c r="AD79" s="406">
        <v>0</v>
      </c>
      <c r="AE79" s="406">
        <v>0</v>
      </c>
      <c r="AF79" s="406">
        <v>0</v>
      </c>
      <c r="AG79" s="406"/>
      <c r="AH79" s="406"/>
      <c r="AI79" s="406"/>
      <c r="AJ79" s="406"/>
      <c r="AK79" s="406"/>
      <c r="AL79" s="406"/>
      <c r="AM79" s="406"/>
      <c r="AN79" s="406"/>
      <c r="AO79" s="406"/>
      <c r="AP79" s="406"/>
    </row>
    <row r="80" spans="1:42" s="140" customFormat="1" ht="13.5" customHeight="1" outlineLevel="1">
      <c r="A80" s="216"/>
      <c r="B80" s="255" t="s">
        <v>217</v>
      </c>
      <c r="C80" s="281" t="s">
        <v>218</v>
      </c>
      <c r="D80" s="282" t="s">
        <v>219</v>
      </c>
      <c r="E80" s="283"/>
      <c r="F80" s="284">
        <f t="shared" si="196"/>
        <v>0.13120293641831876</v>
      </c>
      <c r="G80" s="285">
        <f>+F80*G70</f>
        <v>9.2992626525937184E-4</v>
      </c>
      <c r="H80" s="322"/>
      <c r="I80" s="322"/>
      <c r="J80" s="322"/>
      <c r="K80" s="322"/>
      <c r="L80" s="322"/>
      <c r="M80" s="322"/>
      <c r="N80" s="287">
        <v>0</v>
      </c>
      <c r="O80" s="287">
        <v>0</v>
      </c>
      <c r="P80" s="287">
        <v>0</v>
      </c>
      <c r="Q80" s="287">
        <v>0</v>
      </c>
      <c r="R80" s="377">
        <v>0</v>
      </c>
      <c r="S80" s="405">
        <v>0</v>
      </c>
      <c r="T80" s="287">
        <v>0</v>
      </c>
      <c r="U80" s="287">
        <v>0</v>
      </c>
      <c r="V80" s="287">
        <v>0</v>
      </c>
      <c r="W80" s="287">
        <v>0</v>
      </c>
      <c r="X80" s="287">
        <v>0</v>
      </c>
      <c r="Y80" s="287">
        <v>0</v>
      </c>
      <c r="Z80" s="287">
        <v>0</v>
      </c>
      <c r="AA80" s="287">
        <v>0</v>
      </c>
      <c r="AB80" s="287">
        <v>0</v>
      </c>
      <c r="AC80" s="287">
        <v>0</v>
      </c>
      <c r="AD80" s="406">
        <v>0</v>
      </c>
      <c r="AE80" s="406">
        <v>0</v>
      </c>
      <c r="AF80" s="406">
        <v>0</v>
      </c>
      <c r="AG80" s="406"/>
      <c r="AH80" s="406"/>
      <c r="AI80" s="406"/>
      <c r="AJ80" s="406"/>
      <c r="AK80" s="406"/>
      <c r="AL80" s="406"/>
      <c r="AM80" s="406"/>
      <c r="AN80" s="406"/>
      <c r="AO80" s="406"/>
      <c r="AP80" s="406"/>
    </row>
    <row r="81" spans="1:42" s="140" customFormat="1" ht="13.5" customHeight="1" outlineLevel="1">
      <c r="A81" s="216"/>
      <c r="B81" s="255" t="s">
        <v>220</v>
      </c>
      <c r="C81" s="281" t="s">
        <v>221</v>
      </c>
      <c r="D81" s="282" t="s">
        <v>222</v>
      </c>
      <c r="E81" s="283"/>
      <c r="F81" s="284">
        <f t="shared" si="196"/>
        <v>0.17039342391989448</v>
      </c>
      <c r="G81" s="285">
        <f>+F81*G70</f>
        <v>1.2076964483887945E-3</v>
      </c>
      <c r="H81" s="322"/>
      <c r="I81" s="322"/>
      <c r="J81" s="322"/>
      <c r="K81" s="322"/>
      <c r="L81" s="322"/>
      <c r="M81" s="322"/>
      <c r="N81" s="287">
        <v>0</v>
      </c>
      <c r="O81" s="287">
        <v>0</v>
      </c>
      <c r="P81" s="287">
        <v>0</v>
      </c>
      <c r="Q81" s="287">
        <v>0</v>
      </c>
      <c r="R81" s="377">
        <v>0</v>
      </c>
      <c r="S81" s="405">
        <v>0</v>
      </c>
      <c r="T81" s="287">
        <v>0</v>
      </c>
      <c r="U81" s="287">
        <v>0</v>
      </c>
      <c r="V81" s="287">
        <v>0</v>
      </c>
      <c r="W81" s="287">
        <v>0</v>
      </c>
      <c r="X81" s="287">
        <v>0</v>
      </c>
      <c r="Y81" s="287">
        <v>0</v>
      </c>
      <c r="Z81" s="287">
        <v>0</v>
      </c>
      <c r="AA81" s="287">
        <v>0</v>
      </c>
      <c r="AB81" s="287">
        <v>0</v>
      </c>
      <c r="AC81" s="287">
        <v>0</v>
      </c>
      <c r="AD81" s="406">
        <v>0</v>
      </c>
      <c r="AE81" s="406">
        <v>0</v>
      </c>
      <c r="AF81" s="406">
        <v>0</v>
      </c>
      <c r="AG81" s="406"/>
      <c r="AH81" s="406"/>
      <c r="AI81" s="406"/>
      <c r="AJ81" s="406"/>
      <c r="AK81" s="406"/>
      <c r="AL81" s="406"/>
      <c r="AM81" s="406"/>
      <c r="AN81" s="406"/>
      <c r="AO81" s="406"/>
      <c r="AP81" s="406"/>
    </row>
    <row r="82" spans="1:42" s="140" customFormat="1" ht="13.5" customHeight="1" outlineLevel="1" thickBot="1">
      <c r="A82" s="216"/>
      <c r="B82" s="255" t="s">
        <v>223</v>
      </c>
      <c r="C82" s="281" t="s">
        <v>224</v>
      </c>
      <c r="D82" s="282" t="s">
        <v>225</v>
      </c>
      <c r="E82" s="283"/>
      <c r="F82" s="284">
        <f t="shared" si="196"/>
        <v>2.3855079348785228E-2</v>
      </c>
      <c r="G82" s="285">
        <f>+F82*G70</f>
        <v>1.6907750277443123E-4</v>
      </c>
      <c r="H82" s="322"/>
      <c r="I82" s="322"/>
      <c r="J82" s="322"/>
      <c r="K82" s="322"/>
      <c r="L82" s="322"/>
      <c r="M82" s="322"/>
      <c r="N82" s="287">
        <v>0</v>
      </c>
      <c r="O82" s="287">
        <v>0</v>
      </c>
      <c r="P82" s="287">
        <v>0</v>
      </c>
      <c r="Q82" s="287">
        <v>0</v>
      </c>
      <c r="R82" s="377">
        <v>0</v>
      </c>
      <c r="S82" s="405">
        <v>0</v>
      </c>
      <c r="T82" s="287">
        <v>0</v>
      </c>
      <c r="U82" s="287">
        <v>0</v>
      </c>
      <c r="V82" s="287">
        <v>0</v>
      </c>
      <c r="W82" s="287">
        <v>0</v>
      </c>
      <c r="X82" s="287">
        <v>0</v>
      </c>
      <c r="Y82" s="287">
        <v>0</v>
      </c>
      <c r="Z82" s="287">
        <v>0</v>
      </c>
      <c r="AA82" s="287">
        <v>0</v>
      </c>
      <c r="AB82" s="287">
        <v>0</v>
      </c>
      <c r="AC82" s="287">
        <v>0</v>
      </c>
      <c r="AD82" s="406">
        <v>0</v>
      </c>
      <c r="AE82" s="406">
        <v>0</v>
      </c>
      <c r="AF82" s="406">
        <v>0</v>
      </c>
      <c r="AG82" s="406"/>
      <c r="AH82" s="406"/>
      <c r="AI82" s="406"/>
      <c r="AJ82" s="406"/>
      <c r="AK82" s="406"/>
      <c r="AL82" s="406"/>
      <c r="AM82" s="406"/>
      <c r="AN82" s="406"/>
      <c r="AO82" s="406"/>
      <c r="AP82" s="406"/>
    </row>
    <row r="83" spans="1:42" s="140" customFormat="1" ht="13.5" thickBot="1">
      <c r="B83" s="312">
        <v>3</v>
      </c>
      <c r="C83" s="313"/>
      <c r="D83" s="314" t="s">
        <v>226</v>
      </c>
      <c r="E83" s="315"/>
      <c r="F83" s="316"/>
      <c r="G83" s="317">
        <v>0.03</v>
      </c>
      <c r="H83" s="358">
        <v>45932</v>
      </c>
      <c r="I83" s="358">
        <v>46047</v>
      </c>
      <c r="J83" s="358"/>
      <c r="K83" s="358"/>
      <c r="L83" s="358"/>
      <c r="M83" s="358"/>
      <c r="N83" s="319">
        <v>0.93</v>
      </c>
      <c r="O83" s="319">
        <v>0.93</v>
      </c>
      <c r="P83" s="319">
        <v>0.93</v>
      </c>
      <c r="Q83" s="319">
        <v>1</v>
      </c>
      <c r="R83" s="319">
        <v>1</v>
      </c>
      <c r="S83" s="319">
        <v>1</v>
      </c>
      <c r="T83" s="319">
        <v>1</v>
      </c>
      <c r="U83" s="319">
        <v>1</v>
      </c>
      <c r="V83" s="319">
        <v>1</v>
      </c>
      <c r="W83" s="319">
        <v>1</v>
      </c>
      <c r="X83" s="319">
        <v>1</v>
      </c>
      <c r="Y83" s="319">
        <v>1</v>
      </c>
      <c r="Z83" s="319">
        <v>1</v>
      </c>
      <c r="AA83" s="319">
        <v>1</v>
      </c>
      <c r="AB83" s="319">
        <v>1</v>
      </c>
      <c r="AC83" s="319">
        <v>1</v>
      </c>
      <c r="AD83" s="319">
        <v>1</v>
      </c>
      <c r="AE83" s="319">
        <v>1</v>
      </c>
      <c r="AF83" s="319">
        <v>1</v>
      </c>
      <c r="AG83" s="319">
        <v>1</v>
      </c>
      <c r="AH83" s="319">
        <v>1</v>
      </c>
      <c r="AI83" s="319">
        <v>1</v>
      </c>
      <c r="AJ83" s="319">
        <v>1</v>
      </c>
      <c r="AK83" s="319">
        <v>1</v>
      </c>
      <c r="AL83" s="319">
        <v>1</v>
      </c>
      <c r="AM83" s="319">
        <v>1</v>
      </c>
      <c r="AN83" s="319">
        <v>1</v>
      </c>
      <c r="AO83" s="319">
        <v>1</v>
      </c>
      <c r="AP83" s="319">
        <v>1</v>
      </c>
    </row>
    <row r="84" spans="1:42" s="140" customFormat="1" ht="13.5" hidden="1" customHeight="1" outlineLevel="1">
      <c r="B84" s="300" t="s">
        <v>227</v>
      </c>
      <c r="C84" s="294"/>
      <c r="D84" s="294" t="s">
        <v>31</v>
      </c>
      <c r="E84" s="295"/>
      <c r="F84" s="296">
        <f>F719</f>
        <v>0.78107171599540315</v>
      </c>
      <c r="G84" s="296">
        <f>+F84*G83</f>
        <v>2.3432151479862093E-2</v>
      </c>
      <c r="H84" s="297"/>
      <c r="I84" s="297"/>
      <c r="J84" s="297"/>
      <c r="K84" s="297"/>
      <c r="L84" s="297"/>
      <c r="M84" s="297"/>
      <c r="N84" s="296">
        <f t="shared" ref="N84" si="220">+$F85*N85+$F106*N106+$F133*N133+$F145*N145+$F158*N158+$F173*N173+$F191*N191</f>
        <v>0.96197182771917034</v>
      </c>
      <c r="O84" s="296">
        <f t="shared" ref="O84:Q84" si="221">+$F85*O85+$F106*O106+$F133*O133+$F145*O145+$F158*O158+$F173*O173+$F191*O191</f>
        <v>0.96197182771917034</v>
      </c>
      <c r="P84" s="296">
        <f t="shared" si="221"/>
        <v>0.96197182771917034</v>
      </c>
      <c r="Q84" s="296">
        <f t="shared" si="221"/>
        <v>0.96197182771917034</v>
      </c>
      <c r="R84" s="376">
        <f t="shared" ref="R84:AC84" si="222">+$F85*R85+$F106*R106+$F133*R133+$F145*R145+$F158*R158+$F173*R173+$F191*R191</f>
        <v>0.96197182771917034</v>
      </c>
      <c r="S84" s="403">
        <f t="shared" si="222"/>
        <v>0.96197182771917034</v>
      </c>
      <c r="T84" s="296">
        <f t="shared" si="222"/>
        <v>0.96197182771917034</v>
      </c>
      <c r="U84" s="296">
        <f t="shared" ref="U84:Y84" si="223">+$F85*U85+$F106*U106+$F133*U133+$F145*U145+$F158*U158+$F173*U173+$F191*U191</f>
        <v>0.96197182771917034</v>
      </c>
      <c r="V84" s="296">
        <f t="shared" si="223"/>
        <v>0.96197182771917034</v>
      </c>
      <c r="W84" s="296">
        <f t="shared" si="223"/>
        <v>0.96197182771917034</v>
      </c>
      <c r="X84" s="296">
        <f t="shared" si="223"/>
        <v>0.96197182771917034</v>
      </c>
      <c r="Y84" s="296">
        <f t="shared" si="223"/>
        <v>0.96197182771917034</v>
      </c>
      <c r="Z84" s="296">
        <f t="shared" si="222"/>
        <v>0.96197182771917034</v>
      </c>
      <c r="AA84" s="296">
        <f t="shared" si="222"/>
        <v>0.96197182771917034</v>
      </c>
      <c r="AB84" s="296">
        <f t="shared" si="222"/>
        <v>0.96197182771917034</v>
      </c>
      <c r="AC84" s="296">
        <f t="shared" si="222"/>
        <v>0.96197182771917034</v>
      </c>
      <c r="AD84" s="404">
        <f t="shared" ref="AD84:AE84" si="224">+$F85*AD85+$F106*AD106+$F133*AD133+$F145*AD145+$F158*AD158+$F173*AD173+$F191*AD191</f>
        <v>0.96197182771917034</v>
      </c>
      <c r="AE84" s="404">
        <f t="shared" si="224"/>
        <v>0.96197182771917034</v>
      </c>
      <c r="AF84" s="404">
        <f t="shared" ref="AF84:AP84" si="225">+$F85*AF85+$F106*AF106+$F133*AF133+$F145*AF145+$F158*AF158+$F173*AF173+$F191*AF191</f>
        <v>0.96197182771917034</v>
      </c>
      <c r="AG84" s="404">
        <f t="shared" si="225"/>
        <v>0.96197182771917034</v>
      </c>
      <c r="AH84" s="404">
        <f t="shared" si="225"/>
        <v>0.96197182771917034</v>
      </c>
      <c r="AI84" s="404">
        <f t="shared" si="225"/>
        <v>0.96197182771917034</v>
      </c>
      <c r="AJ84" s="404">
        <f t="shared" si="225"/>
        <v>0.96197182771917034</v>
      </c>
      <c r="AK84" s="404">
        <f t="shared" si="225"/>
        <v>0.96197182771917034</v>
      </c>
      <c r="AL84" s="404">
        <f t="shared" si="225"/>
        <v>0.96197182771917034</v>
      </c>
      <c r="AM84" s="404">
        <f t="shared" si="225"/>
        <v>0.96197182771917034</v>
      </c>
      <c r="AN84" s="404">
        <f t="shared" si="225"/>
        <v>0.96197182771917034</v>
      </c>
      <c r="AO84" s="404">
        <f t="shared" si="225"/>
        <v>0.96197182771917034</v>
      </c>
      <c r="AP84" s="404">
        <f t="shared" si="225"/>
        <v>0.96197182771917034</v>
      </c>
    </row>
    <row r="85" spans="1:42" s="140" customFormat="1" ht="13.5" hidden="1" customHeight="1" outlineLevel="2">
      <c r="A85" s="216"/>
      <c r="B85" s="291" t="s">
        <v>228</v>
      </c>
      <c r="C85" s="292" t="s">
        <v>32</v>
      </c>
      <c r="D85" s="234" t="s">
        <v>33</v>
      </c>
      <c r="E85" s="240"/>
      <c r="F85" s="223">
        <v>0.20095296602369636</v>
      </c>
      <c r="G85" s="293">
        <f>+F85*G84</f>
        <v>4.7087603401948334E-3</v>
      </c>
      <c r="H85" s="298"/>
      <c r="I85" s="298"/>
      <c r="J85" s="298"/>
      <c r="K85" s="298"/>
      <c r="L85" s="298"/>
      <c r="M85" s="298"/>
      <c r="N85" s="270">
        <f t="shared" ref="N85:R85" si="226">+SUMPRODUCT($F86:$F105,N86:N105)</f>
        <v>0.85270909135365192</v>
      </c>
      <c r="O85" s="270">
        <f t="shared" si="226"/>
        <v>0.85270909135365192</v>
      </c>
      <c r="P85" s="270">
        <f t="shared" si="226"/>
        <v>0.85270909135365192</v>
      </c>
      <c r="Q85" s="270">
        <f t="shared" si="226"/>
        <v>0.85270909135365192</v>
      </c>
      <c r="R85" s="370">
        <f t="shared" si="226"/>
        <v>0.85270909135365192</v>
      </c>
      <c r="S85" s="391">
        <f t="shared" ref="S85" si="227">+SUMPRODUCT($F86:$F105,S86:S105)</f>
        <v>0.85270909135365192</v>
      </c>
      <c r="T85" s="270">
        <f t="shared" ref="T85" si="228">+SUMPRODUCT($F86:$F105,T86:T105)</f>
        <v>0.85270909135365192</v>
      </c>
      <c r="U85" s="270">
        <f t="shared" ref="U85" si="229">+SUMPRODUCT($F86:$F105,U86:U105)</f>
        <v>0.85270909135365192</v>
      </c>
      <c r="V85" s="270">
        <f t="shared" ref="V85" si="230">+SUMPRODUCT($F86:$F105,V86:V105)</f>
        <v>0.85270909135365192</v>
      </c>
      <c r="W85" s="270">
        <f t="shared" ref="W85" si="231">+SUMPRODUCT($F86:$F105,W86:W105)</f>
        <v>0.85270909135365192</v>
      </c>
      <c r="X85" s="270">
        <f t="shared" ref="X85" si="232">+SUMPRODUCT($F86:$F105,X86:X105)</f>
        <v>0.85270909135365192</v>
      </c>
      <c r="Y85" s="270">
        <f t="shared" ref="Y85" si="233">+SUMPRODUCT($F86:$F105,Y86:Y105)</f>
        <v>0.85270909135365192</v>
      </c>
      <c r="Z85" s="270">
        <f t="shared" ref="Z85" si="234">+SUMPRODUCT($F86:$F105,Z86:Z105)</f>
        <v>0.85270909135365192</v>
      </c>
      <c r="AA85" s="270">
        <f t="shared" ref="AA85" si="235">+SUMPRODUCT($F86:$F105,AA86:AA105)</f>
        <v>0.85270909135365192</v>
      </c>
      <c r="AB85" s="270">
        <f t="shared" ref="AB85" si="236">+SUMPRODUCT($F86:$F105,AB86:AB105)</f>
        <v>0.85270909135365192</v>
      </c>
      <c r="AC85" s="270">
        <f t="shared" ref="AC85" si="237">+SUMPRODUCT($F86:$F105,AC86:AC105)</f>
        <v>0.85270909135365192</v>
      </c>
      <c r="AD85" s="392">
        <f t="shared" ref="AD85:AF85" si="238">+SUMPRODUCT($F86:$F105,AD86:AD105)</f>
        <v>0.85270909135365192</v>
      </c>
      <c r="AE85" s="392">
        <f t="shared" si="238"/>
        <v>0.85270909135365192</v>
      </c>
      <c r="AF85" s="392">
        <f t="shared" si="238"/>
        <v>0.85270909135365192</v>
      </c>
      <c r="AG85" s="392">
        <f t="shared" ref="AG85" si="239">+SUMPRODUCT($F86:$F105,AG86:AG105)</f>
        <v>0.85270909135365192</v>
      </c>
      <c r="AH85" s="392">
        <f t="shared" ref="AH85" si="240">+SUMPRODUCT($F86:$F105,AH86:AH105)</f>
        <v>0.85270909135365192</v>
      </c>
      <c r="AI85" s="392">
        <f t="shared" ref="AI85" si="241">+SUMPRODUCT($F86:$F105,AI86:AI105)</f>
        <v>0.85270909135365192</v>
      </c>
      <c r="AJ85" s="392">
        <f t="shared" ref="AJ85" si="242">+SUMPRODUCT($F86:$F105,AJ86:AJ105)</f>
        <v>0.85270909135365192</v>
      </c>
      <c r="AK85" s="392">
        <f t="shared" ref="AK85" si="243">+SUMPRODUCT($F86:$F105,AK86:AK105)</f>
        <v>0.85270909135365192</v>
      </c>
      <c r="AL85" s="392">
        <f t="shared" ref="AL85" si="244">+SUMPRODUCT($F86:$F105,AL86:AL105)</f>
        <v>0.85270909135365192</v>
      </c>
      <c r="AM85" s="392">
        <f t="shared" ref="AM85" si="245">+SUMPRODUCT($F86:$F105,AM86:AM105)</f>
        <v>0.85270909135365192</v>
      </c>
      <c r="AN85" s="392">
        <f t="shared" ref="AN85" si="246">+SUMPRODUCT($F86:$F105,AN86:AN105)</f>
        <v>0.85270909135365192</v>
      </c>
      <c r="AO85" s="392">
        <f t="shared" ref="AO85" si="247">+SUMPRODUCT($F86:$F105,AO86:AO105)</f>
        <v>0.85270909135365192</v>
      </c>
      <c r="AP85" s="392">
        <f t="shared" ref="AP85" si="248">+SUMPRODUCT($F86:$F105,AP86:AP105)</f>
        <v>0.85270909135365192</v>
      </c>
    </row>
    <row r="86" spans="1:42" s="140" customFormat="1" ht="13.5" hidden="1" customHeight="1" outlineLevel="3">
      <c r="A86" s="216"/>
      <c r="B86" s="255" t="s">
        <v>229</v>
      </c>
      <c r="C86" s="290" t="s">
        <v>230</v>
      </c>
      <c r="D86" s="227" t="s">
        <v>231</v>
      </c>
      <c r="E86" s="241"/>
      <c r="F86" s="228">
        <f t="shared" ref="F86:F105" si="249">F721</f>
        <v>4.4581817293365446E-2</v>
      </c>
      <c r="G86" s="269">
        <f>+F86*G85</f>
        <v>2.0992509316481139E-4</v>
      </c>
      <c r="H86" s="299"/>
      <c r="I86" s="299"/>
      <c r="J86" s="299"/>
      <c r="K86" s="299"/>
      <c r="L86" s="299"/>
      <c r="M86" s="299"/>
      <c r="N86" s="272">
        <v>1</v>
      </c>
      <c r="O86" s="272">
        <v>1</v>
      </c>
      <c r="P86" s="272">
        <v>1</v>
      </c>
      <c r="Q86" s="272">
        <v>1</v>
      </c>
      <c r="R86" s="372">
        <v>1</v>
      </c>
      <c r="S86" s="395">
        <v>1</v>
      </c>
      <c r="T86" s="272">
        <v>1</v>
      </c>
      <c r="U86" s="272">
        <v>1</v>
      </c>
      <c r="V86" s="272">
        <v>1</v>
      </c>
      <c r="W86" s="272">
        <v>1</v>
      </c>
      <c r="X86" s="272">
        <v>1</v>
      </c>
      <c r="Y86" s="272">
        <v>1</v>
      </c>
      <c r="Z86" s="272">
        <v>1</v>
      </c>
      <c r="AA86" s="272">
        <v>1</v>
      </c>
      <c r="AB86" s="272">
        <v>1</v>
      </c>
      <c r="AC86" s="272">
        <v>1</v>
      </c>
      <c r="AD86" s="396">
        <v>1</v>
      </c>
      <c r="AE86" s="396">
        <v>1</v>
      </c>
      <c r="AF86" s="396">
        <v>1</v>
      </c>
      <c r="AG86" s="396">
        <v>1</v>
      </c>
      <c r="AH86" s="396">
        <v>1</v>
      </c>
      <c r="AI86" s="396">
        <v>1</v>
      </c>
      <c r="AJ86" s="396">
        <v>1</v>
      </c>
      <c r="AK86" s="396">
        <v>1</v>
      </c>
      <c r="AL86" s="396">
        <v>1</v>
      </c>
      <c r="AM86" s="396">
        <v>1</v>
      </c>
      <c r="AN86" s="396">
        <v>1</v>
      </c>
      <c r="AO86" s="396">
        <v>1</v>
      </c>
      <c r="AP86" s="396">
        <v>1</v>
      </c>
    </row>
    <row r="87" spans="1:42" s="140" customFormat="1" ht="13.5" hidden="1" customHeight="1" outlineLevel="3">
      <c r="A87" s="216"/>
      <c r="B87" s="255" t="s">
        <v>232</v>
      </c>
      <c r="C87" s="290" t="s">
        <v>233</v>
      </c>
      <c r="D87" s="227" t="s">
        <v>231</v>
      </c>
      <c r="E87" s="241"/>
      <c r="F87" s="228">
        <f t="shared" si="249"/>
        <v>4.4581817293365446E-2</v>
      </c>
      <c r="G87" s="269">
        <f>+F87*G85</f>
        <v>2.0992509316481139E-4</v>
      </c>
      <c r="H87" s="299"/>
      <c r="I87" s="299"/>
      <c r="J87" s="299"/>
      <c r="K87" s="299"/>
      <c r="L87" s="299"/>
      <c r="M87" s="299"/>
      <c r="N87" s="272">
        <v>1</v>
      </c>
      <c r="O87" s="272">
        <v>1</v>
      </c>
      <c r="P87" s="272">
        <v>1</v>
      </c>
      <c r="Q87" s="272">
        <v>1</v>
      </c>
      <c r="R87" s="372">
        <v>1</v>
      </c>
      <c r="S87" s="395">
        <v>1</v>
      </c>
      <c r="T87" s="272">
        <v>1</v>
      </c>
      <c r="U87" s="272">
        <v>1</v>
      </c>
      <c r="V87" s="272">
        <v>1</v>
      </c>
      <c r="W87" s="272">
        <v>1</v>
      </c>
      <c r="X87" s="272">
        <v>1</v>
      </c>
      <c r="Y87" s="272">
        <v>1</v>
      </c>
      <c r="Z87" s="272">
        <v>1</v>
      </c>
      <c r="AA87" s="272">
        <v>1</v>
      </c>
      <c r="AB87" s="272">
        <v>1</v>
      </c>
      <c r="AC87" s="272">
        <v>1</v>
      </c>
      <c r="AD87" s="396">
        <v>1</v>
      </c>
      <c r="AE87" s="396">
        <v>1</v>
      </c>
      <c r="AF87" s="396">
        <v>1</v>
      </c>
      <c r="AG87" s="396">
        <v>1</v>
      </c>
      <c r="AH87" s="396">
        <v>1</v>
      </c>
      <c r="AI87" s="396">
        <v>1</v>
      </c>
      <c r="AJ87" s="396">
        <v>1</v>
      </c>
      <c r="AK87" s="396">
        <v>1</v>
      </c>
      <c r="AL87" s="396">
        <v>1</v>
      </c>
      <c r="AM87" s="396">
        <v>1</v>
      </c>
      <c r="AN87" s="396">
        <v>1</v>
      </c>
      <c r="AO87" s="396">
        <v>1</v>
      </c>
      <c r="AP87" s="396">
        <v>1</v>
      </c>
    </row>
    <row r="88" spans="1:42" s="140" customFormat="1" ht="13.5" hidden="1" customHeight="1" outlineLevel="3">
      <c r="A88" s="216"/>
      <c r="B88" s="255" t="s">
        <v>234</v>
      </c>
      <c r="C88" s="290" t="s">
        <v>235</v>
      </c>
      <c r="D88" s="227" t="s">
        <v>231</v>
      </c>
      <c r="E88" s="241"/>
      <c r="F88" s="228">
        <f t="shared" si="249"/>
        <v>4.4581817293365446E-2</v>
      </c>
      <c r="G88" s="269">
        <f>+F88*G85</f>
        <v>2.0992509316481139E-4</v>
      </c>
      <c r="H88" s="299"/>
      <c r="I88" s="299"/>
      <c r="J88" s="299"/>
      <c r="K88" s="299"/>
      <c r="L88" s="299"/>
      <c r="M88" s="299"/>
      <c r="N88" s="272">
        <v>1</v>
      </c>
      <c r="O88" s="272">
        <v>1</v>
      </c>
      <c r="P88" s="272">
        <v>1</v>
      </c>
      <c r="Q88" s="272">
        <v>1</v>
      </c>
      <c r="R88" s="372">
        <v>1</v>
      </c>
      <c r="S88" s="395">
        <v>1</v>
      </c>
      <c r="T88" s="272">
        <v>1</v>
      </c>
      <c r="U88" s="272">
        <v>1</v>
      </c>
      <c r="V88" s="272">
        <v>1</v>
      </c>
      <c r="W88" s="272">
        <v>1</v>
      </c>
      <c r="X88" s="272">
        <v>1</v>
      </c>
      <c r="Y88" s="272">
        <v>1</v>
      </c>
      <c r="Z88" s="272">
        <v>1</v>
      </c>
      <c r="AA88" s="272">
        <v>1</v>
      </c>
      <c r="AB88" s="272">
        <v>1</v>
      </c>
      <c r="AC88" s="272">
        <v>1</v>
      </c>
      <c r="AD88" s="396">
        <v>1</v>
      </c>
      <c r="AE88" s="396">
        <v>1</v>
      </c>
      <c r="AF88" s="396">
        <v>1</v>
      </c>
      <c r="AG88" s="396">
        <v>1</v>
      </c>
      <c r="AH88" s="396">
        <v>1</v>
      </c>
      <c r="AI88" s="396">
        <v>1</v>
      </c>
      <c r="AJ88" s="396">
        <v>1</v>
      </c>
      <c r="AK88" s="396">
        <v>1</v>
      </c>
      <c r="AL88" s="396">
        <v>1</v>
      </c>
      <c r="AM88" s="396">
        <v>1</v>
      </c>
      <c r="AN88" s="396">
        <v>1</v>
      </c>
      <c r="AO88" s="396">
        <v>1</v>
      </c>
      <c r="AP88" s="396">
        <v>1</v>
      </c>
    </row>
    <row r="89" spans="1:42" s="140" customFormat="1" ht="13.5" hidden="1" customHeight="1" outlineLevel="3">
      <c r="A89" s="216"/>
      <c r="B89" s="255" t="s">
        <v>236</v>
      </c>
      <c r="C89" s="290" t="s">
        <v>237</v>
      </c>
      <c r="D89" s="227" t="s">
        <v>231</v>
      </c>
      <c r="E89" s="241"/>
      <c r="F89" s="228">
        <f t="shared" si="249"/>
        <v>4.4581817293365446E-2</v>
      </c>
      <c r="G89" s="269">
        <f>+F89*G85</f>
        <v>2.0992509316481139E-4</v>
      </c>
      <c r="H89" s="299"/>
      <c r="I89" s="299"/>
      <c r="J89" s="299"/>
      <c r="K89" s="299"/>
      <c r="L89" s="299"/>
      <c r="M89" s="299"/>
      <c r="N89" s="272">
        <v>1</v>
      </c>
      <c r="O89" s="272">
        <v>1</v>
      </c>
      <c r="P89" s="272">
        <v>1</v>
      </c>
      <c r="Q89" s="272">
        <v>1</v>
      </c>
      <c r="R89" s="372">
        <v>1</v>
      </c>
      <c r="S89" s="395">
        <v>1</v>
      </c>
      <c r="T89" s="272">
        <v>1</v>
      </c>
      <c r="U89" s="272">
        <v>1</v>
      </c>
      <c r="V89" s="272">
        <v>1</v>
      </c>
      <c r="W89" s="272">
        <v>1</v>
      </c>
      <c r="X89" s="272">
        <v>1</v>
      </c>
      <c r="Y89" s="272">
        <v>1</v>
      </c>
      <c r="Z89" s="272">
        <v>1</v>
      </c>
      <c r="AA89" s="272">
        <v>1</v>
      </c>
      <c r="AB89" s="272">
        <v>1</v>
      </c>
      <c r="AC89" s="272">
        <v>1</v>
      </c>
      <c r="AD89" s="396">
        <v>1</v>
      </c>
      <c r="AE89" s="396">
        <v>1</v>
      </c>
      <c r="AF89" s="396">
        <v>1</v>
      </c>
      <c r="AG89" s="396">
        <v>1</v>
      </c>
      <c r="AH89" s="396">
        <v>1</v>
      </c>
      <c r="AI89" s="396">
        <v>1</v>
      </c>
      <c r="AJ89" s="396">
        <v>1</v>
      </c>
      <c r="AK89" s="396">
        <v>1</v>
      </c>
      <c r="AL89" s="396">
        <v>1</v>
      </c>
      <c r="AM89" s="396">
        <v>1</v>
      </c>
      <c r="AN89" s="396">
        <v>1</v>
      </c>
      <c r="AO89" s="396">
        <v>1</v>
      </c>
      <c r="AP89" s="396">
        <v>1</v>
      </c>
    </row>
    <row r="90" spans="1:42" s="140" customFormat="1" ht="13.5" hidden="1" customHeight="1" outlineLevel="3">
      <c r="A90" s="216"/>
      <c r="B90" s="255" t="s">
        <v>238</v>
      </c>
      <c r="C90" s="290" t="s">
        <v>239</v>
      </c>
      <c r="D90" s="227" t="s">
        <v>231</v>
      </c>
      <c r="E90" s="241"/>
      <c r="F90" s="228">
        <f t="shared" si="249"/>
        <v>4.4581817293365446E-2</v>
      </c>
      <c r="G90" s="269">
        <f>+F90*G85</f>
        <v>2.0992509316481139E-4</v>
      </c>
      <c r="H90" s="299"/>
      <c r="I90" s="299"/>
      <c r="J90" s="299"/>
      <c r="K90" s="299"/>
      <c r="L90" s="299"/>
      <c r="M90" s="299"/>
      <c r="N90" s="272">
        <v>1</v>
      </c>
      <c r="O90" s="272">
        <v>1</v>
      </c>
      <c r="P90" s="272">
        <v>1</v>
      </c>
      <c r="Q90" s="272">
        <v>1</v>
      </c>
      <c r="R90" s="372">
        <v>1</v>
      </c>
      <c r="S90" s="395">
        <v>1</v>
      </c>
      <c r="T90" s="272">
        <v>1</v>
      </c>
      <c r="U90" s="272">
        <v>1</v>
      </c>
      <c r="V90" s="272">
        <v>1</v>
      </c>
      <c r="W90" s="272">
        <v>1</v>
      </c>
      <c r="X90" s="272">
        <v>1</v>
      </c>
      <c r="Y90" s="272">
        <v>1</v>
      </c>
      <c r="Z90" s="272">
        <v>1</v>
      </c>
      <c r="AA90" s="272">
        <v>1</v>
      </c>
      <c r="AB90" s="272">
        <v>1</v>
      </c>
      <c r="AC90" s="272">
        <v>1</v>
      </c>
      <c r="AD90" s="396">
        <v>1</v>
      </c>
      <c r="AE90" s="396">
        <v>1</v>
      </c>
      <c r="AF90" s="396">
        <v>1</v>
      </c>
      <c r="AG90" s="396">
        <v>1</v>
      </c>
      <c r="AH90" s="396">
        <v>1</v>
      </c>
      <c r="AI90" s="396">
        <v>1</v>
      </c>
      <c r="AJ90" s="396">
        <v>1</v>
      </c>
      <c r="AK90" s="396">
        <v>1</v>
      </c>
      <c r="AL90" s="396">
        <v>1</v>
      </c>
      <c r="AM90" s="396">
        <v>1</v>
      </c>
      <c r="AN90" s="396">
        <v>1</v>
      </c>
      <c r="AO90" s="396">
        <v>1</v>
      </c>
      <c r="AP90" s="396">
        <v>1</v>
      </c>
    </row>
    <row r="91" spans="1:42" s="140" customFormat="1" ht="13.5" hidden="1" customHeight="1" outlineLevel="3">
      <c r="A91" s="216"/>
      <c r="B91" s="255" t="s">
        <v>240</v>
      </c>
      <c r="C91" s="290" t="s">
        <v>241</v>
      </c>
      <c r="D91" s="227" t="s">
        <v>231</v>
      </c>
      <c r="E91" s="241"/>
      <c r="F91" s="228">
        <f t="shared" si="249"/>
        <v>4.4581817293365446E-2</v>
      </c>
      <c r="G91" s="269">
        <f>+F91*G85</f>
        <v>2.0992509316481139E-4</v>
      </c>
      <c r="H91" s="299"/>
      <c r="I91" s="299"/>
      <c r="J91" s="299"/>
      <c r="K91" s="299"/>
      <c r="L91" s="299"/>
      <c r="M91" s="299"/>
      <c r="N91" s="272">
        <v>1</v>
      </c>
      <c r="O91" s="272">
        <v>1</v>
      </c>
      <c r="P91" s="272">
        <v>1</v>
      </c>
      <c r="Q91" s="272">
        <v>1</v>
      </c>
      <c r="R91" s="372">
        <v>1</v>
      </c>
      <c r="S91" s="395">
        <v>1</v>
      </c>
      <c r="T91" s="272">
        <v>1</v>
      </c>
      <c r="U91" s="272">
        <v>1</v>
      </c>
      <c r="V91" s="272">
        <v>1</v>
      </c>
      <c r="W91" s="272">
        <v>1</v>
      </c>
      <c r="X91" s="272">
        <v>1</v>
      </c>
      <c r="Y91" s="272">
        <v>1</v>
      </c>
      <c r="Z91" s="272">
        <v>1</v>
      </c>
      <c r="AA91" s="272">
        <v>1</v>
      </c>
      <c r="AB91" s="272">
        <v>1</v>
      </c>
      <c r="AC91" s="272">
        <v>1</v>
      </c>
      <c r="AD91" s="396">
        <v>1</v>
      </c>
      <c r="AE91" s="396">
        <v>1</v>
      </c>
      <c r="AF91" s="396">
        <v>1</v>
      </c>
      <c r="AG91" s="396">
        <v>1</v>
      </c>
      <c r="AH91" s="396">
        <v>1</v>
      </c>
      <c r="AI91" s="396">
        <v>1</v>
      </c>
      <c r="AJ91" s="396">
        <v>1</v>
      </c>
      <c r="AK91" s="396">
        <v>1</v>
      </c>
      <c r="AL91" s="396">
        <v>1</v>
      </c>
      <c r="AM91" s="396">
        <v>1</v>
      </c>
      <c r="AN91" s="396">
        <v>1</v>
      </c>
      <c r="AO91" s="396">
        <v>1</v>
      </c>
      <c r="AP91" s="396">
        <v>1</v>
      </c>
    </row>
    <row r="92" spans="1:42" s="140" customFormat="1" ht="13.5" hidden="1" customHeight="1" outlineLevel="3">
      <c r="A92" s="216"/>
      <c r="B92" s="255" t="s">
        <v>242</v>
      </c>
      <c r="C92" s="290" t="s">
        <v>243</v>
      </c>
      <c r="D92" s="227" t="s">
        <v>231</v>
      </c>
      <c r="E92" s="241"/>
      <c r="F92" s="228">
        <f t="shared" si="249"/>
        <v>4.4581817293365446E-2</v>
      </c>
      <c r="G92" s="269">
        <f>+F92*G85</f>
        <v>2.0992509316481139E-4</v>
      </c>
      <c r="H92" s="299"/>
      <c r="I92" s="299"/>
      <c r="J92" s="299"/>
      <c r="K92" s="299"/>
      <c r="L92" s="299"/>
      <c r="M92" s="299"/>
      <c r="N92" s="272">
        <v>0</v>
      </c>
      <c r="O92" s="272">
        <v>0</v>
      </c>
      <c r="P92" s="272">
        <v>0</v>
      </c>
      <c r="Q92" s="272">
        <v>0</v>
      </c>
      <c r="R92" s="372">
        <v>0</v>
      </c>
      <c r="S92" s="395">
        <v>0</v>
      </c>
      <c r="T92" s="272">
        <v>0</v>
      </c>
      <c r="U92" s="272">
        <v>0</v>
      </c>
      <c r="V92" s="272">
        <v>0</v>
      </c>
      <c r="W92" s="272">
        <v>0</v>
      </c>
      <c r="X92" s="272">
        <v>0</v>
      </c>
      <c r="Y92" s="272">
        <v>0</v>
      </c>
      <c r="Z92" s="272">
        <v>0</v>
      </c>
      <c r="AA92" s="272">
        <v>0</v>
      </c>
      <c r="AB92" s="272">
        <v>0</v>
      </c>
      <c r="AC92" s="272">
        <v>0</v>
      </c>
      <c r="AD92" s="396">
        <v>0</v>
      </c>
      <c r="AE92" s="396">
        <v>0</v>
      </c>
      <c r="AF92" s="396">
        <v>0</v>
      </c>
      <c r="AG92" s="396"/>
      <c r="AH92" s="396"/>
      <c r="AI92" s="396"/>
      <c r="AJ92" s="396"/>
      <c r="AK92" s="396"/>
      <c r="AL92" s="396"/>
      <c r="AM92" s="396"/>
      <c r="AN92" s="396"/>
      <c r="AO92" s="396"/>
      <c r="AP92" s="396"/>
    </row>
    <row r="93" spans="1:42" s="140" customFormat="1" ht="13.5" hidden="1" customHeight="1" outlineLevel="3">
      <c r="A93" s="216"/>
      <c r="B93" s="255" t="s">
        <v>244</v>
      </c>
      <c r="C93" s="290" t="s">
        <v>245</v>
      </c>
      <c r="D93" s="227" t="s">
        <v>231</v>
      </c>
      <c r="E93" s="241"/>
      <c r="F93" s="228">
        <f t="shared" si="249"/>
        <v>4.4581817293365446E-2</v>
      </c>
      <c r="G93" s="269">
        <f>+F93*G85</f>
        <v>2.0992509316481139E-4</v>
      </c>
      <c r="H93" s="299"/>
      <c r="I93" s="299"/>
      <c r="J93" s="299"/>
      <c r="K93" s="299"/>
      <c r="L93" s="299"/>
      <c r="M93" s="299"/>
      <c r="N93" s="272">
        <v>1</v>
      </c>
      <c r="O93" s="272">
        <v>1</v>
      </c>
      <c r="P93" s="272">
        <v>1</v>
      </c>
      <c r="Q93" s="272">
        <v>1</v>
      </c>
      <c r="R93" s="372">
        <v>1</v>
      </c>
      <c r="S93" s="395">
        <v>1</v>
      </c>
      <c r="T93" s="272">
        <v>1</v>
      </c>
      <c r="U93" s="272">
        <v>1</v>
      </c>
      <c r="V93" s="272">
        <v>1</v>
      </c>
      <c r="W93" s="272">
        <v>1</v>
      </c>
      <c r="X93" s="272">
        <v>1</v>
      </c>
      <c r="Y93" s="272">
        <v>1</v>
      </c>
      <c r="Z93" s="272">
        <v>1</v>
      </c>
      <c r="AA93" s="272">
        <v>1</v>
      </c>
      <c r="AB93" s="272">
        <v>1</v>
      </c>
      <c r="AC93" s="272">
        <v>1</v>
      </c>
      <c r="AD93" s="396">
        <v>1</v>
      </c>
      <c r="AE93" s="396">
        <v>1</v>
      </c>
      <c r="AF93" s="396">
        <v>1</v>
      </c>
      <c r="AG93" s="396">
        <v>1</v>
      </c>
      <c r="AH93" s="396">
        <v>1</v>
      </c>
      <c r="AI93" s="396">
        <v>1</v>
      </c>
      <c r="AJ93" s="396">
        <v>1</v>
      </c>
      <c r="AK93" s="396">
        <v>1</v>
      </c>
      <c r="AL93" s="396">
        <v>1</v>
      </c>
      <c r="AM93" s="396">
        <v>1</v>
      </c>
      <c r="AN93" s="396">
        <v>1</v>
      </c>
      <c r="AO93" s="396">
        <v>1</v>
      </c>
      <c r="AP93" s="396">
        <v>1</v>
      </c>
    </row>
    <row r="94" spans="1:42" s="140" customFormat="1" ht="13.5" hidden="1" customHeight="1" outlineLevel="3">
      <c r="A94" s="216"/>
      <c r="B94" s="255" t="s">
        <v>246</v>
      </c>
      <c r="C94" s="290" t="s">
        <v>247</v>
      </c>
      <c r="D94" s="227" t="s">
        <v>231</v>
      </c>
      <c r="E94" s="241"/>
      <c r="F94" s="228">
        <f t="shared" si="249"/>
        <v>4.4581817293365446E-2</v>
      </c>
      <c r="G94" s="269">
        <f>+F94*G85</f>
        <v>2.0992509316481139E-4</v>
      </c>
      <c r="H94" s="299"/>
      <c r="I94" s="299"/>
      <c r="J94" s="299"/>
      <c r="K94" s="299"/>
      <c r="L94" s="299"/>
      <c r="M94" s="299"/>
      <c r="N94" s="272">
        <v>1</v>
      </c>
      <c r="O94" s="272">
        <v>1</v>
      </c>
      <c r="P94" s="272">
        <v>1</v>
      </c>
      <c r="Q94" s="272">
        <v>1</v>
      </c>
      <c r="R94" s="372">
        <v>1</v>
      </c>
      <c r="S94" s="395">
        <v>1</v>
      </c>
      <c r="T94" s="272">
        <v>1</v>
      </c>
      <c r="U94" s="272">
        <v>1</v>
      </c>
      <c r="V94" s="272">
        <v>1</v>
      </c>
      <c r="W94" s="272">
        <v>1</v>
      </c>
      <c r="X94" s="272">
        <v>1</v>
      </c>
      <c r="Y94" s="272">
        <v>1</v>
      </c>
      <c r="Z94" s="272">
        <v>1</v>
      </c>
      <c r="AA94" s="272">
        <v>1</v>
      </c>
      <c r="AB94" s="272">
        <v>1</v>
      </c>
      <c r="AC94" s="272">
        <v>1</v>
      </c>
      <c r="AD94" s="396">
        <v>1</v>
      </c>
      <c r="AE94" s="396">
        <v>1</v>
      </c>
      <c r="AF94" s="396">
        <v>1</v>
      </c>
      <c r="AG94" s="396">
        <v>1</v>
      </c>
      <c r="AH94" s="396">
        <v>1</v>
      </c>
      <c r="AI94" s="396">
        <v>1</v>
      </c>
      <c r="AJ94" s="396">
        <v>1</v>
      </c>
      <c r="AK94" s="396">
        <v>1</v>
      </c>
      <c r="AL94" s="396">
        <v>1</v>
      </c>
      <c r="AM94" s="396">
        <v>1</v>
      </c>
      <c r="AN94" s="396">
        <v>1</v>
      </c>
      <c r="AO94" s="396">
        <v>1</v>
      </c>
      <c r="AP94" s="396">
        <v>1</v>
      </c>
    </row>
    <row r="95" spans="1:42" s="140" customFormat="1" ht="13.5" hidden="1" customHeight="1" outlineLevel="3">
      <c r="A95" s="216"/>
      <c r="B95" s="255" t="s">
        <v>248</v>
      </c>
      <c r="C95" s="290" t="s">
        <v>249</v>
      </c>
      <c r="D95" s="227" t="s">
        <v>231</v>
      </c>
      <c r="E95" s="241"/>
      <c r="F95" s="228">
        <f t="shared" si="249"/>
        <v>4.4581817293365446E-2</v>
      </c>
      <c r="G95" s="269">
        <f>+F95*G85</f>
        <v>2.0992509316481139E-4</v>
      </c>
      <c r="H95" s="299"/>
      <c r="I95" s="299"/>
      <c r="J95" s="299"/>
      <c r="K95" s="299"/>
      <c r="L95" s="299"/>
      <c r="M95" s="299"/>
      <c r="N95" s="272">
        <v>1</v>
      </c>
      <c r="O95" s="272">
        <v>1</v>
      </c>
      <c r="P95" s="272">
        <v>1</v>
      </c>
      <c r="Q95" s="272">
        <v>1</v>
      </c>
      <c r="R95" s="372">
        <v>1</v>
      </c>
      <c r="S95" s="395">
        <v>1</v>
      </c>
      <c r="T95" s="272">
        <v>1</v>
      </c>
      <c r="U95" s="272">
        <v>1</v>
      </c>
      <c r="V95" s="272">
        <v>1</v>
      </c>
      <c r="W95" s="272">
        <v>1</v>
      </c>
      <c r="X95" s="272">
        <v>1</v>
      </c>
      <c r="Y95" s="272">
        <v>1</v>
      </c>
      <c r="Z95" s="272">
        <v>1</v>
      </c>
      <c r="AA95" s="272">
        <v>1</v>
      </c>
      <c r="AB95" s="272">
        <v>1</v>
      </c>
      <c r="AC95" s="272">
        <v>1</v>
      </c>
      <c r="AD95" s="396">
        <v>1</v>
      </c>
      <c r="AE95" s="396">
        <v>1</v>
      </c>
      <c r="AF95" s="396">
        <v>1</v>
      </c>
      <c r="AG95" s="396">
        <v>1</v>
      </c>
      <c r="AH95" s="396">
        <v>1</v>
      </c>
      <c r="AI95" s="396">
        <v>1</v>
      </c>
      <c r="AJ95" s="396">
        <v>1</v>
      </c>
      <c r="AK95" s="396">
        <v>1</v>
      </c>
      <c r="AL95" s="396">
        <v>1</v>
      </c>
      <c r="AM95" s="396">
        <v>1</v>
      </c>
      <c r="AN95" s="396">
        <v>1</v>
      </c>
      <c r="AO95" s="396">
        <v>1</v>
      </c>
      <c r="AP95" s="396">
        <v>1</v>
      </c>
    </row>
    <row r="96" spans="1:42" s="140" customFormat="1" ht="13.5" hidden="1" customHeight="1" outlineLevel="3">
      <c r="A96" s="216"/>
      <c r="B96" s="255" t="s">
        <v>250</v>
      </c>
      <c r="C96" s="290" t="s">
        <v>251</v>
      </c>
      <c r="D96" s="227" t="s">
        <v>231</v>
      </c>
      <c r="E96" s="241"/>
      <c r="F96" s="228">
        <f t="shared" si="249"/>
        <v>4.4581817293365446E-2</v>
      </c>
      <c r="G96" s="269">
        <f>+F96*G85</f>
        <v>2.0992509316481139E-4</v>
      </c>
      <c r="H96" s="299"/>
      <c r="I96" s="299"/>
      <c r="J96" s="299"/>
      <c r="K96" s="299"/>
      <c r="L96" s="299"/>
      <c r="M96" s="299"/>
      <c r="N96" s="272">
        <v>1</v>
      </c>
      <c r="O96" s="272">
        <v>1</v>
      </c>
      <c r="P96" s="272">
        <v>1</v>
      </c>
      <c r="Q96" s="272">
        <v>1</v>
      </c>
      <c r="R96" s="372">
        <v>1</v>
      </c>
      <c r="S96" s="395">
        <v>1</v>
      </c>
      <c r="T96" s="272">
        <v>1</v>
      </c>
      <c r="U96" s="272">
        <v>1</v>
      </c>
      <c r="V96" s="272">
        <v>1</v>
      </c>
      <c r="W96" s="272">
        <v>1</v>
      </c>
      <c r="X96" s="272">
        <v>1</v>
      </c>
      <c r="Y96" s="272">
        <v>1</v>
      </c>
      <c r="Z96" s="272">
        <v>1</v>
      </c>
      <c r="AA96" s="272">
        <v>1</v>
      </c>
      <c r="AB96" s="272">
        <v>1</v>
      </c>
      <c r="AC96" s="272">
        <v>1</v>
      </c>
      <c r="AD96" s="396">
        <v>1</v>
      </c>
      <c r="AE96" s="396">
        <v>1</v>
      </c>
      <c r="AF96" s="396">
        <v>1</v>
      </c>
      <c r="AG96" s="396">
        <v>1</v>
      </c>
      <c r="AH96" s="396">
        <v>1</v>
      </c>
      <c r="AI96" s="396">
        <v>1</v>
      </c>
      <c r="AJ96" s="396">
        <v>1</v>
      </c>
      <c r="AK96" s="396">
        <v>1</v>
      </c>
      <c r="AL96" s="396">
        <v>1</v>
      </c>
      <c r="AM96" s="396">
        <v>1</v>
      </c>
      <c r="AN96" s="396">
        <v>1</v>
      </c>
      <c r="AO96" s="396">
        <v>1</v>
      </c>
      <c r="AP96" s="396">
        <v>1</v>
      </c>
    </row>
    <row r="97" spans="1:42" s="140" customFormat="1" ht="13.5" hidden="1" customHeight="1" outlineLevel="3">
      <c r="A97" s="216"/>
      <c r="B97" s="255" t="s">
        <v>252</v>
      </c>
      <c r="C97" s="290" t="s">
        <v>253</v>
      </c>
      <c r="D97" s="227" t="s">
        <v>231</v>
      </c>
      <c r="E97" s="241"/>
      <c r="F97" s="228">
        <f t="shared" si="249"/>
        <v>4.4581817293365446E-2</v>
      </c>
      <c r="G97" s="269">
        <f>+F97*G85</f>
        <v>2.0992509316481139E-4</v>
      </c>
      <c r="H97" s="299"/>
      <c r="I97" s="299"/>
      <c r="J97" s="299"/>
      <c r="K97" s="299"/>
      <c r="L97" s="299"/>
      <c r="M97" s="299"/>
      <c r="N97" s="272">
        <v>0</v>
      </c>
      <c r="O97" s="272">
        <v>0</v>
      </c>
      <c r="P97" s="272">
        <v>0</v>
      </c>
      <c r="Q97" s="272">
        <v>0</v>
      </c>
      <c r="R97" s="372">
        <v>0</v>
      </c>
      <c r="S97" s="395">
        <v>0</v>
      </c>
      <c r="T97" s="272">
        <v>0</v>
      </c>
      <c r="U97" s="272">
        <v>0</v>
      </c>
      <c r="V97" s="272">
        <v>0</v>
      </c>
      <c r="W97" s="272">
        <v>0</v>
      </c>
      <c r="X97" s="272">
        <v>0</v>
      </c>
      <c r="Y97" s="272">
        <v>0</v>
      </c>
      <c r="Z97" s="272">
        <v>0</v>
      </c>
      <c r="AA97" s="272">
        <v>0</v>
      </c>
      <c r="AB97" s="272">
        <v>0</v>
      </c>
      <c r="AC97" s="272">
        <v>0</v>
      </c>
      <c r="AD97" s="396">
        <v>0</v>
      </c>
      <c r="AE97" s="396">
        <v>0</v>
      </c>
      <c r="AF97" s="396">
        <v>0</v>
      </c>
      <c r="AG97" s="396"/>
      <c r="AH97" s="396"/>
      <c r="AI97" s="396"/>
      <c r="AJ97" s="396"/>
      <c r="AK97" s="396"/>
      <c r="AL97" s="396"/>
      <c r="AM97" s="396"/>
      <c r="AN97" s="396"/>
      <c r="AO97" s="396"/>
      <c r="AP97" s="396"/>
    </row>
    <row r="98" spans="1:42" s="140" customFormat="1" ht="26.25" hidden="1" customHeight="1" outlineLevel="3">
      <c r="A98" s="216"/>
      <c r="B98" s="255" t="s">
        <v>254</v>
      </c>
      <c r="C98" s="290" t="s">
        <v>255</v>
      </c>
      <c r="D98" s="227" t="s">
        <v>256</v>
      </c>
      <c r="E98" s="241"/>
      <c r="F98" s="228">
        <f t="shared" si="249"/>
        <v>5.8127274059616978E-2</v>
      </c>
      <c r="G98" s="269">
        <f>+F98*G85</f>
        <v>2.7370740277556034E-4</v>
      </c>
      <c r="H98" s="299"/>
      <c r="I98" s="299"/>
      <c r="J98" s="299"/>
      <c r="K98" s="299"/>
      <c r="L98" s="299"/>
      <c r="M98" s="299"/>
      <c r="N98" s="272">
        <v>1</v>
      </c>
      <c r="O98" s="272">
        <v>1</v>
      </c>
      <c r="P98" s="272">
        <v>1</v>
      </c>
      <c r="Q98" s="272">
        <v>1</v>
      </c>
      <c r="R98" s="372">
        <v>1</v>
      </c>
      <c r="S98" s="395">
        <v>1</v>
      </c>
      <c r="T98" s="272">
        <v>1</v>
      </c>
      <c r="U98" s="272">
        <v>1</v>
      </c>
      <c r="V98" s="272">
        <v>1</v>
      </c>
      <c r="W98" s="272">
        <v>1</v>
      </c>
      <c r="X98" s="272">
        <v>1</v>
      </c>
      <c r="Y98" s="272">
        <v>1</v>
      </c>
      <c r="Z98" s="272">
        <v>1</v>
      </c>
      <c r="AA98" s="272">
        <v>1</v>
      </c>
      <c r="AB98" s="272">
        <v>1</v>
      </c>
      <c r="AC98" s="272">
        <v>1</v>
      </c>
      <c r="AD98" s="396">
        <v>1</v>
      </c>
      <c r="AE98" s="396">
        <v>1</v>
      </c>
      <c r="AF98" s="396">
        <v>1</v>
      </c>
      <c r="AG98" s="396">
        <v>1</v>
      </c>
      <c r="AH98" s="396">
        <v>1</v>
      </c>
      <c r="AI98" s="396">
        <v>1</v>
      </c>
      <c r="AJ98" s="396">
        <v>1</v>
      </c>
      <c r="AK98" s="396">
        <v>1</v>
      </c>
      <c r="AL98" s="396">
        <v>1</v>
      </c>
      <c r="AM98" s="396">
        <v>1</v>
      </c>
      <c r="AN98" s="396">
        <v>1</v>
      </c>
      <c r="AO98" s="396">
        <v>1</v>
      </c>
      <c r="AP98" s="396">
        <v>1</v>
      </c>
    </row>
    <row r="99" spans="1:42" s="140" customFormat="1" ht="26.25" hidden="1" customHeight="1" outlineLevel="3">
      <c r="A99" s="216"/>
      <c r="B99" s="255" t="s">
        <v>257</v>
      </c>
      <c r="C99" s="290" t="s">
        <v>258</v>
      </c>
      <c r="D99" s="227" t="s">
        <v>256</v>
      </c>
      <c r="E99" s="241"/>
      <c r="F99" s="228">
        <f t="shared" si="249"/>
        <v>5.8127274059616978E-2</v>
      </c>
      <c r="G99" s="269">
        <f>+F99*G85</f>
        <v>2.7370740277556034E-4</v>
      </c>
      <c r="H99" s="299"/>
      <c r="I99" s="299"/>
      <c r="J99" s="299"/>
      <c r="K99" s="299"/>
      <c r="L99" s="299"/>
      <c r="M99" s="299"/>
      <c r="N99" s="272">
        <v>1</v>
      </c>
      <c r="O99" s="272">
        <v>1</v>
      </c>
      <c r="P99" s="272">
        <v>1</v>
      </c>
      <c r="Q99" s="272">
        <v>1</v>
      </c>
      <c r="R99" s="372">
        <v>1</v>
      </c>
      <c r="S99" s="395">
        <v>1</v>
      </c>
      <c r="T99" s="272">
        <v>1</v>
      </c>
      <c r="U99" s="272">
        <v>1</v>
      </c>
      <c r="V99" s="272">
        <v>1</v>
      </c>
      <c r="W99" s="272">
        <v>1</v>
      </c>
      <c r="X99" s="272">
        <v>1</v>
      </c>
      <c r="Y99" s="272">
        <v>1</v>
      </c>
      <c r="Z99" s="272">
        <v>1</v>
      </c>
      <c r="AA99" s="272">
        <v>1</v>
      </c>
      <c r="AB99" s="272">
        <v>1</v>
      </c>
      <c r="AC99" s="272">
        <v>1</v>
      </c>
      <c r="AD99" s="396">
        <v>1</v>
      </c>
      <c r="AE99" s="396">
        <v>1</v>
      </c>
      <c r="AF99" s="396">
        <v>1</v>
      </c>
      <c r="AG99" s="396">
        <v>1</v>
      </c>
      <c r="AH99" s="396">
        <v>1</v>
      </c>
      <c r="AI99" s="396">
        <v>1</v>
      </c>
      <c r="AJ99" s="396">
        <v>1</v>
      </c>
      <c r="AK99" s="396">
        <v>1</v>
      </c>
      <c r="AL99" s="396">
        <v>1</v>
      </c>
      <c r="AM99" s="396">
        <v>1</v>
      </c>
      <c r="AN99" s="396">
        <v>1</v>
      </c>
      <c r="AO99" s="396">
        <v>1</v>
      </c>
      <c r="AP99" s="396">
        <v>1</v>
      </c>
    </row>
    <row r="100" spans="1:42" s="140" customFormat="1" ht="26.25" hidden="1" customHeight="1" outlineLevel="3">
      <c r="A100" s="216"/>
      <c r="B100" s="255" t="s">
        <v>259</v>
      </c>
      <c r="C100" s="290" t="s">
        <v>260</v>
      </c>
      <c r="D100" s="227" t="s">
        <v>256</v>
      </c>
      <c r="E100" s="241"/>
      <c r="F100" s="228">
        <f t="shared" si="249"/>
        <v>5.8127274059616978E-2</v>
      </c>
      <c r="G100" s="269">
        <f>+F100*G85</f>
        <v>2.7370740277556034E-4</v>
      </c>
      <c r="H100" s="299"/>
      <c r="I100" s="299"/>
      <c r="J100" s="299"/>
      <c r="K100" s="299"/>
      <c r="L100" s="299"/>
      <c r="M100" s="299"/>
      <c r="N100" s="272">
        <v>1</v>
      </c>
      <c r="O100" s="272">
        <v>1</v>
      </c>
      <c r="P100" s="272">
        <v>1</v>
      </c>
      <c r="Q100" s="272">
        <v>1</v>
      </c>
      <c r="R100" s="372">
        <v>1</v>
      </c>
      <c r="S100" s="395">
        <v>1</v>
      </c>
      <c r="T100" s="272">
        <v>1</v>
      </c>
      <c r="U100" s="272">
        <v>1</v>
      </c>
      <c r="V100" s="272">
        <v>1</v>
      </c>
      <c r="W100" s="272">
        <v>1</v>
      </c>
      <c r="X100" s="272">
        <v>1</v>
      </c>
      <c r="Y100" s="272">
        <v>1</v>
      </c>
      <c r="Z100" s="272">
        <v>1</v>
      </c>
      <c r="AA100" s="272">
        <v>1</v>
      </c>
      <c r="AB100" s="272">
        <v>1</v>
      </c>
      <c r="AC100" s="272">
        <v>1</v>
      </c>
      <c r="AD100" s="396">
        <v>1</v>
      </c>
      <c r="AE100" s="396">
        <v>1</v>
      </c>
      <c r="AF100" s="396">
        <v>1</v>
      </c>
      <c r="AG100" s="396">
        <v>1</v>
      </c>
      <c r="AH100" s="396">
        <v>1</v>
      </c>
      <c r="AI100" s="396">
        <v>1</v>
      </c>
      <c r="AJ100" s="396">
        <v>1</v>
      </c>
      <c r="AK100" s="396">
        <v>1</v>
      </c>
      <c r="AL100" s="396">
        <v>1</v>
      </c>
      <c r="AM100" s="396">
        <v>1</v>
      </c>
      <c r="AN100" s="396">
        <v>1</v>
      </c>
      <c r="AO100" s="396">
        <v>1</v>
      </c>
      <c r="AP100" s="396">
        <v>1</v>
      </c>
    </row>
    <row r="101" spans="1:42" s="140" customFormat="1" ht="26.25" hidden="1" customHeight="1" outlineLevel="3">
      <c r="A101" s="216"/>
      <c r="B101" s="255" t="s">
        <v>261</v>
      </c>
      <c r="C101" s="290" t="s">
        <v>262</v>
      </c>
      <c r="D101" s="227" t="s">
        <v>256</v>
      </c>
      <c r="E101" s="241"/>
      <c r="F101" s="228">
        <f t="shared" si="249"/>
        <v>5.8127274059616978E-2</v>
      </c>
      <c r="G101" s="269">
        <f>+F101*G85</f>
        <v>2.7370740277556034E-4</v>
      </c>
      <c r="H101" s="299"/>
      <c r="I101" s="299"/>
      <c r="J101" s="299"/>
      <c r="K101" s="299"/>
      <c r="L101" s="299"/>
      <c r="M101" s="299"/>
      <c r="N101" s="272">
        <v>1</v>
      </c>
      <c r="O101" s="272">
        <v>1</v>
      </c>
      <c r="P101" s="272">
        <v>1</v>
      </c>
      <c r="Q101" s="272">
        <v>1</v>
      </c>
      <c r="R101" s="372">
        <v>1</v>
      </c>
      <c r="S101" s="395">
        <v>1</v>
      </c>
      <c r="T101" s="272">
        <v>1</v>
      </c>
      <c r="U101" s="272">
        <v>1</v>
      </c>
      <c r="V101" s="272">
        <v>1</v>
      </c>
      <c r="W101" s="272">
        <v>1</v>
      </c>
      <c r="X101" s="272">
        <v>1</v>
      </c>
      <c r="Y101" s="272">
        <v>1</v>
      </c>
      <c r="Z101" s="272">
        <v>1</v>
      </c>
      <c r="AA101" s="272">
        <v>1</v>
      </c>
      <c r="AB101" s="272">
        <v>1</v>
      </c>
      <c r="AC101" s="272">
        <v>1</v>
      </c>
      <c r="AD101" s="396">
        <v>1</v>
      </c>
      <c r="AE101" s="396">
        <v>1</v>
      </c>
      <c r="AF101" s="396">
        <v>1</v>
      </c>
      <c r="AG101" s="396">
        <v>1</v>
      </c>
      <c r="AH101" s="396">
        <v>1</v>
      </c>
      <c r="AI101" s="396">
        <v>1</v>
      </c>
      <c r="AJ101" s="396">
        <v>1</v>
      </c>
      <c r="AK101" s="396">
        <v>1</v>
      </c>
      <c r="AL101" s="396">
        <v>1</v>
      </c>
      <c r="AM101" s="396">
        <v>1</v>
      </c>
      <c r="AN101" s="396">
        <v>1</v>
      </c>
      <c r="AO101" s="396">
        <v>1</v>
      </c>
      <c r="AP101" s="396">
        <v>1</v>
      </c>
    </row>
    <row r="102" spans="1:42" s="140" customFormat="1" ht="26.25" hidden="1" customHeight="1" outlineLevel="3">
      <c r="A102" s="216"/>
      <c r="B102" s="255" t="s">
        <v>263</v>
      </c>
      <c r="C102" s="290" t="s">
        <v>264</v>
      </c>
      <c r="D102" s="227" t="s">
        <v>256</v>
      </c>
      <c r="E102" s="241"/>
      <c r="F102" s="228">
        <f t="shared" si="249"/>
        <v>5.8127274059616978E-2</v>
      </c>
      <c r="G102" s="269">
        <f>+F102*G85</f>
        <v>2.7370740277556034E-4</v>
      </c>
      <c r="H102" s="299"/>
      <c r="I102" s="299"/>
      <c r="J102" s="299"/>
      <c r="K102" s="299"/>
      <c r="L102" s="299"/>
      <c r="M102" s="299"/>
      <c r="N102" s="272">
        <v>0</v>
      </c>
      <c r="O102" s="272">
        <v>0</v>
      </c>
      <c r="P102" s="272">
        <v>0</v>
      </c>
      <c r="Q102" s="272">
        <v>0</v>
      </c>
      <c r="R102" s="372">
        <v>0</v>
      </c>
      <c r="S102" s="395">
        <v>0</v>
      </c>
      <c r="T102" s="272">
        <v>0</v>
      </c>
      <c r="U102" s="272">
        <v>0</v>
      </c>
      <c r="V102" s="272">
        <v>0</v>
      </c>
      <c r="W102" s="272">
        <v>0</v>
      </c>
      <c r="X102" s="272">
        <v>0</v>
      </c>
      <c r="Y102" s="272">
        <v>0</v>
      </c>
      <c r="Z102" s="272">
        <v>0</v>
      </c>
      <c r="AA102" s="272">
        <v>0</v>
      </c>
      <c r="AB102" s="272">
        <v>0</v>
      </c>
      <c r="AC102" s="272">
        <v>0</v>
      </c>
      <c r="AD102" s="396">
        <v>0</v>
      </c>
      <c r="AE102" s="396">
        <v>0</v>
      </c>
      <c r="AF102" s="396">
        <v>0</v>
      </c>
      <c r="AG102" s="396"/>
      <c r="AH102" s="396"/>
      <c r="AI102" s="396"/>
      <c r="AJ102" s="396"/>
      <c r="AK102" s="396"/>
      <c r="AL102" s="396"/>
      <c r="AM102" s="396"/>
      <c r="AN102" s="396"/>
      <c r="AO102" s="396"/>
      <c r="AP102" s="396"/>
    </row>
    <row r="103" spans="1:42" s="140" customFormat="1" ht="26.25" hidden="1" customHeight="1" outlineLevel="3">
      <c r="A103" s="216"/>
      <c r="B103" s="255" t="s">
        <v>265</v>
      </c>
      <c r="C103" s="290" t="s">
        <v>266</v>
      </c>
      <c r="D103" s="227" t="s">
        <v>256</v>
      </c>
      <c r="E103" s="241"/>
      <c r="F103" s="228">
        <f t="shared" si="249"/>
        <v>5.8127274059616978E-2</v>
      </c>
      <c r="G103" s="269">
        <f>+F103*G85</f>
        <v>2.7370740277556034E-4</v>
      </c>
      <c r="H103" s="299"/>
      <c r="I103" s="299"/>
      <c r="J103" s="299"/>
      <c r="K103" s="299"/>
      <c r="L103" s="299"/>
      <c r="M103" s="299"/>
      <c r="N103" s="272">
        <v>1</v>
      </c>
      <c r="O103" s="272">
        <v>1</v>
      </c>
      <c r="P103" s="272">
        <v>1</v>
      </c>
      <c r="Q103" s="272">
        <v>1</v>
      </c>
      <c r="R103" s="372">
        <v>1</v>
      </c>
      <c r="S103" s="395">
        <v>1</v>
      </c>
      <c r="T103" s="272">
        <v>1</v>
      </c>
      <c r="U103" s="272">
        <v>1</v>
      </c>
      <c r="V103" s="272">
        <v>1</v>
      </c>
      <c r="W103" s="272">
        <v>1</v>
      </c>
      <c r="X103" s="272">
        <v>1</v>
      </c>
      <c r="Y103" s="272">
        <v>1</v>
      </c>
      <c r="Z103" s="272">
        <v>1</v>
      </c>
      <c r="AA103" s="272">
        <v>1</v>
      </c>
      <c r="AB103" s="272">
        <v>1</v>
      </c>
      <c r="AC103" s="272">
        <v>1</v>
      </c>
      <c r="AD103" s="396">
        <v>1</v>
      </c>
      <c r="AE103" s="396">
        <v>1</v>
      </c>
      <c r="AF103" s="396">
        <v>1</v>
      </c>
      <c r="AG103" s="396">
        <v>1</v>
      </c>
      <c r="AH103" s="396">
        <v>1</v>
      </c>
      <c r="AI103" s="396">
        <v>1</v>
      </c>
      <c r="AJ103" s="396">
        <v>1</v>
      </c>
      <c r="AK103" s="396">
        <v>1</v>
      </c>
      <c r="AL103" s="396">
        <v>1</v>
      </c>
      <c r="AM103" s="396">
        <v>1</v>
      </c>
      <c r="AN103" s="396">
        <v>1</v>
      </c>
      <c r="AO103" s="396">
        <v>1</v>
      </c>
      <c r="AP103" s="396">
        <v>1</v>
      </c>
    </row>
    <row r="104" spans="1:42" s="140" customFormat="1" ht="26.25" hidden="1" customHeight="1" outlineLevel="3">
      <c r="A104" s="216"/>
      <c r="B104" s="255" t="s">
        <v>267</v>
      </c>
      <c r="C104" s="290" t="s">
        <v>268</v>
      </c>
      <c r="D104" s="227" t="s">
        <v>256</v>
      </c>
      <c r="E104" s="241"/>
      <c r="F104" s="228">
        <f t="shared" si="249"/>
        <v>5.8127274059616978E-2</v>
      </c>
      <c r="G104" s="269">
        <f>+F104*G85</f>
        <v>2.7370740277556034E-4</v>
      </c>
      <c r="H104" s="299"/>
      <c r="I104" s="299"/>
      <c r="J104" s="299"/>
      <c r="K104" s="299"/>
      <c r="L104" s="299"/>
      <c r="M104" s="299"/>
      <c r="N104" s="272">
        <v>1</v>
      </c>
      <c r="O104" s="272">
        <v>1</v>
      </c>
      <c r="P104" s="272">
        <v>1</v>
      </c>
      <c r="Q104" s="272">
        <v>1</v>
      </c>
      <c r="R104" s="372">
        <v>1</v>
      </c>
      <c r="S104" s="395">
        <v>1</v>
      </c>
      <c r="T104" s="272">
        <v>1</v>
      </c>
      <c r="U104" s="272">
        <v>1</v>
      </c>
      <c r="V104" s="272">
        <v>1</v>
      </c>
      <c r="W104" s="272">
        <v>1</v>
      </c>
      <c r="X104" s="272">
        <v>1</v>
      </c>
      <c r="Y104" s="272">
        <v>1</v>
      </c>
      <c r="Z104" s="272">
        <v>1</v>
      </c>
      <c r="AA104" s="272">
        <v>1</v>
      </c>
      <c r="AB104" s="272">
        <v>1</v>
      </c>
      <c r="AC104" s="272">
        <v>1</v>
      </c>
      <c r="AD104" s="396">
        <v>1</v>
      </c>
      <c r="AE104" s="396">
        <v>1</v>
      </c>
      <c r="AF104" s="396">
        <v>1</v>
      </c>
      <c r="AG104" s="396">
        <v>1</v>
      </c>
      <c r="AH104" s="396">
        <v>1</v>
      </c>
      <c r="AI104" s="396">
        <v>1</v>
      </c>
      <c r="AJ104" s="396">
        <v>1</v>
      </c>
      <c r="AK104" s="396">
        <v>1</v>
      </c>
      <c r="AL104" s="396">
        <v>1</v>
      </c>
      <c r="AM104" s="396">
        <v>1</v>
      </c>
      <c r="AN104" s="396">
        <v>1</v>
      </c>
      <c r="AO104" s="396">
        <v>1</v>
      </c>
      <c r="AP104" s="396">
        <v>1</v>
      </c>
    </row>
    <row r="105" spans="1:42" s="140" customFormat="1" ht="26.25" hidden="1" customHeight="1" outlineLevel="3">
      <c r="A105" s="216"/>
      <c r="B105" s="255" t="s">
        <v>269</v>
      </c>
      <c r="C105" s="290" t="s">
        <v>270</v>
      </c>
      <c r="D105" s="227" t="s">
        <v>256</v>
      </c>
      <c r="E105" s="241"/>
      <c r="F105" s="228">
        <f t="shared" si="249"/>
        <v>5.8127274062295807E-2</v>
      </c>
      <c r="G105" s="269">
        <f>+F105*G85</f>
        <v>2.7370740278817433E-4</v>
      </c>
      <c r="H105" s="299"/>
      <c r="I105" s="299"/>
      <c r="J105" s="299"/>
      <c r="K105" s="299"/>
      <c r="L105" s="299"/>
      <c r="M105" s="299"/>
      <c r="N105" s="272">
        <v>1</v>
      </c>
      <c r="O105" s="272">
        <v>1</v>
      </c>
      <c r="P105" s="272">
        <v>1</v>
      </c>
      <c r="Q105" s="272">
        <v>1</v>
      </c>
      <c r="R105" s="372">
        <v>1</v>
      </c>
      <c r="S105" s="395">
        <v>1</v>
      </c>
      <c r="T105" s="272">
        <v>1</v>
      </c>
      <c r="U105" s="272">
        <v>1</v>
      </c>
      <c r="V105" s="272">
        <v>1</v>
      </c>
      <c r="W105" s="272">
        <v>1</v>
      </c>
      <c r="X105" s="272">
        <v>1</v>
      </c>
      <c r="Y105" s="272">
        <v>1</v>
      </c>
      <c r="Z105" s="272">
        <v>1</v>
      </c>
      <c r="AA105" s="272">
        <v>1</v>
      </c>
      <c r="AB105" s="272">
        <v>1</v>
      </c>
      <c r="AC105" s="272">
        <v>1</v>
      </c>
      <c r="AD105" s="396">
        <v>1</v>
      </c>
      <c r="AE105" s="396">
        <v>1</v>
      </c>
      <c r="AF105" s="396">
        <v>1</v>
      </c>
      <c r="AG105" s="396">
        <v>1</v>
      </c>
      <c r="AH105" s="396">
        <v>1</v>
      </c>
      <c r="AI105" s="396">
        <v>1</v>
      </c>
      <c r="AJ105" s="396">
        <v>1</v>
      </c>
      <c r="AK105" s="396">
        <v>1</v>
      </c>
      <c r="AL105" s="396">
        <v>1</v>
      </c>
      <c r="AM105" s="396">
        <v>1</v>
      </c>
      <c r="AN105" s="396">
        <v>1</v>
      </c>
      <c r="AO105" s="396">
        <v>1</v>
      </c>
      <c r="AP105" s="396">
        <v>1</v>
      </c>
    </row>
    <row r="106" spans="1:42" s="140" customFormat="1" ht="13.5" hidden="1" customHeight="1" outlineLevel="2">
      <c r="A106" s="216"/>
      <c r="B106" s="291" t="s">
        <v>271</v>
      </c>
      <c r="C106" s="292" t="s">
        <v>35</v>
      </c>
      <c r="D106" s="234" t="s">
        <v>33</v>
      </c>
      <c r="E106" s="240"/>
      <c r="F106" s="223">
        <v>0.24153553060977856</v>
      </c>
      <c r="G106" s="293">
        <f>+F106*G84</f>
        <v>5.6596971410171988E-3</v>
      </c>
      <c r="H106" s="298"/>
      <c r="I106" s="298"/>
      <c r="J106" s="298"/>
      <c r="K106" s="298"/>
      <c r="L106" s="298"/>
      <c r="M106" s="298"/>
      <c r="N106" s="270">
        <f t="shared" ref="N106:R106" si="250">+SUMPRODUCT($F107:$F132,N107:N132)</f>
        <v>0.99999999999999956</v>
      </c>
      <c r="O106" s="270">
        <f t="shared" si="250"/>
        <v>0.99999999999999956</v>
      </c>
      <c r="P106" s="270">
        <f t="shared" si="250"/>
        <v>0.99999999999999956</v>
      </c>
      <c r="Q106" s="270">
        <f t="shared" si="250"/>
        <v>0.99999999999999956</v>
      </c>
      <c r="R106" s="370">
        <f t="shared" si="250"/>
        <v>0.99999999999999956</v>
      </c>
      <c r="S106" s="391">
        <f t="shared" ref="S106" si="251">+SUMPRODUCT($F107:$F132,S107:S132)</f>
        <v>0.99999999999999956</v>
      </c>
      <c r="T106" s="270">
        <f t="shared" ref="T106" si="252">+SUMPRODUCT($F107:$F132,T107:T132)</f>
        <v>0.99999999999999956</v>
      </c>
      <c r="U106" s="270">
        <f t="shared" ref="U106" si="253">+SUMPRODUCT($F107:$F132,U107:U132)</f>
        <v>0.99999999999999956</v>
      </c>
      <c r="V106" s="270">
        <f t="shared" ref="V106" si="254">+SUMPRODUCT($F107:$F132,V107:V132)</f>
        <v>0.99999999999999956</v>
      </c>
      <c r="W106" s="270">
        <f t="shared" ref="W106" si="255">+SUMPRODUCT($F107:$F132,W107:W132)</f>
        <v>0.99999999999999956</v>
      </c>
      <c r="X106" s="270">
        <f t="shared" ref="X106" si="256">+SUMPRODUCT($F107:$F132,X107:X132)</f>
        <v>0.99999999999999956</v>
      </c>
      <c r="Y106" s="270">
        <f t="shared" ref="Y106" si="257">+SUMPRODUCT($F107:$F132,Y107:Y132)</f>
        <v>0.99999999999999956</v>
      </c>
      <c r="Z106" s="270">
        <f t="shared" ref="Z106" si="258">+SUMPRODUCT($F107:$F132,Z107:Z132)</f>
        <v>0.99999999999999956</v>
      </c>
      <c r="AA106" s="270">
        <f t="shared" ref="AA106" si="259">+SUMPRODUCT($F107:$F132,AA107:AA132)</f>
        <v>0.99999999999999956</v>
      </c>
      <c r="AB106" s="270">
        <f t="shared" ref="AB106" si="260">+SUMPRODUCT($F107:$F132,AB107:AB132)</f>
        <v>0.99999999999999956</v>
      </c>
      <c r="AC106" s="270">
        <f t="shared" ref="AC106" si="261">+SUMPRODUCT($F107:$F132,AC107:AC132)</f>
        <v>0.99999999999999956</v>
      </c>
      <c r="AD106" s="392">
        <f t="shared" ref="AD106:AF106" si="262">+SUMPRODUCT($F107:$F132,AD107:AD132)</f>
        <v>0.99999999999999956</v>
      </c>
      <c r="AE106" s="392">
        <f t="shared" si="262"/>
        <v>0.99999999999999956</v>
      </c>
      <c r="AF106" s="392">
        <f t="shared" si="262"/>
        <v>0.99999999999999956</v>
      </c>
      <c r="AG106" s="392">
        <f t="shared" ref="AG106" si="263">+SUMPRODUCT($F107:$F132,AG107:AG132)</f>
        <v>0.99999999999999956</v>
      </c>
      <c r="AH106" s="392">
        <f t="shared" ref="AH106" si="264">+SUMPRODUCT($F107:$F132,AH107:AH132)</f>
        <v>0.99999999999999956</v>
      </c>
      <c r="AI106" s="392">
        <f t="shared" ref="AI106" si="265">+SUMPRODUCT($F107:$F132,AI107:AI132)</f>
        <v>0.99999999999999956</v>
      </c>
      <c r="AJ106" s="392">
        <f t="shared" ref="AJ106" si="266">+SUMPRODUCT($F107:$F132,AJ107:AJ132)</f>
        <v>0.99999999999999956</v>
      </c>
      <c r="AK106" s="392">
        <f t="shared" ref="AK106" si="267">+SUMPRODUCT($F107:$F132,AK107:AK132)</f>
        <v>0.99999999999999956</v>
      </c>
      <c r="AL106" s="392">
        <f t="shared" ref="AL106" si="268">+SUMPRODUCT($F107:$F132,AL107:AL132)</f>
        <v>0.99999999999999956</v>
      </c>
      <c r="AM106" s="392">
        <f t="shared" ref="AM106" si="269">+SUMPRODUCT($F107:$F132,AM107:AM132)</f>
        <v>0.99999999999999956</v>
      </c>
      <c r="AN106" s="392">
        <f t="shared" ref="AN106" si="270">+SUMPRODUCT($F107:$F132,AN107:AN132)</f>
        <v>0.99999999999999956</v>
      </c>
      <c r="AO106" s="392">
        <f t="shared" ref="AO106" si="271">+SUMPRODUCT($F107:$F132,AO107:AO132)</f>
        <v>0.99999999999999956</v>
      </c>
      <c r="AP106" s="392">
        <f t="shared" ref="AP106" si="272">+SUMPRODUCT($F107:$F132,AP107:AP132)</f>
        <v>0.99999999999999956</v>
      </c>
    </row>
    <row r="107" spans="1:42" s="140" customFormat="1" ht="13.5" hidden="1" customHeight="1" outlineLevel="3">
      <c r="A107" s="216"/>
      <c r="B107" s="255" t="s">
        <v>272</v>
      </c>
      <c r="C107" s="290" t="s">
        <v>230</v>
      </c>
      <c r="D107" s="227" t="s">
        <v>231</v>
      </c>
      <c r="E107" s="241"/>
      <c r="F107" s="228">
        <f t="shared" ref="F107:F132" si="273">F742</f>
        <v>3.6801995565609057E-2</v>
      </c>
      <c r="G107" s="269">
        <f>+F107*G106</f>
        <v>2.0828814908640522E-4</v>
      </c>
      <c r="H107" s="299"/>
      <c r="I107" s="299"/>
      <c r="J107" s="299"/>
      <c r="K107" s="299"/>
      <c r="L107" s="299"/>
      <c r="M107" s="299"/>
      <c r="N107" s="272">
        <v>1</v>
      </c>
      <c r="O107" s="272">
        <v>1</v>
      </c>
      <c r="P107" s="272">
        <v>1</v>
      </c>
      <c r="Q107" s="272">
        <v>1</v>
      </c>
      <c r="R107" s="372">
        <v>1</v>
      </c>
      <c r="S107" s="395">
        <v>1</v>
      </c>
      <c r="T107" s="272">
        <v>1</v>
      </c>
      <c r="U107" s="272">
        <v>1</v>
      </c>
      <c r="V107" s="272">
        <v>1</v>
      </c>
      <c r="W107" s="272">
        <v>1</v>
      </c>
      <c r="X107" s="272">
        <v>1</v>
      </c>
      <c r="Y107" s="272">
        <v>1</v>
      </c>
      <c r="Z107" s="272">
        <v>1</v>
      </c>
      <c r="AA107" s="272">
        <v>1</v>
      </c>
      <c r="AB107" s="272">
        <v>1</v>
      </c>
      <c r="AC107" s="272">
        <v>1</v>
      </c>
      <c r="AD107" s="396">
        <v>1</v>
      </c>
      <c r="AE107" s="396">
        <v>1</v>
      </c>
      <c r="AF107" s="396">
        <v>1</v>
      </c>
      <c r="AG107" s="396">
        <v>1</v>
      </c>
      <c r="AH107" s="396">
        <v>1</v>
      </c>
      <c r="AI107" s="396">
        <v>1</v>
      </c>
      <c r="AJ107" s="396">
        <v>1</v>
      </c>
      <c r="AK107" s="396">
        <v>1</v>
      </c>
      <c r="AL107" s="396">
        <v>1</v>
      </c>
      <c r="AM107" s="396">
        <v>1</v>
      </c>
      <c r="AN107" s="396">
        <v>1</v>
      </c>
      <c r="AO107" s="396">
        <v>1</v>
      </c>
      <c r="AP107" s="396">
        <v>1</v>
      </c>
    </row>
    <row r="108" spans="1:42" s="140" customFormat="1" ht="13.5" hidden="1" customHeight="1" outlineLevel="3">
      <c r="A108" s="216"/>
      <c r="B108" s="255" t="s">
        <v>273</v>
      </c>
      <c r="C108" s="290" t="s">
        <v>233</v>
      </c>
      <c r="D108" s="227" t="s">
        <v>231</v>
      </c>
      <c r="E108" s="241"/>
      <c r="F108" s="228">
        <f t="shared" si="273"/>
        <v>3.6801995565609057E-2</v>
      </c>
      <c r="G108" s="269">
        <f>+F108*G106</f>
        <v>2.0828814908640522E-4</v>
      </c>
      <c r="H108" s="299"/>
      <c r="I108" s="299"/>
      <c r="J108" s="299"/>
      <c r="K108" s="299"/>
      <c r="L108" s="299"/>
      <c r="M108" s="299"/>
      <c r="N108" s="272">
        <v>1</v>
      </c>
      <c r="O108" s="272">
        <v>1</v>
      </c>
      <c r="P108" s="272">
        <v>1</v>
      </c>
      <c r="Q108" s="272">
        <v>1</v>
      </c>
      <c r="R108" s="372">
        <v>1</v>
      </c>
      <c r="S108" s="395">
        <v>1</v>
      </c>
      <c r="T108" s="272">
        <v>1</v>
      </c>
      <c r="U108" s="272">
        <v>1</v>
      </c>
      <c r="V108" s="272">
        <v>1</v>
      </c>
      <c r="W108" s="272">
        <v>1</v>
      </c>
      <c r="X108" s="272">
        <v>1</v>
      </c>
      <c r="Y108" s="272">
        <v>1</v>
      </c>
      <c r="Z108" s="272">
        <v>1</v>
      </c>
      <c r="AA108" s="272">
        <v>1</v>
      </c>
      <c r="AB108" s="272">
        <v>1</v>
      </c>
      <c r="AC108" s="272">
        <v>1</v>
      </c>
      <c r="AD108" s="396">
        <v>1</v>
      </c>
      <c r="AE108" s="396">
        <v>1</v>
      </c>
      <c r="AF108" s="396">
        <v>1</v>
      </c>
      <c r="AG108" s="396">
        <v>1</v>
      </c>
      <c r="AH108" s="396">
        <v>1</v>
      </c>
      <c r="AI108" s="396">
        <v>1</v>
      </c>
      <c r="AJ108" s="396">
        <v>1</v>
      </c>
      <c r="AK108" s="396">
        <v>1</v>
      </c>
      <c r="AL108" s="396">
        <v>1</v>
      </c>
      <c r="AM108" s="396">
        <v>1</v>
      </c>
      <c r="AN108" s="396">
        <v>1</v>
      </c>
      <c r="AO108" s="396">
        <v>1</v>
      </c>
      <c r="AP108" s="396">
        <v>1</v>
      </c>
    </row>
    <row r="109" spans="1:42" s="140" customFormat="1" ht="13.5" hidden="1" customHeight="1" outlineLevel="3">
      <c r="A109" s="216"/>
      <c r="B109" s="255" t="s">
        <v>274</v>
      </c>
      <c r="C109" s="290" t="s">
        <v>235</v>
      </c>
      <c r="D109" s="227" t="s">
        <v>231</v>
      </c>
      <c r="E109" s="241"/>
      <c r="F109" s="228">
        <f t="shared" si="273"/>
        <v>3.6801995565609057E-2</v>
      </c>
      <c r="G109" s="269">
        <f>+F109*G106</f>
        <v>2.0828814908640522E-4</v>
      </c>
      <c r="H109" s="299"/>
      <c r="I109" s="299"/>
      <c r="J109" s="299"/>
      <c r="K109" s="299"/>
      <c r="L109" s="299"/>
      <c r="M109" s="299"/>
      <c r="N109" s="272">
        <v>1</v>
      </c>
      <c r="O109" s="272">
        <v>1</v>
      </c>
      <c r="P109" s="272">
        <v>1</v>
      </c>
      <c r="Q109" s="272">
        <v>1</v>
      </c>
      <c r="R109" s="372">
        <v>1</v>
      </c>
      <c r="S109" s="395">
        <v>1</v>
      </c>
      <c r="T109" s="272">
        <v>1</v>
      </c>
      <c r="U109" s="272">
        <v>1</v>
      </c>
      <c r="V109" s="272">
        <v>1</v>
      </c>
      <c r="W109" s="272">
        <v>1</v>
      </c>
      <c r="X109" s="272">
        <v>1</v>
      </c>
      <c r="Y109" s="272">
        <v>1</v>
      </c>
      <c r="Z109" s="272">
        <v>1</v>
      </c>
      <c r="AA109" s="272">
        <v>1</v>
      </c>
      <c r="AB109" s="272">
        <v>1</v>
      </c>
      <c r="AC109" s="272">
        <v>1</v>
      </c>
      <c r="AD109" s="396">
        <v>1</v>
      </c>
      <c r="AE109" s="396">
        <v>1</v>
      </c>
      <c r="AF109" s="396">
        <v>1</v>
      </c>
      <c r="AG109" s="396">
        <v>1</v>
      </c>
      <c r="AH109" s="396">
        <v>1</v>
      </c>
      <c r="AI109" s="396">
        <v>1</v>
      </c>
      <c r="AJ109" s="396">
        <v>1</v>
      </c>
      <c r="AK109" s="396">
        <v>1</v>
      </c>
      <c r="AL109" s="396">
        <v>1</v>
      </c>
      <c r="AM109" s="396">
        <v>1</v>
      </c>
      <c r="AN109" s="396">
        <v>1</v>
      </c>
      <c r="AO109" s="396">
        <v>1</v>
      </c>
      <c r="AP109" s="396">
        <v>1</v>
      </c>
    </row>
    <row r="110" spans="1:42" s="140" customFormat="1" ht="13.5" hidden="1" customHeight="1" outlineLevel="3">
      <c r="A110" s="216"/>
      <c r="B110" s="255" t="s">
        <v>275</v>
      </c>
      <c r="C110" s="290" t="s">
        <v>237</v>
      </c>
      <c r="D110" s="227" t="s">
        <v>231</v>
      </c>
      <c r="E110" s="241"/>
      <c r="F110" s="228">
        <f t="shared" si="273"/>
        <v>3.6801995565609057E-2</v>
      </c>
      <c r="G110" s="269">
        <f>+F110*G106</f>
        <v>2.0828814908640522E-4</v>
      </c>
      <c r="H110" s="299"/>
      <c r="I110" s="299"/>
      <c r="J110" s="299"/>
      <c r="K110" s="299"/>
      <c r="L110" s="299"/>
      <c r="M110" s="299"/>
      <c r="N110" s="272">
        <v>1</v>
      </c>
      <c r="O110" s="272">
        <v>1</v>
      </c>
      <c r="P110" s="272">
        <v>1</v>
      </c>
      <c r="Q110" s="272">
        <v>1</v>
      </c>
      <c r="R110" s="372">
        <v>1</v>
      </c>
      <c r="S110" s="395">
        <v>1</v>
      </c>
      <c r="T110" s="272">
        <v>1</v>
      </c>
      <c r="U110" s="272">
        <v>1</v>
      </c>
      <c r="V110" s="272">
        <v>1</v>
      </c>
      <c r="W110" s="272">
        <v>1</v>
      </c>
      <c r="X110" s="272">
        <v>1</v>
      </c>
      <c r="Y110" s="272">
        <v>1</v>
      </c>
      <c r="Z110" s="272">
        <v>1</v>
      </c>
      <c r="AA110" s="272">
        <v>1</v>
      </c>
      <c r="AB110" s="272">
        <v>1</v>
      </c>
      <c r="AC110" s="272">
        <v>1</v>
      </c>
      <c r="AD110" s="396">
        <v>1</v>
      </c>
      <c r="AE110" s="396">
        <v>1</v>
      </c>
      <c r="AF110" s="396">
        <v>1</v>
      </c>
      <c r="AG110" s="396">
        <v>1</v>
      </c>
      <c r="AH110" s="396">
        <v>1</v>
      </c>
      <c r="AI110" s="396">
        <v>1</v>
      </c>
      <c r="AJ110" s="396">
        <v>1</v>
      </c>
      <c r="AK110" s="396">
        <v>1</v>
      </c>
      <c r="AL110" s="396">
        <v>1</v>
      </c>
      <c r="AM110" s="396">
        <v>1</v>
      </c>
      <c r="AN110" s="396">
        <v>1</v>
      </c>
      <c r="AO110" s="396">
        <v>1</v>
      </c>
      <c r="AP110" s="396">
        <v>1</v>
      </c>
    </row>
    <row r="111" spans="1:42" s="140" customFormat="1" ht="13.5" hidden="1" customHeight="1" outlineLevel="3">
      <c r="A111" s="216"/>
      <c r="B111" s="255" t="s">
        <v>276</v>
      </c>
      <c r="C111" s="290" t="s">
        <v>239</v>
      </c>
      <c r="D111" s="227" t="s">
        <v>231</v>
      </c>
      <c r="E111" s="241"/>
      <c r="F111" s="228">
        <f t="shared" si="273"/>
        <v>3.6801995565609057E-2</v>
      </c>
      <c r="G111" s="269">
        <f>+F111*G106</f>
        <v>2.0828814908640522E-4</v>
      </c>
      <c r="H111" s="299"/>
      <c r="I111" s="299"/>
      <c r="J111" s="299"/>
      <c r="K111" s="299"/>
      <c r="L111" s="299"/>
      <c r="M111" s="299"/>
      <c r="N111" s="272">
        <v>1</v>
      </c>
      <c r="O111" s="272">
        <v>1</v>
      </c>
      <c r="P111" s="272">
        <v>1</v>
      </c>
      <c r="Q111" s="272">
        <v>1</v>
      </c>
      <c r="R111" s="372">
        <v>1</v>
      </c>
      <c r="S111" s="395">
        <v>1</v>
      </c>
      <c r="T111" s="272">
        <v>1</v>
      </c>
      <c r="U111" s="272">
        <v>1</v>
      </c>
      <c r="V111" s="272">
        <v>1</v>
      </c>
      <c r="W111" s="272">
        <v>1</v>
      </c>
      <c r="X111" s="272">
        <v>1</v>
      </c>
      <c r="Y111" s="272">
        <v>1</v>
      </c>
      <c r="Z111" s="272">
        <v>1</v>
      </c>
      <c r="AA111" s="272">
        <v>1</v>
      </c>
      <c r="AB111" s="272">
        <v>1</v>
      </c>
      <c r="AC111" s="272">
        <v>1</v>
      </c>
      <c r="AD111" s="396">
        <v>1</v>
      </c>
      <c r="AE111" s="396">
        <v>1</v>
      </c>
      <c r="AF111" s="396">
        <v>1</v>
      </c>
      <c r="AG111" s="396">
        <v>1</v>
      </c>
      <c r="AH111" s="396">
        <v>1</v>
      </c>
      <c r="AI111" s="396">
        <v>1</v>
      </c>
      <c r="AJ111" s="396">
        <v>1</v>
      </c>
      <c r="AK111" s="396">
        <v>1</v>
      </c>
      <c r="AL111" s="396">
        <v>1</v>
      </c>
      <c r="AM111" s="396">
        <v>1</v>
      </c>
      <c r="AN111" s="396">
        <v>1</v>
      </c>
      <c r="AO111" s="396">
        <v>1</v>
      </c>
      <c r="AP111" s="396">
        <v>1</v>
      </c>
    </row>
    <row r="112" spans="1:42" s="140" customFormat="1" ht="13.5" hidden="1" customHeight="1" outlineLevel="3">
      <c r="A112" s="216"/>
      <c r="B112" s="255" t="s">
        <v>277</v>
      </c>
      <c r="C112" s="290" t="s">
        <v>241</v>
      </c>
      <c r="D112" s="227" t="s">
        <v>231</v>
      </c>
      <c r="E112" s="241"/>
      <c r="F112" s="228">
        <f t="shared" si="273"/>
        <v>3.6801995565609057E-2</v>
      </c>
      <c r="G112" s="269">
        <f>+F112*G106</f>
        <v>2.0828814908640522E-4</v>
      </c>
      <c r="H112" s="299"/>
      <c r="I112" s="299"/>
      <c r="J112" s="299"/>
      <c r="K112" s="299"/>
      <c r="L112" s="299"/>
      <c r="M112" s="299"/>
      <c r="N112" s="272">
        <v>1</v>
      </c>
      <c r="O112" s="272">
        <v>1</v>
      </c>
      <c r="P112" s="272">
        <v>1</v>
      </c>
      <c r="Q112" s="272">
        <v>1</v>
      </c>
      <c r="R112" s="372">
        <v>1</v>
      </c>
      <c r="S112" s="395">
        <v>1</v>
      </c>
      <c r="T112" s="272">
        <v>1</v>
      </c>
      <c r="U112" s="272">
        <v>1</v>
      </c>
      <c r="V112" s="272">
        <v>1</v>
      </c>
      <c r="W112" s="272">
        <v>1</v>
      </c>
      <c r="X112" s="272">
        <v>1</v>
      </c>
      <c r="Y112" s="272">
        <v>1</v>
      </c>
      <c r="Z112" s="272">
        <v>1</v>
      </c>
      <c r="AA112" s="272">
        <v>1</v>
      </c>
      <c r="AB112" s="272">
        <v>1</v>
      </c>
      <c r="AC112" s="272">
        <v>1</v>
      </c>
      <c r="AD112" s="396">
        <v>1</v>
      </c>
      <c r="AE112" s="396">
        <v>1</v>
      </c>
      <c r="AF112" s="396">
        <v>1</v>
      </c>
      <c r="AG112" s="396">
        <v>1</v>
      </c>
      <c r="AH112" s="396">
        <v>1</v>
      </c>
      <c r="AI112" s="396">
        <v>1</v>
      </c>
      <c r="AJ112" s="396">
        <v>1</v>
      </c>
      <c r="AK112" s="396">
        <v>1</v>
      </c>
      <c r="AL112" s="396">
        <v>1</v>
      </c>
      <c r="AM112" s="396">
        <v>1</v>
      </c>
      <c r="AN112" s="396">
        <v>1</v>
      </c>
      <c r="AO112" s="396">
        <v>1</v>
      </c>
      <c r="AP112" s="396">
        <v>1</v>
      </c>
    </row>
    <row r="113" spans="1:42" s="140" customFormat="1" ht="13.5" hidden="1" customHeight="1" outlineLevel="3">
      <c r="A113" s="216"/>
      <c r="B113" s="255" t="s">
        <v>278</v>
      </c>
      <c r="C113" s="290" t="s">
        <v>243</v>
      </c>
      <c r="D113" s="227" t="s">
        <v>231</v>
      </c>
      <c r="E113" s="241"/>
      <c r="F113" s="228">
        <f t="shared" si="273"/>
        <v>3.6801995565609057E-2</v>
      </c>
      <c r="G113" s="269">
        <f>+F113*G106</f>
        <v>2.0828814908640522E-4</v>
      </c>
      <c r="H113" s="299"/>
      <c r="I113" s="299"/>
      <c r="J113" s="299"/>
      <c r="K113" s="299"/>
      <c r="L113" s="299"/>
      <c r="M113" s="299"/>
      <c r="N113" s="272">
        <v>1</v>
      </c>
      <c r="O113" s="272">
        <v>1</v>
      </c>
      <c r="P113" s="272">
        <v>1</v>
      </c>
      <c r="Q113" s="272">
        <v>1</v>
      </c>
      <c r="R113" s="372">
        <v>1</v>
      </c>
      <c r="S113" s="395">
        <v>1</v>
      </c>
      <c r="T113" s="272">
        <v>1</v>
      </c>
      <c r="U113" s="272">
        <v>1</v>
      </c>
      <c r="V113" s="272">
        <v>1</v>
      </c>
      <c r="W113" s="272">
        <v>1</v>
      </c>
      <c r="X113" s="272">
        <v>1</v>
      </c>
      <c r="Y113" s="272">
        <v>1</v>
      </c>
      <c r="Z113" s="272">
        <v>1</v>
      </c>
      <c r="AA113" s="272">
        <v>1</v>
      </c>
      <c r="AB113" s="272">
        <v>1</v>
      </c>
      <c r="AC113" s="272">
        <v>1</v>
      </c>
      <c r="AD113" s="396">
        <v>1</v>
      </c>
      <c r="AE113" s="396">
        <v>1</v>
      </c>
      <c r="AF113" s="396">
        <v>1</v>
      </c>
      <c r="AG113" s="396">
        <v>1</v>
      </c>
      <c r="AH113" s="396">
        <v>1</v>
      </c>
      <c r="AI113" s="396">
        <v>1</v>
      </c>
      <c r="AJ113" s="396">
        <v>1</v>
      </c>
      <c r="AK113" s="396">
        <v>1</v>
      </c>
      <c r="AL113" s="396">
        <v>1</v>
      </c>
      <c r="AM113" s="396">
        <v>1</v>
      </c>
      <c r="AN113" s="396">
        <v>1</v>
      </c>
      <c r="AO113" s="396">
        <v>1</v>
      </c>
      <c r="AP113" s="396">
        <v>1</v>
      </c>
    </row>
    <row r="114" spans="1:42" s="140" customFormat="1" ht="13.5" hidden="1" customHeight="1" outlineLevel="3">
      <c r="A114" s="216"/>
      <c r="B114" s="255" t="s">
        <v>279</v>
      </c>
      <c r="C114" s="290" t="s">
        <v>245</v>
      </c>
      <c r="D114" s="227" t="s">
        <v>231</v>
      </c>
      <c r="E114" s="241"/>
      <c r="F114" s="228">
        <f t="shared" si="273"/>
        <v>3.6801995565609057E-2</v>
      </c>
      <c r="G114" s="269">
        <f>+F114*G106</f>
        <v>2.0828814908640522E-4</v>
      </c>
      <c r="H114" s="299"/>
      <c r="I114" s="299"/>
      <c r="J114" s="299"/>
      <c r="K114" s="299"/>
      <c r="L114" s="299"/>
      <c r="M114" s="299"/>
      <c r="N114" s="272">
        <v>1</v>
      </c>
      <c r="O114" s="272">
        <v>1</v>
      </c>
      <c r="P114" s="272">
        <v>1</v>
      </c>
      <c r="Q114" s="272">
        <v>1</v>
      </c>
      <c r="R114" s="372">
        <v>1</v>
      </c>
      <c r="S114" s="395">
        <v>1</v>
      </c>
      <c r="T114" s="272">
        <v>1</v>
      </c>
      <c r="U114" s="272">
        <v>1</v>
      </c>
      <c r="V114" s="272">
        <v>1</v>
      </c>
      <c r="W114" s="272">
        <v>1</v>
      </c>
      <c r="X114" s="272">
        <v>1</v>
      </c>
      <c r="Y114" s="272">
        <v>1</v>
      </c>
      <c r="Z114" s="272">
        <v>1</v>
      </c>
      <c r="AA114" s="272">
        <v>1</v>
      </c>
      <c r="AB114" s="272">
        <v>1</v>
      </c>
      <c r="AC114" s="272">
        <v>1</v>
      </c>
      <c r="AD114" s="396">
        <v>1</v>
      </c>
      <c r="AE114" s="396">
        <v>1</v>
      </c>
      <c r="AF114" s="396">
        <v>1</v>
      </c>
      <c r="AG114" s="396">
        <v>1</v>
      </c>
      <c r="AH114" s="396">
        <v>1</v>
      </c>
      <c r="AI114" s="396">
        <v>1</v>
      </c>
      <c r="AJ114" s="396">
        <v>1</v>
      </c>
      <c r="AK114" s="396">
        <v>1</v>
      </c>
      <c r="AL114" s="396">
        <v>1</v>
      </c>
      <c r="AM114" s="396">
        <v>1</v>
      </c>
      <c r="AN114" s="396">
        <v>1</v>
      </c>
      <c r="AO114" s="396">
        <v>1</v>
      </c>
      <c r="AP114" s="396">
        <v>1</v>
      </c>
    </row>
    <row r="115" spans="1:42" s="140" customFormat="1" ht="13.5" hidden="1" customHeight="1" outlineLevel="3">
      <c r="A115" s="216"/>
      <c r="B115" s="255" t="s">
        <v>280</v>
      </c>
      <c r="C115" s="290" t="s">
        <v>247</v>
      </c>
      <c r="D115" s="227" t="s">
        <v>231</v>
      </c>
      <c r="E115" s="241"/>
      <c r="F115" s="228">
        <f t="shared" si="273"/>
        <v>3.6801995565609057E-2</v>
      </c>
      <c r="G115" s="269">
        <f>+F115*G106</f>
        <v>2.0828814908640522E-4</v>
      </c>
      <c r="H115" s="299"/>
      <c r="I115" s="299"/>
      <c r="J115" s="299"/>
      <c r="K115" s="299"/>
      <c r="L115" s="299"/>
      <c r="M115" s="299"/>
      <c r="N115" s="272">
        <v>1</v>
      </c>
      <c r="O115" s="272">
        <v>1</v>
      </c>
      <c r="P115" s="272">
        <v>1</v>
      </c>
      <c r="Q115" s="272">
        <v>1</v>
      </c>
      <c r="R115" s="372">
        <v>1</v>
      </c>
      <c r="S115" s="395">
        <v>1</v>
      </c>
      <c r="T115" s="272">
        <v>1</v>
      </c>
      <c r="U115" s="272">
        <v>1</v>
      </c>
      <c r="V115" s="272">
        <v>1</v>
      </c>
      <c r="W115" s="272">
        <v>1</v>
      </c>
      <c r="X115" s="272">
        <v>1</v>
      </c>
      <c r="Y115" s="272">
        <v>1</v>
      </c>
      <c r="Z115" s="272">
        <v>1</v>
      </c>
      <c r="AA115" s="272">
        <v>1</v>
      </c>
      <c r="AB115" s="272">
        <v>1</v>
      </c>
      <c r="AC115" s="272">
        <v>1</v>
      </c>
      <c r="AD115" s="396">
        <v>1</v>
      </c>
      <c r="AE115" s="396">
        <v>1</v>
      </c>
      <c r="AF115" s="396">
        <v>1</v>
      </c>
      <c r="AG115" s="396">
        <v>1</v>
      </c>
      <c r="AH115" s="396">
        <v>1</v>
      </c>
      <c r="AI115" s="396">
        <v>1</v>
      </c>
      <c r="AJ115" s="396">
        <v>1</v>
      </c>
      <c r="AK115" s="396">
        <v>1</v>
      </c>
      <c r="AL115" s="396">
        <v>1</v>
      </c>
      <c r="AM115" s="396">
        <v>1</v>
      </c>
      <c r="AN115" s="396">
        <v>1</v>
      </c>
      <c r="AO115" s="396">
        <v>1</v>
      </c>
      <c r="AP115" s="396">
        <v>1</v>
      </c>
    </row>
    <row r="116" spans="1:42" s="140" customFormat="1" ht="13.5" hidden="1" customHeight="1" outlineLevel="3">
      <c r="A116" s="216"/>
      <c r="B116" s="255" t="s">
        <v>281</v>
      </c>
      <c r="C116" s="290" t="s">
        <v>249</v>
      </c>
      <c r="D116" s="227" t="s">
        <v>231</v>
      </c>
      <c r="E116" s="241"/>
      <c r="F116" s="228">
        <f t="shared" si="273"/>
        <v>3.6801995565609057E-2</v>
      </c>
      <c r="G116" s="269">
        <f>+F116*G106</f>
        <v>2.0828814908640522E-4</v>
      </c>
      <c r="H116" s="299"/>
      <c r="I116" s="299"/>
      <c r="J116" s="299"/>
      <c r="K116" s="299"/>
      <c r="L116" s="299"/>
      <c r="M116" s="299"/>
      <c r="N116" s="272">
        <v>1</v>
      </c>
      <c r="O116" s="272">
        <v>1</v>
      </c>
      <c r="P116" s="272">
        <v>1</v>
      </c>
      <c r="Q116" s="272">
        <v>1</v>
      </c>
      <c r="R116" s="372">
        <v>1</v>
      </c>
      <c r="S116" s="395">
        <v>1</v>
      </c>
      <c r="T116" s="272">
        <v>1</v>
      </c>
      <c r="U116" s="272">
        <v>1</v>
      </c>
      <c r="V116" s="272">
        <v>1</v>
      </c>
      <c r="W116" s="272">
        <v>1</v>
      </c>
      <c r="X116" s="272">
        <v>1</v>
      </c>
      <c r="Y116" s="272">
        <v>1</v>
      </c>
      <c r="Z116" s="272">
        <v>1</v>
      </c>
      <c r="AA116" s="272">
        <v>1</v>
      </c>
      <c r="AB116" s="272">
        <v>1</v>
      </c>
      <c r="AC116" s="272">
        <v>1</v>
      </c>
      <c r="AD116" s="396">
        <v>1</v>
      </c>
      <c r="AE116" s="396">
        <v>1</v>
      </c>
      <c r="AF116" s="396">
        <v>1</v>
      </c>
      <c r="AG116" s="396">
        <v>1</v>
      </c>
      <c r="AH116" s="396">
        <v>1</v>
      </c>
      <c r="AI116" s="396">
        <v>1</v>
      </c>
      <c r="AJ116" s="396">
        <v>1</v>
      </c>
      <c r="AK116" s="396">
        <v>1</v>
      </c>
      <c r="AL116" s="396">
        <v>1</v>
      </c>
      <c r="AM116" s="396">
        <v>1</v>
      </c>
      <c r="AN116" s="396">
        <v>1</v>
      </c>
      <c r="AO116" s="396">
        <v>1</v>
      </c>
      <c r="AP116" s="396">
        <v>1</v>
      </c>
    </row>
    <row r="117" spans="1:42" s="140" customFormat="1" ht="13.5" hidden="1" customHeight="1" outlineLevel="3">
      <c r="A117" s="216"/>
      <c r="B117" s="255" t="s">
        <v>282</v>
      </c>
      <c r="C117" s="290" t="s">
        <v>251</v>
      </c>
      <c r="D117" s="227" t="s">
        <v>231</v>
      </c>
      <c r="E117" s="241"/>
      <c r="F117" s="228">
        <f t="shared" si="273"/>
        <v>3.6801995565609057E-2</v>
      </c>
      <c r="G117" s="269">
        <f>+F117*G106</f>
        <v>2.0828814908640522E-4</v>
      </c>
      <c r="H117" s="299"/>
      <c r="I117" s="299"/>
      <c r="J117" s="299"/>
      <c r="K117" s="299"/>
      <c r="L117" s="299"/>
      <c r="M117" s="299"/>
      <c r="N117" s="272">
        <v>1</v>
      </c>
      <c r="O117" s="272">
        <v>1</v>
      </c>
      <c r="P117" s="272">
        <v>1</v>
      </c>
      <c r="Q117" s="272">
        <v>1</v>
      </c>
      <c r="R117" s="372">
        <v>1</v>
      </c>
      <c r="S117" s="395">
        <v>1</v>
      </c>
      <c r="T117" s="272">
        <v>1</v>
      </c>
      <c r="U117" s="272">
        <v>1</v>
      </c>
      <c r="V117" s="272">
        <v>1</v>
      </c>
      <c r="W117" s="272">
        <v>1</v>
      </c>
      <c r="X117" s="272">
        <v>1</v>
      </c>
      <c r="Y117" s="272">
        <v>1</v>
      </c>
      <c r="Z117" s="272">
        <v>1</v>
      </c>
      <c r="AA117" s="272">
        <v>1</v>
      </c>
      <c r="AB117" s="272">
        <v>1</v>
      </c>
      <c r="AC117" s="272">
        <v>1</v>
      </c>
      <c r="AD117" s="396">
        <v>1</v>
      </c>
      <c r="AE117" s="396">
        <v>1</v>
      </c>
      <c r="AF117" s="396">
        <v>1</v>
      </c>
      <c r="AG117" s="396">
        <v>1</v>
      </c>
      <c r="AH117" s="396">
        <v>1</v>
      </c>
      <c r="AI117" s="396">
        <v>1</v>
      </c>
      <c r="AJ117" s="396">
        <v>1</v>
      </c>
      <c r="AK117" s="396">
        <v>1</v>
      </c>
      <c r="AL117" s="396">
        <v>1</v>
      </c>
      <c r="AM117" s="396">
        <v>1</v>
      </c>
      <c r="AN117" s="396">
        <v>1</v>
      </c>
      <c r="AO117" s="396">
        <v>1</v>
      </c>
      <c r="AP117" s="396">
        <v>1</v>
      </c>
    </row>
    <row r="118" spans="1:42" s="140" customFormat="1" ht="13.5" hidden="1" customHeight="1" outlineLevel="3">
      <c r="A118" s="216"/>
      <c r="B118" s="255" t="s">
        <v>283</v>
      </c>
      <c r="C118" s="290" t="s">
        <v>253</v>
      </c>
      <c r="D118" s="227" t="s">
        <v>231</v>
      </c>
      <c r="E118" s="241"/>
      <c r="F118" s="228">
        <f t="shared" si="273"/>
        <v>3.6801995565609057E-2</v>
      </c>
      <c r="G118" s="269">
        <f>+F118*G106</f>
        <v>2.0828814908640522E-4</v>
      </c>
      <c r="H118" s="299"/>
      <c r="I118" s="299"/>
      <c r="J118" s="299"/>
      <c r="K118" s="299"/>
      <c r="L118" s="299"/>
      <c r="M118" s="299"/>
      <c r="N118" s="272">
        <v>1</v>
      </c>
      <c r="O118" s="272">
        <v>1</v>
      </c>
      <c r="P118" s="272">
        <v>1</v>
      </c>
      <c r="Q118" s="272">
        <v>1</v>
      </c>
      <c r="R118" s="372">
        <v>1</v>
      </c>
      <c r="S118" s="395">
        <v>1</v>
      </c>
      <c r="T118" s="272">
        <v>1</v>
      </c>
      <c r="U118" s="272">
        <v>1</v>
      </c>
      <c r="V118" s="272">
        <v>1</v>
      </c>
      <c r="W118" s="272">
        <v>1</v>
      </c>
      <c r="X118" s="272">
        <v>1</v>
      </c>
      <c r="Y118" s="272">
        <v>1</v>
      </c>
      <c r="Z118" s="272">
        <v>1</v>
      </c>
      <c r="AA118" s="272">
        <v>1</v>
      </c>
      <c r="AB118" s="272">
        <v>1</v>
      </c>
      <c r="AC118" s="272">
        <v>1</v>
      </c>
      <c r="AD118" s="396">
        <v>1</v>
      </c>
      <c r="AE118" s="396">
        <v>1</v>
      </c>
      <c r="AF118" s="396">
        <v>1</v>
      </c>
      <c r="AG118" s="396">
        <v>1</v>
      </c>
      <c r="AH118" s="396">
        <v>1</v>
      </c>
      <c r="AI118" s="396">
        <v>1</v>
      </c>
      <c r="AJ118" s="396">
        <v>1</v>
      </c>
      <c r="AK118" s="396">
        <v>1</v>
      </c>
      <c r="AL118" s="396">
        <v>1</v>
      </c>
      <c r="AM118" s="396">
        <v>1</v>
      </c>
      <c r="AN118" s="396">
        <v>1</v>
      </c>
      <c r="AO118" s="396">
        <v>1</v>
      </c>
      <c r="AP118" s="396">
        <v>1</v>
      </c>
    </row>
    <row r="119" spans="1:42" s="140" customFormat="1" ht="13.5" hidden="1" customHeight="1" outlineLevel="3">
      <c r="A119" s="216"/>
      <c r="B119" s="255" t="s">
        <v>284</v>
      </c>
      <c r="C119" s="290" t="s">
        <v>285</v>
      </c>
      <c r="D119" s="227" t="s">
        <v>231</v>
      </c>
      <c r="E119" s="241"/>
      <c r="F119" s="228">
        <f t="shared" si="273"/>
        <v>3.6801995565609057E-2</v>
      </c>
      <c r="G119" s="269">
        <f>+F119*G106</f>
        <v>2.0828814908640522E-4</v>
      </c>
      <c r="H119" s="299"/>
      <c r="I119" s="299"/>
      <c r="J119" s="299"/>
      <c r="K119" s="299"/>
      <c r="L119" s="299"/>
      <c r="M119" s="299"/>
      <c r="N119" s="272">
        <v>1</v>
      </c>
      <c r="O119" s="272">
        <v>1</v>
      </c>
      <c r="P119" s="272">
        <v>1</v>
      </c>
      <c r="Q119" s="272">
        <v>1</v>
      </c>
      <c r="R119" s="372">
        <v>1</v>
      </c>
      <c r="S119" s="395">
        <v>1</v>
      </c>
      <c r="T119" s="272">
        <v>1</v>
      </c>
      <c r="U119" s="272">
        <v>1</v>
      </c>
      <c r="V119" s="272">
        <v>1</v>
      </c>
      <c r="W119" s="272">
        <v>1</v>
      </c>
      <c r="X119" s="272">
        <v>1</v>
      </c>
      <c r="Y119" s="272">
        <v>1</v>
      </c>
      <c r="Z119" s="272">
        <v>1</v>
      </c>
      <c r="AA119" s="272">
        <v>1</v>
      </c>
      <c r="AB119" s="272">
        <v>1</v>
      </c>
      <c r="AC119" s="272">
        <v>1</v>
      </c>
      <c r="AD119" s="396">
        <v>1</v>
      </c>
      <c r="AE119" s="396">
        <v>1</v>
      </c>
      <c r="AF119" s="396">
        <v>1</v>
      </c>
      <c r="AG119" s="396">
        <v>1</v>
      </c>
      <c r="AH119" s="396">
        <v>1</v>
      </c>
      <c r="AI119" s="396">
        <v>1</v>
      </c>
      <c r="AJ119" s="396">
        <v>1</v>
      </c>
      <c r="AK119" s="396">
        <v>1</v>
      </c>
      <c r="AL119" s="396">
        <v>1</v>
      </c>
      <c r="AM119" s="396">
        <v>1</v>
      </c>
      <c r="AN119" s="396">
        <v>1</v>
      </c>
      <c r="AO119" s="396">
        <v>1</v>
      </c>
      <c r="AP119" s="396">
        <v>1</v>
      </c>
    </row>
    <row r="120" spans="1:42" s="140" customFormat="1" ht="13.5" hidden="1" customHeight="1" outlineLevel="3">
      <c r="A120" s="216"/>
      <c r="B120" s="255" t="s">
        <v>286</v>
      </c>
      <c r="C120" s="290" t="s">
        <v>287</v>
      </c>
      <c r="D120" s="227" t="s">
        <v>231</v>
      </c>
      <c r="E120" s="241"/>
      <c r="F120" s="228">
        <f t="shared" si="273"/>
        <v>3.6801995565609057E-2</v>
      </c>
      <c r="G120" s="269">
        <f>+F120*G106</f>
        <v>2.0828814908640522E-4</v>
      </c>
      <c r="H120" s="299"/>
      <c r="I120" s="299"/>
      <c r="J120" s="299"/>
      <c r="K120" s="299"/>
      <c r="L120" s="299"/>
      <c r="M120" s="299"/>
      <c r="N120" s="272">
        <v>1</v>
      </c>
      <c r="O120" s="272">
        <v>1</v>
      </c>
      <c r="P120" s="272">
        <v>1</v>
      </c>
      <c r="Q120" s="272">
        <v>1</v>
      </c>
      <c r="R120" s="372">
        <v>1</v>
      </c>
      <c r="S120" s="395">
        <v>1</v>
      </c>
      <c r="T120" s="272">
        <v>1</v>
      </c>
      <c r="U120" s="272">
        <v>1</v>
      </c>
      <c r="V120" s="272">
        <v>1</v>
      </c>
      <c r="W120" s="272">
        <v>1</v>
      </c>
      <c r="X120" s="272">
        <v>1</v>
      </c>
      <c r="Y120" s="272">
        <v>1</v>
      </c>
      <c r="Z120" s="272">
        <v>1</v>
      </c>
      <c r="AA120" s="272">
        <v>1</v>
      </c>
      <c r="AB120" s="272">
        <v>1</v>
      </c>
      <c r="AC120" s="272">
        <v>1</v>
      </c>
      <c r="AD120" s="396">
        <v>1</v>
      </c>
      <c r="AE120" s="396">
        <v>1</v>
      </c>
      <c r="AF120" s="396">
        <v>1</v>
      </c>
      <c r="AG120" s="396">
        <v>1</v>
      </c>
      <c r="AH120" s="396">
        <v>1</v>
      </c>
      <c r="AI120" s="396">
        <v>1</v>
      </c>
      <c r="AJ120" s="396">
        <v>1</v>
      </c>
      <c r="AK120" s="396">
        <v>1</v>
      </c>
      <c r="AL120" s="396">
        <v>1</v>
      </c>
      <c r="AM120" s="396">
        <v>1</v>
      </c>
      <c r="AN120" s="396">
        <v>1</v>
      </c>
      <c r="AO120" s="396">
        <v>1</v>
      </c>
      <c r="AP120" s="396">
        <v>1</v>
      </c>
    </row>
    <row r="121" spans="1:42" s="140" customFormat="1" ht="13.5" hidden="1" customHeight="1" outlineLevel="3">
      <c r="A121" s="216"/>
      <c r="B121" s="255" t="s">
        <v>288</v>
      </c>
      <c r="C121" s="290" t="s">
        <v>289</v>
      </c>
      <c r="D121" s="227" t="s">
        <v>231</v>
      </c>
      <c r="E121" s="241"/>
      <c r="F121" s="228">
        <f t="shared" si="273"/>
        <v>3.6801995565609057E-2</v>
      </c>
      <c r="G121" s="269">
        <f>+F121*G106</f>
        <v>2.0828814908640522E-4</v>
      </c>
      <c r="H121" s="299"/>
      <c r="I121" s="299"/>
      <c r="J121" s="299"/>
      <c r="K121" s="299"/>
      <c r="L121" s="299"/>
      <c r="M121" s="299"/>
      <c r="N121" s="272">
        <v>1</v>
      </c>
      <c r="O121" s="272">
        <v>1</v>
      </c>
      <c r="P121" s="272">
        <v>1</v>
      </c>
      <c r="Q121" s="272">
        <v>1</v>
      </c>
      <c r="R121" s="372">
        <v>1</v>
      </c>
      <c r="S121" s="395">
        <v>1</v>
      </c>
      <c r="T121" s="272">
        <v>1</v>
      </c>
      <c r="U121" s="272">
        <v>1</v>
      </c>
      <c r="V121" s="272">
        <v>1</v>
      </c>
      <c r="W121" s="272">
        <v>1</v>
      </c>
      <c r="X121" s="272">
        <v>1</v>
      </c>
      <c r="Y121" s="272">
        <v>1</v>
      </c>
      <c r="Z121" s="272">
        <v>1</v>
      </c>
      <c r="AA121" s="272">
        <v>1</v>
      </c>
      <c r="AB121" s="272">
        <v>1</v>
      </c>
      <c r="AC121" s="272">
        <v>1</v>
      </c>
      <c r="AD121" s="396">
        <v>1</v>
      </c>
      <c r="AE121" s="396">
        <v>1</v>
      </c>
      <c r="AF121" s="396">
        <v>1</v>
      </c>
      <c r="AG121" s="396">
        <v>1</v>
      </c>
      <c r="AH121" s="396">
        <v>1</v>
      </c>
      <c r="AI121" s="396">
        <v>1</v>
      </c>
      <c r="AJ121" s="396">
        <v>1</v>
      </c>
      <c r="AK121" s="396">
        <v>1</v>
      </c>
      <c r="AL121" s="396">
        <v>1</v>
      </c>
      <c r="AM121" s="396">
        <v>1</v>
      </c>
      <c r="AN121" s="396">
        <v>1</v>
      </c>
      <c r="AO121" s="396">
        <v>1</v>
      </c>
      <c r="AP121" s="396">
        <v>1</v>
      </c>
    </row>
    <row r="122" spans="1:42" s="140" customFormat="1" ht="13.5" hidden="1" customHeight="1" outlineLevel="3">
      <c r="A122" s="216"/>
      <c r="B122" s="255" t="s">
        <v>290</v>
      </c>
      <c r="C122" s="290" t="s">
        <v>291</v>
      </c>
      <c r="D122" s="227" t="s">
        <v>231</v>
      </c>
      <c r="E122" s="241"/>
      <c r="F122" s="228">
        <f t="shared" si="273"/>
        <v>3.6801995565609057E-2</v>
      </c>
      <c r="G122" s="269">
        <f>+F122*G106</f>
        <v>2.0828814908640522E-4</v>
      </c>
      <c r="H122" s="299"/>
      <c r="I122" s="299"/>
      <c r="J122" s="299"/>
      <c r="K122" s="299"/>
      <c r="L122" s="299"/>
      <c r="M122" s="299"/>
      <c r="N122" s="272">
        <v>1</v>
      </c>
      <c r="O122" s="272">
        <v>1</v>
      </c>
      <c r="P122" s="272">
        <v>1</v>
      </c>
      <c r="Q122" s="272">
        <v>1</v>
      </c>
      <c r="R122" s="372">
        <v>1</v>
      </c>
      <c r="S122" s="395">
        <v>1</v>
      </c>
      <c r="T122" s="272">
        <v>1</v>
      </c>
      <c r="U122" s="272">
        <v>1</v>
      </c>
      <c r="V122" s="272">
        <v>1</v>
      </c>
      <c r="W122" s="272">
        <v>1</v>
      </c>
      <c r="X122" s="272">
        <v>1</v>
      </c>
      <c r="Y122" s="272">
        <v>1</v>
      </c>
      <c r="Z122" s="272">
        <v>1</v>
      </c>
      <c r="AA122" s="272">
        <v>1</v>
      </c>
      <c r="AB122" s="272">
        <v>1</v>
      </c>
      <c r="AC122" s="272">
        <v>1</v>
      </c>
      <c r="AD122" s="396">
        <v>1</v>
      </c>
      <c r="AE122" s="396">
        <v>1</v>
      </c>
      <c r="AF122" s="396">
        <v>1</v>
      </c>
      <c r="AG122" s="396">
        <v>1</v>
      </c>
      <c r="AH122" s="396">
        <v>1</v>
      </c>
      <c r="AI122" s="396">
        <v>1</v>
      </c>
      <c r="AJ122" s="396">
        <v>1</v>
      </c>
      <c r="AK122" s="396">
        <v>1</v>
      </c>
      <c r="AL122" s="396">
        <v>1</v>
      </c>
      <c r="AM122" s="396">
        <v>1</v>
      </c>
      <c r="AN122" s="396">
        <v>1</v>
      </c>
      <c r="AO122" s="396">
        <v>1</v>
      </c>
      <c r="AP122" s="396">
        <v>1</v>
      </c>
    </row>
    <row r="123" spans="1:42" s="140" customFormat="1" ht="13.5" hidden="1" customHeight="1" outlineLevel="3">
      <c r="A123" s="216"/>
      <c r="B123" s="255" t="s">
        <v>292</v>
      </c>
      <c r="C123" s="290" t="s">
        <v>293</v>
      </c>
      <c r="D123" s="227" t="s">
        <v>231</v>
      </c>
      <c r="E123" s="241"/>
      <c r="F123" s="228">
        <f t="shared" si="273"/>
        <v>3.6801995565609057E-2</v>
      </c>
      <c r="G123" s="269">
        <f>+F123*G106</f>
        <v>2.0828814908640522E-4</v>
      </c>
      <c r="H123" s="299"/>
      <c r="I123" s="299"/>
      <c r="J123" s="299"/>
      <c r="K123" s="299"/>
      <c r="L123" s="299"/>
      <c r="M123" s="299"/>
      <c r="N123" s="272">
        <v>1</v>
      </c>
      <c r="O123" s="272">
        <v>1</v>
      </c>
      <c r="P123" s="272">
        <v>1</v>
      </c>
      <c r="Q123" s="272">
        <v>1</v>
      </c>
      <c r="R123" s="372">
        <v>1</v>
      </c>
      <c r="S123" s="395">
        <v>1</v>
      </c>
      <c r="T123" s="272">
        <v>1</v>
      </c>
      <c r="U123" s="272">
        <v>1</v>
      </c>
      <c r="V123" s="272">
        <v>1</v>
      </c>
      <c r="W123" s="272">
        <v>1</v>
      </c>
      <c r="X123" s="272">
        <v>1</v>
      </c>
      <c r="Y123" s="272">
        <v>1</v>
      </c>
      <c r="Z123" s="272">
        <v>1</v>
      </c>
      <c r="AA123" s="272">
        <v>1</v>
      </c>
      <c r="AB123" s="272">
        <v>1</v>
      </c>
      <c r="AC123" s="272">
        <v>1</v>
      </c>
      <c r="AD123" s="396">
        <v>1</v>
      </c>
      <c r="AE123" s="396">
        <v>1</v>
      </c>
      <c r="AF123" s="396">
        <v>1</v>
      </c>
      <c r="AG123" s="396">
        <v>1</v>
      </c>
      <c r="AH123" s="396">
        <v>1</v>
      </c>
      <c r="AI123" s="396">
        <v>1</v>
      </c>
      <c r="AJ123" s="396">
        <v>1</v>
      </c>
      <c r="AK123" s="396">
        <v>1</v>
      </c>
      <c r="AL123" s="396">
        <v>1</v>
      </c>
      <c r="AM123" s="396">
        <v>1</v>
      </c>
      <c r="AN123" s="396">
        <v>1</v>
      </c>
      <c r="AO123" s="396">
        <v>1</v>
      </c>
      <c r="AP123" s="396">
        <v>1</v>
      </c>
    </row>
    <row r="124" spans="1:42" s="140" customFormat="1" ht="13.5" hidden="1" customHeight="1" outlineLevel="3">
      <c r="A124" s="216"/>
      <c r="B124" s="255" t="s">
        <v>294</v>
      </c>
      <c r="C124" s="290" t="s">
        <v>295</v>
      </c>
      <c r="D124" s="227" t="s">
        <v>231</v>
      </c>
      <c r="E124" s="241"/>
      <c r="F124" s="228">
        <f t="shared" si="273"/>
        <v>3.6801995565609057E-2</v>
      </c>
      <c r="G124" s="269">
        <f>+F124*G106</f>
        <v>2.0828814908640522E-4</v>
      </c>
      <c r="H124" s="299"/>
      <c r="I124" s="299"/>
      <c r="J124" s="299"/>
      <c r="K124" s="299"/>
      <c r="L124" s="299"/>
      <c r="M124" s="299"/>
      <c r="N124" s="272">
        <v>1</v>
      </c>
      <c r="O124" s="272">
        <v>1</v>
      </c>
      <c r="P124" s="272">
        <v>1</v>
      </c>
      <c r="Q124" s="272">
        <v>1</v>
      </c>
      <c r="R124" s="372">
        <v>1</v>
      </c>
      <c r="S124" s="395">
        <v>1</v>
      </c>
      <c r="T124" s="272">
        <v>1</v>
      </c>
      <c r="U124" s="272">
        <v>1</v>
      </c>
      <c r="V124" s="272">
        <v>1</v>
      </c>
      <c r="W124" s="272">
        <v>1</v>
      </c>
      <c r="X124" s="272">
        <v>1</v>
      </c>
      <c r="Y124" s="272">
        <v>1</v>
      </c>
      <c r="Z124" s="272">
        <v>1</v>
      </c>
      <c r="AA124" s="272">
        <v>1</v>
      </c>
      <c r="AB124" s="272">
        <v>1</v>
      </c>
      <c r="AC124" s="272">
        <v>1</v>
      </c>
      <c r="AD124" s="396">
        <v>1</v>
      </c>
      <c r="AE124" s="396">
        <v>1</v>
      </c>
      <c r="AF124" s="396">
        <v>1</v>
      </c>
      <c r="AG124" s="396">
        <v>1</v>
      </c>
      <c r="AH124" s="396">
        <v>1</v>
      </c>
      <c r="AI124" s="396">
        <v>1</v>
      </c>
      <c r="AJ124" s="396">
        <v>1</v>
      </c>
      <c r="AK124" s="396">
        <v>1</v>
      </c>
      <c r="AL124" s="396">
        <v>1</v>
      </c>
      <c r="AM124" s="396">
        <v>1</v>
      </c>
      <c r="AN124" s="396">
        <v>1</v>
      </c>
      <c r="AO124" s="396">
        <v>1</v>
      </c>
      <c r="AP124" s="396">
        <v>1</v>
      </c>
    </row>
    <row r="125" spans="1:42" s="140" customFormat="1" ht="13.5" hidden="1" customHeight="1" outlineLevel="3">
      <c r="A125" s="216"/>
      <c r="B125" s="255" t="s">
        <v>296</v>
      </c>
      <c r="C125" s="290" t="s">
        <v>297</v>
      </c>
      <c r="D125" s="227" t="s">
        <v>231</v>
      </c>
      <c r="E125" s="241"/>
      <c r="F125" s="228">
        <f t="shared" si="273"/>
        <v>3.6801995565609057E-2</v>
      </c>
      <c r="G125" s="269">
        <f>+F125*G106</f>
        <v>2.0828814908640522E-4</v>
      </c>
      <c r="H125" s="299"/>
      <c r="I125" s="299"/>
      <c r="J125" s="299"/>
      <c r="K125" s="299"/>
      <c r="L125" s="299"/>
      <c r="M125" s="299"/>
      <c r="N125" s="272">
        <v>1</v>
      </c>
      <c r="O125" s="272">
        <v>1</v>
      </c>
      <c r="P125" s="272">
        <v>1</v>
      </c>
      <c r="Q125" s="272">
        <v>1</v>
      </c>
      <c r="R125" s="372">
        <v>1</v>
      </c>
      <c r="S125" s="395">
        <v>1</v>
      </c>
      <c r="T125" s="272">
        <v>1</v>
      </c>
      <c r="U125" s="272">
        <v>1</v>
      </c>
      <c r="V125" s="272">
        <v>1</v>
      </c>
      <c r="W125" s="272">
        <v>1</v>
      </c>
      <c r="X125" s="272">
        <v>1</v>
      </c>
      <c r="Y125" s="272">
        <v>1</v>
      </c>
      <c r="Z125" s="272">
        <v>1</v>
      </c>
      <c r="AA125" s="272">
        <v>1</v>
      </c>
      <c r="AB125" s="272">
        <v>1</v>
      </c>
      <c r="AC125" s="272">
        <v>1</v>
      </c>
      <c r="AD125" s="396">
        <v>1</v>
      </c>
      <c r="AE125" s="396">
        <v>1</v>
      </c>
      <c r="AF125" s="396">
        <v>1</v>
      </c>
      <c r="AG125" s="396">
        <v>1</v>
      </c>
      <c r="AH125" s="396">
        <v>1</v>
      </c>
      <c r="AI125" s="396">
        <v>1</v>
      </c>
      <c r="AJ125" s="396">
        <v>1</v>
      </c>
      <c r="AK125" s="396">
        <v>1</v>
      </c>
      <c r="AL125" s="396">
        <v>1</v>
      </c>
      <c r="AM125" s="396">
        <v>1</v>
      </c>
      <c r="AN125" s="396">
        <v>1</v>
      </c>
      <c r="AO125" s="396">
        <v>1</v>
      </c>
      <c r="AP125" s="396">
        <v>1</v>
      </c>
    </row>
    <row r="126" spans="1:42" s="140" customFormat="1" ht="13.5" hidden="1" customHeight="1" outlineLevel="3">
      <c r="A126" s="216"/>
      <c r="B126" s="255" t="s">
        <v>298</v>
      </c>
      <c r="C126" s="290" t="s">
        <v>299</v>
      </c>
      <c r="D126" s="227" t="s">
        <v>231</v>
      </c>
      <c r="E126" s="241"/>
      <c r="F126" s="228">
        <f t="shared" si="273"/>
        <v>3.6801995565609057E-2</v>
      </c>
      <c r="G126" s="269">
        <f>+F126*G106</f>
        <v>2.0828814908640522E-4</v>
      </c>
      <c r="H126" s="299"/>
      <c r="I126" s="299"/>
      <c r="J126" s="299"/>
      <c r="K126" s="299"/>
      <c r="L126" s="299"/>
      <c r="M126" s="299"/>
      <c r="N126" s="272">
        <v>1</v>
      </c>
      <c r="O126" s="272">
        <v>1</v>
      </c>
      <c r="P126" s="272">
        <v>1</v>
      </c>
      <c r="Q126" s="272">
        <v>1</v>
      </c>
      <c r="R126" s="372">
        <v>1</v>
      </c>
      <c r="S126" s="395">
        <v>1</v>
      </c>
      <c r="T126" s="272">
        <v>1</v>
      </c>
      <c r="U126" s="272">
        <v>1</v>
      </c>
      <c r="V126" s="272">
        <v>1</v>
      </c>
      <c r="W126" s="272">
        <v>1</v>
      </c>
      <c r="X126" s="272">
        <v>1</v>
      </c>
      <c r="Y126" s="272">
        <v>1</v>
      </c>
      <c r="Z126" s="272">
        <v>1</v>
      </c>
      <c r="AA126" s="272">
        <v>1</v>
      </c>
      <c r="AB126" s="272">
        <v>1</v>
      </c>
      <c r="AC126" s="272">
        <v>1</v>
      </c>
      <c r="AD126" s="396">
        <v>1</v>
      </c>
      <c r="AE126" s="396">
        <v>1</v>
      </c>
      <c r="AF126" s="396">
        <v>1</v>
      </c>
      <c r="AG126" s="396">
        <v>1</v>
      </c>
      <c r="AH126" s="396">
        <v>1</v>
      </c>
      <c r="AI126" s="396">
        <v>1</v>
      </c>
      <c r="AJ126" s="396">
        <v>1</v>
      </c>
      <c r="AK126" s="396">
        <v>1</v>
      </c>
      <c r="AL126" s="396">
        <v>1</v>
      </c>
      <c r="AM126" s="396">
        <v>1</v>
      </c>
      <c r="AN126" s="396">
        <v>1</v>
      </c>
      <c r="AO126" s="396">
        <v>1</v>
      </c>
      <c r="AP126" s="396">
        <v>1</v>
      </c>
    </row>
    <row r="127" spans="1:42" s="140" customFormat="1" ht="13.5" hidden="1" customHeight="1" outlineLevel="3">
      <c r="A127" s="216"/>
      <c r="B127" s="255" t="s">
        <v>300</v>
      </c>
      <c r="C127" s="290" t="s">
        <v>301</v>
      </c>
      <c r="D127" s="227" t="s">
        <v>231</v>
      </c>
      <c r="E127" s="241"/>
      <c r="F127" s="228">
        <f t="shared" si="273"/>
        <v>3.6801995565609057E-2</v>
      </c>
      <c r="G127" s="269">
        <f>+F127*G106</f>
        <v>2.0828814908640522E-4</v>
      </c>
      <c r="H127" s="299"/>
      <c r="I127" s="299"/>
      <c r="J127" s="299"/>
      <c r="K127" s="299"/>
      <c r="L127" s="299"/>
      <c r="M127" s="299"/>
      <c r="N127" s="272">
        <v>1</v>
      </c>
      <c r="O127" s="272">
        <v>1</v>
      </c>
      <c r="P127" s="272">
        <v>1</v>
      </c>
      <c r="Q127" s="272">
        <v>1</v>
      </c>
      <c r="R127" s="372">
        <v>1</v>
      </c>
      <c r="S127" s="395">
        <v>1</v>
      </c>
      <c r="T127" s="272">
        <v>1</v>
      </c>
      <c r="U127" s="272">
        <v>1</v>
      </c>
      <c r="V127" s="272">
        <v>1</v>
      </c>
      <c r="W127" s="272">
        <v>1</v>
      </c>
      <c r="X127" s="272">
        <v>1</v>
      </c>
      <c r="Y127" s="272">
        <v>1</v>
      </c>
      <c r="Z127" s="272">
        <v>1</v>
      </c>
      <c r="AA127" s="272">
        <v>1</v>
      </c>
      <c r="AB127" s="272">
        <v>1</v>
      </c>
      <c r="AC127" s="272">
        <v>1</v>
      </c>
      <c r="AD127" s="396">
        <v>1</v>
      </c>
      <c r="AE127" s="396">
        <v>1</v>
      </c>
      <c r="AF127" s="396">
        <v>1</v>
      </c>
      <c r="AG127" s="396">
        <v>1</v>
      </c>
      <c r="AH127" s="396">
        <v>1</v>
      </c>
      <c r="AI127" s="396">
        <v>1</v>
      </c>
      <c r="AJ127" s="396">
        <v>1</v>
      </c>
      <c r="AK127" s="396">
        <v>1</v>
      </c>
      <c r="AL127" s="396">
        <v>1</v>
      </c>
      <c r="AM127" s="396">
        <v>1</v>
      </c>
      <c r="AN127" s="396">
        <v>1</v>
      </c>
      <c r="AO127" s="396">
        <v>1</v>
      </c>
      <c r="AP127" s="396">
        <v>1</v>
      </c>
    </row>
    <row r="128" spans="1:42" s="140" customFormat="1" ht="13.5" hidden="1" customHeight="1" outlineLevel="3">
      <c r="A128" s="216"/>
      <c r="B128" s="255" t="s">
        <v>302</v>
      </c>
      <c r="C128" s="290" t="s">
        <v>303</v>
      </c>
      <c r="D128" s="227" t="s">
        <v>231</v>
      </c>
      <c r="E128" s="241"/>
      <c r="F128" s="228">
        <f t="shared" si="273"/>
        <v>3.6801995565609057E-2</v>
      </c>
      <c r="G128" s="269">
        <f>+F128*G106</f>
        <v>2.0828814908640522E-4</v>
      </c>
      <c r="H128" s="299"/>
      <c r="I128" s="299"/>
      <c r="J128" s="299"/>
      <c r="K128" s="299"/>
      <c r="L128" s="299"/>
      <c r="M128" s="299"/>
      <c r="N128" s="272">
        <v>1</v>
      </c>
      <c r="O128" s="272">
        <v>1</v>
      </c>
      <c r="P128" s="272">
        <v>1</v>
      </c>
      <c r="Q128" s="272">
        <v>1</v>
      </c>
      <c r="R128" s="372">
        <v>1</v>
      </c>
      <c r="S128" s="395">
        <v>1</v>
      </c>
      <c r="T128" s="272">
        <v>1</v>
      </c>
      <c r="U128" s="272">
        <v>1</v>
      </c>
      <c r="V128" s="272">
        <v>1</v>
      </c>
      <c r="W128" s="272">
        <v>1</v>
      </c>
      <c r="X128" s="272">
        <v>1</v>
      </c>
      <c r="Y128" s="272">
        <v>1</v>
      </c>
      <c r="Z128" s="272">
        <v>1</v>
      </c>
      <c r="AA128" s="272">
        <v>1</v>
      </c>
      <c r="AB128" s="272">
        <v>1</v>
      </c>
      <c r="AC128" s="272">
        <v>1</v>
      </c>
      <c r="AD128" s="396">
        <v>1</v>
      </c>
      <c r="AE128" s="396">
        <v>1</v>
      </c>
      <c r="AF128" s="396">
        <v>1</v>
      </c>
      <c r="AG128" s="396">
        <v>1</v>
      </c>
      <c r="AH128" s="396">
        <v>1</v>
      </c>
      <c r="AI128" s="396">
        <v>1</v>
      </c>
      <c r="AJ128" s="396">
        <v>1</v>
      </c>
      <c r="AK128" s="396">
        <v>1</v>
      </c>
      <c r="AL128" s="396">
        <v>1</v>
      </c>
      <c r="AM128" s="396">
        <v>1</v>
      </c>
      <c r="AN128" s="396">
        <v>1</v>
      </c>
      <c r="AO128" s="396">
        <v>1</v>
      </c>
      <c r="AP128" s="396">
        <v>1</v>
      </c>
    </row>
    <row r="129" spans="1:42" s="140" customFormat="1" ht="26.25" hidden="1" customHeight="1" outlineLevel="3">
      <c r="A129" s="216"/>
      <c r="B129" s="255" t="s">
        <v>304</v>
      </c>
      <c r="C129" s="290" t="s">
        <v>255</v>
      </c>
      <c r="D129" s="227" t="s">
        <v>256</v>
      </c>
      <c r="E129" s="241"/>
      <c r="F129" s="228">
        <f t="shared" si="273"/>
        <v>4.7589024389150178E-2</v>
      </c>
      <c r="G129" s="269">
        <f>+F129*G106</f>
        <v>2.6933946527907103E-4</v>
      </c>
      <c r="H129" s="299"/>
      <c r="I129" s="299"/>
      <c r="J129" s="299"/>
      <c r="K129" s="299"/>
      <c r="L129" s="299"/>
      <c r="M129" s="299"/>
      <c r="N129" s="272">
        <v>1</v>
      </c>
      <c r="O129" s="272">
        <v>1</v>
      </c>
      <c r="P129" s="272">
        <v>1</v>
      </c>
      <c r="Q129" s="272">
        <v>1</v>
      </c>
      <c r="R129" s="372">
        <v>1</v>
      </c>
      <c r="S129" s="395">
        <v>1</v>
      </c>
      <c r="T129" s="272">
        <v>1</v>
      </c>
      <c r="U129" s="272">
        <v>1</v>
      </c>
      <c r="V129" s="272">
        <v>1</v>
      </c>
      <c r="W129" s="272">
        <v>1</v>
      </c>
      <c r="X129" s="272">
        <v>1</v>
      </c>
      <c r="Y129" s="272">
        <v>1</v>
      </c>
      <c r="Z129" s="272">
        <v>1</v>
      </c>
      <c r="AA129" s="272">
        <v>1</v>
      </c>
      <c r="AB129" s="272">
        <v>1</v>
      </c>
      <c r="AC129" s="272">
        <v>1</v>
      </c>
      <c r="AD129" s="396">
        <v>1</v>
      </c>
      <c r="AE129" s="396">
        <v>1</v>
      </c>
      <c r="AF129" s="396">
        <v>1</v>
      </c>
      <c r="AG129" s="396">
        <v>1</v>
      </c>
      <c r="AH129" s="396">
        <v>1</v>
      </c>
      <c r="AI129" s="396">
        <v>1</v>
      </c>
      <c r="AJ129" s="396">
        <v>1</v>
      </c>
      <c r="AK129" s="396">
        <v>1</v>
      </c>
      <c r="AL129" s="396">
        <v>1</v>
      </c>
      <c r="AM129" s="396">
        <v>1</v>
      </c>
      <c r="AN129" s="396">
        <v>1</v>
      </c>
      <c r="AO129" s="396">
        <v>1</v>
      </c>
      <c r="AP129" s="396">
        <v>1</v>
      </c>
    </row>
    <row r="130" spans="1:42" s="140" customFormat="1" ht="26.25" hidden="1" customHeight="1" outlineLevel="3">
      <c r="A130" s="216"/>
      <c r="B130" s="255" t="s">
        <v>305</v>
      </c>
      <c r="C130" s="290" t="s">
        <v>258</v>
      </c>
      <c r="D130" s="227" t="s">
        <v>256</v>
      </c>
      <c r="E130" s="241"/>
      <c r="F130" s="228">
        <f t="shared" si="273"/>
        <v>4.7589024389150178E-2</v>
      </c>
      <c r="G130" s="269">
        <f>+F130*G106</f>
        <v>2.6933946527907103E-4</v>
      </c>
      <c r="H130" s="299"/>
      <c r="I130" s="299"/>
      <c r="J130" s="299"/>
      <c r="K130" s="299"/>
      <c r="L130" s="299"/>
      <c r="M130" s="299"/>
      <c r="N130" s="272">
        <v>1</v>
      </c>
      <c r="O130" s="272">
        <v>1</v>
      </c>
      <c r="P130" s="272">
        <v>1</v>
      </c>
      <c r="Q130" s="272">
        <v>1</v>
      </c>
      <c r="R130" s="372">
        <v>1</v>
      </c>
      <c r="S130" s="395">
        <v>1</v>
      </c>
      <c r="T130" s="272">
        <v>1</v>
      </c>
      <c r="U130" s="272">
        <v>1</v>
      </c>
      <c r="V130" s="272">
        <v>1</v>
      </c>
      <c r="W130" s="272">
        <v>1</v>
      </c>
      <c r="X130" s="272">
        <v>1</v>
      </c>
      <c r="Y130" s="272">
        <v>1</v>
      </c>
      <c r="Z130" s="272">
        <v>1</v>
      </c>
      <c r="AA130" s="272">
        <v>1</v>
      </c>
      <c r="AB130" s="272">
        <v>1</v>
      </c>
      <c r="AC130" s="272">
        <v>1</v>
      </c>
      <c r="AD130" s="396">
        <v>1</v>
      </c>
      <c r="AE130" s="396">
        <v>1</v>
      </c>
      <c r="AF130" s="396">
        <v>1</v>
      </c>
      <c r="AG130" s="396">
        <v>1</v>
      </c>
      <c r="AH130" s="396">
        <v>1</v>
      </c>
      <c r="AI130" s="396">
        <v>1</v>
      </c>
      <c r="AJ130" s="396">
        <v>1</v>
      </c>
      <c r="AK130" s="396">
        <v>1</v>
      </c>
      <c r="AL130" s="396">
        <v>1</v>
      </c>
      <c r="AM130" s="396">
        <v>1</v>
      </c>
      <c r="AN130" s="396">
        <v>1</v>
      </c>
      <c r="AO130" s="396">
        <v>1</v>
      </c>
      <c r="AP130" s="396">
        <v>1</v>
      </c>
    </row>
    <row r="131" spans="1:42" s="140" customFormat="1" ht="26.25" hidden="1" customHeight="1" outlineLevel="3">
      <c r="A131" s="216"/>
      <c r="B131" s="255" t="s">
        <v>306</v>
      </c>
      <c r="C131" s="290" t="s">
        <v>260</v>
      </c>
      <c r="D131" s="227" t="s">
        <v>256</v>
      </c>
      <c r="E131" s="241"/>
      <c r="F131" s="228">
        <f t="shared" si="273"/>
        <v>4.7589024389150178E-2</v>
      </c>
      <c r="G131" s="269">
        <f>+F131*G106</f>
        <v>2.6933946527907103E-4</v>
      </c>
      <c r="H131" s="299"/>
      <c r="I131" s="299"/>
      <c r="J131" s="299"/>
      <c r="K131" s="299"/>
      <c r="L131" s="299"/>
      <c r="M131" s="299"/>
      <c r="N131" s="272">
        <v>1</v>
      </c>
      <c r="O131" s="272">
        <v>1</v>
      </c>
      <c r="P131" s="272">
        <v>1</v>
      </c>
      <c r="Q131" s="272">
        <v>1</v>
      </c>
      <c r="R131" s="372">
        <v>1</v>
      </c>
      <c r="S131" s="395">
        <v>1</v>
      </c>
      <c r="T131" s="272">
        <v>1</v>
      </c>
      <c r="U131" s="272">
        <v>1</v>
      </c>
      <c r="V131" s="272">
        <v>1</v>
      </c>
      <c r="W131" s="272">
        <v>1</v>
      </c>
      <c r="X131" s="272">
        <v>1</v>
      </c>
      <c r="Y131" s="272">
        <v>1</v>
      </c>
      <c r="Z131" s="272">
        <v>1</v>
      </c>
      <c r="AA131" s="272">
        <v>1</v>
      </c>
      <c r="AB131" s="272">
        <v>1</v>
      </c>
      <c r="AC131" s="272">
        <v>1</v>
      </c>
      <c r="AD131" s="396">
        <v>1</v>
      </c>
      <c r="AE131" s="396">
        <v>1</v>
      </c>
      <c r="AF131" s="396">
        <v>1</v>
      </c>
      <c r="AG131" s="396">
        <v>1</v>
      </c>
      <c r="AH131" s="396">
        <v>1</v>
      </c>
      <c r="AI131" s="396">
        <v>1</v>
      </c>
      <c r="AJ131" s="396">
        <v>1</v>
      </c>
      <c r="AK131" s="396">
        <v>1</v>
      </c>
      <c r="AL131" s="396">
        <v>1</v>
      </c>
      <c r="AM131" s="396">
        <v>1</v>
      </c>
      <c r="AN131" s="396">
        <v>1</v>
      </c>
      <c r="AO131" s="396">
        <v>1</v>
      </c>
      <c r="AP131" s="396">
        <v>1</v>
      </c>
    </row>
    <row r="132" spans="1:42" s="140" customFormat="1" ht="26.25" hidden="1" customHeight="1" outlineLevel="3">
      <c r="A132" s="216"/>
      <c r="B132" s="255" t="s">
        <v>307</v>
      </c>
      <c r="C132" s="290" t="s">
        <v>262</v>
      </c>
      <c r="D132" s="227" t="s">
        <v>256</v>
      </c>
      <c r="E132" s="241"/>
      <c r="F132" s="228">
        <f t="shared" si="273"/>
        <v>4.7589024389150178E-2</v>
      </c>
      <c r="G132" s="269">
        <f>+F132*G106</f>
        <v>2.6933946527907103E-4</v>
      </c>
      <c r="H132" s="299"/>
      <c r="I132" s="299"/>
      <c r="J132" s="299"/>
      <c r="K132" s="299"/>
      <c r="L132" s="299"/>
      <c r="M132" s="299"/>
      <c r="N132" s="272">
        <v>1</v>
      </c>
      <c r="O132" s="272">
        <v>1</v>
      </c>
      <c r="P132" s="272">
        <v>1</v>
      </c>
      <c r="Q132" s="272">
        <v>1</v>
      </c>
      <c r="R132" s="372">
        <v>1</v>
      </c>
      <c r="S132" s="395">
        <v>1</v>
      </c>
      <c r="T132" s="272">
        <v>1</v>
      </c>
      <c r="U132" s="272">
        <v>1</v>
      </c>
      <c r="V132" s="272">
        <v>1</v>
      </c>
      <c r="W132" s="272">
        <v>1</v>
      </c>
      <c r="X132" s="272">
        <v>1</v>
      </c>
      <c r="Y132" s="272">
        <v>1</v>
      </c>
      <c r="Z132" s="272">
        <v>1</v>
      </c>
      <c r="AA132" s="272">
        <v>1</v>
      </c>
      <c r="AB132" s="272">
        <v>1</v>
      </c>
      <c r="AC132" s="272">
        <v>1</v>
      </c>
      <c r="AD132" s="396">
        <v>1</v>
      </c>
      <c r="AE132" s="396">
        <v>1</v>
      </c>
      <c r="AF132" s="396">
        <v>1</v>
      </c>
      <c r="AG132" s="396">
        <v>1</v>
      </c>
      <c r="AH132" s="396">
        <v>1</v>
      </c>
      <c r="AI132" s="396">
        <v>1</v>
      </c>
      <c r="AJ132" s="396">
        <v>1</v>
      </c>
      <c r="AK132" s="396">
        <v>1</v>
      </c>
      <c r="AL132" s="396">
        <v>1</v>
      </c>
      <c r="AM132" s="396">
        <v>1</v>
      </c>
      <c r="AN132" s="396">
        <v>1</v>
      </c>
      <c r="AO132" s="396">
        <v>1</v>
      </c>
      <c r="AP132" s="396">
        <v>1</v>
      </c>
    </row>
    <row r="133" spans="1:42" s="140" customFormat="1" ht="13.5" hidden="1" customHeight="1" outlineLevel="2">
      <c r="A133" s="216"/>
      <c r="B133" s="291" t="s">
        <v>308</v>
      </c>
      <c r="C133" s="292" t="s">
        <v>37</v>
      </c>
      <c r="D133" s="234" t="s">
        <v>33</v>
      </c>
      <c r="E133" s="240"/>
      <c r="F133" s="223">
        <v>9.4678015032851906E-2</v>
      </c>
      <c r="G133" s="293">
        <f>+F133*G84</f>
        <v>2.2185095900624464E-3</v>
      </c>
      <c r="H133" s="298"/>
      <c r="I133" s="298"/>
      <c r="J133" s="298"/>
      <c r="K133" s="298"/>
      <c r="L133" s="298"/>
      <c r="M133" s="298"/>
      <c r="N133" s="270">
        <f t="shared" ref="N133:R133" si="274">+SUMPRODUCT($F134:$F144,N134:N144)</f>
        <v>1.0000000000000002</v>
      </c>
      <c r="O133" s="270">
        <f t="shared" si="274"/>
        <v>1.0000000000000002</v>
      </c>
      <c r="P133" s="270">
        <f t="shared" si="274"/>
        <v>1.0000000000000002</v>
      </c>
      <c r="Q133" s="270">
        <f t="shared" si="274"/>
        <v>1.0000000000000002</v>
      </c>
      <c r="R133" s="370">
        <f t="shared" si="274"/>
        <v>1.0000000000000002</v>
      </c>
      <c r="S133" s="391">
        <f t="shared" ref="S133" si="275">+SUMPRODUCT($F134:$F144,S134:S144)</f>
        <v>1.0000000000000002</v>
      </c>
      <c r="T133" s="270">
        <f t="shared" ref="T133" si="276">+SUMPRODUCT($F134:$F144,T134:T144)</f>
        <v>1.0000000000000002</v>
      </c>
      <c r="U133" s="270">
        <f t="shared" ref="U133" si="277">+SUMPRODUCT($F134:$F144,U134:U144)</f>
        <v>1.0000000000000002</v>
      </c>
      <c r="V133" s="270">
        <f t="shared" ref="V133" si="278">+SUMPRODUCT($F134:$F144,V134:V144)</f>
        <v>1.0000000000000002</v>
      </c>
      <c r="W133" s="270">
        <f t="shared" ref="W133" si="279">+SUMPRODUCT($F134:$F144,W134:W144)</f>
        <v>1.0000000000000002</v>
      </c>
      <c r="X133" s="270">
        <f t="shared" ref="X133" si="280">+SUMPRODUCT($F134:$F144,X134:X144)</f>
        <v>1.0000000000000002</v>
      </c>
      <c r="Y133" s="270">
        <f t="shared" ref="Y133" si="281">+SUMPRODUCT($F134:$F144,Y134:Y144)</f>
        <v>1.0000000000000002</v>
      </c>
      <c r="Z133" s="270">
        <f t="shared" ref="Z133" si="282">+SUMPRODUCT($F134:$F144,Z134:Z144)</f>
        <v>1.0000000000000002</v>
      </c>
      <c r="AA133" s="270">
        <f t="shared" ref="AA133" si="283">+SUMPRODUCT($F134:$F144,AA134:AA144)</f>
        <v>1.0000000000000002</v>
      </c>
      <c r="AB133" s="270">
        <f t="shared" ref="AB133" si="284">+SUMPRODUCT($F134:$F144,AB134:AB144)</f>
        <v>1.0000000000000002</v>
      </c>
      <c r="AC133" s="270">
        <f t="shared" ref="AC133" si="285">+SUMPRODUCT($F134:$F144,AC134:AC144)</f>
        <v>1.0000000000000002</v>
      </c>
      <c r="AD133" s="392">
        <f t="shared" ref="AD133:AF133" si="286">+SUMPRODUCT($F134:$F144,AD134:AD144)</f>
        <v>1.0000000000000002</v>
      </c>
      <c r="AE133" s="392">
        <f t="shared" si="286"/>
        <v>1.0000000000000002</v>
      </c>
      <c r="AF133" s="392">
        <f t="shared" si="286"/>
        <v>1.0000000000000002</v>
      </c>
      <c r="AG133" s="392">
        <f t="shared" ref="AG133" si="287">+SUMPRODUCT($F134:$F144,AG134:AG144)</f>
        <v>1.0000000000000002</v>
      </c>
      <c r="AH133" s="392">
        <f t="shared" ref="AH133" si="288">+SUMPRODUCT($F134:$F144,AH134:AH144)</f>
        <v>1.0000000000000002</v>
      </c>
      <c r="AI133" s="392">
        <f t="shared" ref="AI133" si="289">+SUMPRODUCT($F134:$F144,AI134:AI144)</f>
        <v>1.0000000000000002</v>
      </c>
      <c r="AJ133" s="392">
        <f t="shared" ref="AJ133" si="290">+SUMPRODUCT($F134:$F144,AJ134:AJ144)</f>
        <v>1.0000000000000002</v>
      </c>
      <c r="AK133" s="392">
        <f t="shared" ref="AK133" si="291">+SUMPRODUCT($F134:$F144,AK134:AK144)</f>
        <v>1.0000000000000002</v>
      </c>
      <c r="AL133" s="392">
        <f t="shared" ref="AL133" si="292">+SUMPRODUCT($F134:$F144,AL134:AL144)</f>
        <v>1.0000000000000002</v>
      </c>
      <c r="AM133" s="392">
        <f t="shared" ref="AM133" si="293">+SUMPRODUCT($F134:$F144,AM134:AM144)</f>
        <v>1.0000000000000002</v>
      </c>
      <c r="AN133" s="392">
        <f t="shared" ref="AN133" si="294">+SUMPRODUCT($F134:$F144,AN134:AN144)</f>
        <v>1.0000000000000002</v>
      </c>
      <c r="AO133" s="392">
        <f t="shared" ref="AO133" si="295">+SUMPRODUCT($F134:$F144,AO134:AO144)</f>
        <v>1.0000000000000002</v>
      </c>
      <c r="AP133" s="392">
        <f t="shared" ref="AP133" si="296">+SUMPRODUCT($F134:$F144,AP134:AP144)</f>
        <v>1.0000000000000002</v>
      </c>
    </row>
    <row r="134" spans="1:42" s="140" customFormat="1" ht="13.5" hidden="1" customHeight="1" outlineLevel="3">
      <c r="A134" s="216"/>
      <c r="B134" s="255" t="s">
        <v>309</v>
      </c>
      <c r="C134" s="290" t="s">
        <v>230</v>
      </c>
      <c r="D134" s="227" t="s">
        <v>231</v>
      </c>
      <c r="E134" s="241"/>
      <c r="F134" s="228">
        <f t="shared" ref="F134:F144" si="297">F769</f>
        <v>9.0909090909090912E-2</v>
      </c>
      <c r="G134" s="269">
        <f>+F134*G133</f>
        <v>2.0168269000567696E-4</v>
      </c>
      <c r="H134" s="299"/>
      <c r="I134" s="299"/>
      <c r="J134" s="299"/>
      <c r="K134" s="299"/>
      <c r="L134" s="299"/>
      <c r="M134" s="299"/>
      <c r="N134" s="272">
        <v>1</v>
      </c>
      <c r="O134" s="272">
        <v>1</v>
      </c>
      <c r="P134" s="272">
        <v>1</v>
      </c>
      <c r="Q134" s="272">
        <v>1</v>
      </c>
      <c r="R134" s="372">
        <v>1</v>
      </c>
      <c r="S134" s="395">
        <v>1</v>
      </c>
      <c r="T134" s="272">
        <v>1</v>
      </c>
      <c r="U134" s="272">
        <v>1</v>
      </c>
      <c r="V134" s="272">
        <v>1</v>
      </c>
      <c r="W134" s="272">
        <v>1</v>
      </c>
      <c r="X134" s="272">
        <v>1</v>
      </c>
      <c r="Y134" s="272">
        <v>1</v>
      </c>
      <c r="Z134" s="272">
        <v>1</v>
      </c>
      <c r="AA134" s="272">
        <v>1</v>
      </c>
      <c r="AB134" s="272">
        <v>1</v>
      </c>
      <c r="AC134" s="272">
        <v>1</v>
      </c>
      <c r="AD134" s="396">
        <v>1</v>
      </c>
      <c r="AE134" s="396">
        <v>1</v>
      </c>
      <c r="AF134" s="396">
        <v>1</v>
      </c>
      <c r="AG134" s="396">
        <v>1</v>
      </c>
      <c r="AH134" s="396">
        <v>1</v>
      </c>
      <c r="AI134" s="396">
        <v>1</v>
      </c>
      <c r="AJ134" s="396">
        <v>1</v>
      </c>
      <c r="AK134" s="396">
        <v>1</v>
      </c>
      <c r="AL134" s="396">
        <v>1</v>
      </c>
      <c r="AM134" s="396">
        <v>1</v>
      </c>
      <c r="AN134" s="396">
        <v>1</v>
      </c>
      <c r="AO134" s="396">
        <v>1</v>
      </c>
      <c r="AP134" s="396">
        <v>1</v>
      </c>
    </row>
    <row r="135" spans="1:42" s="140" customFormat="1" ht="13.5" hidden="1" customHeight="1" outlineLevel="3">
      <c r="A135" s="216"/>
      <c r="B135" s="255" t="s">
        <v>310</v>
      </c>
      <c r="C135" s="290" t="s">
        <v>233</v>
      </c>
      <c r="D135" s="227" t="s">
        <v>231</v>
      </c>
      <c r="E135" s="241"/>
      <c r="F135" s="228">
        <f t="shared" si="297"/>
        <v>9.0909090909090912E-2</v>
      </c>
      <c r="G135" s="269">
        <f>+F135*G133</f>
        <v>2.0168269000567696E-4</v>
      </c>
      <c r="H135" s="299"/>
      <c r="I135" s="299"/>
      <c r="J135" s="299"/>
      <c r="K135" s="299"/>
      <c r="L135" s="299"/>
      <c r="M135" s="299"/>
      <c r="N135" s="272">
        <v>1</v>
      </c>
      <c r="O135" s="272">
        <v>1</v>
      </c>
      <c r="P135" s="272">
        <v>1</v>
      </c>
      <c r="Q135" s="272">
        <v>1</v>
      </c>
      <c r="R135" s="372">
        <v>1</v>
      </c>
      <c r="S135" s="395">
        <v>1</v>
      </c>
      <c r="T135" s="272">
        <v>1</v>
      </c>
      <c r="U135" s="272">
        <v>1</v>
      </c>
      <c r="V135" s="272">
        <v>1</v>
      </c>
      <c r="W135" s="272">
        <v>1</v>
      </c>
      <c r="X135" s="272">
        <v>1</v>
      </c>
      <c r="Y135" s="272">
        <v>1</v>
      </c>
      <c r="Z135" s="272">
        <v>1</v>
      </c>
      <c r="AA135" s="272">
        <v>1</v>
      </c>
      <c r="AB135" s="272">
        <v>1</v>
      </c>
      <c r="AC135" s="272">
        <v>1</v>
      </c>
      <c r="AD135" s="396">
        <v>1</v>
      </c>
      <c r="AE135" s="396">
        <v>1</v>
      </c>
      <c r="AF135" s="396">
        <v>1</v>
      </c>
      <c r="AG135" s="396">
        <v>1</v>
      </c>
      <c r="AH135" s="396">
        <v>1</v>
      </c>
      <c r="AI135" s="396">
        <v>1</v>
      </c>
      <c r="AJ135" s="396">
        <v>1</v>
      </c>
      <c r="AK135" s="396">
        <v>1</v>
      </c>
      <c r="AL135" s="396">
        <v>1</v>
      </c>
      <c r="AM135" s="396">
        <v>1</v>
      </c>
      <c r="AN135" s="396">
        <v>1</v>
      </c>
      <c r="AO135" s="396">
        <v>1</v>
      </c>
      <c r="AP135" s="396">
        <v>1</v>
      </c>
    </row>
    <row r="136" spans="1:42" s="140" customFormat="1" ht="13.5" hidden="1" customHeight="1" outlineLevel="3">
      <c r="A136" s="216"/>
      <c r="B136" s="255" t="s">
        <v>311</v>
      </c>
      <c r="C136" s="290" t="s">
        <v>235</v>
      </c>
      <c r="D136" s="227" t="s">
        <v>231</v>
      </c>
      <c r="E136" s="241"/>
      <c r="F136" s="228">
        <f t="shared" si="297"/>
        <v>9.0909090909090912E-2</v>
      </c>
      <c r="G136" s="269">
        <f>+F136*G133</f>
        <v>2.0168269000567696E-4</v>
      </c>
      <c r="H136" s="299"/>
      <c r="I136" s="299"/>
      <c r="J136" s="299"/>
      <c r="K136" s="299"/>
      <c r="L136" s="299"/>
      <c r="M136" s="299"/>
      <c r="N136" s="272">
        <v>1</v>
      </c>
      <c r="O136" s="272">
        <v>1</v>
      </c>
      <c r="P136" s="272">
        <v>1</v>
      </c>
      <c r="Q136" s="272">
        <v>1</v>
      </c>
      <c r="R136" s="372">
        <v>1</v>
      </c>
      <c r="S136" s="395">
        <v>1</v>
      </c>
      <c r="T136" s="272">
        <v>1</v>
      </c>
      <c r="U136" s="272">
        <v>1</v>
      </c>
      <c r="V136" s="272">
        <v>1</v>
      </c>
      <c r="W136" s="272">
        <v>1</v>
      </c>
      <c r="X136" s="272">
        <v>1</v>
      </c>
      <c r="Y136" s="272">
        <v>1</v>
      </c>
      <c r="Z136" s="272">
        <v>1</v>
      </c>
      <c r="AA136" s="272">
        <v>1</v>
      </c>
      <c r="AB136" s="272">
        <v>1</v>
      </c>
      <c r="AC136" s="272">
        <v>1</v>
      </c>
      <c r="AD136" s="396">
        <v>1</v>
      </c>
      <c r="AE136" s="396">
        <v>1</v>
      </c>
      <c r="AF136" s="396">
        <v>1</v>
      </c>
      <c r="AG136" s="396">
        <v>1</v>
      </c>
      <c r="AH136" s="396">
        <v>1</v>
      </c>
      <c r="AI136" s="396">
        <v>1</v>
      </c>
      <c r="AJ136" s="396">
        <v>1</v>
      </c>
      <c r="AK136" s="396">
        <v>1</v>
      </c>
      <c r="AL136" s="396">
        <v>1</v>
      </c>
      <c r="AM136" s="396">
        <v>1</v>
      </c>
      <c r="AN136" s="396">
        <v>1</v>
      </c>
      <c r="AO136" s="396">
        <v>1</v>
      </c>
      <c r="AP136" s="396">
        <v>1</v>
      </c>
    </row>
    <row r="137" spans="1:42" s="140" customFormat="1" ht="13.5" hidden="1" customHeight="1" outlineLevel="3">
      <c r="A137" s="216"/>
      <c r="B137" s="255" t="s">
        <v>312</v>
      </c>
      <c r="C137" s="290" t="s">
        <v>237</v>
      </c>
      <c r="D137" s="227" t="s">
        <v>231</v>
      </c>
      <c r="E137" s="241"/>
      <c r="F137" s="228">
        <f t="shared" si="297"/>
        <v>9.0909090909090912E-2</v>
      </c>
      <c r="G137" s="269">
        <f>+F137*G133</f>
        <v>2.0168269000567696E-4</v>
      </c>
      <c r="H137" s="299"/>
      <c r="I137" s="299"/>
      <c r="J137" s="299"/>
      <c r="K137" s="299"/>
      <c r="L137" s="299"/>
      <c r="M137" s="299"/>
      <c r="N137" s="272">
        <v>1</v>
      </c>
      <c r="O137" s="272">
        <v>1</v>
      </c>
      <c r="P137" s="272">
        <v>1</v>
      </c>
      <c r="Q137" s="272">
        <v>1</v>
      </c>
      <c r="R137" s="372">
        <v>1</v>
      </c>
      <c r="S137" s="395">
        <v>1</v>
      </c>
      <c r="T137" s="272">
        <v>1</v>
      </c>
      <c r="U137" s="272">
        <v>1</v>
      </c>
      <c r="V137" s="272">
        <v>1</v>
      </c>
      <c r="W137" s="272">
        <v>1</v>
      </c>
      <c r="X137" s="272">
        <v>1</v>
      </c>
      <c r="Y137" s="272">
        <v>1</v>
      </c>
      <c r="Z137" s="272">
        <v>1</v>
      </c>
      <c r="AA137" s="272">
        <v>1</v>
      </c>
      <c r="AB137" s="272">
        <v>1</v>
      </c>
      <c r="AC137" s="272">
        <v>1</v>
      </c>
      <c r="AD137" s="396">
        <v>1</v>
      </c>
      <c r="AE137" s="396">
        <v>1</v>
      </c>
      <c r="AF137" s="396">
        <v>1</v>
      </c>
      <c r="AG137" s="396">
        <v>1</v>
      </c>
      <c r="AH137" s="396">
        <v>1</v>
      </c>
      <c r="AI137" s="396">
        <v>1</v>
      </c>
      <c r="AJ137" s="396">
        <v>1</v>
      </c>
      <c r="AK137" s="396">
        <v>1</v>
      </c>
      <c r="AL137" s="396">
        <v>1</v>
      </c>
      <c r="AM137" s="396">
        <v>1</v>
      </c>
      <c r="AN137" s="396">
        <v>1</v>
      </c>
      <c r="AO137" s="396">
        <v>1</v>
      </c>
      <c r="AP137" s="396">
        <v>1</v>
      </c>
    </row>
    <row r="138" spans="1:42" s="140" customFormat="1" ht="13.5" hidden="1" customHeight="1" outlineLevel="3">
      <c r="A138" s="216"/>
      <c r="B138" s="255" t="s">
        <v>313</v>
      </c>
      <c r="C138" s="290" t="s">
        <v>239</v>
      </c>
      <c r="D138" s="227" t="s">
        <v>231</v>
      </c>
      <c r="E138" s="241"/>
      <c r="F138" s="228">
        <f t="shared" si="297"/>
        <v>9.0909090909090912E-2</v>
      </c>
      <c r="G138" s="269">
        <f>+F138*G133</f>
        <v>2.0168269000567696E-4</v>
      </c>
      <c r="H138" s="299"/>
      <c r="I138" s="299"/>
      <c r="J138" s="299"/>
      <c r="K138" s="299"/>
      <c r="L138" s="299"/>
      <c r="M138" s="299"/>
      <c r="N138" s="272">
        <v>1</v>
      </c>
      <c r="O138" s="272">
        <v>1</v>
      </c>
      <c r="P138" s="272">
        <v>1</v>
      </c>
      <c r="Q138" s="272">
        <v>1</v>
      </c>
      <c r="R138" s="372">
        <v>1</v>
      </c>
      <c r="S138" s="395">
        <v>1</v>
      </c>
      <c r="T138" s="272">
        <v>1</v>
      </c>
      <c r="U138" s="272">
        <v>1</v>
      </c>
      <c r="V138" s="272">
        <v>1</v>
      </c>
      <c r="W138" s="272">
        <v>1</v>
      </c>
      <c r="X138" s="272">
        <v>1</v>
      </c>
      <c r="Y138" s="272">
        <v>1</v>
      </c>
      <c r="Z138" s="272">
        <v>1</v>
      </c>
      <c r="AA138" s="272">
        <v>1</v>
      </c>
      <c r="AB138" s="272">
        <v>1</v>
      </c>
      <c r="AC138" s="272">
        <v>1</v>
      </c>
      <c r="AD138" s="396">
        <v>1</v>
      </c>
      <c r="AE138" s="396">
        <v>1</v>
      </c>
      <c r="AF138" s="396">
        <v>1</v>
      </c>
      <c r="AG138" s="396">
        <v>1</v>
      </c>
      <c r="AH138" s="396">
        <v>1</v>
      </c>
      <c r="AI138" s="396">
        <v>1</v>
      </c>
      <c r="AJ138" s="396">
        <v>1</v>
      </c>
      <c r="AK138" s="396">
        <v>1</v>
      </c>
      <c r="AL138" s="396">
        <v>1</v>
      </c>
      <c r="AM138" s="396">
        <v>1</v>
      </c>
      <c r="AN138" s="396">
        <v>1</v>
      </c>
      <c r="AO138" s="396">
        <v>1</v>
      </c>
      <c r="AP138" s="396">
        <v>1</v>
      </c>
    </row>
    <row r="139" spans="1:42" s="140" customFormat="1" ht="13.5" hidden="1" customHeight="1" outlineLevel="3">
      <c r="A139" s="216"/>
      <c r="B139" s="255" t="s">
        <v>314</v>
      </c>
      <c r="C139" s="290" t="s">
        <v>241</v>
      </c>
      <c r="D139" s="227" t="s">
        <v>231</v>
      </c>
      <c r="E139" s="241"/>
      <c r="F139" s="228">
        <f t="shared" si="297"/>
        <v>9.0909090909090912E-2</v>
      </c>
      <c r="G139" s="269">
        <f>+F139*G133</f>
        <v>2.0168269000567696E-4</v>
      </c>
      <c r="H139" s="299"/>
      <c r="I139" s="299"/>
      <c r="J139" s="299"/>
      <c r="K139" s="299"/>
      <c r="L139" s="299"/>
      <c r="M139" s="299"/>
      <c r="N139" s="272">
        <v>1</v>
      </c>
      <c r="O139" s="272">
        <v>1</v>
      </c>
      <c r="P139" s="272">
        <v>1</v>
      </c>
      <c r="Q139" s="272">
        <v>1</v>
      </c>
      <c r="R139" s="372">
        <v>1</v>
      </c>
      <c r="S139" s="395">
        <v>1</v>
      </c>
      <c r="T139" s="272">
        <v>1</v>
      </c>
      <c r="U139" s="272">
        <v>1</v>
      </c>
      <c r="V139" s="272">
        <v>1</v>
      </c>
      <c r="W139" s="272">
        <v>1</v>
      </c>
      <c r="X139" s="272">
        <v>1</v>
      </c>
      <c r="Y139" s="272">
        <v>1</v>
      </c>
      <c r="Z139" s="272">
        <v>1</v>
      </c>
      <c r="AA139" s="272">
        <v>1</v>
      </c>
      <c r="AB139" s="272">
        <v>1</v>
      </c>
      <c r="AC139" s="272">
        <v>1</v>
      </c>
      <c r="AD139" s="396">
        <v>1</v>
      </c>
      <c r="AE139" s="396">
        <v>1</v>
      </c>
      <c r="AF139" s="396">
        <v>1</v>
      </c>
      <c r="AG139" s="396">
        <v>1</v>
      </c>
      <c r="AH139" s="396">
        <v>1</v>
      </c>
      <c r="AI139" s="396">
        <v>1</v>
      </c>
      <c r="AJ139" s="396">
        <v>1</v>
      </c>
      <c r="AK139" s="396">
        <v>1</v>
      </c>
      <c r="AL139" s="396">
        <v>1</v>
      </c>
      <c r="AM139" s="396">
        <v>1</v>
      </c>
      <c r="AN139" s="396">
        <v>1</v>
      </c>
      <c r="AO139" s="396">
        <v>1</v>
      </c>
      <c r="AP139" s="396">
        <v>1</v>
      </c>
    </row>
    <row r="140" spans="1:42" s="140" customFormat="1" ht="13.5" hidden="1" customHeight="1" outlineLevel="3">
      <c r="A140" s="216"/>
      <c r="B140" s="255" t="s">
        <v>315</v>
      </c>
      <c r="C140" s="290" t="s">
        <v>243</v>
      </c>
      <c r="D140" s="227" t="s">
        <v>231</v>
      </c>
      <c r="E140" s="241"/>
      <c r="F140" s="228">
        <f t="shared" si="297"/>
        <v>9.0909090909090912E-2</v>
      </c>
      <c r="G140" s="269">
        <f>+F140*G133</f>
        <v>2.0168269000567696E-4</v>
      </c>
      <c r="H140" s="299"/>
      <c r="I140" s="299"/>
      <c r="J140" s="299"/>
      <c r="K140" s="299"/>
      <c r="L140" s="299"/>
      <c r="M140" s="299"/>
      <c r="N140" s="272">
        <v>1</v>
      </c>
      <c r="O140" s="272">
        <v>1</v>
      </c>
      <c r="P140" s="272">
        <v>1</v>
      </c>
      <c r="Q140" s="272">
        <v>1</v>
      </c>
      <c r="R140" s="372">
        <v>1</v>
      </c>
      <c r="S140" s="395">
        <v>1</v>
      </c>
      <c r="T140" s="272">
        <v>1</v>
      </c>
      <c r="U140" s="272">
        <v>1</v>
      </c>
      <c r="V140" s="272">
        <v>1</v>
      </c>
      <c r="W140" s="272">
        <v>1</v>
      </c>
      <c r="X140" s="272">
        <v>1</v>
      </c>
      <c r="Y140" s="272">
        <v>1</v>
      </c>
      <c r="Z140" s="272">
        <v>1</v>
      </c>
      <c r="AA140" s="272">
        <v>1</v>
      </c>
      <c r="AB140" s="272">
        <v>1</v>
      </c>
      <c r="AC140" s="272">
        <v>1</v>
      </c>
      <c r="AD140" s="396">
        <v>1</v>
      </c>
      <c r="AE140" s="396">
        <v>1</v>
      </c>
      <c r="AF140" s="396">
        <v>1</v>
      </c>
      <c r="AG140" s="396">
        <v>1</v>
      </c>
      <c r="AH140" s="396">
        <v>1</v>
      </c>
      <c r="AI140" s="396">
        <v>1</v>
      </c>
      <c r="AJ140" s="396">
        <v>1</v>
      </c>
      <c r="AK140" s="396">
        <v>1</v>
      </c>
      <c r="AL140" s="396">
        <v>1</v>
      </c>
      <c r="AM140" s="396">
        <v>1</v>
      </c>
      <c r="AN140" s="396">
        <v>1</v>
      </c>
      <c r="AO140" s="396">
        <v>1</v>
      </c>
      <c r="AP140" s="396">
        <v>1</v>
      </c>
    </row>
    <row r="141" spans="1:42" s="140" customFormat="1" ht="13.5" hidden="1" customHeight="1" outlineLevel="3">
      <c r="A141" s="216"/>
      <c r="B141" s="255" t="s">
        <v>316</v>
      </c>
      <c r="C141" s="290" t="s">
        <v>245</v>
      </c>
      <c r="D141" s="227" t="s">
        <v>231</v>
      </c>
      <c r="E141" s="241"/>
      <c r="F141" s="228">
        <f t="shared" si="297"/>
        <v>9.0909090909090912E-2</v>
      </c>
      <c r="G141" s="269">
        <f>+F141*G133</f>
        <v>2.0168269000567696E-4</v>
      </c>
      <c r="H141" s="299"/>
      <c r="I141" s="299"/>
      <c r="J141" s="299"/>
      <c r="K141" s="299"/>
      <c r="L141" s="299"/>
      <c r="M141" s="299"/>
      <c r="N141" s="272">
        <v>1</v>
      </c>
      <c r="O141" s="272">
        <v>1</v>
      </c>
      <c r="P141" s="272">
        <v>1</v>
      </c>
      <c r="Q141" s="272">
        <v>1</v>
      </c>
      <c r="R141" s="372">
        <v>1</v>
      </c>
      <c r="S141" s="395">
        <v>1</v>
      </c>
      <c r="T141" s="272">
        <v>1</v>
      </c>
      <c r="U141" s="272">
        <v>1</v>
      </c>
      <c r="V141" s="272">
        <v>1</v>
      </c>
      <c r="W141" s="272">
        <v>1</v>
      </c>
      <c r="X141" s="272">
        <v>1</v>
      </c>
      <c r="Y141" s="272">
        <v>1</v>
      </c>
      <c r="Z141" s="272">
        <v>1</v>
      </c>
      <c r="AA141" s="272">
        <v>1</v>
      </c>
      <c r="AB141" s="272">
        <v>1</v>
      </c>
      <c r="AC141" s="272">
        <v>1</v>
      </c>
      <c r="AD141" s="396">
        <v>1</v>
      </c>
      <c r="AE141" s="396">
        <v>1</v>
      </c>
      <c r="AF141" s="396">
        <v>1</v>
      </c>
      <c r="AG141" s="396">
        <v>1</v>
      </c>
      <c r="AH141" s="396">
        <v>1</v>
      </c>
      <c r="AI141" s="396">
        <v>1</v>
      </c>
      <c r="AJ141" s="396">
        <v>1</v>
      </c>
      <c r="AK141" s="396">
        <v>1</v>
      </c>
      <c r="AL141" s="396">
        <v>1</v>
      </c>
      <c r="AM141" s="396">
        <v>1</v>
      </c>
      <c r="AN141" s="396">
        <v>1</v>
      </c>
      <c r="AO141" s="396">
        <v>1</v>
      </c>
      <c r="AP141" s="396">
        <v>1</v>
      </c>
    </row>
    <row r="142" spans="1:42" s="140" customFormat="1" ht="13.5" hidden="1" customHeight="1" outlineLevel="3">
      <c r="A142" s="216"/>
      <c r="B142" s="255" t="s">
        <v>317</v>
      </c>
      <c r="C142" s="290" t="s">
        <v>247</v>
      </c>
      <c r="D142" s="227" t="s">
        <v>231</v>
      </c>
      <c r="E142" s="241"/>
      <c r="F142" s="228">
        <f t="shared" si="297"/>
        <v>9.0909090909090912E-2</v>
      </c>
      <c r="G142" s="269">
        <f>+F142*G133</f>
        <v>2.0168269000567696E-4</v>
      </c>
      <c r="H142" s="299"/>
      <c r="I142" s="299"/>
      <c r="J142" s="299"/>
      <c r="K142" s="299"/>
      <c r="L142" s="299"/>
      <c r="M142" s="299"/>
      <c r="N142" s="272">
        <v>1</v>
      </c>
      <c r="O142" s="272">
        <v>1</v>
      </c>
      <c r="P142" s="272">
        <v>1</v>
      </c>
      <c r="Q142" s="272">
        <v>1</v>
      </c>
      <c r="R142" s="372">
        <v>1</v>
      </c>
      <c r="S142" s="395">
        <v>1</v>
      </c>
      <c r="T142" s="272">
        <v>1</v>
      </c>
      <c r="U142" s="272">
        <v>1</v>
      </c>
      <c r="V142" s="272">
        <v>1</v>
      </c>
      <c r="W142" s="272">
        <v>1</v>
      </c>
      <c r="X142" s="272">
        <v>1</v>
      </c>
      <c r="Y142" s="272">
        <v>1</v>
      </c>
      <c r="Z142" s="272">
        <v>1</v>
      </c>
      <c r="AA142" s="272">
        <v>1</v>
      </c>
      <c r="AB142" s="272">
        <v>1</v>
      </c>
      <c r="AC142" s="272">
        <v>1</v>
      </c>
      <c r="AD142" s="396">
        <v>1</v>
      </c>
      <c r="AE142" s="396">
        <v>1</v>
      </c>
      <c r="AF142" s="396">
        <v>1</v>
      </c>
      <c r="AG142" s="396">
        <v>1</v>
      </c>
      <c r="AH142" s="396">
        <v>1</v>
      </c>
      <c r="AI142" s="396">
        <v>1</v>
      </c>
      <c r="AJ142" s="396">
        <v>1</v>
      </c>
      <c r="AK142" s="396">
        <v>1</v>
      </c>
      <c r="AL142" s="396">
        <v>1</v>
      </c>
      <c r="AM142" s="396">
        <v>1</v>
      </c>
      <c r="AN142" s="396">
        <v>1</v>
      </c>
      <c r="AO142" s="396">
        <v>1</v>
      </c>
      <c r="AP142" s="396">
        <v>1</v>
      </c>
    </row>
    <row r="143" spans="1:42" s="140" customFormat="1" ht="13.5" hidden="1" customHeight="1" outlineLevel="3">
      <c r="A143" s="216"/>
      <c r="B143" s="255" t="s">
        <v>318</v>
      </c>
      <c r="C143" s="290" t="s">
        <v>249</v>
      </c>
      <c r="D143" s="227" t="s">
        <v>231</v>
      </c>
      <c r="E143" s="241"/>
      <c r="F143" s="228">
        <f t="shared" si="297"/>
        <v>9.0909090909090912E-2</v>
      </c>
      <c r="G143" s="269">
        <f>+F143*G133</f>
        <v>2.0168269000567696E-4</v>
      </c>
      <c r="H143" s="299"/>
      <c r="I143" s="299"/>
      <c r="J143" s="299"/>
      <c r="K143" s="299"/>
      <c r="L143" s="299"/>
      <c r="M143" s="299"/>
      <c r="N143" s="272">
        <v>1</v>
      </c>
      <c r="O143" s="272">
        <v>1</v>
      </c>
      <c r="P143" s="272">
        <v>1</v>
      </c>
      <c r="Q143" s="272">
        <v>1</v>
      </c>
      <c r="R143" s="372">
        <v>1</v>
      </c>
      <c r="S143" s="395">
        <v>1</v>
      </c>
      <c r="T143" s="272">
        <v>1</v>
      </c>
      <c r="U143" s="272">
        <v>1</v>
      </c>
      <c r="V143" s="272">
        <v>1</v>
      </c>
      <c r="W143" s="272">
        <v>1</v>
      </c>
      <c r="X143" s="272">
        <v>1</v>
      </c>
      <c r="Y143" s="272">
        <v>1</v>
      </c>
      <c r="Z143" s="272">
        <v>1</v>
      </c>
      <c r="AA143" s="272">
        <v>1</v>
      </c>
      <c r="AB143" s="272">
        <v>1</v>
      </c>
      <c r="AC143" s="272">
        <v>1</v>
      </c>
      <c r="AD143" s="396">
        <v>1</v>
      </c>
      <c r="AE143" s="396">
        <v>1</v>
      </c>
      <c r="AF143" s="396">
        <v>1</v>
      </c>
      <c r="AG143" s="396">
        <v>1</v>
      </c>
      <c r="AH143" s="396">
        <v>1</v>
      </c>
      <c r="AI143" s="396">
        <v>1</v>
      </c>
      <c r="AJ143" s="396">
        <v>1</v>
      </c>
      <c r="AK143" s="396">
        <v>1</v>
      </c>
      <c r="AL143" s="396">
        <v>1</v>
      </c>
      <c r="AM143" s="396">
        <v>1</v>
      </c>
      <c r="AN143" s="396">
        <v>1</v>
      </c>
      <c r="AO143" s="396">
        <v>1</v>
      </c>
      <c r="AP143" s="396">
        <v>1</v>
      </c>
    </row>
    <row r="144" spans="1:42" s="140" customFormat="1" ht="13.5" hidden="1" customHeight="1" outlineLevel="3">
      <c r="A144" s="216"/>
      <c r="B144" s="255" t="s">
        <v>319</v>
      </c>
      <c r="C144" s="290" t="s">
        <v>251</v>
      </c>
      <c r="D144" s="227" t="s">
        <v>231</v>
      </c>
      <c r="E144" s="241"/>
      <c r="F144" s="228">
        <f t="shared" si="297"/>
        <v>9.0909090909090912E-2</v>
      </c>
      <c r="G144" s="269">
        <f>+F144*G133</f>
        <v>2.0168269000567696E-4</v>
      </c>
      <c r="H144" s="299"/>
      <c r="I144" s="299"/>
      <c r="J144" s="299"/>
      <c r="K144" s="299"/>
      <c r="L144" s="299"/>
      <c r="M144" s="299"/>
      <c r="N144" s="272">
        <v>1</v>
      </c>
      <c r="O144" s="272">
        <v>1</v>
      </c>
      <c r="P144" s="272">
        <v>1</v>
      </c>
      <c r="Q144" s="272">
        <v>1</v>
      </c>
      <c r="R144" s="372">
        <v>1</v>
      </c>
      <c r="S144" s="395">
        <v>1</v>
      </c>
      <c r="T144" s="272">
        <v>1</v>
      </c>
      <c r="U144" s="272">
        <v>1</v>
      </c>
      <c r="V144" s="272">
        <v>1</v>
      </c>
      <c r="W144" s="272">
        <v>1</v>
      </c>
      <c r="X144" s="272">
        <v>1</v>
      </c>
      <c r="Y144" s="272">
        <v>1</v>
      </c>
      <c r="Z144" s="272">
        <v>1</v>
      </c>
      <c r="AA144" s="272">
        <v>1</v>
      </c>
      <c r="AB144" s="272">
        <v>1</v>
      </c>
      <c r="AC144" s="272">
        <v>1</v>
      </c>
      <c r="AD144" s="396">
        <v>1</v>
      </c>
      <c r="AE144" s="396">
        <v>1</v>
      </c>
      <c r="AF144" s="396">
        <v>1</v>
      </c>
      <c r="AG144" s="396">
        <v>1</v>
      </c>
      <c r="AH144" s="396">
        <v>1</v>
      </c>
      <c r="AI144" s="396">
        <v>1</v>
      </c>
      <c r="AJ144" s="396">
        <v>1</v>
      </c>
      <c r="AK144" s="396">
        <v>1</v>
      </c>
      <c r="AL144" s="396">
        <v>1</v>
      </c>
      <c r="AM144" s="396">
        <v>1</v>
      </c>
      <c r="AN144" s="396">
        <v>1</v>
      </c>
      <c r="AO144" s="396">
        <v>1</v>
      </c>
      <c r="AP144" s="396">
        <v>1</v>
      </c>
    </row>
    <row r="145" spans="1:42" s="140" customFormat="1" ht="13.5" hidden="1" customHeight="1" outlineLevel="2">
      <c r="A145" s="216"/>
      <c r="B145" s="291" t="s">
        <v>320</v>
      </c>
      <c r="C145" s="292" t="s">
        <v>39</v>
      </c>
      <c r="D145" s="234" t="s">
        <v>33</v>
      </c>
      <c r="E145" s="240"/>
      <c r="F145" s="223">
        <v>0.10115552784024648</v>
      </c>
      <c r="G145" s="293">
        <f>+F145*G84</f>
        <v>2.3702916513780627E-3</v>
      </c>
      <c r="H145" s="298"/>
      <c r="I145" s="298"/>
      <c r="J145" s="298"/>
      <c r="K145" s="298"/>
      <c r="L145" s="298"/>
      <c r="M145" s="298"/>
      <c r="N145" s="270">
        <f t="shared" ref="N145:R145" si="298">+SUMPRODUCT($F146:$F157,N146:N157)</f>
        <v>0.91666666666666674</v>
      </c>
      <c r="O145" s="270">
        <f t="shared" si="298"/>
        <v>0.91666666666666674</v>
      </c>
      <c r="P145" s="270">
        <f t="shared" si="298"/>
        <v>0.91666666666666674</v>
      </c>
      <c r="Q145" s="270">
        <f t="shared" si="298"/>
        <v>0.91666666666666674</v>
      </c>
      <c r="R145" s="370">
        <f t="shared" si="298"/>
        <v>0.91666666666666674</v>
      </c>
      <c r="S145" s="391">
        <f t="shared" ref="S145" si="299">+SUMPRODUCT($F146:$F157,S146:S157)</f>
        <v>0.91666666666666674</v>
      </c>
      <c r="T145" s="270">
        <f t="shared" ref="T145" si="300">+SUMPRODUCT($F146:$F157,T146:T157)</f>
        <v>0.91666666666666674</v>
      </c>
      <c r="U145" s="270">
        <f t="shared" ref="U145" si="301">+SUMPRODUCT($F146:$F157,U146:U157)</f>
        <v>0.91666666666666674</v>
      </c>
      <c r="V145" s="270">
        <f t="shared" ref="V145" si="302">+SUMPRODUCT($F146:$F157,V146:V157)</f>
        <v>0.91666666666666674</v>
      </c>
      <c r="W145" s="270">
        <f t="shared" ref="W145" si="303">+SUMPRODUCT($F146:$F157,W146:W157)</f>
        <v>0.91666666666666674</v>
      </c>
      <c r="X145" s="270">
        <f t="shared" ref="X145" si="304">+SUMPRODUCT($F146:$F157,X146:X157)</f>
        <v>0.91666666666666674</v>
      </c>
      <c r="Y145" s="270">
        <f t="shared" ref="Y145" si="305">+SUMPRODUCT($F146:$F157,Y146:Y157)</f>
        <v>0.91666666666666674</v>
      </c>
      <c r="Z145" s="270">
        <f t="shared" ref="Z145" si="306">+SUMPRODUCT($F146:$F157,Z146:Z157)</f>
        <v>0.91666666666666674</v>
      </c>
      <c r="AA145" s="270">
        <f t="shared" ref="AA145" si="307">+SUMPRODUCT($F146:$F157,AA146:AA157)</f>
        <v>0.91666666666666674</v>
      </c>
      <c r="AB145" s="270">
        <f t="shared" ref="AB145" si="308">+SUMPRODUCT($F146:$F157,AB146:AB157)</f>
        <v>0.91666666666666674</v>
      </c>
      <c r="AC145" s="270">
        <f t="shared" ref="AC145" si="309">+SUMPRODUCT($F146:$F157,AC146:AC157)</f>
        <v>0.91666666666666674</v>
      </c>
      <c r="AD145" s="392">
        <f t="shared" ref="AD145:AF145" si="310">+SUMPRODUCT($F146:$F157,AD146:AD157)</f>
        <v>0.91666666666666674</v>
      </c>
      <c r="AE145" s="392">
        <f t="shared" si="310"/>
        <v>0.91666666666666674</v>
      </c>
      <c r="AF145" s="392">
        <f t="shared" si="310"/>
        <v>0.91666666666666674</v>
      </c>
      <c r="AG145" s="392">
        <f t="shared" ref="AG145" si="311">+SUMPRODUCT($F146:$F157,AG146:AG157)</f>
        <v>0.91666666666666674</v>
      </c>
      <c r="AH145" s="392">
        <f t="shared" ref="AH145" si="312">+SUMPRODUCT($F146:$F157,AH146:AH157)</f>
        <v>0.91666666666666674</v>
      </c>
      <c r="AI145" s="392">
        <f t="shared" ref="AI145" si="313">+SUMPRODUCT($F146:$F157,AI146:AI157)</f>
        <v>0.91666666666666674</v>
      </c>
      <c r="AJ145" s="392">
        <f t="shared" ref="AJ145" si="314">+SUMPRODUCT($F146:$F157,AJ146:AJ157)</f>
        <v>0.91666666666666674</v>
      </c>
      <c r="AK145" s="392">
        <f t="shared" ref="AK145" si="315">+SUMPRODUCT($F146:$F157,AK146:AK157)</f>
        <v>0.91666666666666674</v>
      </c>
      <c r="AL145" s="392">
        <f t="shared" ref="AL145" si="316">+SUMPRODUCT($F146:$F157,AL146:AL157)</f>
        <v>0.91666666666666674</v>
      </c>
      <c r="AM145" s="392">
        <f t="shared" ref="AM145" si="317">+SUMPRODUCT($F146:$F157,AM146:AM157)</f>
        <v>0.91666666666666674</v>
      </c>
      <c r="AN145" s="392">
        <f t="shared" ref="AN145" si="318">+SUMPRODUCT($F146:$F157,AN146:AN157)</f>
        <v>0.91666666666666674</v>
      </c>
      <c r="AO145" s="392">
        <f t="shared" ref="AO145" si="319">+SUMPRODUCT($F146:$F157,AO146:AO157)</f>
        <v>0.91666666666666674</v>
      </c>
      <c r="AP145" s="392">
        <f t="shared" ref="AP145" si="320">+SUMPRODUCT($F146:$F157,AP146:AP157)</f>
        <v>0.91666666666666674</v>
      </c>
    </row>
    <row r="146" spans="1:42" s="140" customFormat="1" ht="13.5" hidden="1" customHeight="1" outlineLevel="3">
      <c r="A146" s="216"/>
      <c r="B146" s="255" t="s">
        <v>321</v>
      </c>
      <c r="C146" s="290" t="s">
        <v>230</v>
      </c>
      <c r="D146" s="227" t="s">
        <v>231</v>
      </c>
      <c r="E146" s="241"/>
      <c r="F146" s="228">
        <f t="shared" ref="F146:F157" si="321">F781</f>
        <v>8.3333333333333329E-2</v>
      </c>
      <c r="G146" s="269">
        <f>+F146*G145</f>
        <v>1.9752430428150521E-4</v>
      </c>
      <c r="H146" s="299"/>
      <c r="I146" s="299"/>
      <c r="J146" s="299"/>
      <c r="K146" s="299"/>
      <c r="L146" s="299"/>
      <c r="M146" s="299"/>
      <c r="N146" s="272">
        <v>0</v>
      </c>
      <c r="O146" s="272">
        <v>0</v>
      </c>
      <c r="P146" s="272">
        <v>0</v>
      </c>
      <c r="Q146" s="272">
        <v>0</v>
      </c>
      <c r="R146" s="372">
        <v>0</v>
      </c>
      <c r="S146" s="395">
        <v>0</v>
      </c>
      <c r="T146" s="272">
        <v>0</v>
      </c>
      <c r="U146" s="272">
        <v>0</v>
      </c>
      <c r="V146" s="272">
        <v>0</v>
      </c>
      <c r="W146" s="272">
        <v>0</v>
      </c>
      <c r="X146" s="272">
        <v>0</v>
      </c>
      <c r="Y146" s="272">
        <v>0</v>
      </c>
      <c r="Z146" s="272">
        <v>0</v>
      </c>
      <c r="AA146" s="272">
        <v>0</v>
      </c>
      <c r="AB146" s="272">
        <v>0</v>
      </c>
      <c r="AC146" s="272">
        <v>0</v>
      </c>
      <c r="AD146" s="396">
        <v>0</v>
      </c>
      <c r="AE146" s="396">
        <v>0</v>
      </c>
      <c r="AF146" s="396">
        <v>0</v>
      </c>
      <c r="AG146" s="396"/>
      <c r="AH146" s="396"/>
      <c r="AI146" s="396"/>
      <c r="AJ146" s="396"/>
      <c r="AK146" s="396"/>
      <c r="AL146" s="396"/>
      <c r="AM146" s="396"/>
      <c r="AN146" s="396"/>
      <c r="AO146" s="396"/>
      <c r="AP146" s="396"/>
    </row>
    <row r="147" spans="1:42" s="140" customFormat="1" ht="13.5" hidden="1" customHeight="1" outlineLevel="3">
      <c r="A147" s="216"/>
      <c r="B147" s="255" t="s">
        <v>322</v>
      </c>
      <c r="C147" s="290" t="s">
        <v>233</v>
      </c>
      <c r="D147" s="227" t="s">
        <v>231</v>
      </c>
      <c r="E147" s="241"/>
      <c r="F147" s="228">
        <f t="shared" si="321"/>
        <v>8.3333333333333329E-2</v>
      </c>
      <c r="G147" s="269">
        <f>+F147*G145</f>
        <v>1.9752430428150521E-4</v>
      </c>
      <c r="H147" s="299"/>
      <c r="I147" s="299"/>
      <c r="J147" s="299"/>
      <c r="K147" s="299"/>
      <c r="L147" s="299"/>
      <c r="M147" s="299"/>
      <c r="N147" s="272">
        <v>1</v>
      </c>
      <c r="O147" s="272">
        <v>1</v>
      </c>
      <c r="P147" s="272">
        <v>1</v>
      </c>
      <c r="Q147" s="272">
        <v>1</v>
      </c>
      <c r="R147" s="372">
        <v>1</v>
      </c>
      <c r="S147" s="395">
        <v>1</v>
      </c>
      <c r="T147" s="272">
        <v>1</v>
      </c>
      <c r="U147" s="272">
        <v>1</v>
      </c>
      <c r="V147" s="272">
        <v>1</v>
      </c>
      <c r="W147" s="272">
        <v>1</v>
      </c>
      <c r="X147" s="272">
        <v>1</v>
      </c>
      <c r="Y147" s="272">
        <v>1</v>
      </c>
      <c r="Z147" s="272">
        <v>1</v>
      </c>
      <c r="AA147" s="272">
        <v>1</v>
      </c>
      <c r="AB147" s="272">
        <v>1</v>
      </c>
      <c r="AC147" s="272">
        <v>1</v>
      </c>
      <c r="AD147" s="396">
        <v>1</v>
      </c>
      <c r="AE147" s="396">
        <v>1</v>
      </c>
      <c r="AF147" s="396">
        <v>1</v>
      </c>
      <c r="AG147" s="396">
        <v>1</v>
      </c>
      <c r="AH147" s="396">
        <v>1</v>
      </c>
      <c r="AI147" s="396">
        <v>1</v>
      </c>
      <c r="AJ147" s="396">
        <v>1</v>
      </c>
      <c r="AK147" s="396">
        <v>1</v>
      </c>
      <c r="AL147" s="396">
        <v>1</v>
      </c>
      <c r="AM147" s="396">
        <v>1</v>
      </c>
      <c r="AN147" s="396">
        <v>1</v>
      </c>
      <c r="AO147" s="396">
        <v>1</v>
      </c>
      <c r="AP147" s="396">
        <v>1</v>
      </c>
    </row>
    <row r="148" spans="1:42" s="140" customFormat="1" ht="13.5" hidden="1" customHeight="1" outlineLevel="3">
      <c r="A148" s="216"/>
      <c r="B148" s="255" t="s">
        <v>323</v>
      </c>
      <c r="C148" s="290" t="s">
        <v>235</v>
      </c>
      <c r="D148" s="227" t="s">
        <v>231</v>
      </c>
      <c r="E148" s="241"/>
      <c r="F148" s="228">
        <f t="shared" si="321"/>
        <v>8.3333333333333329E-2</v>
      </c>
      <c r="G148" s="269">
        <f>+F148*G145</f>
        <v>1.9752430428150521E-4</v>
      </c>
      <c r="H148" s="299"/>
      <c r="I148" s="299"/>
      <c r="J148" s="299"/>
      <c r="K148" s="299"/>
      <c r="L148" s="299"/>
      <c r="M148" s="299"/>
      <c r="N148" s="272">
        <v>1</v>
      </c>
      <c r="O148" s="272">
        <v>1</v>
      </c>
      <c r="P148" s="272">
        <v>1</v>
      </c>
      <c r="Q148" s="272">
        <v>1</v>
      </c>
      <c r="R148" s="372">
        <v>1</v>
      </c>
      <c r="S148" s="395">
        <v>1</v>
      </c>
      <c r="T148" s="272">
        <v>1</v>
      </c>
      <c r="U148" s="272">
        <v>1</v>
      </c>
      <c r="V148" s="272">
        <v>1</v>
      </c>
      <c r="W148" s="272">
        <v>1</v>
      </c>
      <c r="X148" s="272">
        <v>1</v>
      </c>
      <c r="Y148" s="272">
        <v>1</v>
      </c>
      <c r="Z148" s="272">
        <v>1</v>
      </c>
      <c r="AA148" s="272">
        <v>1</v>
      </c>
      <c r="AB148" s="272">
        <v>1</v>
      </c>
      <c r="AC148" s="272">
        <v>1</v>
      </c>
      <c r="AD148" s="396">
        <v>1</v>
      </c>
      <c r="AE148" s="396">
        <v>1</v>
      </c>
      <c r="AF148" s="396">
        <v>1</v>
      </c>
      <c r="AG148" s="396">
        <v>1</v>
      </c>
      <c r="AH148" s="396">
        <v>1</v>
      </c>
      <c r="AI148" s="396">
        <v>1</v>
      </c>
      <c r="AJ148" s="396">
        <v>1</v>
      </c>
      <c r="AK148" s="396">
        <v>1</v>
      </c>
      <c r="AL148" s="396">
        <v>1</v>
      </c>
      <c r="AM148" s="396">
        <v>1</v>
      </c>
      <c r="AN148" s="396">
        <v>1</v>
      </c>
      <c r="AO148" s="396">
        <v>1</v>
      </c>
      <c r="AP148" s="396">
        <v>1</v>
      </c>
    </row>
    <row r="149" spans="1:42" s="140" customFormat="1" ht="13.5" hidden="1" customHeight="1" outlineLevel="3">
      <c r="A149" s="216"/>
      <c r="B149" s="255" t="s">
        <v>324</v>
      </c>
      <c r="C149" s="290" t="s">
        <v>237</v>
      </c>
      <c r="D149" s="227" t="s">
        <v>231</v>
      </c>
      <c r="E149" s="241"/>
      <c r="F149" s="228">
        <f t="shared" si="321"/>
        <v>8.3333333333333329E-2</v>
      </c>
      <c r="G149" s="269">
        <f>+F149*G145</f>
        <v>1.9752430428150521E-4</v>
      </c>
      <c r="H149" s="299"/>
      <c r="I149" s="299"/>
      <c r="J149" s="299"/>
      <c r="K149" s="299"/>
      <c r="L149" s="299"/>
      <c r="M149" s="299"/>
      <c r="N149" s="272">
        <v>1</v>
      </c>
      <c r="O149" s="272">
        <v>1</v>
      </c>
      <c r="P149" s="272">
        <v>1</v>
      </c>
      <c r="Q149" s="272">
        <v>1</v>
      </c>
      <c r="R149" s="372">
        <v>1</v>
      </c>
      <c r="S149" s="395">
        <v>1</v>
      </c>
      <c r="T149" s="272">
        <v>1</v>
      </c>
      <c r="U149" s="272">
        <v>1</v>
      </c>
      <c r="V149" s="272">
        <v>1</v>
      </c>
      <c r="W149" s="272">
        <v>1</v>
      </c>
      <c r="X149" s="272">
        <v>1</v>
      </c>
      <c r="Y149" s="272">
        <v>1</v>
      </c>
      <c r="Z149" s="272">
        <v>1</v>
      </c>
      <c r="AA149" s="272">
        <v>1</v>
      </c>
      <c r="AB149" s="272">
        <v>1</v>
      </c>
      <c r="AC149" s="272">
        <v>1</v>
      </c>
      <c r="AD149" s="396">
        <v>1</v>
      </c>
      <c r="AE149" s="396">
        <v>1</v>
      </c>
      <c r="AF149" s="396">
        <v>1</v>
      </c>
      <c r="AG149" s="396">
        <v>1</v>
      </c>
      <c r="AH149" s="396">
        <v>1</v>
      </c>
      <c r="AI149" s="396">
        <v>1</v>
      </c>
      <c r="AJ149" s="396">
        <v>1</v>
      </c>
      <c r="AK149" s="396">
        <v>1</v>
      </c>
      <c r="AL149" s="396">
        <v>1</v>
      </c>
      <c r="AM149" s="396">
        <v>1</v>
      </c>
      <c r="AN149" s="396">
        <v>1</v>
      </c>
      <c r="AO149" s="396">
        <v>1</v>
      </c>
      <c r="AP149" s="396">
        <v>1</v>
      </c>
    </row>
    <row r="150" spans="1:42" s="140" customFormat="1" ht="13.5" hidden="1" customHeight="1" outlineLevel="3">
      <c r="A150" s="216"/>
      <c r="B150" s="255" t="s">
        <v>325</v>
      </c>
      <c r="C150" s="290" t="s">
        <v>239</v>
      </c>
      <c r="D150" s="227" t="s">
        <v>231</v>
      </c>
      <c r="E150" s="241"/>
      <c r="F150" s="228">
        <f t="shared" si="321"/>
        <v>8.3333333333333329E-2</v>
      </c>
      <c r="G150" s="269">
        <f>+F150*G145</f>
        <v>1.9752430428150521E-4</v>
      </c>
      <c r="H150" s="299"/>
      <c r="I150" s="299"/>
      <c r="J150" s="299"/>
      <c r="K150" s="299"/>
      <c r="L150" s="299"/>
      <c r="M150" s="299"/>
      <c r="N150" s="272">
        <v>1</v>
      </c>
      <c r="O150" s="272">
        <v>1</v>
      </c>
      <c r="P150" s="272">
        <v>1</v>
      </c>
      <c r="Q150" s="272">
        <v>1</v>
      </c>
      <c r="R150" s="372">
        <v>1</v>
      </c>
      <c r="S150" s="395">
        <v>1</v>
      </c>
      <c r="T150" s="272">
        <v>1</v>
      </c>
      <c r="U150" s="272">
        <v>1</v>
      </c>
      <c r="V150" s="272">
        <v>1</v>
      </c>
      <c r="W150" s="272">
        <v>1</v>
      </c>
      <c r="X150" s="272">
        <v>1</v>
      </c>
      <c r="Y150" s="272">
        <v>1</v>
      </c>
      <c r="Z150" s="272">
        <v>1</v>
      </c>
      <c r="AA150" s="272">
        <v>1</v>
      </c>
      <c r="AB150" s="272">
        <v>1</v>
      </c>
      <c r="AC150" s="272">
        <v>1</v>
      </c>
      <c r="AD150" s="396">
        <v>1</v>
      </c>
      <c r="AE150" s="396">
        <v>1</v>
      </c>
      <c r="AF150" s="396">
        <v>1</v>
      </c>
      <c r="AG150" s="396">
        <v>1</v>
      </c>
      <c r="AH150" s="396">
        <v>1</v>
      </c>
      <c r="AI150" s="396">
        <v>1</v>
      </c>
      <c r="AJ150" s="396">
        <v>1</v>
      </c>
      <c r="AK150" s="396">
        <v>1</v>
      </c>
      <c r="AL150" s="396">
        <v>1</v>
      </c>
      <c r="AM150" s="396">
        <v>1</v>
      </c>
      <c r="AN150" s="396">
        <v>1</v>
      </c>
      <c r="AO150" s="396">
        <v>1</v>
      </c>
      <c r="AP150" s="396">
        <v>1</v>
      </c>
    </row>
    <row r="151" spans="1:42" s="140" customFormat="1" ht="13.5" hidden="1" customHeight="1" outlineLevel="3">
      <c r="A151" s="216"/>
      <c r="B151" s="255" t="s">
        <v>326</v>
      </c>
      <c r="C151" s="290" t="s">
        <v>241</v>
      </c>
      <c r="D151" s="227" t="s">
        <v>231</v>
      </c>
      <c r="E151" s="241"/>
      <c r="F151" s="228">
        <f t="shared" si="321"/>
        <v>8.3333333333333329E-2</v>
      </c>
      <c r="G151" s="269">
        <f>+F151*G145</f>
        <v>1.9752430428150521E-4</v>
      </c>
      <c r="H151" s="299"/>
      <c r="I151" s="299"/>
      <c r="J151" s="299"/>
      <c r="K151" s="299"/>
      <c r="L151" s="299"/>
      <c r="M151" s="299"/>
      <c r="N151" s="272">
        <v>1</v>
      </c>
      <c r="O151" s="272">
        <v>1</v>
      </c>
      <c r="P151" s="272">
        <v>1</v>
      </c>
      <c r="Q151" s="272">
        <v>1</v>
      </c>
      <c r="R151" s="372">
        <v>1</v>
      </c>
      <c r="S151" s="395">
        <v>1</v>
      </c>
      <c r="T151" s="272">
        <v>1</v>
      </c>
      <c r="U151" s="272">
        <v>1</v>
      </c>
      <c r="V151" s="272">
        <v>1</v>
      </c>
      <c r="W151" s="272">
        <v>1</v>
      </c>
      <c r="X151" s="272">
        <v>1</v>
      </c>
      <c r="Y151" s="272">
        <v>1</v>
      </c>
      <c r="Z151" s="272">
        <v>1</v>
      </c>
      <c r="AA151" s="272">
        <v>1</v>
      </c>
      <c r="AB151" s="272">
        <v>1</v>
      </c>
      <c r="AC151" s="272">
        <v>1</v>
      </c>
      <c r="AD151" s="396">
        <v>1</v>
      </c>
      <c r="AE151" s="396">
        <v>1</v>
      </c>
      <c r="AF151" s="396">
        <v>1</v>
      </c>
      <c r="AG151" s="396">
        <v>1</v>
      </c>
      <c r="AH151" s="396">
        <v>1</v>
      </c>
      <c r="AI151" s="396">
        <v>1</v>
      </c>
      <c r="AJ151" s="396">
        <v>1</v>
      </c>
      <c r="AK151" s="396">
        <v>1</v>
      </c>
      <c r="AL151" s="396">
        <v>1</v>
      </c>
      <c r="AM151" s="396">
        <v>1</v>
      </c>
      <c r="AN151" s="396">
        <v>1</v>
      </c>
      <c r="AO151" s="396">
        <v>1</v>
      </c>
      <c r="AP151" s="396">
        <v>1</v>
      </c>
    </row>
    <row r="152" spans="1:42" s="140" customFormat="1" ht="13.5" hidden="1" customHeight="1" outlineLevel="3">
      <c r="A152" s="216"/>
      <c r="B152" s="255" t="s">
        <v>327</v>
      </c>
      <c r="C152" s="290" t="s">
        <v>243</v>
      </c>
      <c r="D152" s="227" t="s">
        <v>231</v>
      </c>
      <c r="E152" s="241"/>
      <c r="F152" s="228">
        <f t="shared" si="321"/>
        <v>8.3333333333333329E-2</v>
      </c>
      <c r="G152" s="269">
        <f>+F152*G145</f>
        <v>1.9752430428150521E-4</v>
      </c>
      <c r="H152" s="299"/>
      <c r="I152" s="299"/>
      <c r="J152" s="299"/>
      <c r="K152" s="299"/>
      <c r="L152" s="299"/>
      <c r="M152" s="299"/>
      <c r="N152" s="272">
        <v>1</v>
      </c>
      <c r="O152" s="272">
        <v>1</v>
      </c>
      <c r="P152" s="272">
        <v>1</v>
      </c>
      <c r="Q152" s="272">
        <v>1</v>
      </c>
      <c r="R152" s="372">
        <v>1</v>
      </c>
      <c r="S152" s="395">
        <v>1</v>
      </c>
      <c r="T152" s="272">
        <v>1</v>
      </c>
      <c r="U152" s="272">
        <v>1</v>
      </c>
      <c r="V152" s="272">
        <v>1</v>
      </c>
      <c r="W152" s="272">
        <v>1</v>
      </c>
      <c r="X152" s="272">
        <v>1</v>
      </c>
      <c r="Y152" s="272">
        <v>1</v>
      </c>
      <c r="Z152" s="272">
        <v>1</v>
      </c>
      <c r="AA152" s="272">
        <v>1</v>
      </c>
      <c r="AB152" s="272">
        <v>1</v>
      </c>
      <c r="AC152" s="272">
        <v>1</v>
      </c>
      <c r="AD152" s="396">
        <v>1</v>
      </c>
      <c r="AE152" s="396">
        <v>1</v>
      </c>
      <c r="AF152" s="396">
        <v>1</v>
      </c>
      <c r="AG152" s="396">
        <v>1</v>
      </c>
      <c r="AH152" s="396">
        <v>1</v>
      </c>
      <c r="AI152" s="396">
        <v>1</v>
      </c>
      <c r="AJ152" s="396">
        <v>1</v>
      </c>
      <c r="AK152" s="396">
        <v>1</v>
      </c>
      <c r="AL152" s="396">
        <v>1</v>
      </c>
      <c r="AM152" s="396">
        <v>1</v>
      </c>
      <c r="AN152" s="396">
        <v>1</v>
      </c>
      <c r="AO152" s="396">
        <v>1</v>
      </c>
      <c r="AP152" s="396">
        <v>1</v>
      </c>
    </row>
    <row r="153" spans="1:42" s="140" customFormat="1" ht="13.5" hidden="1" customHeight="1" outlineLevel="3">
      <c r="A153" s="216"/>
      <c r="B153" s="255" t="s">
        <v>328</v>
      </c>
      <c r="C153" s="290" t="s">
        <v>245</v>
      </c>
      <c r="D153" s="227" t="s">
        <v>231</v>
      </c>
      <c r="E153" s="241"/>
      <c r="F153" s="228">
        <f t="shared" si="321"/>
        <v>8.3333333333333329E-2</v>
      </c>
      <c r="G153" s="269">
        <f>+F153*G145</f>
        <v>1.9752430428150521E-4</v>
      </c>
      <c r="H153" s="299"/>
      <c r="I153" s="299"/>
      <c r="J153" s="299"/>
      <c r="K153" s="299"/>
      <c r="L153" s="299"/>
      <c r="M153" s="299"/>
      <c r="N153" s="272">
        <v>1</v>
      </c>
      <c r="O153" s="272">
        <v>1</v>
      </c>
      <c r="P153" s="272">
        <v>1</v>
      </c>
      <c r="Q153" s="272">
        <v>1</v>
      </c>
      <c r="R153" s="372">
        <v>1</v>
      </c>
      <c r="S153" s="395">
        <v>1</v>
      </c>
      <c r="T153" s="272">
        <v>1</v>
      </c>
      <c r="U153" s="272">
        <v>1</v>
      </c>
      <c r="V153" s="272">
        <v>1</v>
      </c>
      <c r="W153" s="272">
        <v>1</v>
      </c>
      <c r="X153" s="272">
        <v>1</v>
      </c>
      <c r="Y153" s="272">
        <v>1</v>
      </c>
      <c r="Z153" s="272">
        <v>1</v>
      </c>
      <c r="AA153" s="272">
        <v>1</v>
      </c>
      <c r="AB153" s="272">
        <v>1</v>
      </c>
      <c r="AC153" s="272">
        <v>1</v>
      </c>
      <c r="AD153" s="396">
        <v>1</v>
      </c>
      <c r="AE153" s="396">
        <v>1</v>
      </c>
      <c r="AF153" s="396">
        <v>1</v>
      </c>
      <c r="AG153" s="396">
        <v>1</v>
      </c>
      <c r="AH153" s="396">
        <v>1</v>
      </c>
      <c r="AI153" s="396">
        <v>1</v>
      </c>
      <c r="AJ153" s="396">
        <v>1</v>
      </c>
      <c r="AK153" s="396">
        <v>1</v>
      </c>
      <c r="AL153" s="396">
        <v>1</v>
      </c>
      <c r="AM153" s="396">
        <v>1</v>
      </c>
      <c r="AN153" s="396">
        <v>1</v>
      </c>
      <c r="AO153" s="396">
        <v>1</v>
      </c>
      <c r="AP153" s="396">
        <v>1</v>
      </c>
    </row>
    <row r="154" spans="1:42" s="140" customFormat="1" ht="13.5" hidden="1" customHeight="1" outlineLevel="3">
      <c r="A154" s="216"/>
      <c r="B154" s="255" t="s">
        <v>329</v>
      </c>
      <c r="C154" s="290" t="s">
        <v>247</v>
      </c>
      <c r="D154" s="227" t="s">
        <v>231</v>
      </c>
      <c r="E154" s="241"/>
      <c r="F154" s="228">
        <f t="shared" si="321"/>
        <v>8.3333333333333329E-2</v>
      </c>
      <c r="G154" s="269">
        <f>+F154*G145</f>
        <v>1.9752430428150521E-4</v>
      </c>
      <c r="H154" s="299"/>
      <c r="I154" s="299"/>
      <c r="J154" s="299"/>
      <c r="K154" s="299"/>
      <c r="L154" s="299"/>
      <c r="M154" s="299"/>
      <c r="N154" s="272">
        <v>1</v>
      </c>
      <c r="O154" s="272">
        <v>1</v>
      </c>
      <c r="P154" s="272">
        <v>1</v>
      </c>
      <c r="Q154" s="272">
        <v>1</v>
      </c>
      <c r="R154" s="372">
        <v>1</v>
      </c>
      <c r="S154" s="395">
        <v>1</v>
      </c>
      <c r="T154" s="272">
        <v>1</v>
      </c>
      <c r="U154" s="272">
        <v>1</v>
      </c>
      <c r="V154" s="272">
        <v>1</v>
      </c>
      <c r="W154" s="272">
        <v>1</v>
      </c>
      <c r="X154" s="272">
        <v>1</v>
      </c>
      <c r="Y154" s="272">
        <v>1</v>
      </c>
      <c r="Z154" s="272">
        <v>1</v>
      </c>
      <c r="AA154" s="272">
        <v>1</v>
      </c>
      <c r="AB154" s="272">
        <v>1</v>
      </c>
      <c r="AC154" s="272">
        <v>1</v>
      </c>
      <c r="AD154" s="396">
        <v>1</v>
      </c>
      <c r="AE154" s="396">
        <v>1</v>
      </c>
      <c r="AF154" s="396">
        <v>1</v>
      </c>
      <c r="AG154" s="396">
        <v>1</v>
      </c>
      <c r="AH154" s="396">
        <v>1</v>
      </c>
      <c r="AI154" s="396">
        <v>1</v>
      </c>
      <c r="AJ154" s="396">
        <v>1</v>
      </c>
      <c r="AK154" s="396">
        <v>1</v>
      </c>
      <c r="AL154" s="396">
        <v>1</v>
      </c>
      <c r="AM154" s="396">
        <v>1</v>
      </c>
      <c r="AN154" s="396">
        <v>1</v>
      </c>
      <c r="AO154" s="396">
        <v>1</v>
      </c>
      <c r="AP154" s="396">
        <v>1</v>
      </c>
    </row>
    <row r="155" spans="1:42" s="140" customFormat="1" ht="13.5" hidden="1" customHeight="1" outlineLevel="3">
      <c r="A155" s="216"/>
      <c r="B155" s="255" t="s">
        <v>330</v>
      </c>
      <c r="C155" s="290" t="s">
        <v>249</v>
      </c>
      <c r="D155" s="227" t="s">
        <v>231</v>
      </c>
      <c r="E155" s="241"/>
      <c r="F155" s="228">
        <f t="shared" si="321"/>
        <v>8.3333333333333329E-2</v>
      </c>
      <c r="G155" s="269">
        <f>+F155*G145</f>
        <v>1.9752430428150521E-4</v>
      </c>
      <c r="H155" s="299"/>
      <c r="I155" s="299"/>
      <c r="J155" s="299"/>
      <c r="K155" s="299"/>
      <c r="L155" s="299"/>
      <c r="M155" s="299"/>
      <c r="N155" s="272">
        <v>1</v>
      </c>
      <c r="O155" s="272">
        <v>1</v>
      </c>
      <c r="P155" s="272">
        <v>1</v>
      </c>
      <c r="Q155" s="272">
        <v>1</v>
      </c>
      <c r="R155" s="372">
        <v>1</v>
      </c>
      <c r="S155" s="395">
        <v>1</v>
      </c>
      <c r="T155" s="272">
        <v>1</v>
      </c>
      <c r="U155" s="272">
        <v>1</v>
      </c>
      <c r="V155" s="272">
        <v>1</v>
      </c>
      <c r="W155" s="272">
        <v>1</v>
      </c>
      <c r="X155" s="272">
        <v>1</v>
      </c>
      <c r="Y155" s="272">
        <v>1</v>
      </c>
      <c r="Z155" s="272">
        <v>1</v>
      </c>
      <c r="AA155" s="272">
        <v>1</v>
      </c>
      <c r="AB155" s="272">
        <v>1</v>
      </c>
      <c r="AC155" s="272">
        <v>1</v>
      </c>
      <c r="AD155" s="396">
        <v>1</v>
      </c>
      <c r="AE155" s="396">
        <v>1</v>
      </c>
      <c r="AF155" s="396">
        <v>1</v>
      </c>
      <c r="AG155" s="396">
        <v>1</v>
      </c>
      <c r="AH155" s="396">
        <v>1</v>
      </c>
      <c r="AI155" s="396">
        <v>1</v>
      </c>
      <c r="AJ155" s="396">
        <v>1</v>
      </c>
      <c r="AK155" s="396">
        <v>1</v>
      </c>
      <c r="AL155" s="396">
        <v>1</v>
      </c>
      <c r="AM155" s="396">
        <v>1</v>
      </c>
      <c r="AN155" s="396">
        <v>1</v>
      </c>
      <c r="AO155" s="396">
        <v>1</v>
      </c>
      <c r="AP155" s="396">
        <v>1</v>
      </c>
    </row>
    <row r="156" spans="1:42" s="140" customFormat="1" ht="13.5" hidden="1" customHeight="1" outlineLevel="3">
      <c r="A156" s="216"/>
      <c r="B156" s="255" t="s">
        <v>331</v>
      </c>
      <c r="C156" s="290" t="s">
        <v>251</v>
      </c>
      <c r="D156" s="227" t="s">
        <v>231</v>
      </c>
      <c r="E156" s="241"/>
      <c r="F156" s="228">
        <f t="shared" si="321"/>
        <v>8.3333333333333329E-2</v>
      </c>
      <c r="G156" s="269">
        <f>+F156*G145</f>
        <v>1.9752430428150521E-4</v>
      </c>
      <c r="H156" s="299"/>
      <c r="I156" s="299"/>
      <c r="J156" s="299"/>
      <c r="K156" s="299"/>
      <c r="L156" s="299"/>
      <c r="M156" s="299"/>
      <c r="N156" s="272">
        <v>1</v>
      </c>
      <c r="O156" s="272">
        <v>1</v>
      </c>
      <c r="P156" s="272">
        <v>1</v>
      </c>
      <c r="Q156" s="272">
        <v>1</v>
      </c>
      <c r="R156" s="372">
        <v>1</v>
      </c>
      <c r="S156" s="395">
        <v>1</v>
      </c>
      <c r="T156" s="272">
        <v>1</v>
      </c>
      <c r="U156" s="272">
        <v>1</v>
      </c>
      <c r="V156" s="272">
        <v>1</v>
      </c>
      <c r="W156" s="272">
        <v>1</v>
      </c>
      <c r="X156" s="272">
        <v>1</v>
      </c>
      <c r="Y156" s="272">
        <v>1</v>
      </c>
      <c r="Z156" s="272">
        <v>1</v>
      </c>
      <c r="AA156" s="272">
        <v>1</v>
      </c>
      <c r="AB156" s="272">
        <v>1</v>
      </c>
      <c r="AC156" s="272">
        <v>1</v>
      </c>
      <c r="AD156" s="396">
        <v>1</v>
      </c>
      <c r="AE156" s="396">
        <v>1</v>
      </c>
      <c r="AF156" s="396">
        <v>1</v>
      </c>
      <c r="AG156" s="396">
        <v>1</v>
      </c>
      <c r="AH156" s="396">
        <v>1</v>
      </c>
      <c r="AI156" s="396">
        <v>1</v>
      </c>
      <c r="AJ156" s="396">
        <v>1</v>
      </c>
      <c r="AK156" s="396">
        <v>1</v>
      </c>
      <c r="AL156" s="396">
        <v>1</v>
      </c>
      <c r="AM156" s="396">
        <v>1</v>
      </c>
      <c r="AN156" s="396">
        <v>1</v>
      </c>
      <c r="AO156" s="396">
        <v>1</v>
      </c>
      <c r="AP156" s="396">
        <v>1</v>
      </c>
    </row>
    <row r="157" spans="1:42" s="140" customFormat="1" ht="13.5" hidden="1" customHeight="1" outlineLevel="3">
      <c r="A157" s="216"/>
      <c r="B157" s="255" t="s">
        <v>332</v>
      </c>
      <c r="C157" s="290" t="s">
        <v>253</v>
      </c>
      <c r="D157" s="227" t="s">
        <v>231</v>
      </c>
      <c r="E157" s="241"/>
      <c r="F157" s="228">
        <f t="shared" si="321"/>
        <v>8.3333333333333329E-2</v>
      </c>
      <c r="G157" s="269">
        <f>+F157*G145</f>
        <v>1.9752430428150521E-4</v>
      </c>
      <c r="H157" s="299"/>
      <c r="I157" s="299"/>
      <c r="J157" s="299"/>
      <c r="K157" s="299"/>
      <c r="L157" s="299"/>
      <c r="M157" s="299"/>
      <c r="N157" s="272">
        <v>1</v>
      </c>
      <c r="O157" s="272">
        <v>1</v>
      </c>
      <c r="P157" s="272">
        <v>1</v>
      </c>
      <c r="Q157" s="272">
        <v>1</v>
      </c>
      <c r="R157" s="372">
        <v>1</v>
      </c>
      <c r="S157" s="395">
        <v>1</v>
      </c>
      <c r="T157" s="272">
        <v>1</v>
      </c>
      <c r="U157" s="272">
        <v>1</v>
      </c>
      <c r="V157" s="272">
        <v>1</v>
      </c>
      <c r="W157" s="272">
        <v>1</v>
      </c>
      <c r="X157" s="272">
        <v>1</v>
      </c>
      <c r="Y157" s="272">
        <v>1</v>
      </c>
      <c r="Z157" s="272">
        <v>1</v>
      </c>
      <c r="AA157" s="272">
        <v>1</v>
      </c>
      <c r="AB157" s="272">
        <v>1</v>
      </c>
      <c r="AC157" s="272">
        <v>1</v>
      </c>
      <c r="AD157" s="396">
        <v>1</v>
      </c>
      <c r="AE157" s="396">
        <v>1</v>
      </c>
      <c r="AF157" s="396">
        <v>1</v>
      </c>
      <c r="AG157" s="396">
        <v>1</v>
      </c>
      <c r="AH157" s="396">
        <v>1</v>
      </c>
      <c r="AI157" s="396">
        <v>1</v>
      </c>
      <c r="AJ157" s="396">
        <v>1</v>
      </c>
      <c r="AK157" s="396">
        <v>1</v>
      </c>
      <c r="AL157" s="396">
        <v>1</v>
      </c>
      <c r="AM157" s="396">
        <v>1</v>
      </c>
      <c r="AN157" s="396">
        <v>1</v>
      </c>
      <c r="AO157" s="396">
        <v>1</v>
      </c>
      <c r="AP157" s="396">
        <v>1</v>
      </c>
    </row>
    <row r="158" spans="1:42" s="140" customFormat="1" ht="13.5" hidden="1" customHeight="1" outlineLevel="2">
      <c r="A158" s="216"/>
      <c r="B158" s="291" t="s">
        <v>333</v>
      </c>
      <c r="C158" s="292" t="s">
        <v>41</v>
      </c>
      <c r="D158" s="234" t="s">
        <v>33</v>
      </c>
      <c r="E158" s="240"/>
      <c r="F158" s="223">
        <v>0.11541079389014661</v>
      </c>
      <c r="G158" s="293">
        <f>+F158*G84</f>
        <v>2.7043232048450578E-3</v>
      </c>
      <c r="H158" s="298"/>
      <c r="I158" s="298"/>
      <c r="J158" s="298"/>
      <c r="K158" s="298"/>
      <c r="L158" s="298"/>
      <c r="M158" s="298"/>
      <c r="N158" s="270">
        <f t="shared" ref="N158:R158" si="322">+SUMPRODUCT($F159:$F172,N159:N172)</f>
        <v>0.99999999999999967</v>
      </c>
      <c r="O158" s="270">
        <f t="shared" si="322"/>
        <v>0.99999999999999967</v>
      </c>
      <c r="P158" s="270">
        <f t="shared" si="322"/>
        <v>0.99999999999999967</v>
      </c>
      <c r="Q158" s="270">
        <f t="shared" si="322"/>
        <v>0.99999999999999967</v>
      </c>
      <c r="R158" s="370">
        <f t="shared" si="322"/>
        <v>0.99999999999999967</v>
      </c>
      <c r="S158" s="391">
        <f t="shared" ref="S158" si="323">+SUMPRODUCT($F159:$F172,S159:S172)</f>
        <v>0.99999999999999967</v>
      </c>
      <c r="T158" s="270">
        <f t="shared" ref="T158" si="324">+SUMPRODUCT($F159:$F172,T159:T172)</f>
        <v>0.99999999999999967</v>
      </c>
      <c r="U158" s="270">
        <f t="shared" ref="U158" si="325">+SUMPRODUCT($F159:$F172,U159:U172)</f>
        <v>0.99999999999999967</v>
      </c>
      <c r="V158" s="270">
        <f t="shared" ref="V158" si="326">+SUMPRODUCT($F159:$F172,V159:V172)</f>
        <v>0.99999999999999967</v>
      </c>
      <c r="W158" s="270">
        <f t="shared" ref="W158" si="327">+SUMPRODUCT($F159:$F172,W159:W172)</f>
        <v>0.99999999999999967</v>
      </c>
      <c r="X158" s="270">
        <f t="shared" ref="X158" si="328">+SUMPRODUCT($F159:$F172,X159:X172)</f>
        <v>0.99999999999999967</v>
      </c>
      <c r="Y158" s="270">
        <f t="shared" ref="Y158" si="329">+SUMPRODUCT($F159:$F172,Y159:Y172)</f>
        <v>0.99999999999999967</v>
      </c>
      <c r="Z158" s="270">
        <f t="shared" ref="Z158" si="330">+SUMPRODUCT($F159:$F172,Z159:Z172)</f>
        <v>0.99999999999999967</v>
      </c>
      <c r="AA158" s="270">
        <f t="shared" ref="AA158" si="331">+SUMPRODUCT($F159:$F172,AA159:AA172)</f>
        <v>0.99999999999999967</v>
      </c>
      <c r="AB158" s="270">
        <f t="shared" ref="AB158" si="332">+SUMPRODUCT($F159:$F172,AB159:AB172)</f>
        <v>0.99999999999999967</v>
      </c>
      <c r="AC158" s="270">
        <f t="shared" ref="AC158" si="333">+SUMPRODUCT($F159:$F172,AC159:AC172)</f>
        <v>0.99999999999999967</v>
      </c>
      <c r="AD158" s="392">
        <f t="shared" ref="AD158:AF158" si="334">+SUMPRODUCT($F159:$F172,AD159:AD172)</f>
        <v>0.99999999999999967</v>
      </c>
      <c r="AE158" s="392">
        <f t="shared" si="334"/>
        <v>0.99999999999999967</v>
      </c>
      <c r="AF158" s="392">
        <f t="shared" si="334"/>
        <v>0.99999999999999967</v>
      </c>
      <c r="AG158" s="392">
        <f t="shared" ref="AG158" si="335">+SUMPRODUCT($F159:$F172,AG159:AG172)</f>
        <v>0.99999999999999967</v>
      </c>
      <c r="AH158" s="392">
        <f t="shared" ref="AH158" si="336">+SUMPRODUCT($F159:$F172,AH159:AH172)</f>
        <v>0.99999999999999967</v>
      </c>
      <c r="AI158" s="392">
        <f t="shared" ref="AI158" si="337">+SUMPRODUCT($F159:$F172,AI159:AI172)</f>
        <v>0.99999999999999967</v>
      </c>
      <c r="AJ158" s="392">
        <f t="shared" ref="AJ158" si="338">+SUMPRODUCT($F159:$F172,AJ159:AJ172)</f>
        <v>0.99999999999999967</v>
      </c>
      <c r="AK158" s="392">
        <f t="shared" ref="AK158" si="339">+SUMPRODUCT($F159:$F172,AK159:AK172)</f>
        <v>0.99999999999999967</v>
      </c>
      <c r="AL158" s="392">
        <f t="shared" ref="AL158" si="340">+SUMPRODUCT($F159:$F172,AL159:AL172)</f>
        <v>0.99999999999999967</v>
      </c>
      <c r="AM158" s="392">
        <f t="shared" ref="AM158" si="341">+SUMPRODUCT($F159:$F172,AM159:AM172)</f>
        <v>0.99999999999999967</v>
      </c>
      <c r="AN158" s="392">
        <f t="shared" ref="AN158" si="342">+SUMPRODUCT($F159:$F172,AN159:AN172)</f>
        <v>0.99999999999999967</v>
      </c>
      <c r="AO158" s="392">
        <f t="shared" ref="AO158" si="343">+SUMPRODUCT($F159:$F172,AO159:AO172)</f>
        <v>0.99999999999999967</v>
      </c>
      <c r="AP158" s="392">
        <f t="shared" ref="AP158" si="344">+SUMPRODUCT($F159:$F172,AP159:AP172)</f>
        <v>0.99999999999999967</v>
      </c>
    </row>
    <row r="159" spans="1:42" s="140" customFormat="1" ht="13.5" hidden="1" customHeight="1" outlineLevel="3">
      <c r="A159" s="216"/>
      <c r="B159" s="255" t="s">
        <v>334</v>
      </c>
      <c r="C159" s="290" t="s">
        <v>230</v>
      </c>
      <c r="D159" s="227" t="s">
        <v>231</v>
      </c>
      <c r="E159" s="241"/>
      <c r="F159" s="228">
        <f t="shared" ref="F159:F172" si="345">F794</f>
        <v>7.1428571428571411E-2</v>
      </c>
      <c r="G159" s="269">
        <f>+F159*G158</f>
        <v>1.9316594320321838E-4</v>
      </c>
      <c r="H159" s="299"/>
      <c r="I159" s="299"/>
      <c r="J159" s="299"/>
      <c r="K159" s="299"/>
      <c r="L159" s="299"/>
      <c r="M159" s="299"/>
      <c r="N159" s="272">
        <v>1</v>
      </c>
      <c r="O159" s="272">
        <v>1</v>
      </c>
      <c r="P159" s="272">
        <v>1</v>
      </c>
      <c r="Q159" s="272">
        <v>1</v>
      </c>
      <c r="R159" s="372">
        <v>1</v>
      </c>
      <c r="S159" s="395">
        <v>1</v>
      </c>
      <c r="T159" s="272">
        <v>1</v>
      </c>
      <c r="U159" s="272">
        <v>1</v>
      </c>
      <c r="V159" s="272">
        <v>1</v>
      </c>
      <c r="W159" s="272">
        <v>1</v>
      </c>
      <c r="X159" s="272">
        <v>1</v>
      </c>
      <c r="Y159" s="272">
        <v>1</v>
      </c>
      <c r="Z159" s="272">
        <v>1</v>
      </c>
      <c r="AA159" s="272">
        <v>1</v>
      </c>
      <c r="AB159" s="272">
        <v>1</v>
      </c>
      <c r="AC159" s="272">
        <v>1</v>
      </c>
      <c r="AD159" s="396">
        <v>1</v>
      </c>
      <c r="AE159" s="396">
        <v>1</v>
      </c>
      <c r="AF159" s="396">
        <v>1</v>
      </c>
      <c r="AG159" s="396">
        <v>1</v>
      </c>
      <c r="AH159" s="396">
        <v>1</v>
      </c>
      <c r="AI159" s="396">
        <v>1</v>
      </c>
      <c r="AJ159" s="396">
        <v>1</v>
      </c>
      <c r="AK159" s="396">
        <v>1</v>
      </c>
      <c r="AL159" s="396">
        <v>1</v>
      </c>
      <c r="AM159" s="396">
        <v>1</v>
      </c>
      <c r="AN159" s="396">
        <v>1</v>
      </c>
      <c r="AO159" s="396">
        <v>1</v>
      </c>
      <c r="AP159" s="396">
        <v>1</v>
      </c>
    </row>
    <row r="160" spans="1:42" s="140" customFormat="1" ht="13.5" hidden="1" customHeight="1" outlineLevel="3">
      <c r="A160" s="216"/>
      <c r="B160" s="255" t="s">
        <v>335</v>
      </c>
      <c r="C160" s="290" t="s">
        <v>233</v>
      </c>
      <c r="D160" s="227" t="s">
        <v>231</v>
      </c>
      <c r="E160" s="241"/>
      <c r="F160" s="228">
        <f t="shared" si="345"/>
        <v>7.1428571428571411E-2</v>
      </c>
      <c r="G160" s="269">
        <f>+F160*G158</f>
        <v>1.9316594320321838E-4</v>
      </c>
      <c r="H160" s="299"/>
      <c r="I160" s="299"/>
      <c r="J160" s="299"/>
      <c r="K160" s="299"/>
      <c r="L160" s="299"/>
      <c r="M160" s="299"/>
      <c r="N160" s="272">
        <v>1</v>
      </c>
      <c r="O160" s="272">
        <v>1</v>
      </c>
      <c r="P160" s="272">
        <v>1</v>
      </c>
      <c r="Q160" s="272">
        <v>1</v>
      </c>
      <c r="R160" s="372">
        <v>1</v>
      </c>
      <c r="S160" s="395">
        <v>1</v>
      </c>
      <c r="T160" s="272">
        <v>1</v>
      </c>
      <c r="U160" s="272">
        <v>1</v>
      </c>
      <c r="V160" s="272">
        <v>1</v>
      </c>
      <c r="W160" s="272">
        <v>1</v>
      </c>
      <c r="X160" s="272">
        <v>1</v>
      </c>
      <c r="Y160" s="272">
        <v>1</v>
      </c>
      <c r="Z160" s="272">
        <v>1</v>
      </c>
      <c r="AA160" s="272">
        <v>1</v>
      </c>
      <c r="AB160" s="272">
        <v>1</v>
      </c>
      <c r="AC160" s="272">
        <v>1</v>
      </c>
      <c r="AD160" s="396">
        <v>1</v>
      </c>
      <c r="AE160" s="396">
        <v>1</v>
      </c>
      <c r="AF160" s="396">
        <v>1</v>
      </c>
      <c r="AG160" s="396">
        <v>1</v>
      </c>
      <c r="AH160" s="396">
        <v>1</v>
      </c>
      <c r="AI160" s="396">
        <v>1</v>
      </c>
      <c r="AJ160" s="396">
        <v>1</v>
      </c>
      <c r="AK160" s="396">
        <v>1</v>
      </c>
      <c r="AL160" s="396">
        <v>1</v>
      </c>
      <c r="AM160" s="396">
        <v>1</v>
      </c>
      <c r="AN160" s="396">
        <v>1</v>
      </c>
      <c r="AO160" s="396">
        <v>1</v>
      </c>
      <c r="AP160" s="396">
        <v>1</v>
      </c>
    </row>
    <row r="161" spans="1:42" s="140" customFormat="1" ht="13.5" hidden="1" customHeight="1" outlineLevel="3">
      <c r="A161" s="216"/>
      <c r="B161" s="255" t="s">
        <v>336</v>
      </c>
      <c r="C161" s="290" t="s">
        <v>235</v>
      </c>
      <c r="D161" s="227" t="s">
        <v>231</v>
      </c>
      <c r="E161" s="241"/>
      <c r="F161" s="228">
        <f t="shared" si="345"/>
        <v>7.1428571428571411E-2</v>
      </c>
      <c r="G161" s="269">
        <f>+F161*G158</f>
        <v>1.9316594320321838E-4</v>
      </c>
      <c r="H161" s="299"/>
      <c r="I161" s="299"/>
      <c r="J161" s="299"/>
      <c r="K161" s="299"/>
      <c r="L161" s="299"/>
      <c r="M161" s="299"/>
      <c r="N161" s="272">
        <v>1</v>
      </c>
      <c r="O161" s="272">
        <v>1</v>
      </c>
      <c r="P161" s="272">
        <v>1</v>
      </c>
      <c r="Q161" s="272">
        <v>1</v>
      </c>
      <c r="R161" s="372">
        <v>1</v>
      </c>
      <c r="S161" s="395">
        <v>1</v>
      </c>
      <c r="T161" s="272">
        <v>1</v>
      </c>
      <c r="U161" s="272">
        <v>1</v>
      </c>
      <c r="V161" s="272">
        <v>1</v>
      </c>
      <c r="W161" s="272">
        <v>1</v>
      </c>
      <c r="X161" s="272">
        <v>1</v>
      </c>
      <c r="Y161" s="272">
        <v>1</v>
      </c>
      <c r="Z161" s="272">
        <v>1</v>
      </c>
      <c r="AA161" s="272">
        <v>1</v>
      </c>
      <c r="AB161" s="272">
        <v>1</v>
      </c>
      <c r="AC161" s="272">
        <v>1</v>
      </c>
      <c r="AD161" s="396">
        <v>1</v>
      </c>
      <c r="AE161" s="396">
        <v>1</v>
      </c>
      <c r="AF161" s="396">
        <v>1</v>
      </c>
      <c r="AG161" s="396">
        <v>1</v>
      </c>
      <c r="AH161" s="396">
        <v>1</v>
      </c>
      <c r="AI161" s="396">
        <v>1</v>
      </c>
      <c r="AJ161" s="396">
        <v>1</v>
      </c>
      <c r="AK161" s="396">
        <v>1</v>
      </c>
      <c r="AL161" s="396">
        <v>1</v>
      </c>
      <c r="AM161" s="396">
        <v>1</v>
      </c>
      <c r="AN161" s="396">
        <v>1</v>
      </c>
      <c r="AO161" s="396">
        <v>1</v>
      </c>
      <c r="AP161" s="396">
        <v>1</v>
      </c>
    </row>
    <row r="162" spans="1:42" s="140" customFormat="1" ht="13.5" hidden="1" customHeight="1" outlineLevel="3">
      <c r="A162" s="216"/>
      <c r="B162" s="255" t="s">
        <v>337</v>
      </c>
      <c r="C162" s="290" t="s">
        <v>237</v>
      </c>
      <c r="D162" s="227" t="s">
        <v>231</v>
      </c>
      <c r="E162" s="241"/>
      <c r="F162" s="228">
        <f t="shared" si="345"/>
        <v>7.1428571428571411E-2</v>
      </c>
      <c r="G162" s="269">
        <f>+F162*G158</f>
        <v>1.9316594320321838E-4</v>
      </c>
      <c r="H162" s="299"/>
      <c r="I162" s="299"/>
      <c r="J162" s="299"/>
      <c r="K162" s="299"/>
      <c r="L162" s="299"/>
      <c r="M162" s="299"/>
      <c r="N162" s="272">
        <v>1</v>
      </c>
      <c r="O162" s="272">
        <v>1</v>
      </c>
      <c r="P162" s="272">
        <v>1</v>
      </c>
      <c r="Q162" s="272">
        <v>1</v>
      </c>
      <c r="R162" s="372">
        <v>1</v>
      </c>
      <c r="S162" s="395">
        <v>1</v>
      </c>
      <c r="T162" s="272">
        <v>1</v>
      </c>
      <c r="U162" s="272">
        <v>1</v>
      </c>
      <c r="V162" s="272">
        <v>1</v>
      </c>
      <c r="W162" s="272">
        <v>1</v>
      </c>
      <c r="X162" s="272">
        <v>1</v>
      </c>
      <c r="Y162" s="272">
        <v>1</v>
      </c>
      <c r="Z162" s="272">
        <v>1</v>
      </c>
      <c r="AA162" s="272">
        <v>1</v>
      </c>
      <c r="AB162" s="272">
        <v>1</v>
      </c>
      <c r="AC162" s="272">
        <v>1</v>
      </c>
      <c r="AD162" s="396">
        <v>1</v>
      </c>
      <c r="AE162" s="396">
        <v>1</v>
      </c>
      <c r="AF162" s="396">
        <v>1</v>
      </c>
      <c r="AG162" s="396">
        <v>1</v>
      </c>
      <c r="AH162" s="396">
        <v>1</v>
      </c>
      <c r="AI162" s="396">
        <v>1</v>
      </c>
      <c r="AJ162" s="396">
        <v>1</v>
      </c>
      <c r="AK162" s="396">
        <v>1</v>
      </c>
      <c r="AL162" s="396">
        <v>1</v>
      </c>
      <c r="AM162" s="396">
        <v>1</v>
      </c>
      <c r="AN162" s="396">
        <v>1</v>
      </c>
      <c r="AO162" s="396">
        <v>1</v>
      </c>
      <c r="AP162" s="396">
        <v>1</v>
      </c>
    </row>
    <row r="163" spans="1:42" s="140" customFormat="1" ht="13.5" hidden="1" customHeight="1" outlineLevel="3">
      <c r="A163" s="216"/>
      <c r="B163" s="255" t="s">
        <v>338</v>
      </c>
      <c r="C163" s="290" t="s">
        <v>239</v>
      </c>
      <c r="D163" s="227" t="s">
        <v>231</v>
      </c>
      <c r="E163" s="241"/>
      <c r="F163" s="228">
        <f t="shared" si="345"/>
        <v>7.1428571428571411E-2</v>
      </c>
      <c r="G163" s="269">
        <f>+F163*G158</f>
        <v>1.9316594320321838E-4</v>
      </c>
      <c r="H163" s="299"/>
      <c r="I163" s="299"/>
      <c r="J163" s="299"/>
      <c r="K163" s="299"/>
      <c r="L163" s="299"/>
      <c r="M163" s="299"/>
      <c r="N163" s="272">
        <v>1</v>
      </c>
      <c r="O163" s="272">
        <v>1</v>
      </c>
      <c r="P163" s="272">
        <v>1</v>
      </c>
      <c r="Q163" s="272">
        <v>1</v>
      </c>
      <c r="R163" s="372">
        <v>1</v>
      </c>
      <c r="S163" s="395">
        <v>1</v>
      </c>
      <c r="T163" s="272">
        <v>1</v>
      </c>
      <c r="U163" s="272">
        <v>1</v>
      </c>
      <c r="V163" s="272">
        <v>1</v>
      </c>
      <c r="W163" s="272">
        <v>1</v>
      </c>
      <c r="X163" s="272">
        <v>1</v>
      </c>
      <c r="Y163" s="272">
        <v>1</v>
      </c>
      <c r="Z163" s="272">
        <v>1</v>
      </c>
      <c r="AA163" s="272">
        <v>1</v>
      </c>
      <c r="AB163" s="272">
        <v>1</v>
      </c>
      <c r="AC163" s="272">
        <v>1</v>
      </c>
      <c r="AD163" s="396">
        <v>1</v>
      </c>
      <c r="AE163" s="396">
        <v>1</v>
      </c>
      <c r="AF163" s="396">
        <v>1</v>
      </c>
      <c r="AG163" s="396">
        <v>1</v>
      </c>
      <c r="AH163" s="396">
        <v>1</v>
      </c>
      <c r="AI163" s="396">
        <v>1</v>
      </c>
      <c r="AJ163" s="396">
        <v>1</v>
      </c>
      <c r="AK163" s="396">
        <v>1</v>
      </c>
      <c r="AL163" s="396">
        <v>1</v>
      </c>
      <c r="AM163" s="396">
        <v>1</v>
      </c>
      <c r="AN163" s="396">
        <v>1</v>
      </c>
      <c r="AO163" s="396">
        <v>1</v>
      </c>
      <c r="AP163" s="396">
        <v>1</v>
      </c>
    </row>
    <row r="164" spans="1:42" s="140" customFormat="1" ht="13.5" hidden="1" customHeight="1" outlineLevel="3">
      <c r="A164" s="216"/>
      <c r="B164" s="255" t="s">
        <v>339</v>
      </c>
      <c r="C164" s="290" t="s">
        <v>241</v>
      </c>
      <c r="D164" s="227" t="s">
        <v>231</v>
      </c>
      <c r="E164" s="241"/>
      <c r="F164" s="228">
        <f t="shared" si="345"/>
        <v>7.1428571428571411E-2</v>
      </c>
      <c r="G164" s="269">
        <f>+F164*G158</f>
        <v>1.9316594320321838E-4</v>
      </c>
      <c r="H164" s="299"/>
      <c r="I164" s="299"/>
      <c r="J164" s="299"/>
      <c r="K164" s="299"/>
      <c r="L164" s="299"/>
      <c r="M164" s="299"/>
      <c r="N164" s="272">
        <v>1</v>
      </c>
      <c r="O164" s="272">
        <v>1</v>
      </c>
      <c r="P164" s="272">
        <v>1</v>
      </c>
      <c r="Q164" s="272">
        <v>1</v>
      </c>
      <c r="R164" s="372">
        <v>1</v>
      </c>
      <c r="S164" s="395">
        <v>1</v>
      </c>
      <c r="T164" s="272">
        <v>1</v>
      </c>
      <c r="U164" s="272">
        <v>1</v>
      </c>
      <c r="V164" s="272">
        <v>1</v>
      </c>
      <c r="W164" s="272">
        <v>1</v>
      </c>
      <c r="X164" s="272">
        <v>1</v>
      </c>
      <c r="Y164" s="272">
        <v>1</v>
      </c>
      <c r="Z164" s="272">
        <v>1</v>
      </c>
      <c r="AA164" s="272">
        <v>1</v>
      </c>
      <c r="AB164" s="272">
        <v>1</v>
      </c>
      <c r="AC164" s="272">
        <v>1</v>
      </c>
      <c r="AD164" s="396">
        <v>1</v>
      </c>
      <c r="AE164" s="396">
        <v>1</v>
      </c>
      <c r="AF164" s="396">
        <v>1</v>
      </c>
      <c r="AG164" s="396">
        <v>1</v>
      </c>
      <c r="AH164" s="396">
        <v>1</v>
      </c>
      <c r="AI164" s="396">
        <v>1</v>
      </c>
      <c r="AJ164" s="396">
        <v>1</v>
      </c>
      <c r="AK164" s="396">
        <v>1</v>
      </c>
      <c r="AL164" s="396">
        <v>1</v>
      </c>
      <c r="AM164" s="396">
        <v>1</v>
      </c>
      <c r="AN164" s="396">
        <v>1</v>
      </c>
      <c r="AO164" s="396">
        <v>1</v>
      </c>
      <c r="AP164" s="396">
        <v>1</v>
      </c>
    </row>
    <row r="165" spans="1:42" s="140" customFormat="1" ht="13.5" hidden="1" customHeight="1" outlineLevel="3">
      <c r="A165" s="216"/>
      <c r="B165" s="255" t="s">
        <v>340</v>
      </c>
      <c r="C165" s="290" t="s">
        <v>243</v>
      </c>
      <c r="D165" s="227" t="s">
        <v>231</v>
      </c>
      <c r="E165" s="241"/>
      <c r="F165" s="228">
        <f t="shared" si="345"/>
        <v>7.1428571428571411E-2</v>
      </c>
      <c r="G165" s="269">
        <f>+F165*G158</f>
        <v>1.9316594320321838E-4</v>
      </c>
      <c r="H165" s="299"/>
      <c r="I165" s="299"/>
      <c r="J165" s="299"/>
      <c r="K165" s="299"/>
      <c r="L165" s="299"/>
      <c r="M165" s="299"/>
      <c r="N165" s="272">
        <v>1</v>
      </c>
      <c r="O165" s="272">
        <v>1</v>
      </c>
      <c r="P165" s="272">
        <v>1</v>
      </c>
      <c r="Q165" s="272">
        <v>1</v>
      </c>
      <c r="R165" s="372">
        <v>1</v>
      </c>
      <c r="S165" s="395">
        <v>1</v>
      </c>
      <c r="T165" s="272">
        <v>1</v>
      </c>
      <c r="U165" s="272">
        <v>1</v>
      </c>
      <c r="V165" s="272">
        <v>1</v>
      </c>
      <c r="W165" s="272">
        <v>1</v>
      </c>
      <c r="X165" s="272">
        <v>1</v>
      </c>
      <c r="Y165" s="272">
        <v>1</v>
      </c>
      <c r="Z165" s="272">
        <v>1</v>
      </c>
      <c r="AA165" s="272">
        <v>1</v>
      </c>
      <c r="AB165" s="272">
        <v>1</v>
      </c>
      <c r="AC165" s="272">
        <v>1</v>
      </c>
      <c r="AD165" s="396">
        <v>1</v>
      </c>
      <c r="AE165" s="396">
        <v>1</v>
      </c>
      <c r="AF165" s="396">
        <v>1</v>
      </c>
      <c r="AG165" s="396">
        <v>1</v>
      </c>
      <c r="AH165" s="396">
        <v>1</v>
      </c>
      <c r="AI165" s="396">
        <v>1</v>
      </c>
      <c r="AJ165" s="396">
        <v>1</v>
      </c>
      <c r="AK165" s="396">
        <v>1</v>
      </c>
      <c r="AL165" s="396">
        <v>1</v>
      </c>
      <c r="AM165" s="396">
        <v>1</v>
      </c>
      <c r="AN165" s="396">
        <v>1</v>
      </c>
      <c r="AO165" s="396">
        <v>1</v>
      </c>
      <c r="AP165" s="396">
        <v>1</v>
      </c>
    </row>
    <row r="166" spans="1:42" s="140" customFormat="1" ht="13.5" hidden="1" customHeight="1" outlineLevel="3">
      <c r="A166" s="216"/>
      <c r="B166" s="255" t="s">
        <v>341</v>
      </c>
      <c r="C166" s="290" t="s">
        <v>245</v>
      </c>
      <c r="D166" s="227" t="s">
        <v>231</v>
      </c>
      <c r="E166" s="241"/>
      <c r="F166" s="228">
        <f t="shared" si="345"/>
        <v>7.1428571428571411E-2</v>
      </c>
      <c r="G166" s="269">
        <f>+F166*G158</f>
        <v>1.9316594320321838E-4</v>
      </c>
      <c r="H166" s="299"/>
      <c r="I166" s="299"/>
      <c r="J166" s="299"/>
      <c r="K166" s="299"/>
      <c r="L166" s="299"/>
      <c r="M166" s="299"/>
      <c r="N166" s="272">
        <v>1</v>
      </c>
      <c r="O166" s="272">
        <v>1</v>
      </c>
      <c r="P166" s="272">
        <v>1</v>
      </c>
      <c r="Q166" s="272">
        <v>1</v>
      </c>
      <c r="R166" s="372">
        <v>1</v>
      </c>
      <c r="S166" s="395">
        <v>1</v>
      </c>
      <c r="T166" s="272">
        <v>1</v>
      </c>
      <c r="U166" s="272">
        <v>1</v>
      </c>
      <c r="V166" s="272">
        <v>1</v>
      </c>
      <c r="W166" s="272">
        <v>1</v>
      </c>
      <c r="X166" s="272">
        <v>1</v>
      </c>
      <c r="Y166" s="272">
        <v>1</v>
      </c>
      <c r="Z166" s="272">
        <v>1</v>
      </c>
      <c r="AA166" s="272">
        <v>1</v>
      </c>
      <c r="AB166" s="272">
        <v>1</v>
      </c>
      <c r="AC166" s="272">
        <v>1</v>
      </c>
      <c r="AD166" s="396">
        <v>1</v>
      </c>
      <c r="AE166" s="396">
        <v>1</v>
      </c>
      <c r="AF166" s="396">
        <v>1</v>
      </c>
      <c r="AG166" s="396">
        <v>1</v>
      </c>
      <c r="AH166" s="396">
        <v>1</v>
      </c>
      <c r="AI166" s="396">
        <v>1</v>
      </c>
      <c r="AJ166" s="396">
        <v>1</v>
      </c>
      <c r="AK166" s="396">
        <v>1</v>
      </c>
      <c r="AL166" s="396">
        <v>1</v>
      </c>
      <c r="AM166" s="396">
        <v>1</v>
      </c>
      <c r="AN166" s="396">
        <v>1</v>
      </c>
      <c r="AO166" s="396">
        <v>1</v>
      </c>
      <c r="AP166" s="396">
        <v>1</v>
      </c>
    </row>
    <row r="167" spans="1:42" s="140" customFormat="1" ht="13.5" hidden="1" customHeight="1" outlineLevel="3">
      <c r="A167" s="216"/>
      <c r="B167" s="255" t="s">
        <v>342</v>
      </c>
      <c r="C167" s="290" t="s">
        <v>247</v>
      </c>
      <c r="D167" s="227" t="s">
        <v>231</v>
      </c>
      <c r="E167" s="241"/>
      <c r="F167" s="228">
        <f t="shared" si="345"/>
        <v>7.1428571428571411E-2</v>
      </c>
      <c r="G167" s="269">
        <f>+F167*G158</f>
        <v>1.9316594320321838E-4</v>
      </c>
      <c r="H167" s="299"/>
      <c r="I167" s="299"/>
      <c r="J167" s="299"/>
      <c r="K167" s="299"/>
      <c r="L167" s="299"/>
      <c r="M167" s="299"/>
      <c r="N167" s="272">
        <v>1</v>
      </c>
      <c r="O167" s="272">
        <v>1</v>
      </c>
      <c r="P167" s="272">
        <v>1</v>
      </c>
      <c r="Q167" s="272">
        <v>1</v>
      </c>
      <c r="R167" s="372">
        <v>1</v>
      </c>
      <c r="S167" s="395">
        <v>1</v>
      </c>
      <c r="T167" s="272">
        <v>1</v>
      </c>
      <c r="U167" s="272">
        <v>1</v>
      </c>
      <c r="V167" s="272">
        <v>1</v>
      </c>
      <c r="W167" s="272">
        <v>1</v>
      </c>
      <c r="X167" s="272">
        <v>1</v>
      </c>
      <c r="Y167" s="272">
        <v>1</v>
      </c>
      <c r="Z167" s="272">
        <v>1</v>
      </c>
      <c r="AA167" s="272">
        <v>1</v>
      </c>
      <c r="AB167" s="272">
        <v>1</v>
      </c>
      <c r="AC167" s="272">
        <v>1</v>
      </c>
      <c r="AD167" s="396">
        <v>1</v>
      </c>
      <c r="AE167" s="396">
        <v>1</v>
      </c>
      <c r="AF167" s="396">
        <v>1</v>
      </c>
      <c r="AG167" s="396">
        <v>1</v>
      </c>
      <c r="AH167" s="396">
        <v>1</v>
      </c>
      <c r="AI167" s="396">
        <v>1</v>
      </c>
      <c r="AJ167" s="396">
        <v>1</v>
      </c>
      <c r="AK167" s="396">
        <v>1</v>
      </c>
      <c r="AL167" s="396">
        <v>1</v>
      </c>
      <c r="AM167" s="396">
        <v>1</v>
      </c>
      <c r="AN167" s="396">
        <v>1</v>
      </c>
      <c r="AO167" s="396">
        <v>1</v>
      </c>
      <c r="AP167" s="396">
        <v>1</v>
      </c>
    </row>
    <row r="168" spans="1:42" s="140" customFormat="1" ht="13.5" hidden="1" customHeight="1" outlineLevel="3">
      <c r="A168" s="216"/>
      <c r="B168" s="255" t="s">
        <v>343</v>
      </c>
      <c r="C168" s="290" t="s">
        <v>249</v>
      </c>
      <c r="D168" s="227" t="s">
        <v>231</v>
      </c>
      <c r="E168" s="241"/>
      <c r="F168" s="228">
        <f t="shared" si="345"/>
        <v>7.1428571428571411E-2</v>
      </c>
      <c r="G168" s="269">
        <f>+F168*G158</f>
        <v>1.9316594320321838E-4</v>
      </c>
      <c r="H168" s="299"/>
      <c r="I168" s="299"/>
      <c r="J168" s="299"/>
      <c r="K168" s="299"/>
      <c r="L168" s="299"/>
      <c r="M168" s="299"/>
      <c r="N168" s="272">
        <v>1</v>
      </c>
      <c r="O168" s="272">
        <v>1</v>
      </c>
      <c r="P168" s="272">
        <v>1</v>
      </c>
      <c r="Q168" s="272">
        <v>1</v>
      </c>
      <c r="R168" s="372">
        <v>1</v>
      </c>
      <c r="S168" s="395">
        <v>1</v>
      </c>
      <c r="T168" s="272">
        <v>1</v>
      </c>
      <c r="U168" s="272">
        <v>1</v>
      </c>
      <c r="V168" s="272">
        <v>1</v>
      </c>
      <c r="W168" s="272">
        <v>1</v>
      </c>
      <c r="X168" s="272">
        <v>1</v>
      </c>
      <c r="Y168" s="272">
        <v>1</v>
      </c>
      <c r="Z168" s="272">
        <v>1</v>
      </c>
      <c r="AA168" s="272">
        <v>1</v>
      </c>
      <c r="AB168" s="272">
        <v>1</v>
      </c>
      <c r="AC168" s="272">
        <v>1</v>
      </c>
      <c r="AD168" s="396">
        <v>1</v>
      </c>
      <c r="AE168" s="396">
        <v>1</v>
      </c>
      <c r="AF168" s="396">
        <v>1</v>
      </c>
      <c r="AG168" s="396">
        <v>1</v>
      </c>
      <c r="AH168" s="396">
        <v>1</v>
      </c>
      <c r="AI168" s="396">
        <v>1</v>
      </c>
      <c r="AJ168" s="396">
        <v>1</v>
      </c>
      <c r="AK168" s="396">
        <v>1</v>
      </c>
      <c r="AL168" s="396">
        <v>1</v>
      </c>
      <c r="AM168" s="396">
        <v>1</v>
      </c>
      <c r="AN168" s="396">
        <v>1</v>
      </c>
      <c r="AO168" s="396">
        <v>1</v>
      </c>
      <c r="AP168" s="396">
        <v>1</v>
      </c>
    </row>
    <row r="169" spans="1:42" s="140" customFormat="1" ht="13.5" hidden="1" customHeight="1" outlineLevel="3">
      <c r="A169" s="216"/>
      <c r="B169" s="255" t="s">
        <v>344</v>
      </c>
      <c r="C169" s="290" t="s">
        <v>251</v>
      </c>
      <c r="D169" s="227" t="s">
        <v>231</v>
      </c>
      <c r="E169" s="241"/>
      <c r="F169" s="228">
        <f t="shared" si="345"/>
        <v>7.1428571428571411E-2</v>
      </c>
      <c r="G169" s="269">
        <f>+F169*G158</f>
        <v>1.9316594320321838E-4</v>
      </c>
      <c r="H169" s="299"/>
      <c r="I169" s="299"/>
      <c r="J169" s="299"/>
      <c r="K169" s="299"/>
      <c r="L169" s="299"/>
      <c r="M169" s="299"/>
      <c r="N169" s="272">
        <v>1</v>
      </c>
      <c r="O169" s="272">
        <v>1</v>
      </c>
      <c r="P169" s="272">
        <v>1</v>
      </c>
      <c r="Q169" s="272">
        <v>1</v>
      </c>
      <c r="R169" s="372">
        <v>1</v>
      </c>
      <c r="S169" s="395">
        <v>1</v>
      </c>
      <c r="T169" s="272">
        <v>1</v>
      </c>
      <c r="U169" s="272">
        <v>1</v>
      </c>
      <c r="V169" s="272">
        <v>1</v>
      </c>
      <c r="W169" s="272">
        <v>1</v>
      </c>
      <c r="X169" s="272">
        <v>1</v>
      </c>
      <c r="Y169" s="272">
        <v>1</v>
      </c>
      <c r="Z169" s="272">
        <v>1</v>
      </c>
      <c r="AA169" s="272">
        <v>1</v>
      </c>
      <c r="AB169" s="272">
        <v>1</v>
      </c>
      <c r="AC169" s="272">
        <v>1</v>
      </c>
      <c r="AD169" s="396">
        <v>1</v>
      </c>
      <c r="AE169" s="396">
        <v>1</v>
      </c>
      <c r="AF169" s="396">
        <v>1</v>
      </c>
      <c r="AG169" s="396">
        <v>1</v>
      </c>
      <c r="AH169" s="396">
        <v>1</v>
      </c>
      <c r="AI169" s="396">
        <v>1</v>
      </c>
      <c r="AJ169" s="396">
        <v>1</v>
      </c>
      <c r="AK169" s="396">
        <v>1</v>
      </c>
      <c r="AL169" s="396">
        <v>1</v>
      </c>
      <c r="AM169" s="396">
        <v>1</v>
      </c>
      <c r="AN169" s="396">
        <v>1</v>
      </c>
      <c r="AO169" s="396">
        <v>1</v>
      </c>
      <c r="AP169" s="396">
        <v>1</v>
      </c>
    </row>
    <row r="170" spans="1:42" s="140" customFormat="1" ht="13.5" hidden="1" customHeight="1" outlineLevel="3">
      <c r="A170" s="216"/>
      <c r="B170" s="255" t="s">
        <v>345</v>
      </c>
      <c r="C170" s="290" t="s">
        <v>253</v>
      </c>
      <c r="D170" s="227" t="s">
        <v>231</v>
      </c>
      <c r="E170" s="241"/>
      <c r="F170" s="228">
        <f t="shared" si="345"/>
        <v>7.1428571428571411E-2</v>
      </c>
      <c r="G170" s="269">
        <f>+F170*G158</f>
        <v>1.9316594320321838E-4</v>
      </c>
      <c r="H170" s="299"/>
      <c r="I170" s="299"/>
      <c r="J170" s="299"/>
      <c r="K170" s="299"/>
      <c r="L170" s="299"/>
      <c r="M170" s="299"/>
      <c r="N170" s="272">
        <v>1</v>
      </c>
      <c r="O170" s="272">
        <v>1</v>
      </c>
      <c r="P170" s="272">
        <v>1</v>
      </c>
      <c r="Q170" s="272">
        <v>1</v>
      </c>
      <c r="R170" s="372">
        <v>1</v>
      </c>
      <c r="S170" s="395">
        <v>1</v>
      </c>
      <c r="T170" s="272">
        <v>1</v>
      </c>
      <c r="U170" s="272">
        <v>1</v>
      </c>
      <c r="V170" s="272">
        <v>1</v>
      </c>
      <c r="W170" s="272">
        <v>1</v>
      </c>
      <c r="X170" s="272">
        <v>1</v>
      </c>
      <c r="Y170" s="272">
        <v>1</v>
      </c>
      <c r="Z170" s="272">
        <v>1</v>
      </c>
      <c r="AA170" s="272">
        <v>1</v>
      </c>
      <c r="AB170" s="272">
        <v>1</v>
      </c>
      <c r="AC170" s="272">
        <v>1</v>
      </c>
      <c r="AD170" s="396">
        <v>1</v>
      </c>
      <c r="AE170" s="396">
        <v>1</v>
      </c>
      <c r="AF170" s="396">
        <v>1</v>
      </c>
      <c r="AG170" s="396">
        <v>1</v>
      </c>
      <c r="AH170" s="396">
        <v>1</v>
      </c>
      <c r="AI170" s="396">
        <v>1</v>
      </c>
      <c r="AJ170" s="396">
        <v>1</v>
      </c>
      <c r="AK170" s="396">
        <v>1</v>
      </c>
      <c r="AL170" s="396">
        <v>1</v>
      </c>
      <c r="AM170" s="396">
        <v>1</v>
      </c>
      <c r="AN170" s="396">
        <v>1</v>
      </c>
      <c r="AO170" s="396">
        <v>1</v>
      </c>
      <c r="AP170" s="396">
        <v>1</v>
      </c>
    </row>
    <row r="171" spans="1:42" s="140" customFormat="1" ht="13.5" hidden="1" customHeight="1" outlineLevel="3">
      <c r="A171" s="216"/>
      <c r="B171" s="255" t="s">
        <v>346</v>
      </c>
      <c r="C171" s="290" t="s">
        <v>285</v>
      </c>
      <c r="D171" s="227" t="s">
        <v>231</v>
      </c>
      <c r="E171" s="241"/>
      <c r="F171" s="228">
        <f t="shared" si="345"/>
        <v>7.1428571428571411E-2</v>
      </c>
      <c r="G171" s="269">
        <f>+F171*G158</f>
        <v>1.9316594320321838E-4</v>
      </c>
      <c r="H171" s="299"/>
      <c r="I171" s="299"/>
      <c r="J171" s="299"/>
      <c r="K171" s="299"/>
      <c r="L171" s="299"/>
      <c r="M171" s="299"/>
      <c r="N171" s="272">
        <v>1</v>
      </c>
      <c r="O171" s="272">
        <v>1</v>
      </c>
      <c r="P171" s="272">
        <v>1</v>
      </c>
      <c r="Q171" s="272">
        <v>1</v>
      </c>
      <c r="R171" s="372">
        <v>1</v>
      </c>
      <c r="S171" s="395">
        <v>1</v>
      </c>
      <c r="T171" s="272">
        <v>1</v>
      </c>
      <c r="U171" s="272">
        <v>1</v>
      </c>
      <c r="V171" s="272">
        <v>1</v>
      </c>
      <c r="W171" s="272">
        <v>1</v>
      </c>
      <c r="X171" s="272">
        <v>1</v>
      </c>
      <c r="Y171" s="272">
        <v>1</v>
      </c>
      <c r="Z171" s="272">
        <v>1</v>
      </c>
      <c r="AA171" s="272">
        <v>1</v>
      </c>
      <c r="AB171" s="272">
        <v>1</v>
      </c>
      <c r="AC171" s="272">
        <v>1</v>
      </c>
      <c r="AD171" s="396">
        <v>1</v>
      </c>
      <c r="AE171" s="396">
        <v>1</v>
      </c>
      <c r="AF171" s="396">
        <v>1</v>
      </c>
      <c r="AG171" s="396">
        <v>1</v>
      </c>
      <c r="AH171" s="396">
        <v>1</v>
      </c>
      <c r="AI171" s="396">
        <v>1</v>
      </c>
      <c r="AJ171" s="396">
        <v>1</v>
      </c>
      <c r="AK171" s="396">
        <v>1</v>
      </c>
      <c r="AL171" s="396">
        <v>1</v>
      </c>
      <c r="AM171" s="396">
        <v>1</v>
      </c>
      <c r="AN171" s="396">
        <v>1</v>
      </c>
      <c r="AO171" s="396">
        <v>1</v>
      </c>
      <c r="AP171" s="396">
        <v>1</v>
      </c>
    </row>
    <row r="172" spans="1:42" s="140" customFormat="1" ht="13.5" hidden="1" customHeight="1" outlineLevel="3">
      <c r="A172" s="216"/>
      <c r="B172" s="255" t="s">
        <v>347</v>
      </c>
      <c r="C172" s="290" t="s">
        <v>287</v>
      </c>
      <c r="D172" s="227" t="s">
        <v>231</v>
      </c>
      <c r="E172" s="241"/>
      <c r="F172" s="228">
        <f t="shared" si="345"/>
        <v>7.1428571428571411E-2</v>
      </c>
      <c r="G172" s="269">
        <f>+F172*G158</f>
        <v>1.9316594320321838E-4</v>
      </c>
      <c r="H172" s="299"/>
      <c r="I172" s="299"/>
      <c r="J172" s="299"/>
      <c r="K172" s="299"/>
      <c r="L172" s="299"/>
      <c r="M172" s="299"/>
      <c r="N172" s="272">
        <v>1</v>
      </c>
      <c r="O172" s="272">
        <v>1</v>
      </c>
      <c r="P172" s="272">
        <v>1</v>
      </c>
      <c r="Q172" s="272">
        <v>1</v>
      </c>
      <c r="R172" s="372">
        <v>1</v>
      </c>
      <c r="S172" s="395">
        <v>1</v>
      </c>
      <c r="T172" s="272">
        <v>1</v>
      </c>
      <c r="U172" s="272">
        <v>1</v>
      </c>
      <c r="V172" s="272">
        <v>1</v>
      </c>
      <c r="W172" s="272">
        <v>1</v>
      </c>
      <c r="X172" s="272">
        <v>1</v>
      </c>
      <c r="Y172" s="272">
        <v>1</v>
      </c>
      <c r="Z172" s="272">
        <v>1</v>
      </c>
      <c r="AA172" s="272">
        <v>1</v>
      </c>
      <c r="AB172" s="272">
        <v>1</v>
      </c>
      <c r="AC172" s="272">
        <v>1</v>
      </c>
      <c r="AD172" s="396">
        <v>1</v>
      </c>
      <c r="AE172" s="396">
        <v>1</v>
      </c>
      <c r="AF172" s="396">
        <v>1</v>
      </c>
      <c r="AG172" s="396">
        <v>1</v>
      </c>
      <c r="AH172" s="396">
        <v>1</v>
      </c>
      <c r="AI172" s="396">
        <v>1</v>
      </c>
      <c r="AJ172" s="396">
        <v>1</v>
      </c>
      <c r="AK172" s="396">
        <v>1</v>
      </c>
      <c r="AL172" s="396">
        <v>1</v>
      </c>
      <c r="AM172" s="396">
        <v>1</v>
      </c>
      <c r="AN172" s="396">
        <v>1</v>
      </c>
      <c r="AO172" s="396">
        <v>1</v>
      </c>
      <c r="AP172" s="396">
        <v>1</v>
      </c>
    </row>
    <row r="173" spans="1:42" s="140" customFormat="1" ht="13.5" hidden="1" customHeight="1" outlineLevel="2">
      <c r="A173" s="216"/>
      <c r="B173" s="291" t="s">
        <v>348</v>
      </c>
      <c r="C173" s="292" t="s">
        <v>43</v>
      </c>
      <c r="D173" s="234" t="s">
        <v>33</v>
      </c>
      <c r="E173" s="240"/>
      <c r="F173" s="223">
        <v>0.13984312067866289</v>
      </c>
      <c r="G173" s="293">
        <f>+F173*G84</f>
        <v>3.276825187159064E-3</v>
      </c>
      <c r="H173" s="298"/>
      <c r="I173" s="298"/>
      <c r="J173" s="298"/>
      <c r="K173" s="298"/>
      <c r="L173" s="298"/>
      <c r="M173" s="298"/>
      <c r="N173" s="270">
        <f t="shared" ref="N173:R173" si="346">+SUMPRODUCT($F174:$F190,N174:N190)</f>
        <v>1.0000000000000002</v>
      </c>
      <c r="O173" s="270">
        <f t="shared" si="346"/>
        <v>1.0000000000000002</v>
      </c>
      <c r="P173" s="270">
        <f t="shared" si="346"/>
        <v>1.0000000000000002</v>
      </c>
      <c r="Q173" s="270">
        <f t="shared" si="346"/>
        <v>1.0000000000000002</v>
      </c>
      <c r="R173" s="370">
        <f t="shared" si="346"/>
        <v>1.0000000000000002</v>
      </c>
      <c r="S173" s="391">
        <f t="shared" ref="S173" si="347">+SUMPRODUCT($F174:$F190,S174:S190)</f>
        <v>1.0000000000000002</v>
      </c>
      <c r="T173" s="270">
        <f t="shared" ref="T173" si="348">+SUMPRODUCT($F174:$F190,T174:T190)</f>
        <v>1.0000000000000002</v>
      </c>
      <c r="U173" s="270">
        <f t="shared" ref="U173" si="349">+SUMPRODUCT($F174:$F190,U174:U190)</f>
        <v>1.0000000000000002</v>
      </c>
      <c r="V173" s="270">
        <f t="shared" ref="V173" si="350">+SUMPRODUCT($F174:$F190,V174:V190)</f>
        <v>1.0000000000000002</v>
      </c>
      <c r="W173" s="270">
        <f t="shared" ref="W173" si="351">+SUMPRODUCT($F174:$F190,W174:W190)</f>
        <v>1.0000000000000002</v>
      </c>
      <c r="X173" s="270">
        <f t="shared" ref="X173" si="352">+SUMPRODUCT($F174:$F190,X174:X190)</f>
        <v>1.0000000000000002</v>
      </c>
      <c r="Y173" s="270">
        <f t="shared" ref="Y173" si="353">+SUMPRODUCT($F174:$F190,Y174:Y190)</f>
        <v>1.0000000000000002</v>
      </c>
      <c r="Z173" s="270">
        <f t="shared" ref="Z173" si="354">+SUMPRODUCT($F174:$F190,Z174:Z190)</f>
        <v>1.0000000000000002</v>
      </c>
      <c r="AA173" s="270">
        <f t="shared" ref="AA173" si="355">+SUMPRODUCT($F174:$F190,AA174:AA190)</f>
        <v>1.0000000000000002</v>
      </c>
      <c r="AB173" s="270">
        <f t="shared" ref="AB173" si="356">+SUMPRODUCT($F174:$F190,AB174:AB190)</f>
        <v>1.0000000000000002</v>
      </c>
      <c r="AC173" s="270">
        <f t="shared" ref="AC173" si="357">+SUMPRODUCT($F174:$F190,AC174:AC190)</f>
        <v>1.0000000000000002</v>
      </c>
      <c r="AD173" s="392">
        <f t="shared" ref="AD173:AF173" si="358">+SUMPRODUCT($F174:$F190,AD174:AD190)</f>
        <v>1.0000000000000002</v>
      </c>
      <c r="AE173" s="392">
        <f t="shared" si="358"/>
        <v>1.0000000000000002</v>
      </c>
      <c r="AF173" s="392">
        <f t="shared" si="358"/>
        <v>1.0000000000000002</v>
      </c>
      <c r="AG173" s="392">
        <f t="shared" ref="AG173" si="359">+SUMPRODUCT($F174:$F190,AG174:AG190)</f>
        <v>1.0000000000000002</v>
      </c>
      <c r="AH173" s="392">
        <f t="shared" ref="AH173" si="360">+SUMPRODUCT($F174:$F190,AH174:AH190)</f>
        <v>1.0000000000000002</v>
      </c>
      <c r="AI173" s="392">
        <f t="shared" ref="AI173" si="361">+SUMPRODUCT($F174:$F190,AI174:AI190)</f>
        <v>1.0000000000000002</v>
      </c>
      <c r="AJ173" s="392">
        <f t="shared" ref="AJ173" si="362">+SUMPRODUCT($F174:$F190,AJ174:AJ190)</f>
        <v>1.0000000000000002</v>
      </c>
      <c r="AK173" s="392">
        <f t="shared" ref="AK173" si="363">+SUMPRODUCT($F174:$F190,AK174:AK190)</f>
        <v>1.0000000000000002</v>
      </c>
      <c r="AL173" s="392">
        <f t="shared" ref="AL173" si="364">+SUMPRODUCT($F174:$F190,AL174:AL190)</f>
        <v>1.0000000000000002</v>
      </c>
      <c r="AM173" s="392">
        <f t="shared" ref="AM173" si="365">+SUMPRODUCT($F174:$F190,AM174:AM190)</f>
        <v>1.0000000000000002</v>
      </c>
      <c r="AN173" s="392">
        <f t="shared" ref="AN173" si="366">+SUMPRODUCT($F174:$F190,AN174:AN190)</f>
        <v>1.0000000000000002</v>
      </c>
      <c r="AO173" s="392">
        <f t="shared" ref="AO173" si="367">+SUMPRODUCT($F174:$F190,AO174:AO190)</f>
        <v>1.0000000000000002</v>
      </c>
      <c r="AP173" s="392">
        <f t="shared" ref="AP173" si="368">+SUMPRODUCT($F174:$F190,AP174:AP190)</f>
        <v>1.0000000000000002</v>
      </c>
    </row>
    <row r="174" spans="1:42" s="140" customFormat="1" ht="13.5" hidden="1" customHeight="1" outlineLevel="3">
      <c r="A174" s="216"/>
      <c r="B174" s="255" t="s">
        <v>349</v>
      </c>
      <c r="C174" s="290" t="s">
        <v>230</v>
      </c>
      <c r="D174" s="227" t="s">
        <v>231</v>
      </c>
      <c r="E174" s="241"/>
      <c r="F174" s="228">
        <f t="shared" ref="F174:F190" si="369">F809</f>
        <v>6.2251019714089834E-2</v>
      </c>
      <c r="G174" s="269">
        <f>+F174*G173</f>
        <v>2.0398570932546499E-4</v>
      </c>
      <c r="H174" s="299"/>
      <c r="I174" s="299"/>
      <c r="J174" s="299"/>
      <c r="K174" s="299"/>
      <c r="L174" s="299"/>
      <c r="M174" s="299"/>
      <c r="N174" s="272">
        <v>1</v>
      </c>
      <c r="O174" s="272">
        <v>1</v>
      </c>
      <c r="P174" s="272">
        <v>1</v>
      </c>
      <c r="Q174" s="272">
        <v>1</v>
      </c>
      <c r="R174" s="372">
        <v>1</v>
      </c>
      <c r="S174" s="395">
        <v>1</v>
      </c>
      <c r="T174" s="272">
        <v>1</v>
      </c>
      <c r="U174" s="272">
        <v>1</v>
      </c>
      <c r="V174" s="272">
        <v>1</v>
      </c>
      <c r="W174" s="272">
        <v>1</v>
      </c>
      <c r="X174" s="272">
        <v>1</v>
      </c>
      <c r="Y174" s="272">
        <v>1</v>
      </c>
      <c r="Z174" s="272">
        <v>1</v>
      </c>
      <c r="AA174" s="272">
        <v>1</v>
      </c>
      <c r="AB174" s="272">
        <v>1</v>
      </c>
      <c r="AC174" s="272">
        <v>1</v>
      </c>
      <c r="AD174" s="396">
        <v>1</v>
      </c>
      <c r="AE174" s="396">
        <v>1</v>
      </c>
      <c r="AF174" s="396">
        <v>1</v>
      </c>
      <c r="AG174" s="396">
        <v>1</v>
      </c>
      <c r="AH174" s="396">
        <v>1</v>
      </c>
      <c r="AI174" s="396">
        <v>1</v>
      </c>
      <c r="AJ174" s="396">
        <v>1</v>
      </c>
      <c r="AK174" s="396">
        <v>1</v>
      </c>
      <c r="AL174" s="396">
        <v>1</v>
      </c>
      <c r="AM174" s="396">
        <v>1</v>
      </c>
      <c r="AN174" s="396">
        <v>1</v>
      </c>
      <c r="AO174" s="396">
        <v>1</v>
      </c>
      <c r="AP174" s="396">
        <v>1</v>
      </c>
    </row>
    <row r="175" spans="1:42" s="140" customFormat="1" ht="13.5" hidden="1" customHeight="1" outlineLevel="3">
      <c r="A175" s="216"/>
      <c r="B175" s="255" t="s">
        <v>350</v>
      </c>
      <c r="C175" s="290" t="s">
        <v>233</v>
      </c>
      <c r="D175" s="227" t="s">
        <v>231</v>
      </c>
      <c r="E175" s="241"/>
      <c r="F175" s="228">
        <f t="shared" si="369"/>
        <v>6.2251019714089834E-2</v>
      </c>
      <c r="G175" s="269">
        <f>+F175*G173</f>
        <v>2.0398570932546499E-4</v>
      </c>
      <c r="H175" s="299"/>
      <c r="I175" s="299"/>
      <c r="J175" s="299"/>
      <c r="K175" s="299"/>
      <c r="L175" s="299"/>
      <c r="M175" s="299"/>
      <c r="N175" s="272">
        <v>1</v>
      </c>
      <c r="O175" s="272">
        <v>1</v>
      </c>
      <c r="P175" s="272">
        <v>1</v>
      </c>
      <c r="Q175" s="272">
        <v>1</v>
      </c>
      <c r="R175" s="372">
        <v>1</v>
      </c>
      <c r="S175" s="395">
        <v>1</v>
      </c>
      <c r="T175" s="272">
        <v>1</v>
      </c>
      <c r="U175" s="272">
        <v>1</v>
      </c>
      <c r="V175" s="272">
        <v>1</v>
      </c>
      <c r="W175" s="272">
        <v>1</v>
      </c>
      <c r="X175" s="272">
        <v>1</v>
      </c>
      <c r="Y175" s="272">
        <v>1</v>
      </c>
      <c r="Z175" s="272">
        <v>1</v>
      </c>
      <c r="AA175" s="272">
        <v>1</v>
      </c>
      <c r="AB175" s="272">
        <v>1</v>
      </c>
      <c r="AC175" s="272">
        <v>1</v>
      </c>
      <c r="AD175" s="396">
        <v>1</v>
      </c>
      <c r="AE175" s="396">
        <v>1</v>
      </c>
      <c r="AF175" s="396">
        <v>1</v>
      </c>
      <c r="AG175" s="396">
        <v>1</v>
      </c>
      <c r="AH175" s="396">
        <v>1</v>
      </c>
      <c r="AI175" s="396">
        <v>1</v>
      </c>
      <c r="AJ175" s="396">
        <v>1</v>
      </c>
      <c r="AK175" s="396">
        <v>1</v>
      </c>
      <c r="AL175" s="396">
        <v>1</v>
      </c>
      <c r="AM175" s="396">
        <v>1</v>
      </c>
      <c r="AN175" s="396">
        <v>1</v>
      </c>
      <c r="AO175" s="396">
        <v>1</v>
      </c>
      <c r="AP175" s="396">
        <v>1</v>
      </c>
    </row>
    <row r="176" spans="1:42" s="140" customFormat="1" ht="13.5" hidden="1" customHeight="1" outlineLevel="3">
      <c r="A176" s="216"/>
      <c r="B176" s="255" t="s">
        <v>351</v>
      </c>
      <c r="C176" s="290" t="s">
        <v>235</v>
      </c>
      <c r="D176" s="227" t="s">
        <v>231</v>
      </c>
      <c r="E176" s="241"/>
      <c r="F176" s="228">
        <f t="shared" si="369"/>
        <v>6.2251019714089834E-2</v>
      </c>
      <c r="G176" s="269">
        <f>+F176*G173</f>
        <v>2.0398570932546499E-4</v>
      </c>
      <c r="H176" s="299"/>
      <c r="I176" s="299"/>
      <c r="J176" s="299"/>
      <c r="K176" s="299"/>
      <c r="L176" s="299"/>
      <c r="M176" s="299"/>
      <c r="N176" s="272">
        <v>1</v>
      </c>
      <c r="O176" s="272">
        <v>1</v>
      </c>
      <c r="P176" s="272">
        <v>1</v>
      </c>
      <c r="Q176" s="272">
        <v>1</v>
      </c>
      <c r="R176" s="372">
        <v>1</v>
      </c>
      <c r="S176" s="395">
        <v>1</v>
      </c>
      <c r="T176" s="272">
        <v>1</v>
      </c>
      <c r="U176" s="272">
        <v>1</v>
      </c>
      <c r="V176" s="272">
        <v>1</v>
      </c>
      <c r="W176" s="272">
        <v>1</v>
      </c>
      <c r="X176" s="272">
        <v>1</v>
      </c>
      <c r="Y176" s="272">
        <v>1</v>
      </c>
      <c r="Z176" s="272">
        <v>1</v>
      </c>
      <c r="AA176" s="272">
        <v>1</v>
      </c>
      <c r="AB176" s="272">
        <v>1</v>
      </c>
      <c r="AC176" s="272">
        <v>1</v>
      </c>
      <c r="AD176" s="396">
        <v>1</v>
      </c>
      <c r="AE176" s="396">
        <v>1</v>
      </c>
      <c r="AF176" s="396">
        <v>1</v>
      </c>
      <c r="AG176" s="396">
        <v>1</v>
      </c>
      <c r="AH176" s="396">
        <v>1</v>
      </c>
      <c r="AI176" s="396">
        <v>1</v>
      </c>
      <c r="AJ176" s="396">
        <v>1</v>
      </c>
      <c r="AK176" s="396">
        <v>1</v>
      </c>
      <c r="AL176" s="396">
        <v>1</v>
      </c>
      <c r="AM176" s="396">
        <v>1</v>
      </c>
      <c r="AN176" s="396">
        <v>1</v>
      </c>
      <c r="AO176" s="396">
        <v>1</v>
      </c>
      <c r="AP176" s="396">
        <v>1</v>
      </c>
    </row>
    <row r="177" spans="1:42" s="140" customFormat="1" ht="13.5" hidden="1" customHeight="1" outlineLevel="3">
      <c r="A177" s="216"/>
      <c r="B177" s="255" t="s">
        <v>352</v>
      </c>
      <c r="C177" s="290" t="s">
        <v>237</v>
      </c>
      <c r="D177" s="227" t="s">
        <v>231</v>
      </c>
      <c r="E177" s="241"/>
      <c r="F177" s="228">
        <f t="shared" si="369"/>
        <v>6.2251019714089834E-2</v>
      </c>
      <c r="G177" s="269">
        <f>+F177*G173</f>
        <v>2.0398570932546499E-4</v>
      </c>
      <c r="H177" s="299"/>
      <c r="I177" s="299"/>
      <c r="J177" s="299"/>
      <c r="K177" s="299"/>
      <c r="L177" s="299"/>
      <c r="M177" s="299"/>
      <c r="N177" s="272">
        <v>1</v>
      </c>
      <c r="O177" s="272">
        <v>1</v>
      </c>
      <c r="P177" s="272">
        <v>1</v>
      </c>
      <c r="Q177" s="272">
        <v>1</v>
      </c>
      <c r="R177" s="372">
        <v>1</v>
      </c>
      <c r="S177" s="395">
        <v>1</v>
      </c>
      <c r="T177" s="272">
        <v>1</v>
      </c>
      <c r="U177" s="272">
        <v>1</v>
      </c>
      <c r="V177" s="272">
        <v>1</v>
      </c>
      <c r="W177" s="272">
        <v>1</v>
      </c>
      <c r="X177" s="272">
        <v>1</v>
      </c>
      <c r="Y177" s="272">
        <v>1</v>
      </c>
      <c r="Z177" s="272">
        <v>1</v>
      </c>
      <c r="AA177" s="272">
        <v>1</v>
      </c>
      <c r="AB177" s="272">
        <v>1</v>
      </c>
      <c r="AC177" s="272">
        <v>1</v>
      </c>
      <c r="AD177" s="396">
        <v>1</v>
      </c>
      <c r="AE177" s="396">
        <v>1</v>
      </c>
      <c r="AF177" s="396">
        <v>1</v>
      </c>
      <c r="AG177" s="396">
        <v>1</v>
      </c>
      <c r="AH177" s="396">
        <v>1</v>
      </c>
      <c r="AI177" s="396">
        <v>1</v>
      </c>
      <c r="AJ177" s="396">
        <v>1</v>
      </c>
      <c r="AK177" s="396">
        <v>1</v>
      </c>
      <c r="AL177" s="396">
        <v>1</v>
      </c>
      <c r="AM177" s="396">
        <v>1</v>
      </c>
      <c r="AN177" s="396">
        <v>1</v>
      </c>
      <c r="AO177" s="396">
        <v>1</v>
      </c>
      <c r="AP177" s="396">
        <v>1</v>
      </c>
    </row>
    <row r="178" spans="1:42" s="140" customFormat="1" ht="13.5" hidden="1" customHeight="1" outlineLevel="3">
      <c r="A178" s="216"/>
      <c r="B178" s="255" t="s">
        <v>353</v>
      </c>
      <c r="C178" s="290" t="s">
        <v>239</v>
      </c>
      <c r="D178" s="227" t="s">
        <v>231</v>
      </c>
      <c r="E178" s="241"/>
      <c r="F178" s="228">
        <f t="shared" si="369"/>
        <v>6.2251019714089834E-2</v>
      </c>
      <c r="G178" s="269">
        <f>+F178*G173</f>
        <v>2.0398570932546499E-4</v>
      </c>
      <c r="H178" s="299"/>
      <c r="I178" s="299"/>
      <c r="J178" s="299"/>
      <c r="K178" s="299"/>
      <c r="L178" s="299"/>
      <c r="M178" s="299"/>
      <c r="N178" s="272">
        <v>1</v>
      </c>
      <c r="O178" s="272">
        <v>1</v>
      </c>
      <c r="P178" s="272">
        <v>1</v>
      </c>
      <c r="Q178" s="272">
        <v>1</v>
      </c>
      <c r="R178" s="372">
        <v>1</v>
      </c>
      <c r="S178" s="395">
        <v>1</v>
      </c>
      <c r="T178" s="272">
        <v>1</v>
      </c>
      <c r="U178" s="272">
        <v>1</v>
      </c>
      <c r="V178" s="272">
        <v>1</v>
      </c>
      <c r="W178" s="272">
        <v>1</v>
      </c>
      <c r="X178" s="272">
        <v>1</v>
      </c>
      <c r="Y178" s="272">
        <v>1</v>
      </c>
      <c r="Z178" s="272">
        <v>1</v>
      </c>
      <c r="AA178" s="272">
        <v>1</v>
      </c>
      <c r="AB178" s="272">
        <v>1</v>
      </c>
      <c r="AC178" s="272">
        <v>1</v>
      </c>
      <c r="AD178" s="396">
        <v>1</v>
      </c>
      <c r="AE178" s="396">
        <v>1</v>
      </c>
      <c r="AF178" s="396">
        <v>1</v>
      </c>
      <c r="AG178" s="396">
        <v>1</v>
      </c>
      <c r="AH178" s="396">
        <v>1</v>
      </c>
      <c r="AI178" s="396">
        <v>1</v>
      </c>
      <c r="AJ178" s="396">
        <v>1</v>
      </c>
      <c r="AK178" s="396">
        <v>1</v>
      </c>
      <c r="AL178" s="396">
        <v>1</v>
      </c>
      <c r="AM178" s="396">
        <v>1</v>
      </c>
      <c r="AN178" s="396">
        <v>1</v>
      </c>
      <c r="AO178" s="396">
        <v>1</v>
      </c>
      <c r="AP178" s="396">
        <v>1</v>
      </c>
    </row>
    <row r="179" spans="1:42" s="140" customFormat="1" ht="13.5" hidden="1" customHeight="1" outlineLevel="3">
      <c r="A179" s="216"/>
      <c r="B179" s="255" t="s">
        <v>354</v>
      </c>
      <c r="C179" s="290" t="s">
        <v>241</v>
      </c>
      <c r="D179" s="227" t="s">
        <v>231</v>
      </c>
      <c r="E179" s="241"/>
      <c r="F179" s="228">
        <f t="shared" si="369"/>
        <v>6.2251019714089834E-2</v>
      </c>
      <c r="G179" s="269">
        <f>+F179*G173</f>
        <v>2.0398570932546499E-4</v>
      </c>
      <c r="H179" s="299"/>
      <c r="I179" s="299"/>
      <c r="J179" s="299"/>
      <c r="K179" s="299"/>
      <c r="L179" s="299"/>
      <c r="M179" s="299"/>
      <c r="N179" s="272">
        <v>1</v>
      </c>
      <c r="O179" s="272">
        <v>1</v>
      </c>
      <c r="P179" s="272">
        <v>1</v>
      </c>
      <c r="Q179" s="272">
        <v>1</v>
      </c>
      <c r="R179" s="372">
        <v>1</v>
      </c>
      <c r="S179" s="395">
        <v>1</v>
      </c>
      <c r="T179" s="272">
        <v>1</v>
      </c>
      <c r="U179" s="272">
        <v>1</v>
      </c>
      <c r="V179" s="272">
        <v>1</v>
      </c>
      <c r="W179" s="272">
        <v>1</v>
      </c>
      <c r="X179" s="272">
        <v>1</v>
      </c>
      <c r="Y179" s="272">
        <v>1</v>
      </c>
      <c r="Z179" s="272">
        <v>1</v>
      </c>
      <c r="AA179" s="272">
        <v>1</v>
      </c>
      <c r="AB179" s="272">
        <v>1</v>
      </c>
      <c r="AC179" s="272">
        <v>1</v>
      </c>
      <c r="AD179" s="396">
        <v>1</v>
      </c>
      <c r="AE179" s="396">
        <v>1</v>
      </c>
      <c r="AF179" s="396">
        <v>1</v>
      </c>
      <c r="AG179" s="396">
        <v>1</v>
      </c>
      <c r="AH179" s="396">
        <v>1</v>
      </c>
      <c r="AI179" s="396">
        <v>1</v>
      </c>
      <c r="AJ179" s="396">
        <v>1</v>
      </c>
      <c r="AK179" s="396">
        <v>1</v>
      </c>
      <c r="AL179" s="396">
        <v>1</v>
      </c>
      <c r="AM179" s="396">
        <v>1</v>
      </c>
      <c r="AN179" s="396">
        <v>1</v>
      </c>
      <c r="AO179" s="396">
        <v>1</v>
      </c>
      <c r="AP179" s="396">
        <v>1</v>
      </c>
    </row>
    <row r="180" spans="1:42" s="140" customFormat="1" ht="13.5" hidden="1" customHeight="1" outlineLevel="3">
      <c r="A180" s="216"/>
      <c r="B180" s="255" t="s">
        <v>355</v>
      </c>
      <c r="C180" s="290" t="s">
        <v>243</v>
      </c>
      <c r="D180" s="227" t="s">
        <v>231</v>
      </c>
      <c r="E180" s="241"/>
      <c r="F180" s="228">
        <f t="shared" si="369"/>
        <v>6.2251019714089834E-2</v>
      </c>
      <c r="G180" s="269">
        <f>+F180*G173</f>
        <v>2.0398570932546499E-4</v>
      </c>
      <c r="H180" s="299"/>
      <c r="I180" s="299"/>
      <c r="J180" s="299"/>
      <c r="K180" s="299"/>
      <c r="L180" s="299"/>
      <c r="M180" s="299"/>
      <c r="N180" s="272">
        <v>1</v>
      </c>
      <c r="O180" s="272">
        <v>1</v>
      </c>
      <c r="P180" s="272">
        <v>1</v>
      </c>
      <c r="Q180" s="272">
        <v>1</v>
      </c>
      <c r="R180" s="372">
        <v>1</v>
      </c>
      <c r="S180" s="395">
        <v>1</v>
      </c>
      <c r="T180" s="272">
        <v>1</v>
      </c>
      <c r="U180" s="272">
        <v>1</v>
      </c>
      <c r="V180" s="272">
        <v>1</v>
      </c>
      <c r="W180" s="272">
        <v>1</v>
      </c>
      <c r="X180" s="272">
        <v>1</v>
      </c>
      <c r="Y180" s="272">
        <v>1</v>
      </c>
      <c r="Z180" s="272">
        <v>1</v>
      </c>
      <c r="AA180" s="272">
        <v>1</v>
      </c>
      <c r="AB180" s="272">
        <v>1</v>
      </c>
      <c r="AC180" s="272">
        <v>1</v>
      </c>
      <c r="AD180" s="396">
        <v>1</v>
      </c>
      <c r="AE180" s="396">
        <v>1</v>
      </c>
      <c r="AF180" s="396">
        <v>1</v>
      </c>
      <c r="AG180" s="396">
        <v>1</v>
      </c>
      <c r="AH180" s="396">
        <v>1</v>
      </c>
      <c r="AI180" s="396">
        <v>1</v>
      </c>
      <c r="AJ180" s="396">
        <v>1</v>
      </c>
      <c r="AK180" s="396">
        <v>1</v>
      </c>
      <c r="AL180" s="396">
        <v>1</v>
      </c>
      <c r="AM180" s="396">
        <v>1</v>
      </c>
      <c r="AN180" s="396">
        <v>1</v>
      </c>
      <c r="AO180" s="396">
        <v>1</v>
      </c>
      <c r="AP180" s="396">
        <v>1</v>
      </c>
    </row>
    <row r="181" spans="1:42" s="140" customFormat="1" ht="13.5" hidden="1" customHeight="1" outlineLevel="3">
      <c r="A181" s="216"/>
      <c r="B181" s="255" t="s">
        <v>356</v>
      </c>
      <c r="C181" s="290" t="s">
        <v>245</v>
      </c>
      <c r="D181" s="227" t="s">
        <v>231</v>
      </c>
      <c r="E181" s="241"/>
      <c r="F181" s="228">
        <f t="shared" si="369"/>
        <v>6.2251019714089834E-2</v>
      </c>
      <c r="G181" s="269">
        <f>+F181*G173</f>
        <v>2.0398570932546499E-4</v>
      </c>
      <c r="H181" s="299"/>
      <c r="I181" s="299"/>
      <c r="J181" s="299"/>
      <c r="K181" s="299"/>
      <c r="L181" s="299"/>
      <c r="M181" s="299"/>
      <c r="N181" s="272">
        <v>1</v>
      </c>
      <c r="O181" s="272">
        <v>1</v>
      </c>
      <c r="P181" s="272">
        <v>1</v>
      </c>
      <c r="Q181" s="272">
        <v>1</v>
      </c>
      <c r="R181" s="372">
        <v>1</v>
      </c>
      <c r="S181" s="395">
        <v>1</v>
      </c>
      <c r="T181" s="272">
        <v>1</v>
      </c>
      <c r="U181" s="272">
        <v>1</v>
      </c>
      <c r="V181" s="272">
        <v>1</v>
      </c>
      <c r="W181" s="272">
        <v>1</v>
      </c>
      <c r="X181" s="272">
        <v>1</v>
      </c>
      <c r="Y181" s="272">
        <v>1</v>
      </c>
      <c r="Z181" s="272">
        <v>1</v>
      </c>
      <c r="AA181" s="272">
        <v>1</v>
      </c>
      <c r="AB181" s="272">
        <v>1</v>
      </c>
      <c r="AC181" s="272">
        <v>1</v>
      </c>
      <c r="AD181" s="396">
        <v>1</v>
      </c>
      <c r="AE181" s="396">
        <v>1</v>
      </c>
      <c r="AF181" s="396">
        <v>1</v>
      </c>
      <c r="AG181" s="396">
        <v>1</v>
      </c>
      <c r="AH181" s="396">
        <v>1</v>
      </c>
      <c r="AI181" s="396">
        <v>1</v>
      </c>
      <c r="AJ181" s="396">
        <v>1</v>
      </c>
      <c r="AK181" s="396">
        <v>1</v>
      </c>
      <c r="AL181" s="396">
        <v>1</v>
      </c>
      <c r="AM181" s="396">
        <v>1</v>
      </c>
      <c r="AN181" s="396">
        <v>1</v>
      </c>
      <c r="AO181" s="396">
        <v>1</v>
      </c>
      <c r="AP181" s="396">
        <v>1</v>
      </c>
    </row>
    <row r="182" spans="1:42" s="140" customFormat="1" ht="13.5" hidden="1" customHeight="1" outlineLevel="3">
      <c r="A182" s="216"/>
      <c r="B182" s="255" t="s">
        <v>357</v>
      </c>
      <c r="C182" s="290" t="s">
        <v>247</v>
      </c>
      <c r="D182" s="227" t="s">
        <v>231</v>
      </c>
      <c r="E182" s="241"/>
      <c r="F182" s="228">
        <f t="shared" si="369"/>
        <v>6.2251019714089834E-2</v>
      </c>
      <c r="G182" s="269">
        <f>+F182*G173</f>
        <v>2.0398570932546499E-4</v>
      </c>
      <c r="H182" s="299"/>
      <c r="I182" s="299"/>
      <c r="J182" s="299"/>
      <c r="K182" s="299"/>
      <c r="L182" s="299"/>
      <c r="M182" s="299"/>
      <c r="N182" s="272">
        <v>1</v>
      </c>
      <c r="O182" s="272">
        <v>1</v>
      </c>
      <c r="P182" s="272">
        <v>1</v>
      </c>
      <c r="Q182" s="272">
        <v>1</v>
      </c>
      <c r="R182" s="372">
        <v>1</v>
      </c>
      <c r="S182" s="395">
        <v>1</v>
      </c>
      <c r="T182" s="272">
        <v>1</v>
      </c>
      <c r="U182" s="272">
        <v>1</v>
      </c>
      <c r="V182" s="272">
        <v>1</v>
      </c>
      <c r="W182" s="272">
        <v>1</v>
      </c>
      <c r="X182" s="272">
        <v>1</v>
      </c>
      <c r="Y182" s="272">
        <v>1</v>
      </c>
      <c r="Z182" s="272">
        <v>1</v>
      </c>
      <c r="AA182" s="272">
        <v>1</v>
      </c>
      <c r="AB182" s="272">
        <v>1</v>
      </c>
      <c r="AC182" s="272">
        <v>1</v>
      </c>
      <c r="AD182" s="396">
        <v>1</v>
      </c>
      <c r="AE182" s="396">
        <v>1</v>
      </c>
      <c r="AF182" s="396">
        <v>1</v>
      </c>
      <c r="AG182" s="396">
        <v>1</v>
      </c>
      <c r="AH182" s="396">
        <v>1</v>
      </c>
      <c r="AI182" s="396">
        <v>1</v>
      </c>
      <c r="AJ182" s="396">
        <v>1</v>
      </c>
      <c r="AK182" s="396">
        <v>1</v>
      </c>
      <c r="AL182" s="396">
        <v>1</v>
      </c>
      <c r="AM182" s="396">
        <v>1</v>
      </c>
      <c r="AN182" s="396">
        <v>1</v>
      </c>
      <c r="AO182" s="396">
        <v>1</v>
      </c>
      <c r="AP182" s="396">
        <v>1</v>
      </c>
    </row>
    <row r="183" spans="1:42" s="140" customFormat="1" ht="13.5" hidden="1" customHeight="1" outlineLevel="3">
      <c r="A183" s="216"/>
      <c r="B183" s="255" t="s">
        <v>358</v>
      </c>
      <c r="C183" s="290" t="s">
        <v>249</v>
      </c>
      <c r="D183" s="227" t="s">
        <v>231</v>
      </c>
      <c r="E183" s="241"/>
      <c r="F183" s="228">
        <f t="shared" si="369"/>
        <v>6.2251019714089834E-2</v>
      </c>
      <c r="G183" s="269">
        <f>+F183*G173</f>
        <v>2.0398570932546499E-4</v>
      </c>
      <c r="H183" s="299"/>
      <c r="I183" s="299"/>
      <c r="J183" s="299"/>
      <c r="K183" s="299"/>
      <c r="L183" s="299"/>
      <c r="M183" s="299"/>
      <c r="N183" s="272">
        <v>1</v>
      </c>
      <c r="O183" s="272">
        <v>1</v>
      </c>
      <c r="P183" s="272">
        <v>1</v>
      </c>
      <c r="Q183" s="272">
        <v>1</v>
      </c>
      <c r="R183" s="372">
        <v>1</v>
      </c>
      <c r="S183" s="395">
        <v>1</v>
      </c>
      <c r="T183" s="272">
        <v>1</v>
      </c>
      <c r="U183" s="272">
        <v>1</v>
      </c>
      <c r="V183" s="272">
        <v>1</v>
      </c>
      <c r="W183" s="272">
        <v>1</v>
      </c>
      <c r="X183" s="272">
        <v>1</v>
      </c>
      <c r="Y183" s="272">
        <v>1</v>
      </c>
      <c r="Z183" s="272">
        <v>1</v>
      </c>
      <c r="AA183" s="272">
        <v>1</v>
      </c>
      <c r="AB183" s="272">
        <v>1</v>
      </c>
      <c r="AC183" s="272">
        <v>1</v>
      </c>
      <c r="AD183" s="396">
        <v>1</v>
      </c>
      <c r="AE183" s="396">
        <v>1</v>
      </c>
      <c r="AF183" s="396">
        <v>1</v>
      </c>
      <c r="AG183" s="396">
        <v>1</v>
      </c>
      <c r="AH183" s="396">
        <v>1</v>
      </c>
      <c r="AI183" s="396">
        <v>1</v>
      </c>
      <c r="AJ183" s="396">
        <v>1</v>
      </c>
      <c r="AK183" s="396">
        <v>1</v>
      </c>
      <c r="AL183" s="396">
        <v>1</v>
      </c>
      <c r="AM183" s="396">
        <v>1</v>
      </c>
      <c r="AN183" s="396">
        <v>1</v>
      </c>
      <c r="AO183" s="396">
        <v>1</v>
      </c>
      <c r="AP183" s="396">
        <v>1</v>
      </c>
    </row>
    <row r="184" spans="1:42" s="140" customFormat="1" ht="13.5" hidden="1" customHeight="1" outlineLevel="3">
      <c r="A184" s="216"/>
      <c r="B184" s="255" t="s">
        <v>359</v>
      </c>
      <c r="C184" s="290" t="s">
        <v>251</v>
      </c>
      <c r="D184" s="227" t="s">
        <v>231</v>
      </c>
      <c r="E184" s="241"/>
      <c r="F184" s="228">
        <f t="shared" si="369"/>
        <v>6.2251019714089834E-2</v>
      </c>
      <c r="G184" s="269">
        <f>+F184*G173</f>
        <v>2.0398570932546499E-4</v>
      </c>
      <c r="H184" s="299"/>
      <c r="I184" s="299"/>
      <c r="J184" s="299"/>
      <c r="K184" s="299"/>
      <c r="L184" s="299"/>
      <c r="M184" s="299"/>
      <c r="N184" s="272">
        <v>1</v>
      </c>
      <c r="O184" s="272">
        <v>1</v>
      </c>
      <c r="P184" s="272">
        <v>1</v>
      </c>
      <c r="Q184" s="272">
        <v>1</v>
      </c>
      <c r="R184" s="372">
        <v>1</v>
      </c>
      <c r="S184" s="395">
        <v>1</v>
      </c>
      <c r="T184" s="272">
        <v>1</v>
      </c>
      <c r="U184" s="272">
        <v>1</v>
      </c>
      <c r="V184" s="272">
        <v>1</v>
      </c>
      <c r="W184" s="272">
        <v>1</v>
      </c>
      <c r="X184" s="272">
        <v>1</v>
      </c>
      <c r="Y184" s="272">
        <v>1</v>
      </c>
      <c r="Z184" s="272">
        <v>1</v>
      </c>
      <c r="AA184" s="272">
        <v>1</v>
      </c>
      <c r="AB184" s="272">
        <v>1</v>
      </c>
      <c r="AC184" s="272">
        <v>1</v>
      </c>
      <c r="AD184" s="396">
        <v>1</v>
      </c>
      <c r="AE184" s="396">
        <v>1</v>
      </c>
      <c r="AF184" s="396">
        <v>1</v>
      </c>
      <c r="AG184" s="396">
        <v>1</v>
      </c>
      <c r="AH184" s="396">
        <v>1</v>
      </c>
      <c r="AI184" s="396">
        <v>1</v>
      </c>
      <c r="AJ184" s="396">
        <v>1</v>
      </c>
      <c r="AK184" s="396">
        <v>1</v>
      </c>
      <c r="AL184" s="396">
        <v>1</v>
      </c>
      <c r="AM184" s="396">
        <v>1</v>
      </c>
      <c r="AN184" s="396">
        <v>1</v>
      </c>
      <c r="AO184" s="396">
        <v>1</v>
      </c>
      <c r="AP184" s="396">
        <v>1</v>
      </c>
    </row>
    <row r="185" spans="1:42" s="140" customFormat="1" ht="13.5" hidden="1" customHeight="1" outlineLevel="3">
      <c r="A185" s="216"/>
      <c r="B185" s="255" t="s">
        <v>360</v>
      </c>
      <c r="C185" s="290" t="s">
        <v>253</v>
      </c>
      <c r="D185" s="227" t="s">
        <v>231</v>
      </c>
      <c r="E185" s="241"/>
      <c r="F185" s="228">
        <f t="shared" si="369"/>
        <v>6.2251019714089834E-2</v>
      </c>
      <c r="G185" s="269">
        <f>+F185*G173</f>
        <v>2.0398570932546499E-4</v>
      </c>
      <c r="H185" s="299"/>
      <c r="I185" s="299"/>
      <c r="J185" s="299"/>
      <c r="K185" s="299"/>
      <c r="L185" s="299"/>
      <c r="M185" s="299"/>
      <c r="N185" s="272">
        <v>1</v>
      </c>
      <c r="O185" s="272">
        <v>1</v>
      </c>
      <c r="P185" s="272">
        <v>1</v>
      </c>
      <c r="Q185" s="272">
        <v>1</v>
      </c>
      <c r="R185" s="372">
        <v>1</v>
      </c>
      <c r="S185" s="395">
        <v>1</v>
      </c>
      <c r="T185" s="272">
        <v>1</v>
      </c>
      <c r="U185" s="272">
        <v>1</v>
      </c>
      <c r="V185" s="272">
        <v>1</v>
      </c>
      <c r="W185" s="272">
        <v>1</v>
      </c>
      <c r="X185" s="272">
        <v>1</v>
      </c>
      <c r="Y185" s="272">
        <v>1</v>
      </c>
      <c r="Z185" s="272">
        <v>1</v>
      </c>
      <c r="AA185" s="272">
        <v>1</v>
      </c>
      <c r="AB185" s="272">
        <v>1</v>
      </c>
      <c r="AC185" s="272">
        <v>1</v>
      </c>
      <c r="AD185" s="396">
        <v>1</v>
      </c>
      <c r="AE185" s="396">
        <v>1</v>
      </c>
      <c r="AF185" s="396">
        <v>1</v>
      </c>
      <c r="AG185" s="396">
        <v>1</v>
      </c>
      <c r="AH185" s="396">
        <v>1</v>
      </c>
      <c r="AI185" s="396">
        <v>1</v>
      </c>
      <c r="AJ185" s="396">
        <v>1</v>
      </c>
      <c r="AK185" s="396">
        <v>1</v>
      </c>
      <c r="AL185" s="396">
        <v>1</v>
      </c>
      <c r="AM185" s="396">
        <v>1</v>
      </c>
      <c r="AN185" s="396">
        <v>1</v>
      </c>
      <c r="AO185" s="396">
        <v>1</v>
      </c>
      <c r="AP185" s="396">
        <v>1</v>
      </c>
    </row>
    <row r="186" spans="1:42" s="140" customFormat="1" ht="13.5" hidden="1" customHeight="1" outlineLevel="3">
      <c r="A186" s="216"/>
      <c r="B186" s="255" t="s">
        <v>361</v>
      </c>
      <c r="C186" s="290" t="s">
        <v>285</v>
      </c>
      <c r="D186" s="227" t="s">
        <v>231</v>
      </c>
      <c r="E186" s="241"/>
      <c r="F186" s="228">
        <f t="shared" si="369"/>
        <v>6.2251019714089834E-2</v>
      </c>
      <c r="G186" s="269">
        <f>+F186*G173</f>
        <v>2.0398570932546499E-4</v>
      </c>
      <c r="H186" s="299"/>
      <c r="I186" s="299"/>
      <c r="J186" s="299"/>
      <c r="K186" s="299"/>
      <c r="L186" s="299"/>
      <c r="M186" s="299"/>
      <c r="N186" s="272">
        <v>1</v>
      </c>
      <c r="O186" s="272">
        <v>1</v>
      </c>
      <c r="P186" s="272">
        <v>1</v>
      </c>
      <c r="Q186" s="272">
        <v>1</v>
      </c>
      <c r="R186" s="372">
        <v>1</v>
      </c>
      <c r="S186" s="395">
        <v>1</v>
      </c>
      <c r="T186" s="272">
        <v>1</v>
      </c>
      <c r="U186" s="272">
        <v>1</v>
      </c>
      <c r="V186" s="272">
        <v>1</v>
      </c>
      <c r="W186" s="272">
        <v>1</v>
      </c>
      <c r="X186" s="272">
        <v>1</v>
      </c>
      <c r="Y186" s="272">
        <v>1</v>
      </c>
      <c r="Z186" s="272">
        <v>1</v>
      </c>
      <c r="AA186" s="272">
        <v>1</v>
      </c>
      <c r="AB186" s="272">
        <v>1</v>
      </c>
      <c r="AC186" s="272">
        <v>1</v>
      </c>
      <c r="AD186" s="396">
        <v>1</v>
      </c>
      <c r="AE186" s="396">
        <v>1</v>
      </c>
      <c r="AF186" s="396">
        <v>1</v>
      </c>
      <c r="AG186" s="396">
        <v>1</v>
      </c>
      <c r="AH186" s="396">
        <v>1</v>
      </c>
      <c r="AI186" s="396">
        <v>1</v>
      </c>
      <c r="AJ186" s="396">
        <v>1</v>
      </c>
      <c r="AK186" s="396">
        <v>1</v>
      </c>
      <c r="AL186" s="396">
        <v>1</v>
      </c>
      <c r="AM186" s="396">
        <v>1</v>
      </c>
      <c r="AN186" s="396">
        <v>1</v>
      </c>
      <c r="AO186" s="396">
        <v>1</v>
      </c>
      <c r="AP186" s="396">
        <v>1</v>
      </c>
    </row>
    <row r="187" spans="1:42" s="140" customFormat="1" ht="13.5" hidden="1" customHeight="1" outlineLevel="3">
      <c r="A187" s="216"/>
      <c r="B187" s="255" t="s">
        <v>362</v>
      </c>
      <c r="C187" s="290" t="s">
        <v>287</v>
      </c>
      <c r="D187" s="227" t="s">
        <v>231</v>
      </c>
      <c r="E187" s="241"/>
      <c r="F187" s="228">
        <f t="shared" si="369"/>
        <v>6.2251019714089834E-2</v>
      </c>
      <c r="G187" s="269">
        <f>+F187*G173</f>
        <v>2.0398570932546499E-4</v>
      </c>
      <c r="H187" s="299"/>
      <c r="I187" s="299"/>
      <c r="J187" s="299"/>
      <c r="K187" s="299"/>
      <c r="L187" s="299"/>
      <c r="M187" s="299"/>
      <c r="N187" s="272">
        <v>1</v>
      </c>
      <c r="O187" s="272">
        <v>1</v>
      </c>
      <c r="P187" s="272">
        <v>1</v>
      </c>
      <c r="Q187" s="272">
        <v>1</v>
      </c>
      <c r="R187" s="372">
        <v>1</v>
      </c>
      <c r="S187" s="395">
        <v>1</v>
      </c>
      <c r="T187" s="272">
        <v>1</v>
      </c>
      <c r="U187" s="272">
        <v>1</v>
      </c>
      <c r="V187" s="272">
        <v>1</v>
      </c>
      <c r="W187" s="272">
        <v>1</v>
      </c>
      <c r="X187" s="272">
        <v>1</v>
      </c>
      <c r="Y187" s="272">
        <v>1</v>
      </c>
      <c r="Z187" s="272">
        <v>1</v>
      </c>
      <c r="AA187" s="272">
        <v>1</v>
      </c>
      <c r="AB187" s="272">
        <v>1</v>
      </c>
      <c r="AC187" s="272">
        <v>1</v>
      </c>
      <c r="AD187" s="396">
        <v>1</v>
      </c>
      <c r="AE187" s="396">
        <v>1</v>
      </c>
      <c r="AF187" s="396">
        <v>1</v>
      </c>
      <c r="AG187" s="396">
        <v>1</v>
      </c>
      <c r="AH187" s="396">
        <v>1</v>
      </c>
      <c r="AI187" s="396">
        <v>1</v>
      </c>
      <c r="AJ187" s="396">
        <v>1</v>
      </c>
      <c r="AK187" s="396">
        <v>1</v>
      </c>
      <c r="AL187" s="396">
        <v>1</v>
      </c>
      <c r="AM187" s="396">
        <v>1</v>
      </c>
      <c r="AN187" s="396">
        <v>1</v>
      </c>
      <c r="AO187" s="396">
        <v>1</v>
      </c>
      <c r="AP187" s="396">
        <v>1</v>
      </c>
    </row>
    <row r="188" spans="1:42" s="140" customFormat="1" ht="13.5" hidden="1" customHeight="1" outlineLevel="3">
      <c r="A188" s="216"/>
      <c r="B188" s="255" t="s">
        <v>363</v>
      </c>
      <c r="C188" s="290" t="s">
        <v>289</v>
      </c>
      <c r="D188" s="227" t="s">
        <v>231</v>
      </c>
      <c r="E188" s="241"/>
      <c r="F188" s="228">
        <f t="shared" si="369"/>
        <v>6.2251019714089834E-2</v>
      </c>
      <c r="G188" s="269">
        <f>+F188*G173</f>
        <v>2.0398570932546499E-4</v>
      </c>
      <c r="H188" s="299"/>
      <c r="I188" s="299"/>
      <c r="J188" s="299"/>
      <c r="K188" s="299"/>
      <c r="L188" s="299"/>
      <c r="M188" s="299"/>
      <c r="N188" s="272">
        <v>1</v>
      </c>
      <c r="O188" s="272">
        <v>1</v>
      </c>
      <c r="P188" s="272">
        <v>1</v>
      </c>
      <c r="Q188" s="272">
        <v>1</v>
      </c>
      <c r="R188" s="372">
        <v>1</v>
      </c>
      <c r="S188" s="395">
        <v>1</v>
      </c>
      <c r="T188" s="272">
        <v>1</v>
      </c>
      <c r="U188" s="272">
        <v>1</v>
      </c>
      <c r="V188" s="272">
        <v>1</v>
      </c>
      <c r="W188" s="272">
        <v>1</v>
      </c>
      <c r="X188" s="272">
        <v>1</v>
      </c>
      <c r="Y188" s="272">
        <v>1</v>
      </c>
      <c r="Z188" s="272">
        <v>1</v>
      </c>
      <c r="AA188" s="272">
        <v>1</v>
      </c>
      <c r="AB188" s="272">
        <v>1</v>
      </c>
      <c r="AC188" s="272">
        <v>1</v>
      </c>
      <c r="AD188" s="396">
        <v>1</v>
      </c>
      <c r="AE188" s="396">
        <v>1</v>
      </c>
      <c r="AF188" s="396">
        <v>1</v>
      </c>
      <c r="AG188" s="396">
        <v>1</v>
      </c>
      <c r="AH188" s="396">
        <v>1</v>
      </c>
      <c r="AI188" s="396">
        <v>1</v>
      </c>
      <c r="AJ188" s="396">
        <v>1</v>
      </c>
      <c r="AK188" s="396">
        <v>1</v>
      </c>
      <c r="AL188" s="396">
        <v>1</v>
      </c>
      <c r="AM188" s="396">
        <v>1</v>
      </c>
      <c r="AN188" s="396">
        <v>1</v>
      </c>
      <c r="AO188" s="396">
        <v>1</v>
      </c>
      <c r="AP188" s="396">
        <v>1</v>
      </c>
    </row>
    <row r="189" spans="1:42" s="140" customFormat="1" ht="13.5" hidden="1" customHeight="1" outlineLevel="3">
      <c r="A189" s="216"/>
      <c r="B189" s="255" t="s">
        <v>364</v>
      </c>
      <c r="C189" s="290" t="s">
        <v>291</v>
      </c>
      <c r="D189" s="227" t="s">
        <v>231</v>
      </c>
      <c r="E189" s="241"/>
      <c r="F189" s="228">
        <f t="shared" si="369"/>
        <v>6.2251019714089834E-2</v>
      </c>
      <c r="G189" s="269">
        <f>+F189*G173</f>
        <v>2.0398570932546499E-4</v>
      </c>
      <c r="H189" s="299"/>
      <c r="I189" s="299"/>
      <c r="J189" s="299"/>
      <c r="K189" s="299"/>
      <c r="L189" s="299"/>
      <c r="M189" s="299"/>
      <c r="N189" s="272">
        <v>1</v>
      </c>
      <c r="O189" s="272">
        <v>1</v>
      </c>
      <c r="P189" s="272">
        <v>1</v>
      </c>
      <c r="Q189" s="272">
        <v>1</v>
      </c>
      <c r="R189" s="372">
        <v>1</v>
      </c>
      <c r="S189" s="395">
        <v>1</v>
      </c>
      <c r="T189" s="272">
        <v>1</v>
      </c>
      <c r="U189" s="272">
        <v>1</v>
      </c>
      <c r="V189" s="272">
        <v>1</v>
      </c>
      <c r="W189" s="272">
        <v>1</v>
      </c>
      <c r="X189" s="272">
        <v>1</v>
      </c>
      <c r="Y189" s="272">
        <v>1</v>
      </c>
      <c r="Z189" s="272">
        <v>1</v>
      </c>
      <c r="AA189" s="272">
        <v>1</v>
      </c>
      <c r="AB189" s="272">
        <v>1</v>
      </c>
      <c r="AC189" s="272">
        <v>1</v>
      </c>
      <c r="AD189" s="396">
        <v>1</v>
      </c>
      <c r="AE189" s="396">
        <v>1</v>
      </c>
      <c r="AF189" s="396">
        <v>1</v>
      </c>
      <c r="AG189" s="396">
        <v>1</v>
      </c>
      <c r="AH189" s="396">
        <v>1</v>
      </c>
      <c r="AI189" s="396">
        <v>1</v>
      </c>
      <c r="AJ189" s="396">
        <v>1</v>
      </c>
      <c r="AK189" s="396">
        <v>1</v>
      </c>
      <c r="AL189" s="396">
        <v>1</v>
      </c>
      <c r="AM189" s="396">
        <v>1</v>
      </c>
      <c r="AN189" s="396">
        <v>1</v>
      </c>
      <c r="AO189" s="396">
        <v>1</v>
      </c>
      <c r="AP189" s="396">
        <v>1</v>
      </c>
    </row>
    <row r="190" spans="1:42" s="140" customFormat="1" ht="26.25" hidden="1" customHeight="1" outlineLevel="3">
      <c r="A190" s="216"/>
      <c r="B190" s="255" t="s">
        <v>365</v>
      </c>
      <c r="C190" s="290" t="s">
        <v>366</v>
      </c>
      <c r="D190" s="227" t="s">
        <v>367</v>
      </c>
      <c r="E190" s="241"/>
      <c r="F190" s="228">
        <f t="shared" si="369"/>
        <v>3.9836845745626157E-3</v>
      </c>
      <c r="G190" s="269">
        <f>+F190*G173</f>
        <v>1.305383795162382E-5</v>
      </c>
      <c r="H190" s="299"/>
      <c r="I190" s="299"/>
      <c r="J190" s="299"/>
      <c r="K190" s="299"/>
      <c r="L190" s="299"/>
      <c r="M190" s="299"/>
      <c r="N190" s="272">
        <v>1</v>
      </c>
      <c r="O190" s="272">
        <v>1</v>
      </c>
      <c r="P190" s="272">
        <v>1</v>
      </c>
      <c r="Q190" s="272">
        <v>1</v>
      </c>
      <c r="R190" s="372">
        <v>1</v>
      </c>
      <c r="S190" s="395">
        <v>1</v>
      </c>
      <c r="T190" s="272">
        <v>1</v>
      </c>
      <c r="U190" s="272">
        <v>1</v>
      </c>
      <c r="V190" s="272">
        <v>1</v>
      </c>
      <c r="W190" s="272">
        <v>1</v>
      </c>
      <c r="X190" s="272">
        <v>1</v>
      </c>
      <c r="Y190" s="272">
        <v>1</v>
      </c>
      <c r="Z190" s="272">
        <v>1</v>
      </c>
      <c r="AA190" s="272">
        <v>1</v>
      </c>
      <c r="AB190" s="272">
        <v>1</v>
      </c>
      <c r="AC190" s="272">
        <v>1</v>
      </c>
      <c r="AD190" s="396">
        <v>1</v>
      </c>
      <c r="AE190" s="396">
        <v>1</v>
      </c>
      <c r="AF190" s="396">
        <v>1</v>
      </c>
      <c r="AG190" s="396">
        <v>1</v>
      </c>
      <c r="AH190" s="396">
        <v>1</v>
      </c>
      <c r="AI190" s="396">
        <v>1</v>
      </c>
      <c r="AJ190" s="396">
        <v>1</v>
      </c>
      <c r="AK190" s="396">
        <v>1</v>
      </c>
      <c r="AL190" s="396">
        <v>1</v>
      </c>
      <c r="AM190" s="396">
        <v>1</v>
      </c>
      <c r="AN190" s="396">
        <v>1</v>
      </c>
      <c r="AO190" s="396">
        <v>1</v>
      </c>
      <c r="AP190" s="396">
        <v>1</v>
      </c>
    </row>
    <row r="191" spans="1:42" s="140" customFormat="1" ht="13.5" hidden="1" customHeight="1" outlineLevel="2">
      <c r="A191" s="216"/>
      <c r="B191" s="291" t="s">
        <v>368</v>
      </c>
      <c r="C191" s="292" t="s">
        <v>45</v>
      </c>
      <c r="D191" s="234" t="s">
        <v>33</v>
      </c>
      <c r="E191" s="240"/>
      <c r="F191" s="223">
        <v>0.10642404592461722</v>
      </c>
      <c r="G191" s="293">
        <f>+F191*G84</f>
        <v>2.493744365205431E-3</v>
      </c>
      <c r="H191" s="298"/>
      <c r="I191" s="298"/>
      <c r="J191" s="298"/>
      <c r="K191" s="298"/>
      <c r="L191" s="298"/>
      <c r="M191" s="298"/>
      <c r="N191" s="270">
        <f t="shared" ref="N191:R191" si="370">+SUMPRODUCT($F192:$F205,N192:N205)</f>
        <v>1.0000000000000002</v>
      </c>
      <c r="O191" s="270">
        <f t="shared" si="370"/>
        <v>1.0000000000000002</v>
      </c>
      <c r="P191" s="270">
        <f t="shared" si="370"/>
        <v>1.0000000000000002</v>
      </c>
      <c r="Q191" s="270">
        <f t="shared" si="370"/>
        <v>1.0000000000000002</v>
      </c>
      <c r="R191" s="370">
        <f t="shared" si="370"/>
        <v>1.0000000000000002</v>
      </c>
      <c r="S191" s="391">
        <f t="shared" ref="S191" si="371">+SUMPRODUCT($F192:$F205,S192:S205)</f>
        <v>1.0000000000000002</v>
      </c>
      <c r="T191" s="270">
        <f t="shared" ref="T191" si="372">+SUMPRODUCT($F192:$F205,T192:T205)</f>
        <v>1.0000000000000002</v>
      </c>
      <c r="U191" s="270">
        <f t="shared" ref="U191" si="373">+SUMPRODUCT($F192:$F205,U192:U205)</f>
        <v>1.0000000000000002</v>
      </c>
      <c r="V191" s="270">
        <f t="shared" ref="V191" si="374">+SUMPRODUCT($F192:$F205,V192:V205)</f>
        <v>1.0000000000000002</v>
      </c>
      <c r="W191" s="270">
        <f t="shared" ref="W191" si="375">+SUMPRODUCT($F192:$F205,W192:W205)</f>
        <v>1.0000000000000002</v>
      </c>
      <c r="X191" s="270">
        <f t="shared" ref="X191" si="376">+SUMPRODUCT($F192:$F205,X192:X205)</f>
        <v>1.0000000000000002</v>
      </c>
      <c r="Y191" s="270">
        <f t="shared" ref="Y191" si="377">+SUMPRODUCT($F192:$F205,Y192:Y205)</f>
        <v>1.0000000000000002</v>
      </c>
      <c r="Z191" s="270">
        <f t="shared" ref="Z191" si="378">+SUMPRODUCT($F192:$F205,Z192:Z205)</f>
        <v>1.0000000000000002</v>
      </c>
      <c r="AA191" s="270">
        <f t="shared" ref="AA191" si="379">+SUMPRODUCT($F192:$F205,AA192:AA205)</f>
        <v>1.0000000000000002</v>
      </c>
      <c r="AB191" s="270">
        <f t="shared" ref="AB191" si="380">+SUMPRODUCT($F192:$F205,AB192:AB205)</f>
        <v>1.0000000000000002</v>
      </c>
      <c r="AC191" s="270">
        <f t="shared" ref="AC191" si="381">+SUMPRODUCT($F192:$F205,AC192:AC205)</f>
        <v>1.0000000000000002</v>
      </c>
      <c r="AD191" s="392">
        <f t="shared" ref="AD191:AF191" si="382">+SUMPRODUCT($F192:$F205,AD192:AD205)</f>
        <v>1.0000000000000002</v>
      </c>
      <c r="AE191" s="392">
        <f t="shared" si="382"/>
        <v>1.0000000000000002</v>
      </c>
      <c r="AF191" s="392">
        <f t="shared" si="382"/>
        <v>1.0000000000000002</v>
      </c>
      <c r="AG191" s="392">
        <f t="shared" ref="AG191" si="383">+SUMPRODUCT($F192:$F205,AG192:AG205)</f>
        <v>1.0000000000000002</v>
      </c>
      <c r="AH191" s="392">
        <f t="shared" ref="AH191" si="384">+SUMPRODUCT($F192:$F205,AH192:AH205)</f>
        <v>1.0000000000000002</v>
      </c>
      <c r="AI191" s="392">
        <f t="shared" ref="AI191" si="385">+SUMPRODUCT($F192:$F205,AI192:AI205)</f>
        <v>1.0000000000000002</v>
      </c>
      <c r="AJ191" s="392">
        <f t="shared" ref="AJ191" si="386">+SUMPRODUCT($F192:$F205,AJ192:AJ205)</f>
        <v>1.0000000000000002</v>
      </c>
      <c r="AK191" s="392">
        <f t="shared" ref="AK191" si="387">+SUMPRODUCT($F192:$F205,AK192:AK205)</f>
        <v>1.0000000000000002</v>
      </c>
      <c r="AL191" s="392">
        <f t="shared" ref="AL191" si="388">+SUMPRODUCT($F192:$F205,AL192:AL205)</f>
        <v>1.0000000000000002</v>
      </c>
      <c r="AM191" s="392">
        <f t="shared" ref="AM191" si="389">+SUMPRODUCT($F192:$F205,AM192:AM205)</f>
        <v>1.0000000000000002</v>
      </c>
      <c r="AN191" s="392">
        <f t="shared" ref="AN191" si="390">+SUMPRODUCT($F192:$F205,AN192:AN205)</f>
        <v>1.0000000000000002</v>
      </c>
      <c r="AO191" s="392">
        <f t="shared" ref="AO191" si="391">+SUMPRODUCT($F192:$F205,AO192:AO205)</f>
        <v>1.0000000000000002</v>
      </c>
      <c r="AP191" s="392">
        <f t="shared" ref="AP191" si="392">+SUMPRODUCT($F192:$F205,AP192:AP205)</f>
        <v>1.0000000000000002</v>
      </c>
    </row>
    <row r="192" spans="1:42" s="140" customFormat="1" ht="13.5" hidden="1" customHeight="1" outlineLevel="3">
      <c r="A192" s="216"/>
      <c r="B192" s="255" t="s">
        <v>369</v>
      </c>
      <c r="C192" s="290" t="s">
        <v>230</v>
      </c>
      <c r="D192" s="227" t="s">
        <v>231</v>
      </c>
      <c r="E192" s="241"/>
      <c r="F192" s="228">
        <f t="shared" ref="F192:F205" si="393">F827</f>
        <v>7.4469037330616245E-2</v>
      </c>
      <c r="G192" s="269">
        <f>+F192*G191</f>
        <v>1.8570674222549716E-4</v>
      </c>
      <c r="H192" s="299"/>
      <c r="I192" s="299"/>
      <c r="J192" s="299"/>
      <c r="K192" s="299"/>
      <c r="L192" s="299"/>
      <c r="M192" s="299"/>
      <c r="N192" s="272">
        <v>1</v>
      </c>
      <c r="O192" s="272">
        <v>1</v>
      </c>
      <c r="P192" s="272">
        <v>1</v>
      </c>
      <c r="Q192" s="272">
        <v>1</v>
      </c>
      <c r="R192" s="372">
        <v>1</v>
      </c>
      <c r="S192" s="395">
        <v>1</v>
      </c>
      <c r="T192" s="272">
        <v>1</v>
      </c>
      <c r="U192" s="272">
        <v>1</v>
      </c>
      <c r="V192" s="272">
        <v>1</v>
      </c>
      <c r="W192" s="272">
        <v>1</v>
      </c>
      <c r="X192" s="272">
        <v>1</v>
      </c>
      <c r="Y192" s="272">
        <v>1</v>
      </c>
      <c r="Z192" s="272">
        <v>1</v>
      </c>
      <c r="AA192" s="272">
        <v>1</v>
      </c>
      <c r="AB192" s="272">
        <v>1</v>
      </c>
      <c r="AC192" s="272">
        <v>1</v>
      </c>
      <c r="AD192" s="396">
        <v>1</v>
      </c>
      <c r="AE192" s="396">
        <v>1</v>
      </c>
      <c r="AF192" s="396">
        <v>1</v>
      </c>
      <c r="AG192" s="396">
        <v>1</v>
      </c>
      <c r="AH192" s="396">
        <v>1</v>
      </c>
      <c r="AI192" s="396">
        <v>1</v>
      </c>
      <c r="AJ192" s="396">
        <v>1</v>
      </c>
      <c r="AK192" s="396">
        <v>1</v>
      </c>
      <c r="AL192" s="396">
        <v>1</v>
      </c>
      <c r="AM192" s="396">
        <v>1</v>
      </c>
      <c r="AN192" s="396">
        <v>1</v>
      </c>
      <c r="AO192" s="396">
        <v>1</v>
      </c>
      <c r="AP192" s="396">
        <v>1</v>
      </c>
    </row>
    <row r="193" spans="1:42" s="140" customFormat="1" ht="13.5" hidden="1" customHeight="1" outlineLevel="3">
      <c r="A193" s="216"/>
      <c r="B193" s="255" t="s">
        <v>370</v>
      </c>
      <c r="C193" s="290" t="s">
        <v>233</v>
      </c>
      <c r="D193" s="227" t="s">
        <v>231</v>
      </c>
      <c r="E193" s="241"/>
      <c r="F193" s="228">
        <f t="shared" si="393"/>
        <v>7.4469037330616245E-2</v>
      </c>
      <c r="G193" s="269">
        <f>+F193*G191</f>
        <v>1.8570674222549716E-4</v>
      </c>
      <c r="H193" s="299"/>
      <c r="I193" s="299"/>
      <c r="J193" s="299"/>
      <c r="K193" s="299"/>
      <c r="L193" s="299"/>
      <c r="M193" s="299"/>
      <c r="N193" s="272">
        <v>1</v>
      </c>
      <c r="O193" s="272">
        <v>1</v>
      </c>
      <c r="P193" s="272">
        <v>1</v>
      </c>
      <c r="Q193" s="272">
        <v>1</v>
      </c>
      <c r="R193" s="372">
        <v>1</v>
      </c>
      <c r="S193" s="395">
        <v>1</v>
      </c>
      <c r="T193" s="272">
        <v>1</v>
      </c>
      <c r="U193" s="272">
        <v>1</v>
      </c>
      <c r="V193" s="272">
        <v>1</v>
      </c>
      <c r="W193" s="272">
        <v>1</v>
      </c>
      <c r="X193" s="272">
        <v>1</v>
      </c>
      <c r="Y193" s="272">
        <v>1</v>
      </c>
      <c r="Z193" s="272">
        <v>1</v>
      </c>
      <c r="AA193" s="272">
        <v>1</v>
      </c>
      <c r="AB193" s="272">
        <v>1</v>
      </c>
      <c r="AC193" s="272">
        <v>1</v>
      </c>
      <c r="AD193" s="396">
        <v>1</v>
      </c>
      <c r="AE193" s="396">
        <v>1</v>
      </c>
      <c r="AF193" s="396">
        <v>1</v>
      </c>
      <c r="AG193" s="396">
        <v>1</v>
      </c>
      <c r="AH193" s="396">
        <v>1</v>
      </c>
      <c r="AI193" s="396">
        <v>1</v>
      </c>
      <c r="AJ193" s="396">
        <v>1</v>
      </c>
      <c r="AK193" s="396">
        <v>1</v>
      </c>
      <c r="AL193" s="396">
        <v>1</v>
      </c>
      <c r="AM193" s="396">
        <v>1</v>
      </c>
      <c r="AN193" s="396">
        <v>1</v>
      </c>
      <c r="AO193" s="396">
        <v>1</v>
      </c>
      <c r="AP193" s="396">
        <v>1</v>
      </c>
    </row>
    <row r="194" spans="1:42" s="140" customFormat="1" ht="13.5" hidden="1" customHeight="1" outlineLevel="3">
      <c r="A194" s="216"/>
      <c r="B194" s="255" t="s">
        <v>371</v>
      </c>
      <c r="C194" s="290" t="s">
        <v>235</v>
      </c>
      <c r="D194" s="227" t="s">
        <v>231</v>
      </c>
      <c r="E194" s="241"/>
      <c r="F194" s="228">
        <f t="shared" si="393"/>
        <v>7.4469037330616245E-2</v>
      </c>
      <c r="G194" s="269">
        <f>+F194*G191</f>
        <v>1.8570674222549716E-4</v>
      </c>
      <c r="H194" s="299"/>
      <c r="I194" s="299"/>
      <c r="J194" s="299"/>
      <c r="K194" s="299"/>
      <c r="L194" s="299"/>
      <c r="M194" s="299"/>
      <c r="N194" s="272">
        <v>1</v>
      </c>
      <c r="O194" s="272">
        <v>1</v>
      </c>
      <c r="P194" s="272">
        <v>1</v>
      </c>
      <c r="Q194" s="272">
        <v>1</v>
      </c>
      <c r="R194" s="372">
        <v>1</v>
      </c>
      <c r="S194" s="395">
        <v>1</v>
      </c>
      <c r="T194" s="272">
        <v>1</v>
      </c>
      <c r="U194" s="272">
        <v>1</v>
      </c>
      <c r="V194" s="272">
        <v>1</v>
      </c>
      <c r="W194" s="272">
        <v>1</v>
      </c>
      <c r="X194" s="272">
        <v>1</v>
      </c>
      <c r="Y194" s="272">
        <v>1</v>
      </c>
      <c r="Z194" s="272">
        <v>1</v>
      </c>
      <c r="AA194" s="272">
        <v>1</v>
      </c>
      <c r="AB194" s="272">
        <v>1</v>
      </c>
      <c r="AC194" s="272">
        <v>1</v>
      </c>
      <c r="AD194" s="396">
        <v>1</v>
      </c>
      <c r="AE194" s="396">
        <v>1</v>
      </c>
      <c r="AF194" s="396">
        <v>1</v>
      </c>
      <c r="AG194" s="396">
        <v>1</v>
      </c>
      <c r="AH194" s="396">
        <v>1</v>
      </c>
      <c r="AI194" s="396">
        <v>1</v>
      </c>
      <c r="AJ194" s="396">
        <v>1</v>
      </c>
      <c r="AK194" s="396">
        <v>1</v>
      </c>
      <c r="AL194" s="396">
        <v>1</v>
      </c>
      <c r="AM194" s="396">
        <v>1</v>
      </c>
      <c r="AN194" s="396">
        <v>1</v>
      </c>
      <c r="AO194" s="396">
        <v>1</v>
      </c>
      <c r="AP194" s="396">
        <v>1</v>
      </c>
    </row>
    <row r="195" spans="1:42" s="140" customFormat="1" ht="13.5" hidden="1" customHeight="1" outlineLevel="3">
      <c r="A195" s="216"/>
      <c r="B195" s="255" t="s">
        <v>372</v>
      </c>
      <c r="C195" s="290" t="s">
        <v>237</v>
      </c>
      <c r="D195" s="227" t="s">
        <v>231</v>
      </c>
      <c r="E195" s="241"/>
      <c r="F195" s="228">
        <f t="shared" si="393"/>
        <v>7.4469037330616245E-2</v>
      </c>
      <c r="G195" s="269">
        <f>+F195*G191</f>
        <v>1.8570674222549716E-4</v>
      </c>
      <c r="H195" s="299"/>
      <c r="I195" s="299"/>
      <c r="J195" s="299"/>
      <c r="K195" s="299"/>
      <c r="L195" s="299"/>
      <c r="M195" s="299"/>
      <c r="N195" s="272">
        <v>1</v>
      </c>
      <c r="O195" s="272">
        <v>1</v>
      </c>
      <c r="P195" s="272">
        <v>1</v>
      </c>
      <c r="Q195" s="272">
        <v>1</v>
      </c>
      <c r="R195" s="372">
        <v>1</v>
      </c>
      <c r="S195" s="395">
        <v>1</v>
      </c>
      <c r="T195" s="272">
        <v>1</v>
      </c>
      <c r="U195" s="272">
        <v>1</v>
      </c>
      <c r="V195" s="272">
        <v>1</v>
      </c>
      <c r="W195" s="272">
        <v>1</v>
      </c>
      <c r="X195" s="272">
        <v>1</v>
      </c>
      <c r="Y195" s="272">
        <v>1</v>
      </c>
      <c r="Z195" s="272">
        <v>1</v>
      </c>
      <c r="AA195" s="272">
        <v>1</v>
      </c>
      <c r="AB195" s="272">
        <v>1</v>
      </c>
      <c r="AC195" s="272">
        <v>1</v>
      </c>
      <c r="AD195" s="396">
        <v>1</v>
      </c>
      <c r="AE195" s="396">
        <v>1</v>
      </c>
      <c r="AF195" s="396">
        <v>1</v>
      </c>
      <c r="AG195" s="396">
        <v>1</v>
      </c>
      <c r="AH195" s="396">
        <v>1</v>
      </c>
      <c r="AI195" s="396">
        <v>1</v>
      </c>
      <c r="AJ195" s="396">
        <v>1</v>
      </c>
      <c r="AK195" s="396">
        <v>1</v>
      </c>
      <c r="AL195" s="396">
        <v>1</v>
      </c>
      <c r="AM195" s="396">
        <v>1</v>
      </c>
      <c r="AN195" s="396">
        <v>1</v>
      </c>
      <c r="AO195" s="396">
        <v>1</v>
      </c>
      <c r="AP195" s="396">
        <v>1</v>
      </c>
    </row>
    <row r="196" spans="1:42" s="140" customFormat="1" ht="13.5" hidden="1" customHeight="1" outlineLevel="3">
      <c r="A196" s="216"/>
      <c r="B196" s="255" t="s">
        <v>373</v>
      </c>
      <c r="C196" s="290" t="s">
        <v>239</v>
      </c>
      <c r="D196" s="227" t="s">
        <v>231</v>
      </c>
      <c r="E196" s="241"/>
      <c r="F196" s="228">
        <f t="shared" si="393"/>
        <v>7.4469037330616245E-2</v>
      </c>
      <c r="G196" s="269">
        <f>+F196*G191</f>
        <v>1.8570674222549716E-4</v>
      </c>
      <c r="H196" s="299"/>
      <c r="I196" s="299"/>
      <c r="J196" s="299"/>
      <c r="K196" s="299"/>
      <c r="L196" s="299"/>
      <c r="M196" s="299"/>
      <c r="N196" s="272">
        <v>1</v>
      </c>
      <c r="O196" s="272">
        <v>1</v>
      </c>
      <c r="P196" s="272">
        <v>1</v>
      </c>
      <c r="Q196" s="272">
        <v>1</v>
      </c>
      <c r="R196" s="372">
        <v>1</v>
      </c>
      <c r="S196" s="395">
        <v>1</v>
      </c>
      <c r="T196" s="272">
        <v>1</v>
      </c>
      <c r="U196" s="272">
        <v>1</v>
      </c>
      <c r="V196" s="272">
        <v>1</v>
      </c>
      <c r="W196" s="272">
        <v>1</v>
      </c>
      <c r="X196" s="272">
        <v>1</v>
      </c>
      <c r="Y196" s="272">
        <v>1</v>
      </c>
      <c r="Z196" s="272">
        <v>1</v>
      </c>
      <c r="AA196" s="272">
        <v>1</v>
      </c>
      <c r="AB196" s="272">
        <v>1</v>
      </c>
      <c r="AC196" s="272">
        <v>1</v>
      </c>
      <c r="AD196" s="396">
        <v>1</v>
      </c>
      <c r="AE196" s="396">
        <v>1</v>
      </c>
      <c r="AF196" s="396">
        <v>1</v>
      </c>
      <c r="AG196" s="396">
        <v>1</v>
      </c>
      <c r="AH196" s="396">
        <v>1</v>
      </c>
      <c r="AI196" s="396">
        <v>1</v>
      </c>
      <c r="AJ196" s="396">
        <v>1</v>
      </c>
      <c r="AK196" s="396">
        <v>1</v>
      </c>
      <c r="AL196" s="396">
        <v>1</v>
      </c>
      <c r="AM196" s="396">
        <v>1</v>
      </c>
      <c r="AN196" s="396">
        <v>1</v>
      </c>
      <c r="AO196" s="396">
        <v>1</v>
      </c>
      <c r="AP196" s="396">
        <v>1</v>
      </c>
    </row>
    <row r="197" spans="1:42" s="140" customFormat="1" ht="13.5" hidden="1" customHeight="1" outlineLevel="3">
      <c r="A197" s="216"/>
      <c r="B197" s="255" t="s">
        <v>374</v>
      </c>
      <c r="C197" s="290" t="s">
        <v>241</v>
      </c>
      <c r="D197" s="227" t="s">
        <v>231</v>
      </c>
      <c r="E197" s="241"/>
      <c r="F197" s="228">
        <f t="shared" si="393"/>
        <v>7.4469037330616245E-2</v>
      </c>
      <c r="G197" s="269">
        <f>+F197*G191</f>
        <v>1.8570674222549716E-4</v>
      </c>
      <c r="H197" s="299"/>
      <c r="I197" s="299"/>
      <c r="J197" s="299"/>
      <c r="K197" s="299"/>
      <c r="L197" s="299"/>
      <c r="M197" s="299"/>
      <c r="N197" s="272">
        <v>1</v>
      </c>
      <c r="O197" s="272">
        <v>1</v>
      </c>
      <c r="P197" s="272">
        <v>1</v>
      </c>
      <c r="Q197" s="272">
        <v>1</v>
      </c>
      <c r="R197" s="372">
        <v>1</v>
      </c>
      <c r="S197" s="395">
        <v>1</v>
      </c>
      <c r="T197" s="272">
        <v>1</v>
      </c>
      <c r="U197" s="272">
        <v>1</v>
      </c>
      <c r="V197" s="272">
        <v>1</v>
      </c>
      <c r="W197" s="272">
        <v>1</v>
      </c>
      <c r="X197" s="272">
        <v>1</v>
      </c>
      <c r="Y197" s="272">
        <v>1</v>
      </c>
      <c r="Z197" s="272">
        <v>1</v>
      </c>
      <c r="AA197" s="272">
        <v>1</v>
      </c>
      <c r="AB197" s="272">
        <v>1</v>
      </c>
      <c r="AC197" s="272">
        <v>1</v>
      </c>
      <c r="AD197" s="396">
        <v>1</v>
      </c>
      <c r="AE197" s="396">
        <v>1</v>
      </c>
      <c r="AF197" s="396">
        <v>1</v>
      </c>
      <c r="AG197" s="396">
        <v>1</v>
      </c>
      <c r="AH197" s="396">
        <v>1</v>
      </c>
      <c r="AI197" s="396">
        <v>1</v>
      </c>
      <c r="AJ197" s="396">
        <v>1</v>
      </c>
      <c r="AK197" s="396">
        <v>1</v>
      </c>
      <c r="AL197" s="396">
        <v>1</v>
      </c>
      <c r="AM197" s="396">
        <v>1</v>
      </c>
      <c r="AN197" s="396">
        <v>1</v>
      </c>
      <c r="AO197" s="396">
        <v>1</v>
      </c>
      <c r="AP197" s="396">
        <v>1</v>
      </c>
    </row>
    <row r="198" spans="1:42" s="140" customFormat="1" ht="26.25" hidden="1" customHeight="1" outlineLevel="3">
      <c r="A198" s="216"/>
      <c r="B198" s="255" t="s">
        <v>375</v>
      </c>
      <c r="C198" s="290" t="s">
        <v>376</v>
      </c>
      <c r="D198" s="227" t="s">
        <v>256</v>
      </c>
      <c r="E198" s="241"/>
      <c r="F198" s="228">
        <f t="shared" si="393"/>
        <v>6.9148222002037796E-2</v>
      </c>
      <c r="G198" s="269">
        <f>+F198*G191</f>
        <v>1.7243798898155597E-4</v>
      </c>
      <c r="H198" s="299"/>
      <c r="I198" s="299"/>
      <c r="J198" s="299"/>
      <c r="K198" s="299"/>
      <c r="L198" s="299"/>
      <c r="M198" s="299"/>
      <c r="N198" s="272">
        <v>1</v>
      </c>
      <c r="O198" s="272">
        <v>1</v>
      </c>
      <c r="P198" s="272">
        <v>1</v>
      </c>
      <c r="Q198" s="272">
        <v>1</v>
      </c>
      <c r="R198" s="372">
        <v>1</v>
      </c>
      <c r="S198" s="395">
        <v>1</v>
      </c>
      <c r="T198" s="272">
        <v>1</v>
      </c>
      <c r="U198" s="272">
        <v>1</v>
      </c>
      <c r="V198" s="272">
        <v>1</v>
      </c>
      <c r="W198" s="272">
        <v>1</v>
      </c>
      <c r="X198" s="272">
        <v>1</v>
      </c>
      <c r="Y198" s="272">
        <v>1</v>
      </c>
      <c r="Z198" s="272">
        <v>1</v>
      </c>
      <c r="AA198" s="272">
        <v>1</v>
      </c>
      <c r="AB198" s="272">
        <v>1</v>
      </c>
      <c r="AC198" s="272">
        <v>1</v>
      </c>
      <c r="AD198" s="396">
        <v>1</v>
      </c>
      <c r="AE198" s="396">
        <v>1</v>
      </c>
      <c r="AF198" s="396">
        <v>1</v>
      </c>
      <c r="AG198" s="396">
        <v>1</v>
      </c>
      <c r="AH198" s="396">
        <v>1</v>
      </c>
      <c r="AI198" s="396">
        <v>1</v>
      </c>
      <c r="AJ198" s="396">
        <v>1</v>
      </c>
      <c r="AK198" s="396">
        <v>1</v>
      </c>
      <c r="AL198" s="396">
        <v>1</v>
      </c>
      <c r="AM198" s="396">
        <v>1</v>
      </c>
      <c r="AN198" s="396">
        <v>1</v>
      </c>
      <c r="AO198" s="396">
        <v>1</v>
      </c>
      <c r="AP198" s="396">
        <v>1</v>
      </c>
    </row>
    <row r="199" spans="1:42" s="140" customFormat="1" ht="26.25" hidden="1" customHeight="1" outlineLevel="3">
      <c r="A199" s="216"/>
      <c r="B199" s="255" t="s">
        <v>377</v>
      </c>
      <c r="C199" s="290" t="s">
        <v>378</v>
      </c>
      <c r="D199" s="227" t="s">
        <v>256</v>
      </c>
      <c r="E199" s="241"/>
      <c r="F199" s="228">
        <f t="shared" si="393"/>
        <v>6.9148222002037796E-2</v>
      </c>
      <c r="G199" s="269">
        <f>+F199*G191</f>
        <v>1.7243798898155597E-4</v>
      </c>
      <c r="H199" s="299"/>
      <c r="I199" s="299"/>
      <c r="J199" s="299"/>
      <c r="K199" s="299"/>
      <c r="L199" s="299"/>
      <c r="M199" s="299"/>
      <c r="N199" s="272">
        <v>1</v>
      </c>
      <c r="O199" s="272">
        <v>1</v>
      </c>
      <c r="P199" s="272">
        <v>1</v>
      </c>
      <c r="Q199" s="272">
        <v>1</v>
      </c>
      <c r="R199" s="372">
        <v>1</v>
      </c>
      <c r="S199" s="395">
        <v>1</v>
      </c>
      <c r="T199" s="272">
        <v>1</v>
      </c>
      <c r="U199" s="272">
        <v>1</v>
      </c>
      <c r="V199" s="272">
        <v>1</v>
      </c>
      <c r="W199" s="272">
        <v>1</v>
      </c>
      <c r="X199" s="272">
        <v>1</v>
      </c>
      <c r="Y199" s="272">
        <v>1</v>
      </c>
      <c r="Z199" s="272">
        <v>1</v>
      </c>
      <c r="AA199" s="272">
        <v>1</v>
      </c>
      <c r="AB199" s="272">
        <v>1</v>
      </c>
      <c r="AC199" s="272">
        <v>1</v>
      </c>
      <c r="AD199" s="396">
        <v>1</v>
      </c>
      <c r="AE199" s="396">
        <v>1</v>
      </c>
      <c r="AF199" s="396">
        <v>1</v>
      </c>
      <c r="AG199" s="396">
        <v>1</v>
      </c>
      <c r="AH199" s="396">
        <v>1</v>
      </c>
      <c r="AI199" s="396">
        <v>1</v>
      </c>
      <c r="AJ199" s="396">
        <v>1</v>
      </c>
      <c r="AK199" s="396">
        <v>1</v>
      </c>
      <c r="AL199" s="396">
        <v>1</v>
      </c>
      <c r="AM199" s="396">
        <v>1</v>
      </c>
      <c r="AN199" s="396">
        <v>1</v>
      </c>
      <c r="AO199" s="396">
        <v>1</v>
      </c>
      <c r="AP199" s="396">
        <v>1</v>
      </c>
    </row>
    <row r="200" spans="1:42" s="140" customFormat="1" ht="26.25" hidden="1" customHeight="1" outlineLevel="3">
      <c r="A200" s="216"/>
      <c r="B200" s="255" t="s">
        <v>379</v>
      </c>
      <c r="C200" s="290" t="s">
        <v>380</v>
      </c>
      <c r="D200" s="227" t="s">
        <v>256</v>
      </c>
      <c r="E200" s="241"/>
      <c r="F200" s="228">
        <f t="shared" si="393"/>
        <v>6.9148222002037796E-2</v>
      </c>
      <c r="G200" s="269">
        <f>+F200*G191</f>
        <v>1.7243798898155597E-4</v>
      </c>
      <c r="H200" s="299"/>
      <c r="I200" s="299"/>
      <c r="J200" s="299"/>
      <c r="K200" s="299"/>
      <c r="L200" s="299"/>
      <c r="M200" s="299"/>
      <c r="N200" s="272">
        <v>1</v>
      </c>
      <c r="O200" s="272">
        <v>1</v>
      </c>
      <c r="P200" s="272">
        <v>1</v>
      </c>
      <c r="Q200" s="272">
        <v>1</v>
      </c>
      <c r="R200" s="372">
        <v>1</v>
      </c>
      <c r="S200" s="395">
        <v>1</v>
      </c>
      <c r="T200" s="272">
        <v>1</v>
      </c>
      <c r="U200" s="272">
        <v>1</v>
      </c>
      <c r="V200" s="272">
        <v>1</v>
      </c>
      <c r="W200" s="272">
        <v>1</v>
      </c>
      <c r="X200" s="272">
        <v>1</v>
      </c>
      <c r="Y200" s="272">
        <v>1</v>
      </c>
      <c r="Z200" s="272">
        <v>1</v>
      </c>
      <c r="AA200" s="272">
        <v>1</v>
      </c>
      <c r="AB200" s="272">
        <v>1</v>
      </c>
      <c r="AC200" s="272">
        <v>1</v>
      </c>
      <c r="AD200" s="396">
        <v>1</v>
      </c>
      <c r="AE200" s="396">
        <v>1</v>
      </c>
      <c r="AF200" s="396">
        <v>1</v>
      </c>
      <c r="AG200" s="396">
        <v>1</v>
      </c>
      <c r="AH200" s="396">
        <v>1</v>
      </c>
      <c r="AI200" s="396">
        <v>1</v>
      </c>
      <c r="AJ200" s="396">
        <v>1</v>
      </c>
      <c r="AK200" s="396">
        <v>1</v>
      </c>
      <c r="AL200" s="396">
        <v>1</v>
      </c>
      <c r="AM200" s="396">
        <v>1</v>
      </c>
      <c r="AN200" s="396">
        <v>1</v>
      </c>
      <c r="AO200" s="396">
        <v>1</v>
      </c>
      <c r="AP200" s="396">
        <v>1</v>
      </c>
    </row>
    <row r="201" spans="1:42" s="140" customFormat="1" ht="26.25" hidden="1" customHeight="1" outlineLevel="3">
      <c r="A201" s="216"/>
      <c r="B201" s="255" t="s">
        <v>381</v>
      </c>
      <c r="C201" s="290" t="s">
        <v>382</v>
      </c>
      <c r="D201" s="227" t="s">
        <v>256</v>
      </c>
      <c r="E201" s="241"/>
      <c r="F201" s="228">
        <f t="shared" si="393"/>
        <v>6.9148222002037796E-2</v>
      </c>
      <c r="G201" s="269">
        <f>+F201*G191</f>
        <v>1.7243798898155597E-4</v>
      </c>
      <c r="H201" s="299"/>
      <c r="I201" s="299"/>
      <c r="J201" s="299"/>
      <c r="K201" s="299"/>
      <c r="L201" s="299"/>
      <c r="M201" s="299"/>
      <c r="N201" s="272">
        <v>1</v>
      </c>
      <c r="O201" s="272">
        <v>1</v>
      </c>
      <c r="P201" s="272">
        <v>1</v>
      </c>
      <c r="Q201" s="272">
        <v>1</v>
      </c>
      <c r="R201" s="372">
        <v>1</v>
      </c>
      <c r="S201" s="395">
        <v>1</v>
      </c>
      <c r="T201" s="272">
        <v>1</v>
      </c>
      <c r="U201" s="272">
        <v>1</v>
      </c>
      <c r="V201" s="272">
        <v>1</v>
      </c>
      <c r="W201" s="272">
        <v>1</v>
      </c>
      <c r="X201" s="272">
        <v>1</v>
      </c>
      <c r="Y201" s="272">
        <v>1</v>
      </c>
      <c r="Z201" s="272">
        <v>1</v>
      </c>
      <c r="AA201" s="272">
        <v>1</v>
      </c>
      <c r="AB201" s="272">
        <v>1</v>
      </c>
      <c r="AC201" s="272">
        <v>1</v>
      </c>
      <c r="AD201" s="396">
        <v>1</v>
      </c>
      <c r="AE201" s="396">
        <v>1</v>
      </c>
      <c r="AF201" s="396">
        <v>1</v>
      </c>
      <c r="AG201" s="396">
        <v>1</v>
      </c>
      <c r="AH201" s="396">
        <v>1</v>
      </c>
      <c r="AI201" s="396">
        <v>1</v>
      </c>
      <c r="AJ201" s="396">
        <v>1</v>
      </c>
      <c r="AK201" s="396">
        <v>1</v>
      </c>
      <c r="AL201" s="396">
        <v>1</v>
      </c>
      <c r="AM201" s="396">
        <v>1</v>
      </c>
      <c r="AN201" s="396">
        <v>1</v>
      </c>
      <c r="AO201" s="396">
        <v>1</v>
      </c>
      <c r="AP201" s="396">
        <v>1</v>
      </c>
    </row>
    <row r="202" spans="1:42" s="140" customFormat="1" ht="26.25" hidden="1" customHeight="1" outlineLevel="3">
      <c r="A202" s="216"/>
      <c r="B202" s="255" t="s">
        <v>383</v>
      </c>
      <c r="C202" s="290" t="s">
        <v>384</v>
      </c>
      <c r="D202" s="227" t="s">
        <v>256</v>
      </c>
      <c r="E202" s="241"/>
      <c r="F202" s="228">
        <f t="shared" si="393"/>
        <v>6.9148222002037796E-2</v>
      </c>
      <c r="G202" s="269">
        <f>+F202*G191</f>
        <v>1.7243798898155597E-4</v>
      </c>
      <c r="H202" s="299"/>
      <c r="I202" s="299"/>
      <c r="J202" s="299"/>
      <c r="K202" s="299"/>
      <c r="L202" s="299"/>
      <c r="M202" s="299"/>
      <c r="N202" s="272">
        <v>1</v>
      </c>
      <c r="O202" s="272">
        <v>1</v>
      </c>
      <c r="P202" s="272">
        <v>1</v>
      </c>
      <c r="Q202" s="272">
        <v>1</v>
      </c>
      <c r="R202" s="372">
        <v>1</v>
      </c>
      <c r="S202" s="395">
        <v>1</v>
      </c>
      <c r="T202" s="272">
        <v>1</v>
      </c>
      <c r="U202" s="272">
        <v>1</v>
      </c>
      <c r="V202" s="272">
        <v>1</v>
      </c>
      <c r="W202" s="272">
        <v>1</v>
      </c>
      <c r="X202" s="272">
        <v>1</v>
      </c>
      <c r="Y202" s="272">
        <v>1</v>
      </c>
      <c r="Z202" s="272">
        <v>1</v>
      </c>
      <c r="AA202" s="272">
        <v>1</v>
      </c>
      <c r="AB202" s="272">
        <v>1</v>
      </c>
      <c r="AC202" s="272">
        <v>1</v>
      </c>
      <c r="AD202" s="396">
        <v>1</v>
      </c>
      <c r="AE202" s="396">
        <v>1</v>
      </c>
      <c r="AF202" s="396">
        <v>1</v>
      </c>
      <c r="AG202" s="396">
        <v>1</v>
      </c>
      <c r="AH202" s="396">
        <v>1</v>
      </c>
      <c r="AI202" s="396">
        <v>1</v>
      </c>
      <c r="AJ202" s="396">
        <v>1</v>
      </c>
      <c r="AK202" s="396">
        <v>1</v>
      </c>
      <c r="AL202" s="396">
        <v>1</v>
      </c>
      <c r="AM202" s="396">
        <v>1</v>
      </c>
      <c r="AN202" s="396">
        <v>1</v>
      </c>
      <c r="AO202" s="396">
        <v>1</v>
      </c>
      <c r="AP202" s="396">
        <v>1</v>
      </c>
    </row>
    <row r="203" spans="1:42" s="140" customFormat="1" ht="26.25" hidden="1" customHeight="1" outlineLevel="3">
      <c r="A203" s="216"/>
      <c r="B203" s="255" t="s">
        <v>385</v>
      </c>
      <c r="C203" s="290" t="s">
        <v>386</v>
      </c>
      <c r="D203" s="227" t="s">
        <v>256</v>
      </c>
      <c r="E203" s="241"/>
      <c r="F203" s="228">
        <f t="shared" si="393"/>
        <v>6.9148222002037796E-2</v>
      </c>
      <c r="G203" s="269">
        <f>+F203*G191</f>
        <v>1.7243798898155597E-4</v>
      </c>
      <c r="H203" s="299"/>
      <c r="I203" s="299"/>
      <c r="J203" s="299"/>
      <c r="K203" s="299"/>
      <c r="L203" s="299"/>
      <c r="M203" s="299"/>
      <c r="N203" s="272">
        <v>1</v>
      </c>
      <c r="O203" s="272">
        <v>1</v>
      </c>
      <c r="P203" s="272">
        <v>1</v>
      </c>
      <c r="Q203" s="272">
        <v>1</v>
      </c>
      <c r="R203" s="372">
        <v>1</v>
      </c>
      <c r="S203" s="395">
        <v>1</v>
      </c>
      <c r="T203" s="272">
        <v>1</v>
      </c>
      <c r="U203" s="272">
        <v>1</v>
      </c>
      <c r="V203" s="272">
        <v>1</v>
      </c>
      <c r="W203" s="272">
        <v>1</v>
      </c>
      <c r="X203" s="272">
        <v>1</v>
      </c>
      <c r="Y203" s="272">
        <v>1</v>
      </c>
      <c r="Z203" s="272">
        <v>1</v>
      </c>
      <c r="AA203" s="272">
        <v>1</v>
      </c>
      <c r="AB203" s="272">
        <v>1</v>
      </c>
      <c r="AC203" s="272">
        <v>1</v>
      </c>
      <c r="AD203" s="396">
        <v>1</v>
      </c>
      <c r="AE203" s="396">
        <v>1</v>
      </c>
      <c r="AF203" s="396">
        <v>1</v>
      </c>
      <c r="AG203" s="396">
        <v>1</v>
      </c>
      <c r="AH203" s="396">
        <v>1</v>
      </c>
      <c r="AI203" s="396">
        <v>1</v>
      </c>
      <c r="AJ203" s="396">
        <v>1</v>
      </c>
      <c r="AK203" s="396">
        <v>1</v>
      </c>
      <c r="AL203" s="396">
        <v>1</v>
      </c>
      <c r="AM203" s="396">
        <v>1</v>
      </c>
      <c r="AN203" s="396">
        <v>1</v>
      </c>
      <c r="AO203" s="396">
        <v>1</v>
      </c>
      <c r="AP203" s="396">
        <v>1</v>
      </c>
    </row>
    <row r="204" spans="1:42" s="140" customFormat="1" ht="26.25" hidden="1" customHeight="1" outlineLevel="3">
      <c r="A204" s="216"/>
      <c r="B204" s="255" t="s">
        <v>387</v>
      </c>
      <c r="C204" s="290" t="s">
        <v>388</v>
      </c>
      <c r="D204" s="227" t="s">
        <v>256</v>
      </c>
      <c r="E204" s="241"/>
      <c r="F204" s="228">
        <f t="shared" si="393"/>
        <v>6.9148222002037796E-2</v>
      </c>
      <c r="G204" s="269">
        <f>+F204*G191</f>
        <v>1.7243798898155597E-4</v>
      </c>
      <c r="H204" s="299"/>
      <c r="I204" s="299"/>
      <c r="J204" s="299"/>
      <c r="K204" s="299"/>
      <c r="L204" s="299"/>
      <c r="M204" s="299"/>
      <c r="N204" s="272">
        <v>1</v>
      </c>
      <c r="O204" s="272">
        <v>1</v>
      </c>
      <c r="P204" s="272">
        <v>1</v>
      </c>
      <c r="Q204" s="272">
        <v>1</v>
      </c>
      <c r="R204" s="372">
        <v>1</v>
      </c>
      <c r="S204" s="395">
        <v>1</v>
      </c>
      <c r="T204" s="272">
        <v>1</v>
      </c>
      <c r="U204" s="272">
        <v>1</v>
      </c>
      <c r="V204" s="272">
        <v>1</v>
      </c>
      <c r="W204" s="272">
        <v>1</v>
      </c>
      <c r="X204" s="272">
        <v>1</v>
      </c>
      <c r="Y204" s="272">
        <v>1</v>
      </c>
      <c r="Z204" s="272">
        <v>1</v>
      </c>
      <c r="AA204" s="272">
        <v>1</v>
      </c>
      <c r="AB204" s="272">
        <v>1</v>
      </c>
      <c r="AC204" s="272">
        <v>1</v>
      </c>
      <c r="AD204" s="396">
        <v>1</v>
      </c>
      <c r="AE204" s="396">
        <v>1</v>
      </c>
      <c r="AF204" s="396">
        <v>1</v>
      </c>
      <c r="AG204" s="396">
        <v>1</v>
      </c>
      <c r="AH204" s="396">
        <v>1</v>
      </c>
      <c r="AI204" s="396">
        <v>1</v>
      </c>
      <c r="AJ204" s="396">
        <v>1</v>
      </c>
      <c r="AK204" s="396">
        <v>1</v>
      </c>
      <c r="AL204" s="396">
        <v>1</v>
      </c>
      <c r="AM204" s="396">
        <v>1</v>
      </c>
      <c r="AN204" s="396">
        <v>1</v>
      </c>
      <c r="AO204" s="396">
        <v>1</v>
      </c>
      <c r="AP204" s="396">
        <v>1</v>
      </c>
    </row>
    <row r="205" spans="1:42" s="140" customFormat="1" ht="26.25" hidden="1" customHeight="1" outlineLevel="3">
      <c r="A205" s="216"/>
      <c r="B205" s="255" t="s">
        <v>389</v>
      </c>
      <c r="C205" s="290" t="s">
        <v>390</v>
      </c>
      <c r="D205" s="227" t="s">
        <v>256</v>
      </c>
      <c r="E205" s="241"/>
      <c r="F205" s="228">
        <f t="shared" si="393"/>
        <v>6.9148222002037796E-2</v>
      </c>
      <c r="G205" s="269">
        <f>+F205*G191</f>
        <v>1.7243798898155597E-4</v>
      </c>
      <c r="H205" s="299"/>
      <c r="I205" s="299"/>
      <c r="J205" s="299"/>
      <c r="K205" s="299"/>
      <c r="L205" s="299"/>
      <c r="M205" s="299"/>
      <c r="N205" s="272">
        <v>1</v>
      </c>
      <c r="O205" s="272">
        <v>1</v>
      </c>
      <c r="P205" s="272">
        <v>1</v>
      </c>
      <c r="Q205" s="272">
        <v>1</v>
      </c>
      <c r="R205" s="372">
        <v>1</v>
      </c>
      <c r="S205" s="395">
        <v>1</v>
      </c>
      <c r="T205" s="272">
        <v>1</v>
      </c>
      <c r="U205" s="272">
        <v>1</v>
      </c>
      <c r="V205" s="272">
        <v>1</v>
      </c>
      <c r="W205" s="272">
        <v>1</v>
      </c>
      <c r="X205" s="272">
        <v>1</v>
      </c>
      <c r="Y205" s="272">
        <v>1</v>
      </c>
      <c r="Z205" s="272">
        <v>1</v>
      </c>
      <c r="AA205" s="272">
        <v>1</v>
      </c>
      <c r="AB205" s="272">
        <v>1</v>
      </c>
      <c r="AC205" s="272">
        <v>1</v>
      </c>
      <c r="AD205" s="396">
        <v>1</v>
      </c>
      <c r="AE205" s="396">
        <v>1</v>
      </c>
      <c r="AF205" s="396">
        <v>1</v>
      </c>
      <c r="AG205" s="396">
        <v>1</v>
      </c>
      <c r="AH205" s="396">
        <v>1</v>
      </c>
      <c r="AI205" s="396">
        <v>1</v>
      </c>
      <c r="AJ205" s="396">
        <v>1</v>
      </c>
      <c r="AK205" s="396">
        <v>1</v>
      </c>
      <c r="AL205" s="396">
        <v>1</v>
      </c>
      <c r="AM205" s="396">
        <v>1</v>
      </c>
      <c r="AN205" s="396">
        <v>1</v>
      </c>
      <c r="AO205" s="396">
        <v>1</v>
      </c>
      <c r="AP205" s="396">
        <v>1</v>
      </c>
    </row>
    <row r="206" spans="1:42" s="140" customFormat="1" ht="13.5" hidden="1" customHeight="1" outlineLevel="1">
      <c r="B206" s="300" t="s">
        <v>391</v>
      </c>
      <c r="C206" s="294" t="s">
        <v>392</v>
      </c>
      <c r="D206" s="294" t="s">
        <v>47</v>
      </c>
      <c r="E206" s="295"/>
      <c r="F206" s="296">
        <f t="shared" ref="F206:F232" si="394">F842</f>
        <v>3.9032542437386124E-2</v>
      </c>
      <c r="G206" s="296">
        <f>+F206*G83</f>
        <v>1.1709762731215837E-3</v>
      </c>
      <c r="H206" s="297"/>
      <c r="I206" s="297"/>
      <c r="J206" s="297"/>
      <c r="K206" s="297"/>
      <c r="L206" s="297"/>
      <c r="M206" s="297"/>
      <c r="N206" s="296">
        <f t="shared" ref="N206:R206" si="395">+SUMPRODUCT($F207:$F221,N207:N221)</f>
        <v>0.96396476787106966</v>
      </c>
      <c r="O206" s="296">
        <f t="shared" si="395"/>
        <v>0.96396476787106966</v>
      </c>
      <c r="P206" s="296">
        <f t="shared" si="395"/>
        <v>0.96396476787106966</v>
      </c>
      <c r="Q206" s="296">
        <f t="shared" si="395"/>
        <v>0.96396476787106966</v>
      </c>
      <c r="R206" s="376">
        <f t="shared" si="395"/>
        <v>0.96396476787106966</v>
      </c>
      <c r="S206" s="403">
        <f t="shared" ref="S206" si="396">+SUMPRODUCT($F207:$F221,S207:S221)</f>
        <v>0.96396476787106966</v>
      </c>
      <c r="T206" s="296">
        <f t="shared" ref="T206" si="397">+SUMPRODUCT($F207:$F221,T207:T221)</f>
        <v>0.96396476787106966</v>
      </c>
      <c r="U206" s="296">
        <f t="shared" ref="U206" si="398">+SUMPRODUCT($F207:$F221,U207:U221)</f>
        <v>0.96396476787106966</v>
      </c>
      <c r="V206" s="296">
        <f t="shared" ref="V206" si="399">+SUMPRODUCT($F207:$F221,V207:V221)</f>
        <v>0.96396476787106966</v>
      </c>
      <c r="W206" s="296">
        <f t="shared" ref="W206" si="400">+SUMPRODUCT($F207:$F221,W207:W221)</f>
        <v>0.96396476787106966</v>
      </c>
      <c r="X206" s="296">
        <f t="shared" ref="X206" si="401">+SUMPRODUCT($F207:$F221,X207:X221)</f>
        <v>0.96396476787106966</v>
      </c>
      <c r="Y206" s="296">
        <f t="shared" ref="Y206" si="402">+SUMPRODUCT($F207:$F221,Y207:Y221)</f>
        <v>0.96396476787106966</v>
      </c>
      <c r="Z206" s="296">
        <f t="shared" ref="Z206" si="403">+SUMPRODUCT($F207:$F221,Z207:Z221)</f>
        <v>0.96396476787106966</v>
      </c>
      <c r="AA206" s="296">
        <f t="shared" ref="AA206" si="404">+SUMPRODUCT($F207:$F221,AA207:AA221)</f>
        <v>0.96396476787106966</v>
      </c>
      <c r="AB206" s="296">
        <f t="shared" ref="AB206" si="405">+SUMPRODUCT($F207:$F221,AB207:AB221)</f>
        <v>0.96396476787106966</v>
      </c>
      <c r="AC206" s="296">
        <f t="shared" ref="AC206" si="406">+SUMPRODUCT($F207:$F221,AC207:AC221)</f>
        <v>0.96396476787106966</v>
      </c>
      <c r="AD206" s="404">
        <f t="shared" ref="AD206:AF206" si="407">+SUMPRODUCT($F207:$F221,AD207:AD221)</f>
        <v>0.96396476787106966</v>
      </c>
      <c r="AE206" s="404">
        <f t="shared" si="407"/>
        <v>0.96396476787106966</v>
      </c>
      <c r="AF206" s="404">
        <f t="shared" si="407"/>
        <v>0.96396476787106966</v>
      </c>
      <c r="AG206" s="404">
        <f t="shared" ref="AG206" si="408">+SUMPRODUCT($F207:$F221,AG207:AG221)</f>
        <v>0.96396476787106966</v>
      </c>
      <c r="AH206" s="404">
        <f t="shared" ref="AH206" si="409">+SUMPRODUCT($F207:$F221,AH207:AH221)</f>
        <v>0.96396476787106966</v>
      </c>
      <c r="AI206" s="404">
        <f t="shared" ref="AI206" si="410">+SUMPRODUCT($F207:$F221,AI207:AI221)</f>
        <v>0.96396476787106966</v>
      </c>
      <c r="AJ206" s="404">
        <f t="shared" ref="AJ206" si="411">+SUMPRODUCT($F207:$F221,AJ207:AJ221)</f>
        <v>0.96396476787106966</v>
      </c>
      <c r="AK206" s="404">
        <f t="shared" ref="AK206" si="412">+SUMPRODUCT($F207:$F221,AK207:AK221)</f>
        <v>0.96396476787106966</v>
      </c>
      <c r="AL206" s="404">
        <f t="shared" ref="AL206" si="413">+SUMPRODUCT($F207:$F221,AL207:AL221)</f>
        <v>0.96396476787106966</v>
      </c>
      <c r="AM206" s="404">
        <f t="shared" ref="AM206" si="414">+SUMPRODUCT($F207:$F221,AM207:AM221)</f>
        <v>0.96396476787106966</v>
      </c>
      <c r="AN206" s="404">
        <f t="shared" ref="AN206" si="415">+SUMPRODUCT($F207:$F221,AN207:AN221)</f>
        <v>0.96396476787106966</v>
      </c>
      <c r="AO206" s="404">
        <f t="shared" ref="AO206" si="416">+SUMPRODUCT($F207:$F221,AO207:AO221)</f>
        <v>0.96396476787106966</v>
      </c>
      <c r="AP206" s="404">
        <f t="shared" ref="AP206" si="417">+SUMPRODUCT($F207:$F221,AP207:AP221)</f>
        <v>0.96396476787106966</v>
      </c>
    </row>
    <row r="207" spans="1:42" s="140" customFormat="1" ht="13.5" hidden="1" customHeight="1" outlineLevel="2">
      <c r="A207" s="216"/>
      <c r="B207" s="255" t="s">
        <v>393</v>
      </c>
      <c r="C207" s="245" t="s">
        <v>49</v>
      </c>
      <c r="D207" s="227" t="s">
        <v>50</v>
      </c>
      <c r="E207" s="241"/>
      <c r="F207" s="228">
        <f t="shared" si="394"/>
        <v>9.2877610796635368E-2</v>
      </c>
      <c r="G207" s="269">
        <f>+F207*G206</f>
        <v>1.0875747854708105E-4</v>
      </c>
      <c r="H207" s="299"/>
      <c r="I207" s="299"/>
      <c r="J207" s="299"/>
      <c r="K207" s="299"/>
      <c r="L207" s="299"/>
      <c r="M207" s="299"/>
      <c r="N207" s="272">
        <v>0.85270909135365192</v>
      </c>
      <c r="O207" s="272">
        <v>0.85270909135365192</v>
      </c>
      <c r="P207" s="272">
        <v>0.85270909135365192</v>
      </c>
      <c r="Q207" s="272">
        <v>0.85270909135365192</v>
      </c>
      <c r="R207" s="372">
        <v>0.85270909135365192</v>
      </c>
      <c r="S207" s="395">
        <v>0.85270909135365192</v>
      </c>
      <c r="T207" s="272">
        <v>0.85270909135365192</v>
      </c>
      <c r="U207" s="272">
        <v>0.85270909135365192</v>
      </c>
      <c r="V207" s="272">
        <v>0.85270909135365192</v>
      </c>
      <c r="W207" s="272">
        <v>0.85270909135365192</v>
      </c>
      <c r="X207" s="272">
        <v>0.85270909135365192</v>
      </c>
      <c r="Y207" s="272">
        <v>0.85270909135365192</v>
      </c>
      <c r="Z207" s="272">
        <v>0.85270909135365192</v>
      </c>
      <c r="AA207" s="272">
        <v>0.85270909135365192</v>
      </c>
      <c r="AB207" s="272">
        <v>0.85270909135365192</v>
      </c>
      <c r="AC207" s="272">
        <v>0.85270909135365192</v>
      </c>
      <c r="AD207" s="396">
        <v>0.85270909135365192</v>
      </c>
      <c r="AE207" s="396">
        <v>0.85270909135365192</v>
      </c>
      <c r="AF207" s="396">
        <v>0.85270909135365192</v>
      </c>
      <c r="AG207" s="396">
        <v>0.85270909135365192</v>
      </c>
      <c r="AH207" s="396">
        <v>0.85270909135365192</v>
      </c>
      <c r="AI207" s="396">
        <v>0.85270909135365192</v>
      </c>
      <c r="AJ207" s="396">
        <v>0.85270909135365192</v>
      </c>
      <c r="AK207" s="396">
        <v>0.85270909135365192</v>
      </c>
      <c r="AL207" s="396">
        <v>0.85270909135365192</v>
      </c>
      <c r="AM207" s="396">
        <v>0.85270909135365192</v>
      </c>
      <c r="AN207" s="396">
        <v>0.85270909135365192</v>
      </c>
      <c r="AO207" s="396">
        <v>0.85270909135365192</v>
      </c>
      <c r="AP207" s="396">
        <v>0.85270909135365192</v>
      </c>
    </row>
    <row r="208" spans="1:42" s="140" customFormat="1" ht="13.5" hidden="1" customHeight="1" outlineLevel="2">
      <c r="A208" s="216"/>
      <c r="B208" s="255" t="s">
        <v>394</v>
      </c>
      <c r="C208" s="245" t="s">
        <v>52</v>
      </c>
      <c r="D208" s="227" t="s">
        <v>53</v>
      </c>
      <c r="E208" s="241"/>
      <c r="F208" s="228">
        <f t="shared" si="394"/>
        <v>5.8105219309829384E-2</v>
      </c>
      <c r="G208" s="269">
        <f>+F208*G206</f>
        <v>6.8039833156336297E-5</v>
      </c>
      <c r="H208" s="299"/>
      <c r="I208" s="299"/>
      <c r="J208" s="299"/>
      <c r="K208" s="299"/>
      <c r="L208" s="299"/>
      <c r="M208" s="299"/>
      <c r="N208" s="272">
        <v>0.99999999999999956</v>
      </c>
      <c r="O208" s="272">
        <v>0.99999999999999956</v>
      </c>
      <c r="P208" s="272">
        <v>0.99999999999999956</v>
      </c>
      <c r="Q208" s="272">
        <v>0.99999999999999956</v>
      </c>
      <c r="R208" s="372">
        <v>0.99999999999999956</v>
      </c>
      <c r="S208" s="395">
        <v>0.99999999999999956</v>
      </c>
      <c r="T208" s="272">
        <v>0.99999999999999956</v>
      </c>
      <c r="U208" s="272">
        <v>0.99999999999999956</v>
      </c>
      <c r="V208" s="272">
        <v>0.99999999999999956</v>
      </c>
      <c r="W208" s="272">
        <v>0.99999999999999956</v>
      </c>
      <c r="X208" s="272">
        <v>0.99999999999999956</v>
      </c>
      <c r="Y208" s="272">
        <v>0.99999999999999956</v>
      </c>
      <c r="Z208" s="272">
        <v>0.99999999999999956</v>
      </c>
      <c r="AA208" s="272">
        <v>0.99999999999999956</v>
      </c>
      <c r="AB208" s="272">
        <v>0.99999999999999956</v>
      </c>
      <c r="AC208" s="272">
        <v>0.99999999999999956</v>
      </c>
      <c r="AD208" s="396">
        <v>0.99999999999999956</v>
      </c>
      <c r="AE208" s="396">
        <v>0.99999999999999956</v>
      </c>
      <c r="AF208" s="396">
        <v>0.99999999999999956</v>
      </c>
      <c r="AG208" s="396">
        <v>0.99999999999999956</v>
      </c>
      <c r="AH208" s="396">
        <v>0.99999999999999956</v>
      </c>
      <c r="AI208" s="396">
        <v>0.99999999999999956</v>
      </c>
      <c r="AJ208" s="396">
        <v>0.99999999999999956</v>
      </c>
      <c r="AK208" s="396">
        <v>0.99999999999999956</v>
      </c>
      <c r="AL208" s="396">
        <v>0.99999999999999956</v>
      </c>
      <c r="AM208" s="396">
        <v>0.99999999999999956</v>
      </c>
      <c r="AN208" s="396">
        <v>0.99999999999999956</v>
      </c>
      <c r="AO208" s="396">
        <v>0.99999999999999956</v>
      </c>
      <c r="AP208" s="396">
        <v>0.99999999999999956</v>
      </c>
    </row>
    <row r="209" spans="1:42" s="140" customFormat="1" ht="13.5" hidden="1" customHeight="1" outlineLevel="2">
      <c r="A209" s="216"/>
      <c r="B209" s="255" t="s">
        <v>395</v>
      </c>
      <c r="C209" s="245" t="s">
        <v>55</v>
      </c>
      <c r="D209" s="227" t="s">
        <v>56</v>
      </c>
      <c r="E209" s="241"/>
      <c r="F209" s="228">
        <f t="shared" si="394"/>
        <v>2.7796911320762424E-2</v>
      </c>
      <c r="G209" s="269">
        <f>+F209*G206</f>
        <v>3.2549523622677542E-5</v>
      </c>
      <c r="H209" s="299"/>
      <c r="I209" s="299"/>
      <c r="J209" s="299"/>
      <c r="K209" s="299"/>
      <c r="L209" s="299"/>
      <c r="M209" s="299"/>
      <c r="N209" s="272">
        <v>1.0000000000000002</v>
      </c>
      <c r="O209" s="272">
        <v>1.0000000000000002</v>
      </c>
      <c r="P209" s="272">
        <v>1.0000000000000002</v>
      </c>
      <c r="Q209" s="272">
        <v>1.0000000000000002</v>
      </c>
      <c r="R209" s="372">
        <v>1.0000000000000002</v>
      </c>
      <c r="S209" s="395">
        <v>1.0000000000000002</v>
      </c>
      <c r="T209" s="272">
        <v>1.0000000000000002</v>
      </c>
      <c r="U209" s="272">
        <v>1.0000000000000002</v>
      </c>
      <c r="V209" s="272">
        <v>1.0000000000000002</v>
      </c>
      <c r="W209" s="272">
        <v>1.0000000000000002</v>
      </c>
      <c r="X209" s="272">
        <v>1.0000000000000002</v>
      </c>
      <c r="Y209" s="272">
        <v>1.0000000000000002</v>
      </c>
      <c r="Z209" s="272">
        <v>1.0000000000000002</v>
      </c>
      <c r="AA209" s="272">
        <v>1.0000000000000002</v>
      </c>
      <c r="AB209" s="272">
        <v>1.0000000000000002</v>
      </c>
      <c r="AC209" s="272">
        <v>1.0000000000000002</v>
      </c>
      <c r="AD209" s="396">
        <v>1.0000000000000002</v>
      </c>
      <c r="AE209" s="396">
        <v>1.0000000000000002</v>
      </c>
      <c r="AF209" s="396">
        <v>1.0000000000000002</v>
      </c>
      <c r="AG209" s="396">
        <v>1.0000000000000002</v>
      </c>
      <c r="AH209" s="396">
        <v>1.0000000000000002</v>
      </c>
      <c r="AI209" s="396">
        <v>1.0000000000000002</v>
      </c>
      <c r="AJ209" s="396">
        <v>1.0000000000000002</v>
      </c>
      <c r="AK209" s="396">
        <v>1.0000000000000002</v>
      </c>
      <c r="AL209" s="396">
        <v>1.0000000000000002</v>
      </c>
      <c r="AM209" s="396">
        <v>1.0000000000000002</v>
      </c>
      <c r="AN209" s="396">
        <v>1.0000000000000002</v>
      </c>
      <c r="AO209" s="396">
        <v>1.0000000000000002</v>
      </c>
      <c r="AP209" s="396">
        <v>1.0000000000000002</v>
      </c>
    </row>
    <row r="210" spans="1:42" s="140" customFormat="1" ht="13.5" hidden="1" customHeight="1" outlineLevel="2">
      <c r="A210" s="216"/>
      <c r="B210" s="255" t="s">
        <v>396</v>
      </c>
      <c r="C210" s="245" t="s">
        <v>58</v>
      </c>
      <c r="D210" s="227" t="s">
        <v>59</v>
      </c>
      <c r="E210" s="241"/>
      <c r="F210" s="228">
        <f t="shared" si="394"/>
        <v>2.9155300375276354E-2</v>
      </c>
      <c r="G210" s="269">
        <f>+F210*G206</f>
        <v>3.4140164975181419E-5</v>
      </c>
      <c r="H210" s="299"/>
      <c r="I210" s="299"/>
      <c r="J210" s="299"/>
      <c r="K210" s="299"/>
      <c r="L210" s="299"/>
      <c r="M210" s="299"/>
      <c r="N210" s="272">
        <v>0.91666666666666674</v>
      </c>
      <c r="O210" s="272">
        <v>0.91666666666666674</v>
      </c>
      <c r="P210" s="272">
        <v>0.91666666666666674</v>
      </c>
      <c r="Q210" s="272">
        <v>0.91666666666666674</v>
      </c>
      <c r="R210" s="372">
        <v>0.91666666666666674</v>
      </c>
      <c r="S210" s="395">
        <v>0.91666666666666674</v>
      </c>
      <c r="T210" s="272">
        <v>0.91666666666666674</v>
      </c>
      <c r="U210" s="272">
        <v>0.91666666666666674</v>
      </c>
      <c r="V210" s="272">
        <v>0.91666666666666674</v>
      </c>
      <c r="W210" s="272">
        <v>0.91666666666666674</v>
      </c>
      <c r="X210" s="272">
        <v>0.91666666666666674</v>
      </c>
      <c r="Y210" s="272">
        <v>0.91666666666666674</v>
      </c>
      <c r="Z210" s="272">
        <v>0.91666666666666674</v>
      </c>
      <c r="AA210" s="272">
        <v>0.91666666666666674</v>
      </c>
      <c r="AB210" s="272">
        <v>0.91666666666666674</v>
      </c>
      <c r="AC210" s="272">
        <v>0.91666666666666674</v>
      </c>
      <c r="AD210" s="396">
        <v>0.91666666666666674</v>
      </c>
      <c r="AE210" s="396">
        <v>0.91666666666666674</v>
      </c>
      <c r="AF210" s="396">
        <v>0.91666666666666674</v>
      </c>
      <c r="AG210" s="396">
        <v>0.91666666666666674</v>
      </c>
      <c r="AH210" s="396">
        <v>0.91666666666666674</v>
      </c>
      <c r="AI210" s="396">
        <v>0.91666666666666674</v>
      </c>
      <c r="AJ210" s="396">
        <v>0.91666666666666674</v>
      </c>
      <c r="AK210" s="396">
        <v>0.91666666666666674</v>
      </c>
      <c r="AL210" s="396">
        <v>0.91666666666666674</v>
      </c>
      <c r="AM210" s="396">
        <v>0.91666666666666674</v>
      </c>
      <c r="AN210" s="396">
        <v>0.91666666666666674</v>
      </c>
      <c r="AO210" s="396">
        <v>0.91666666666666674</v>
      </c>
      <c r="AP210" s="396">
        <v>0.91666666666666674</v>
      </c>
    </row>
    <row r="211" spans="1:42" s="140" customFormat="1" ht="13.5" hidden="1" customHeight="1" outlineLevel="2">
      <c r="A211" s="216"/>
      <c r="B211" s="255" t="s">
        <v>397</v>
      </c>
      <c r="C211" s="245" t="s">
        <v>61</v>
      </c>
      <c r="D211" s="227" t="s">
        <v>62</v>
      </c>
      <c r="E211" s="241"/>
      <c r="F211" s="228">
        <f t="shared" si="394"/>
        <v>4.0182801717972776E-2</v>
      </c>
      <c r="G211" s="269">
        <f>+F211*G206</f>
        <v>4.7053107399295334E-5</v>
      </c>
      <c r="H211" s="299"/>
      <c r="I211" s="299"/>
      <c r="J211" s="299"/>
      <c r="K211" s="299"/>
      <c r="L211" s="299"/>
      <c r="M211" s="299"/>
      <c r="N211" s="272">
        <v>0.99999999999999967</v>
      </c>
      <c r="O211" s="272">
        <v>0.99999999999999967</v>
      </c>
      <c r="P211" s="272">
        <v>0.99999999999999967</v>
      </c>
      <c r="Q211" s="272">
        <v>0.99999999999999967</v>
      </c>
      <c r="R211" s="372">
        <v>0.99999999999999967</v>
      </c>
      <c r="S211" s="395">
        <v>0.99999999999999967</v>
      </c>
      <c r="T211" s="272">
        <v>0.99999999999999967</v>
      </c>
      <c r="U211" s="272">
        <v>0.99999999999999967</v>
      </c>
      <c r="V211" s="272">
        <v>0.99999999999999967</v>
      </c>
      <c r="W211" s="272">
        <v>0.99999999999999967</v>
      </c>
      <c r="X211" s="272">
        <v>0.99999999999999967</v>
      </c>
      <c r="Y211" s="272">
        <v>0.99999999999999967</v>
      </c>
      <c r="Z211" s="272">
        <v>0.99999999999999967</v>
      </c>
      <c r="AA211" s="272">
        <v>0.99999999999999967</v>
      </c>
      <c r="AB211" s="272">
        <v>0.99999999999999967</v>
      </c>
      <c r="AC211" s="272">
        <v>0.99999999999999967</v>
      </c>
      <c r="AD211" s="396">
        <v>0.99999999999999967</v>
      </c>
      <c r="AE211" s="396">
        <v>0.99999999999999967</v>
      </c>
      <c r="AF211" s="396">
        <v>0.99999999999999967</v>
      </c>
      <c r="AG211" s="396">
        <v>0.99999999999999967</v>
      </c>
      <c r="AH211" s="396">
        <v>0.99999999999999967</v>
      </c>
      <c r="AI211" s="396">
        <v>0.99999999999999967</v>
      </c>
      <c r="AJ211" s="396">
        <v>0.99999999999999967</v>
      </c>
      <c r="AK211" s="396">
        <v>0.99999999999999967</v>
      </c>
      <c r="AL211" s="396">
        <v>0.99999999999999967</v>
      </c>
      <c r="AM211" s="396">
        <v>0.99999999999999967</v>
      </c>
      <c r="AN211" s="396">
        <v>0.99999999999999967</v>
      </c>
      <c r="AO211" s="396">
        <v>0.99999999999999967</v>
      </c>
      <c r="AP211" s="396">
        <v>0.99999999999999967</v>
      </c>
    </row>
    <row r="212" spans="1:42" s="140" customFormat="1" ht="13.5" hidden="1" customHeight="1" outlineLevel="2">
      <c r="A212" s="216"/>
      <c r="B212" s="255" t="s">
        <v>398</v>
      </c>
      <c r="C212" s="245" t="s">
        <v>64</v>
      </c>
      <c r="D212" s="227" t="s">
        <v>65</v>
      </c>
      <c r="E212" s="241"/>
      <c r="F212" s="228">
        <f t="shared" si="394"/>
        <v>9.8615013818202632E-2</v>
      </c>
      <c r="G212" s="269">
        <f>+F212*G206</f>
        <v>1.154758413546724E-4</v>
      </c>
      <c r="H212" s="299"/>
      <c r="I212" s="299"/>
      <c r="J212" s="299"/>
      <c r="K212" s="299"/>
      <c r="L212" s="299"/>
      <c r="M212" s="299"/>
      <c r="N212" s="272">
        <v>0.99999999999999967</v>
      </c>
      <c r="O212" s="272">
        <v>0.99999999999999967</v>
      </c>
      <c r="P212" s="272">
        <v>0.99999999999999967</v>
      </c>
      <c r="Q212" s="272">
        <v>0.99999999999999967</v>
      </c>
      <c r="R212" s="372">
        <v>0.99999999999999967</v>
      </c>
      <c r="S212" s="395">
        <v>0.99999999999999967</v>
      </c>
      <c r="T212" s="272">
        <v>0.99999999999999967</v>
      </c>
      <c r="U212" s="272">
        <v>0.99999999999999967</v>
      </c>
      <c r="V212" s="272">
        <v>0.99999999999999967</v>
      </c>
      <c r="W212" s="272">
        <v>0.99999999999999967</v>
      </c>
      <c r="X212" s="272">
        <v>0.99999999999999967</v>
      </c>
      <c r="Y212" s="272">
        <v>0.99999999999999967</v>
      </c>
      <c r="Z212" s="272">
        <v>0.99999999999999967</v>
      </c>
      <c r="AA212" s="272">
        <v>0.99999999999999967</v>
      </c>
      <c r="AB212" s="272">
        <v>0.99999999999999967</v>
      </c>
      <c r="AC212" s="272">
        <v>0.99999999999999967</v>
      </c>
      <c r="AD212" s="396">
        <v>0.99999999999999967</v>
      </c>
      <c r="AE212" s="396">
        <v>0.99999999999999967</v>
      </c>
      <c r="AF212" s="396">
        <v>0.99999999999999967</v>
      </c>
      <c r="AG212" s="396">
        <v>0.99999999999999967</v>
      </c>
      <c r="AH212" s="396">
        <v>0.99999999999999967</v>
      </c>
      <c r="AI212" s="396">
        <v>0.99999999999999967</v>
      </c>
      <c r="AJ212" s="396">
        <v>0.99999999999999967</v>
      </c>
      <c r="AK212" s="396">
        <v>0.99999999999999967</v>
      </c>
      <c r="AL212" s="396">
        <v>0.99999999999999967</v>
      </c>
      <c r="AM212" s="396">
        <v>0.99999999999999967</v>
      </c>
      <c r="AN212" s="396">
        <v>0.99999999999999967</v>
      </c>
      <c r="AO212" s="396">
        <v>0.99999999999999967</v>
      </c>
      <c r="AP212" s="396">
        <v>0.99999999999999967</v>
      </c>
    </row>
    <row r="213" spans="1:42" s="140" customFormat="1" ht="13.5" hidden="1" customHeight="1" outlineLevel="2">
      <c r="A213" s="216"/>
      <c r="B213" s="255" t="s">
        <v>399</v>
      </c>
      <c r="C213" s="245" t="s">
        <v>67</v>
      </c>
      <c r="D213" s="227" t="s">
        <v>68</v>
      </c>
      <c r="E213" s="241"/>
      <c r="F213" s="228">
        <f t="shared" si="394"/>
        <v>9.164980880972666E-2</v>
      </c>
      <c r="G213" s="269">
        <f>+F213*G206</f>
        <v>1.0731975155231942E-4</v>
      </c>
      <c r="H213" s="299"/>
      <c r="I213" s="299"/>
      <c r="J213" s="299"/>
      <c r="K213" s="299"/>
      <c r="L213" s="299"/>
      <c r="M213" s="299"/>
      <c r="N213" s="272">
        <v>0.99999999999999967</v>
      </c>
      <c r="O213" s="272">
        <v>0.99999999999999967</v>
      </c>
      <c r="P213" s="272">
        <v>0.99999999999999967</v>
      </c>
      <c r="Q213" s="272">
        <v>0.99999999999999967</v>
      </c>
      <c r="R213" s="372">
        <v>0.99999999999999967</v>
      </c>
      <c r="S213" s="395">
        <v>0.99999999999999967</v>
      </c>
      <c r="T213" s="272">
        <v>0.99999999999999967</v>
      </c>
      <c r="U213" s="272">
        <v>0.99999999999999967</v>
      </c>
      <c r="V213" s="272">
        <v>0.99999999999999967</v>
      </c>
      <c r="W213" s="272">
        <v>0.99999999999999967</v>
      </c>
      <c r="X213" s="272">
        <v>0.99999999999999967</v>
      </c>
      <c r="Y213" s="272">
        <v>0.99999999999999967</v>
      </c>
      <c r="Z213" s="272">
        <v>0.99999999999999967</v>
      </c>
      <c r="AA213" s="272">
        <v>0.99999999999999967</v>
      </c>
      <c r="AB213" s="272">
        <v>0.99999999999999967</v>
      </c>
      <c r="AC213" s="272">
        <v>0.99999999999999967</v>
      </c>
      <c r="AD213" s="396">
        <v>0.99999999999999967</v>
      </c>
      <c r="AE213" s="396">
        <v>0.99999999999999967</v>
      </c>
      <c r="AF213" s="396">
        <v>0.99999999999999967</v>
      </c>
      <c r="AG213" s="396">
        <v>0.99999999999999967</v>
      </c>
      <c r="AH213" s="396">
        <v>0.99999999999999967</v>
      </c>
      <c r="AI213" s="396">
        <v>0.99999999999999967</v>
      </c>
      <c r="AJ213" s="396">
        <v>0.99999999999999967</v>
      </c>
      <c r="AK213" s="396">
        <v>0.99999999999999967</v>
      </c>
      <c r="AL213" s="396">
        <v>0.99999999999999967</v>
      </c>
      <c r="AM213" s="396">
        <v>0.99999999999999967</v>
      </c>
      <c r="AN213" s="396">
        <v>0.99999999999999967</v>
      </c>
      <c r="AO213" s="396">
        <v>0.99999999999999967</v>
      </c>
      <c r="AP213" s="396">
        <v>0.99999999999999967</v>
      </c>
    </row>
    <row r="214" spans="1:42" s="140" customFormat="1" ht="26.25" hidden="1" customHeight="1" outlineLevel="2">
      <c r="A214" s="216"/>
      <c r="B214" s="255" t="s">
        <v>400</v>
      </c>
      <c r="C214" s="245" t="s">
        <v>70</v>
      </c>
      <c r="D214" s="227" t="s">
        <v>71</v>
      </c>
      <c r="E214" s="241"/>
      <c r="F214" s="228">
        <f t="shared" si="394"/>
        <v>9.2909380612212003E-2</v>
      </c>
      <c r="G214" s="269">
        <f>+F214*G206</f>
        <v>1.0879468024732273E-4</v>
      </c>
      <c r="H214" s="299"/>
      <c r="I214" s="299"/>
      <c r="J214" s="299"/>
      <c r="K214" s="299"/>
      <c r="L214" s="299"/>
      <c r="M214" s="299"/>
      <c r="N214" s="272">
        <v>0.96197182771917034</v>
      </c>
      <c r="O214" s="272">
        <v>0.96197182771917034</v>
      </c>
      <c r="P214" s="272">
        <v>0.96197182771917034</v>
      </c>
      <c r="Q214" s="272">
        <v>0.96197182771917034</v>
      </c>
      <c r="R214" s="372">
        <v>0.96197182771917034</v>
      </c>
      <c r="S214" s="395">
        <v>0.96197182771917034</v>
      </c>
      <c r="T214" s="272">
        <v>0.96197182771917034</v>
      </c>
      <c r="U214" s="272">
        <v>0.96197182771917034</v>
      </c>
      <c r="V214" s="272">
        <v>0.96197182771917034</v>
      </c>
      <c r="W214" s="272">
        <v>0.96197182771917034</v>
      </c>
      <c r="X214" s="272">
        <v>0.96197182771917034</v>
      </c>
      <c r="Y214" s="272">
        <v>0.96197182771917034</v>
      </c>
      <c r="Z214" s="272">
        <v>0.96197182771917034</v>
      </c>
      <c r="AA214" s="272">
        <v>0.96197182771917034</v>
      </c>
      <c r="AB214" s="272">
        <v>0.96197182771917034</v>
      </c>
      <c r="AC214" s="272">
        <v>0.96197182771917034</v>
      </c>
      <c r="AD214" s="396">
        <v>0.96197182771917034</v>
      </c>
      <c r="AE214" s="396">
        <v>0.96197182771917034</v>
      </c>
      <c r="AF214" s="396">
        <v>0.96197182771917034</v>
      </c>
      <c r="AG214" s="396">
        <v>0.96197182771917034</v>
      </c>
      <c r="AH214" s="396">
        <v>0.96197182771917034</v>
      </c>
      <c r="AI214" s="396">
        <v>0.96197182771917034</v>
      </c>
      <c r="AJ214" s="396">
        <v>0.96197182771917034</v>
      </c>
      <c r="AK214" s="396">
        <v>0.96197182771917034</v>
      </c>
      <c r="AL214" s="396">
        <v>0.96197182771917034</v>
      </c>
      <c r="AM214" s="396">
        <v>0.96197182771917034</v>
      </c>
      <c r="AN214" s="396">
        <v>0.96197182771917034</v>
      </c>
      <c r="AO214" s="396">
        <v>0.96197182771917034</v>
      </c>
      <c r="AP214" s="396">
        <v>0.96197182771917034</v>
      </c>
    </row>
    <row r="215" spans="1:42" s="140" customFormat="1" ht="13.5" hidden="1" customHeight="1" outlineLevel="2">
      <c r="A215" s="216"/>
      <c r="B215" s="255" t="s">
        <v>401</v>
      </c>
      <c r="C215" s="245" t="s">
        <v>73</v>
      </c>
      <c r="D215" s="227" t="s">
        <v>74</v>
      </c>
      <c r="E215" s="241"/>
      <c r="F215" s="228">
        <f t="shared" si="394"/>
        <v>8.0887028733242702E-2</v>
      </c>
      <c r="G215" s="269">
        <f>+F215*G206</f>
        <v>9.4716791449931003E-5</v>
      </c>
      <c r="H215" s="299"/>
      <c r="I215" s="299"/>
      <c r="J215" s="299"/>
      <c r="K215" s="299"/>
      <c r="L215" s="299"/>
      <c r="M215" s="299"/>
      <c r="N215" s="272">
        <v>0.85270909135365192</v>
      </c>
      <c r="O215" s="272">
        <v>0.85270909135365192</v>
      </c>
      <c r="P215" s="272">
        <v>0.85270909135365192</v>
      </c>
      <c r="Q215" s="272">
        <v>0.85270909135365192</v>
      </c>
      <c r="R215" s="372">
        <v>0.85270909135365192</v>
      </c>
      <c r="S215" s="395">
        <v>0.85270909135365192</v>
      </c>
      <c r="T215" s="272">
        <v>0.85270909135365192</v>
      </c>
      <c r="U215" s="272">
        <v>0.85270909135365192</v>
      </c>
      <c r="V215" s="272">
        <v>0.85270909135365192</v>
      </c>
      <c r="W215" s="272">
        <v>0.85270909135365192</v>
      </c>
      <c r="X215" s="272">
        <v>0.85270909135365192</v>
      </c>
      <c r="Y215" s="272">
        <v>0.85270909135365192</v>
      </c>
      <c r="Z215" s="272">
        <v>0.85270909135365192</v>
      </c>
      <c r="AA215" s="272">
        <v>0.85270909135365192</v>
      </c>
      <c r="AB215" s="272">
        <v>0.85270909135365192</v>
      </c>
      <c r="AC215" s="272">
        <v>0.85270909135365192</v>
      </c>
      <c r="AD215" s="396">
        <v>0.85270909135365192</v>
      </c>
      <c r="AE215" s="396">
        <v>0.85270909135365192</v>
      </c>
      <c r="AF215" s="396">
        <v>0.85270909135365192</v>
      </c>
      <c r="AG215" s="396">
        <v>0.85270909135365192</v>
      </c>
      <c r="AH215" s="396">
        <v>0.85270909135365192</v>
      </c>
      <c r="AI215" s="396">
        <v>0.85270909135365192</v>
      </c>
      <c r="AJ215" s="396">
        <v>0.85270909135365192</v>
      </c>
      <c r="AK215" s="396">
        <v>0.85270909135365192</v>
      </c>
      <c r="AL215" s="396">
        <v>0.85270909135365192</v>
      </c>
      <c r="AM215" s="396">
        <v>0.85270909135365192</v>
      </c>
      <c r="AN215" s="396">
        <v>0.85270909135365192</v>
      </c>
      <c r="AO215" s="396">
        <v>0.85270909135365192</v>
      </c>
      <c r="AP215" s="396">
        <v>0.85270909135365192</v>
      </c>
    </row>
    <row r="216" spans="1:42" s="140" customFormat="1" ht="13.5" hidden="1" customHeight="1" outlineLevel="2">
      <c r="A216" s="216"/>
      <c r="B216" s="255" t="s">
        <v>402</v>
      </c>
      <c r="C216" s="245" t="s">
        <v>76</v>
      </c>
      <c r="D216" s="227" t="s">
        <v>77</v>
      </c>
      <c r="E216" s="241"/>
      <c r="F216" s="228">
        <f t="shared" si="394"/>
        <v>0.11788367881609482</v>
      </c>
      <c r="G216" s="269">
        <f>+F216*G206</f>
        <v>1.3803899088193252E-4</v>
      </c>
      <c r="H216" s="299"/>
      <c r="I216" s="299"/>
      <c r="J216" s="299"/>
      <c r="K216" s="299"/>
      <c r="L216" s="299"/>
      <c r="M216" s="299"/>
      <c r="N216" s="272">
        <v>0.99999999999999956</v>
      </c>
      <c r="O216" s="272">
        <v>0.99999999999999956</v>
      </c>
      <c r="P216" s="272">
        <v>0.99999999999999956</v>
      </c>
      <c r="Q216" s="272">
        <v>0.99999999999999956</v>
      </c>
      <c r="R216" s="372">
        <v>0.99999999999999956</v>
      </c>
      <c r="S216" s="395">
        <v>0.99999999999999956</v>
      </c>
      <c r="T216" s="272">
        <v>0.99999999999999956</v>
      </c>
      <c r="U216" s="272">
        <v>0.99999999999999956</v>
      </c>
      <c r="V216" s="272">
        <v>0.99999999999999956</v>
      </c>
      <c r="W216" s="272">
        <v>0.99999999999999956</v>
      </c>
      <c r="X216" s="272">
        <v>0.99999999999999956</v>
      </c>
      <c r="Y216" s="272">
        <v>0.99999999999999956</v>
      </c>
      <c r="Z216" s="272">
        <v>0.99999999999999956</v>
      </c>
      <c r="AA216" s="272">
        <v>0.99999999999999956</v>
      </c>
      <c r="AB216" s="272">
        <v>0.99999999999999956</v>
      </c>
      <c r="AC216" s="272">
        <v>0.99999999999999956</v>
      </c>
      <c r="AD216" s="396">
        <v>0.99999999999999956</v>
      </c>
      <c r="AE216" s="396">
        <v>0.99999999999999956</v>
      </c>
      <c r="AF216" s="396">
        <v>0.99999999999999956</v>
      </c>
      <c r="AG216" s="396">
        <v>0.99999999999999956</v>
      </c>
      <c r="AH216" s="396">
        <v>0.99999999999999956</v>
      </c>
      <c r="AI216" s="396">
        <v>0.99999999999999956</v>
      </c>
      <c r="AJ216" s="396">
        <v>0.99999999999999956</v>
      </c>
      <c r="AK216" s="396">
        <v>0.99999999999999956</v>
      </c>
      <c r="AL216" s="396">
        <v>0.99999999999999956</v>
      </c>
      <c r="AM216" s="396">
        <v>0.99999999999999956</v>
      </c>
      <c r="AN216" s="396">
        <v>0.99999999999999956</v>
      </c>
      <c r="AO216" s="396">
        <v>0.99999999999999956</v>
      </c>
      <c r="AP216" s="396">
        <v>0.99999999999999956</v>
      </c>
    </row>
    <row r="217" spans="1:42" s="140" customFormat="1" ht="13.5" hidden="1" customHeight="1" outlineLevel="2">
      <c r="A217" s="216"/>
      <c r="B217" s="255" t="s">
        <v>403</v>
      </c>
      <c r="C217" s="245" t="s">
        <v>79</v>
      </c>
      <c r="D217" s="227" t="s">
        <v>80</v>
      </c>
      <c r="E217" s="241"/>
      <c r="F217" s="228">
        <f t="shared" si="394"/>
        <v>4.1046638926131508E-2</v>
      </c>
      <c r="G217" s="269">
        <f>+F217*G206</f>
        <v>4.8064640273888798E-5</v>
      </c>
      <c r="H217" s="299"/>
      <c r="I217" s="299"/>
      <c r="J217" s="299"/>
      <c r="K217" s="299"/>
      <c r="L217" s="299"/>
      <c r="M217" s="299"/>
      <c r="N217" s="272">
        <v>1.0000000000000002</v>
      </c>
      <c r="O217" s="272">
        <v>1.0000000000000002</v>
      </c>
      <c r="P217" s="272">
        <v>1.0000000000000002</v>
      </c>
      <c r="Q217" s="272">
        <v>1.0000000000000002</v>
      </c>
      <c r="R217" s="372">
        <v>1.0000000000000002</v>
      </c>
      <c r="S217" s="395">
        <v>1.0000000000000002</v>
      </c>
      <c r="T217" s="272">
        <v>1.0000000000000002</v>
      </c>
      <c r="U217" s="272">
        <v>1.0000000000000002</v>
      </c>
      <c r="V217" s="272">
        <v>1.0000000000000002</v>
      </c>
      <c r="W217" s="272">
        <v>1.0000000000000002</v>
      </c>
      <c r="X217" s="272">
        <v>1.0000000000000002</v>
      </c>
      <c r="Y217" s="272">
        <v>1.0000000000000002</v>
      </c>
      <c r="Z217" s="272">
        <v>1.0000000000000002</v>
      </c>
      <c r="AA217" s="272">
        <v>1.0000000000000002</v>
      </c>
      <c r="AB217" s="272">
        <v>1.0000000000000002</v>
      </c>
      <c r="AC217" s="272">
        <v>1.0000000000000002</v>
      </c>
      <c r="AD217" s="396">
        <v>1.0000000000000002</v>
      </c>
      <c r="AE217" s="396">
        <v>1.0000000000000002</v>
      </c>
      <c r="AF217" s="396">
        <v>1.0000000000000002</v>
      </c>
      <c r="AG217" s="396">
        <v>1.0000000000000002</v>
      </c>
      <c r="AH217" s="396">
        <v>1.0000000000000002</v>
      </c>
      <c r="AI217" s="396">
        <v>1.0000000000000002</v>
      </c>
      <c r="AJ217" s="396">
        <v>1.0000000000000002</v>
      </c>
      <c r="AK217" s="396">
        <v>1.0000000000000002</v>
      </c>
      <c r="AL217" s="396">
        <v>1.0000000000000002</v>
      </c>
      <c r="AM217" s="396">
        <v>1.0000000000000002</v>
      </c>
      <c r="AN217" s="396">
        <v>1.0000000000000002</v>
      </c>
      <c r="AO217" s="396">
        <v>1.0000000000000002</v>
      </c>
      <c r="AP217" s="396">
        <v>1.0000000000000002</v>
      </c>
    </row>
    <row r="218" spans="1:42" s="140" customFormat="1" ht="13.5" hidden="1" customHeight="1" outlineLevel="2">
      <c r="A218" s="216"/>
      <c r="B218" s="255" t="s">
        <v>404</v>
      </c>
      <c r="C218" s="245" t="s">
        <v>82</v>
      </c>
      <c r="D218" s="227" t="s">
        <v>83</v>
      </c>
      <c r="E218" s="241"/>
      <c r="F218" s="228">
        <f t="shared" si="394"/>
        <v>5.3741978219236555E-2</v>
      </c>
      <c r="G218" s="269">
        <f>+F218*G206</f>
        <v>6.2930581365342947E-5</v>
      </c>
      <c r="H218" s="299"/>
      <c r="I218" s="299"/>
      <c r="J218" s="299"/>
      <c r="K218" s="299"/>
      <c r="L218" s="299"/>
      <c r="M218" s="299"/>
      <c r="N218" s="272">
        <v>0.91666666666666674</v>
      </c>
      <c r="O218" s="272">
        <v>0.91666666666666674</v>
      </c>
      <c r="P218" s="272">
        <v>0.91666666666666674</v>
      </c>
      <c r="Q218" s="272">
        <v>0.91666666666666674</v>
      </c>
      <c r="R218" s="372">
        <v>0.91666666666666674</v>
      </c>
      <c r="S218" s="395">
        <v>0.91666666666666674</v>
      </c>
      <c r="T218" s="272">
        <v>0.91666666666666674</v>
      </c>
      <c r="U218" s="272">
        <v>0.91666666666666674</v>
      </c>
      <c r="V218" s="272">
        <v>0.91666666666666674</v>
      </c>
      <c r="W218" s="272">
        <v>0.91666666666666674</v>
      </c>
      <c r="X218" s="272">
        <v>0.91666666666666674</v>
      </c>
      <c r="Y218" s="272">
        <v>0.91666666666666674</v>
      </c>
      <c r="Z218" s="272">
        <v>0.91666666666666674</v>
      </c>
      <c r="AA218" s="272">
        <v>0.91666666666666674</v>
      </c>
      <c r="AB218" s="272">
        <v>0.91666666666666674</v>
      </c>
      <c r="AC218" s="272">
        <v>0.91666666666666674</v>
      </c>
      <c r="AD218" s="396">
        <v>0.91666666666666674</v>
      </c>
      <c r="AE218" s="396">
        <v>0.91666666666666674</v>
      </c>
      <c r="AF218" s="396">
        <v>0.91666666666666674</v>
      </c>
      <c r="AG218" s="396">
        <v>0.91666666666666674</v>
      </c>
      <c r="AH218" s="396">
        <v>0.91666666666666674</v>
      </c>
      <c r="AI218" s="396">
        <v>0.91666666666666674</v>
      </c>
      <c r="AJ218" s="396">
        <v>0.91666666666666674</v>
      </c>
      <c r="AK218" s="396">
        <v>0.91666666666666674</v>
      </c>
      <c r="AL218" s="396">
        <v>0.91666666666666674</v>
      </c>
      <c r="AM218" s="396">
        <v>0.91666666666666674</v>
      </c>
      <c r="AN218" s="396">
        <v>0.91666666666666674</v>
      </c>
      <c r="AO218" s="396">
        <v>0.91666666666666674</v>
      </c>
      <c r="AP218" s="396">
        <v>0.91666666666666674</v>
      </c>
    </row>
    <row r="219" spans="1:42" s="140" customFormat="1" ht="13.5" hidden="1" customHeight="1" outlineLevel="2">
      <c r="A219" s="216"/>
      <c r="B219" s="255" t="s">
        <v>405</v>
      </c>
      <c r="C219" s="245" t="s">
        <v>85</v>
      </c>
      <c r="D219" s="227" t="s">
        <v>86</v>
      </c>
      <c r="E219" s="241"/>
      <c r="F219" s="228">
        <f t="shared" si="394"/>
        <v>5.8057394561842592E-2</v>
      </c>
      <c r="G219" s="269">
        <f>+F219*G206</f>
        <v>6.798383151117574E-5</v>
      </c>
      <c r="H219" s="299"/>
      <c r="I219" s="299"/>
      <c r="J219" s="299"/>
      <c r="K219" s="299"/>
      <c r="L219" s="299"/>
      <c r="M219" s="299"/>
      <c r="N219" s="272">
        <v>0.99999999999999967</v>
      </c>
      <c r="O219" s="272">
        <v>0.99999999999999967</v>
      </c>
      <c r="P219" s="272">
        <v>0.99999999999999967</v>
      </c>
      <c r="Q219" s="272">
        <v>0.99999999999999967</v>
      </c>
      <c r="R219" s="372">
        <v>0.99999999999999967</v>
      </c>
      <c r="S219" s="395">
        <v>0.99999999999999967</v>
      </c>
      <c r="T219" s="272">
        <v>0.99999999999999967</v>
      </c>
      <c r="U219" s="272">
        <v>0.99999999999999967</v>
      </c>
      <c r="V219" s="272">
        <v>0.99999999999999967</v>
      </c>
      <c r="W219" s="272">
        <v>0.99999999999999967</v>
      </c>
      <c r="X219" s="272">
        <v>0.99999999999999967</v>
      </c>
      <c r="Y219" s="272">
        <v>0.99999999999999967</v>
      </c>
      <c r="Z219" s="272">
        <v>0.99999999999999967</v>
      </c>
      <c r="AA219" s="272">
        <v>0.99999999999999967</v>
      </c>
      <c r="AB219" s="272">
        <v>0.99999999999999967</v>
      </c>
      <c r="AC219" s="272">
        <v>0.99999999999999967</v>
      </c>
      <c r="AD219" s="396">
        <v>0.99999999999999967</v>
      </c>
      <c r="AE219" s="396">
        <v>0.99999999999999967</v>
      </c>
      <c r="AF219" s="396">
        <v>0.99999999999999967</v>
      </c>
      <c r="AG219" s="396">
        <v>0.99999999999999967</v>
      </c>
      <c r="AH219" s="396">
        <v>0.99999999999999967</v>
      </c>
      <c r="AI219" s="396">
        <v>0.99999999999999967</v>
      </c>
      <c r="AJ219" s="396">
        <v>0.99999999999999967</v>
      </c>
      <c r="AK219" s="396">
        <v>0.99999999999999967</v>
      </c>
      <c r="AL219" s="396">
        <v>0.99999999999999967</v>
      </c>
      <c r="AM219" s="396">
        <v>0.99999999999999967</v>
      </c>
      <c r="AN219" s="396">
        <v>0.99999999999999967</v>
      </c>
      <c r="AO219" s="396">
        <v>0.99999999999999967</v>
      </c>
      <c r="AP219" s="396">
        <v>0.99999999999999967</v>
      </c>
    </row>
    <row r="220" spans="1:42" s="140" customFormat="1" ht="13.5" hidden="1" customHeight="1" outlineLevel="2">
      <c r="A220" s="216"/>
      <c r="B220" s="255" t="s">
        <v>406</v>
      </c>
      <c r="C220" s="245" t="s">
        <v>88</v>
      </c>
      <c r="D220" s="227" t="s">
        <v>89</v>
      </c>
      <c r="E220" s="241"/>
      <c r="F220" s="228">
        <f t="shared" si="394"/>
        <v>6.1612726844928238E-2</v>
      </c>
      <c r="G220" s="269">
        <f>+F220*G206</f>
        <v>7.2147041257732228E-5</v>
      </c>
      <c r="H220" s="299"/>
      <c r="I220" s="299"/>
      <c r="J220" s="299"/>
      <c r="K220" s="299"/>
      <c r="L220" s="299"/>
      <c r="M220" s="299"/>
      <c r="N220" s="272">
        <v>0.99999999999999967</v>
      </c>
      <c r="O220" s="272">
        <v>0.99999999999999967</v>
      </c>
      <c r="P220" s="272">
        <v>0.99999999999999967</v>
      </c>
      <c r="Q220" s="272">
        <v>0.99999999999999967</v>
      </c>
      <c r="R220" s="372">
        <v>0.99999999999999967</v>
      </c>
      <c r="S220" s="395">
        <v>0.99999999999999967</v>
      </c>
      <c r="T220" s="272">
        <v>0.99999999999999967</v>
      </c>
      <c r="U220" s="272">
        <v>0.99999999999999967</v>
      </c>
      <c r="V220" s="272">
        <v>0.99999999999999967</v>
      </c>
      <c r="W220" s="272">
        <v>0.99999999999999967</v>
      </c>
      <c r="X220" s="272">
        <v>0.99999999999999967</v>
      </c>
      <c r="Y220" s="272">
        <v>0.99999999999999967</v>
      </c>
      <c r="Z220" s="272">
        <v>0.99999999999999967</v>
      </c>
      <c r="AA220" s="272">
        <v>0.99999999999999967</v>
      </c>
      <c r="AB220" s="272">
        <v>0.99999999999999967</v>
      </c>
      <c r="AC220" s="272">
        <v>0.99999999999999967</v>
      </c>
      <c r="AD220" s="396">
        <v>0.99999999999999967</v>
      </c>
      <c r="AE220" s="396">
        <v>0.99999999999999967</v>
      </c>
      <c r="AF220" s="396">
        <v>0.99999999999999967</v>
      </c>
      <c r="AG220" s="396">
        <v>0.99999999999999967</v>
      </c>
      <c r="AH220" s="396">
        <v>0.99999999999999967</v>
      </c>
      <c r="AI220" s="396">
        <v>0.99999999999999967</v>
      </c>
      <c r="AJ220" s="396">
        <v>0.99999999999999967</v>
      </c>
      <c r="AK220" s="396">
        <v>0.99999999999999967</v>
      </c>
      <c r="AL220" s="396">
        <v>0.99999999999999967</v>
      </c>
      <c r="AM220" s="396">
        <v>0.99999999999999967</v>
      </c>
      <c r="AN220" s="396">
        <v>0.99999999999999967</v>
      </c>
      <c r="AO220" s="396">
        <v>0.99999999999999967</v>
      </c>
      <c r="AP220" s="396">
        <v>0.99999999999999967</v>
      </c>
    </row>
    <row r="221" spans="1:42" s="140" customFormat="1" ht="13.5" hidden="1" customHeight="1" outlineLevel="2">
      <c r="A221" s="216"/>
      <c r="B221" s="255" t="s">
        <v>407</v>
      </c>
      <c r="C221" s="245" t="s">
        <v>91</v>
      </c>
      <c r="D221" s="227" t="s">
        <v>92</v>
      </c>
      <c r="E221" s="241"/>
      <c r="F221" s="228">
        <f t="shared" si="394"/>
        <v>5.5478507137905975E-2</v>
      </c>
      <c r="G221" s="269">
        <f>+F221*G206</f>
        <v>6.496401552669432E-5</v>
      </c>
      <c r="H221" s="299"/>
      <c r="I221" s="299"/>
      <c r="J221" s="299"/>
      <c r="K221" s="299"/>
      <c r="L221" s="299"/>
      <c r="M221" s="299"/>
      <c r="N221" s="272">
        <v>0.99999999999999967</v>
      </c>
      <c r="O221" s="272">
        <v>0.99999999999999967</v>
      </c>
      <c r="P221" s="272">
        <v>0.99999999999999967</v>
      </c>
      <c r="Q221" s="272">
        <v>0.99999999999999967</v>
      </c>
      <c r="R221" s="372">
        <v>0.99999999999999967</v>
      </c>
      <c r="S221" s="395">
        <v>0.99999999999999967</v>
      </c>
      <c r="T221" s="272">
        <v>0.99999999999999967</v>
      </c>
      <c r="U221" s="272">
        <v>0.99999999999999967</v>
      </c>
      <c r="V221" s="272">
        <v>0.99999999999999967</v>
      </c>
      <c r="W221" s="272">
        <v>0.99999999999999967</v>
      </c>
      <c r="X221" s="272">
        <v>0.99999999999999967</v>
      </c>
      <c r="Y221" s="272">
        <v>0.99999999999999967</v>
      </c>
      <c r="Z221" s="272">
        <v>0.99999999999999967</v>
      </c>
      <c r="AA221" s="272">
        <v>0.99999999999999967</v>
      </c>
      <c r="AB221" s="272">
        <v>0.99999999999999967</v>
      </c>
      <c r="AC221" s="272">
        <v>0.99999999999999967</v>
      </c>
      <c r="AD221" s="396">
        <v>0.99999999999999967</v>
      </c>
      <c r="AE221" s="396">
        <v>0.99999999999999967</v>
      </c>
      <c r="AF221" s="396">
        <v>0.99999999999999967</v>
      </c>
      <c r="AG221" s="396">
        <v>0.99999999999999967</v>
      </c>
      <c r="AH221" s="396">
        <v>0.99999999999999967</v>
      </c>
      <c r="AI221" s="396">
        <v>0.99999999999999967</v>
      </c>
      <c r="AJ221" s="396">
        <v>0.99999999999999967</v>
      </c>
      <c r="AK221" s="396">
        <v>0.99999999999999967</v>
      </c>
      <c r="AL221" s="396">
        <v>0.99999999999999967</v>
      </c>
      <c r="AM221" s="396">
        <v>0.99999999999999967</v>
      </c>
      <c r="AN221" s="396">
        <v>0.99999999999999967</v>
      </c>
      <c r="AO221" s="396">
        <v>0.99999999999999967</v>
      </c>
      <c r="AP221" s="396">
        <v>0.99999999999999967</v>
      </c>
    </row>
    <row r="222" spans="1:42" s="140" customFormat="1" ht="13.5" hidden="1" customHeight="1" outlineLevel="2">
      <c r="A222" s="216"/>
      <c r="B222" s="300" t="s">
        <v>408</v>
      </c>
      <c r="C222" s="294"/>
      <c r="D222" s="294" t="s">
        <v>94</v>
      </c>
      <c r="E222" s="295"/>
      <c r="F222" s="296">
        <f t="shared" si="394"/>
        <v>0.17989574156721069</v>
      </c>
      <c r="G222" s="296">
        <f>+F222*G83</f>
        <v>5.3968722470163202E-3</v>
      </c>
      <c r="H222" s="297"/>
      <c r="I222" s="297"/>
      <c r="J222" s="297"/>
      <c r="K222" s="297"/>
      <c r="L222" s="297"/>
      <c r="M222" s="297"/>
      <c r="N222" s="296">
        <f t="shared" ref="N222:R222" si="418">+$F223*N223+$F235*N235+$F243*N243+$F249*N249+$F253*N253</f>
        <v>0.93200000000000016</v>
      </c>
      <c r="O222" s="296">
        <f t="shared" si="418"/>
        <v>0.93200000000000016</v>
      </c>
      <c r="P222" s="296">
        <f t="shared" si="418"/>
        <v>0.93200000000000016</v>
      </c>
      <c r="Q222" s="296">
        <f t="shared" si="418"/>
        <v>0.93200000000000016</v>
      </c>
      <c r="R222" s="376">
        <f t="shared" si="418"/>
        <v>0.93200000000000016</v>
      </c>
      <c r="S222" s="403">
        <f t="shared" ref="S222" si="419">+$F223*S223+$F235*S235+$F243*S243+$F249*S249+$F253*S253</f>
        <v>0.93200000000000016</v>
      </c>
      <c r="T222" s="296">
        <f t="shared" ref="T222" si="420">+$F223*T223+$F235*T235+$F243*T243+$F249*T249+$F253*T253</f>
        <v>0.93200000000000016</v>
      </c>
      <c r="U222" s="296">
        <f t="shared" ref="U222" si="421">+$F223*U223+$F235*U235+$F243*U243+$F249*U249+$F253*U253</f>
        <v>0.93200000000000016</v>
      </c>
      <c r="V222" s="296">
        <f t="shared" ref="V222" si="422">+$F223*V223+$F235*V235+$F243*V243+$F249*V249+$F253*V253</f>
        <v>0.93200000000000016</v>
      </c>
      <c r="W222" s="296">
        <f t="shared" ref="W222" si="423">+$F223*W223+$F235*W235+$F243*W243+$F249*W249+$F253*W253</f>
        <v>0.93200000000000016</v>
      </c>
      <c r="X222" s="296">
        <f t="shared" ref="X222" si="424">+$F223*X223+$F235*X235+$F243*X243+$F249*X249+$F253*X253</f>
        <v>0.93200000000000016</v>
      </c>
      <c r="Y222" s="296">
        <f t="shared" ref="Y222" si="425">+$F223*Y223+$F235*Y235+$F243*Y243+$F249*Y249+$F253*Y253</f>
        <v>0.93200000000000016</v>
      </c>
      <c r="Z222" s="296">
        <f t="shared" ref="Z222" si="426">+$F223*Z223+$F235*Z235+$F243*Z243+$F249*Z249+$F253*Z253</f>
        <v>0.93200000000000016</v>
      </c>
      <c r="AA222" s="296">
        <f t="shared" ref="AA222" si="427">+$F223*AA223+$F235*AA235+$F243*AA243+$F249*AA249+$F253*AA253</f>
        <v>0.93200000000000016</v>
      </c>
      <c r="AB222" s="296">
        <f t="shared" ref="AB222" si="428">+$F223*AB223+$F235*AB235+$F243*AB243+$F249*AB249+$F253*AB253</f>
        <v>0.93200000000000016</v>
      </c>
      <c r="AC222" s="296">
        <f t="shared" ref="AC222" si="429">+$F223*AC223+$F235*AC235+$F243*AC243+$F249*AC249+$F253*AC253</f>
        <v>0.93200000000000016</v>
      </c>
      <c r="AD222" s="404">
        <f t="shared" ref="AD222:AF222" si="430">+$F223*AD223+$F235*AD235+$F243*AD243+$F249*AD249+$F253*AD253</f>
        <v>0.93200000000000016</v>
      </c>
      <c r="AE222" s="404">
        <f t="shared" si="430"/>
        <v>0.93200000000000016</v>
      </c>
      <c r="AF222" s="404">
        <f t="shared" si="430"/>
        <v>0.93200000000000016</v>
      </c>
      <c r="AG222" s="404">
        <f t="shared" ref="AG222" si="431">+$F223*AG223+$F235*AG235+$F243*AG243+$F249*AG249+$F253*AG253</f>
        <v>0.93200000000000016</v>
      </c>
      <c r="AH222" s="404">
        <f t="shared" ref="AH222" si="432">+$F223*AH223+$F235*AH235+$F243*AH243+$F249*AH249+$F253*AH253</f>
        <v>0.93200000000000016</v>
      </c>
      <c r="AI222" s="404">
        <f t="shared" ref="AI222" si="433">+$F223*AI223+$F235*AI235+$F243*AI243+$F249*AI249+$F253*AI253</f>
        <v>0.93200000000000016</v>
      </c>
      <c r="AJ222" s="404">
        <f t="shared" ref="AJ222" si="434">+$F223*AJ223+$F235*AJ235+$F243*AJ243+$F249*AJ249+$F253*AJ253</f>
        <v>0.93200000000000016</v>
      </c>
      <c r="AK222" s="404">
        <f t="shared" ref="AK222" si="435">+$F223*AK223+$F235*AK235+$F243*AK243+$F249*AK249+$F253*AK253</f>
        <v>0.93200000000000016</v>
      </c>
      <c r="AL222" s="404">
        <f t="shared" ref="AL222" si="436">+$F223*AL223+$F235*AL235+$F243*AL243+$F249*AL249+$F253*AL253</f>
        <v>0.93200000000000016</v>
      </c>
      <c r="AM222" s="404">
        <f t="shared" ref="AM222" si="437">+$F223*AM223+$F235*AM235+$F243*AM243+$F249*AM249+$F253*AM253</f>
        <v>0.93200000000000016</v>
      </c>
      <c r="AN222" s="404">
        <f t="shared" ref="AN222" si="438">+$F223*AN223+$F235*AN235+$F243*AN243+$F249*AN249+$F253*AN253</f>
        <v>0.93200000000000016</v>
      </c>
      <c r="AO222" s="404">
        <f t="shared" ref="AO222" si="439">+$F223*AO223+$F235*AO235+$F243*AO243+$F249*AO249+$F253*AO253</f>
        <v>0.93200000000000016</v>
      </c>
      <c r="AP222" s="404">
        <f t="shared" ref="AP222" si="440">+$F223*AP223+$F235*AP235+$F243*AP243+$F249*AP249+$F253*AP253</f>
        <v>0.93200000000000016</v>
      </c>
    </row>
    <row r="223" spans="1:42" s="140" customFormat="1" ht="13.5" hidden="1" customHeight="1" outlineLevel="2">
      <c r="B223" s="301" t="s">
        <v>409</v>
      </c>
      <c r="C223" s="251"/>
      <c r="D223" s="236" t="s">
        <v>97</v>
      </c>
      <c r="E223" s="242"/>
      <c r="F223" s="232">
        <f t="shared" si="394"/>
        <v>0.2064703407829992</v>
      </c>
      <c r="G223" s="232">
        <f>+F223*G222</f>
        <v>1.1142940520037703E-3</v>
      </c>
      <c r="H223" s="321"/>
      <c r="I223" s="321"/>
      <c r="J223" s="321"/>
      <c r="K223" s="321"/>
      <c r="L223" s="321"/>
      <c r="M223" s="321"/>
      <c r="N223" s="274">
        <f t="shared" ref="N223:R223" si="441">+SUMPRODUCT($F224:$F234,N224:N234)</f>
        <v>0.93200000000000005</v>
      </c>
      <c r="O223" s="274">
        <f t="shared" si="441"/>
        <v>0.93200000000000005</v>
      </c>
      <c r="P223" s="274">
        <f t="shared" si="441"/>
        <v>0.93200000000000005</v>
      </c>
      <c r="Q223" s="274">
        <f t="shared" si="441"/>
        <v>0.93200000000000005</v>
      </c>
      <c r="R223" s="375">
        <f t="shared" si="441"/>
        <v>0.93200000000000005</v>
      </c>
      <c r="S223" s="401">
        <f t="shared" ref="S223" si="442">+SUMPRODUCT($F224:$F234,S224:S234)</f>
        <v>0.93200000000000005</v>
      </c>
      <c r="T223" s="274">
        <f t="shared" ref="T223" si="443">+SUMPRODUCT($F224:$F234,T224:T234)</f>
        <v>0.93200000000000005</v>
      </c>
      <c r="U223" s="274">
        <f t="shared" ref="U223" si="444">+SUMPRODUCT($F224:$F234,U224:U234)</f>
        <v>0.93200000000000005</v>
      </c>
      <c r="V223" s="274">
        <f t="shared" ref="V223" si="445">+SUMPRODUCT($F224:$F234,V224:V234)</f>
        <v>0.93200000000000005</v>
      </c>
      <c r="W223" s="274">
        <f t="shared" ref="W223" si="446">+SUMPRODUCT($F224:$F234,W224:W234)</f>
        <v>0.93200000000000005</v>
      </c>
      <c r="X223" s="274">
        <f t="shared" ref="X223" si="447">+SUMPRODUCT($F224:$F234,X224:X234)</f>
        <v>0.93200000000000005</v>
      </c>
      <c r="Y223" s="274">
        <f t="shared" ref="Y223" si="448">+SUMPRODUCT($F224:$F234,Y224:Y234)</f>
        <v>0.93200000000000005</v>
      </c>
      <c r="Z223" s="274">
        <f t="shared" ref="Z223" si="449">+SUMPRODUCT($F224:$F234,Z224:Z234)</f>
        <v>0.93200000000000005</v>
      </c>
      <c r="AA223" s="274">
        <f t="shared" ref="AA223" si="450">+SUMPRODUCT($F224:$F234,AA224:AA234)</f>
        <v>0.93200000000000005</v>
      </c>
      <c r="AB223" s="274">
        <f t="shared" ref="AB223" si="451">+SUMPRODUCT($F224:$F234,AB224:AB234)</f>
        <v>0.93200000000000005</v>
      </c>
      <c r="AC223" s="274">
        <f t="shared" ref="AC223" si="452">+SUMPRODUCT($F224:$F234,AC224:AC234)</f>
        <v>0.93200000000000005</v>
      </c>
      <c r="AD223" s="402">
        <f t="shared" ref="AD223:AF223" si="453">+SUMPRODUCT($F224:$F234,AD224:AD234)</f>
        <v>0.93200000000000005</v>
      </c>
      <c r="AE223" s="402">
        <f t="shared" si="453"/>
        <v>0.93200000000000005</v>
      </c>
      <c r="AF223" s="402">
        <f t="shared" si="453"/>
        <v>0.93200000000000005</v>
      </c>
      <c r="AG223" s="402">
        <f t="shared" ref="AG223" si="454">+SUMPRODUCT($F224:$F234,AG224:AG234)</f>
        <v>0.93200000000000005</v>
      </c>
      <c r="AH223" s="402">
        <f t="shared" ref="AH223" si="455">+SUMPRODUCT($F224:$F234,AH224:AH234)</f>
        <v>0.93200000000000005</v>
      </c>
      <c r="AI223" s="402">
        <f t="shared" ref="AI223" si="456">+SUMPRODUCT($F224:$F234,AI224:AI234)</f>
        <v>0.93200000000000005</v>
      </c>
      <c r="AJ223" s="402">
        <f t="shared" ref="AJ223" si="457">+SUMPRODUCT($F224:$F234,AJ224:AJ234)</f>
        <v>0.93200000000000005</v>
      </c>
      <c r="AK223" s="402">
        <f t="shared" ref="AK223" si="458">+SUMPRODUCT($F224:$F234,AK224:AK234)</f>
        <v>0.93200000000000005</v>
      </c>
      <c r="AL223" s="402">
        <f t="shared" ref="AL223" si="459">+SUMPRODUCT($F224:$F234,AL224:AL234)</f>
        <v>0.93200000000000005</v>
      </c>
      <c r="AM223" s="402">
        <f t="shared" ref="AM223" si="460">+SUMPRODUCT($F224:$F234,AM224:AM234)</f>
        <v>0.93200000000000005</v>
      </c>
      <c r="AN223" s="402">
        <f t="shared" ref="AN223" si="461">+SUMPRODUCT($F224:$F234,AN224:AN234)</f>
        <v>0.93200000000000005</v>
      </c>
      <c r="AO223" s="402">
        <f t="shared" ref="AO223" si="462">+SUMPRODUCT($F224:$F234,AO224:AO234)</f>
        <v>0.93200000000000005</v>
      </c>
      <c r="AP223" s="402">
        <f t="shared" ref="AP223" si="463">+SUMPRODUCT($F224:$F234,AP224:AP234)</f>
        <v>0.93200000000000005</v>
      </c>
    </row>
    <row r="224" spans="1:42" s="140" customFormat="1" ht="26.25" hidden="1" customHeight="1" outlineLevel="3">
      <c r="A224" s="216"/>
      <c r="B224" s="255" t="s">
        <v>410</v>
      </c>
      <c r="C224" s="245" t="s">
        <v>99</v>
      </c>
      <c r="D224" s="227" t="s">
        <v>100</v>
      </c>
      <c r="E224" s="241"/>
      <c r="F224" s="228">
        <f t="shared" si="394"/>
        <v>5.8885812178438031E-2</v>
      </c>
      <c r="G224" s="269">
        <f>+F224*G223</f>
        <v>6.5616110257844674E-5</v>
      </c>
      <c r="H224" s="299"/>
      <c r="I224" s="299"/>
      <c r="J224" s="299"/>
      <c r="K224" s="299"/>
      <c r="L224" s="299"/>
      <c r="M224" s="299"/>
      <c r="N224" s="272">
        <v>0.93200000000000005</v>
      </c>
      <c r="O224" s="272">
        <v>0.93200000000000005</v>
      </c>
      <c r="P224" s="272">
        <v>0.93200000000000005</v>
      </c>
      <c r="Q224" s="272">
        <v>0.93200000000000005</v>
      </c>
      <c r="R224" s="372">
        <v>0.93200000000000005</v>
      </c>
      <c r="S224" s="395">
        <v>0.93200000000000005</v>
      </c>
      <c r="T224" s="272">
        <v>0.93200000000000005</v>
      </c>
      <c r="U224" s="272">
        <v>0.93200000000000005</v>
      </c>
      <c r="V224" s="272">
        <v>0.93200000000000005</v>
      </c>
      <c r="W224" s="272">
        <v>0.93200000000000005</v>
      </c>
      <c r="X224" s="272">
        <v>0.93200000000000005</v>
      </c>
      <c r="Y224" s="272">
        <v>0.93200000000000005</v>
      </c>
      <c r="Z224" s="272">
        <v>0.93200000000000005</v>
      </c>
      <c r="AA224" s="272">
        <v>0.93200000000000005</v>
      </c>
      <c r="AB224" s="272">
        <v>0.93200000000000005</v>
      </c>
      <c r="AC224" s="272">
        <v>0.93200000000000005</v>
      </c>
      <c r="AD224" s="396">
        <v>0.93200000000000005</v>
      </c>
      <c r="AE224" s="396">
        <v>0.93200000000000005</v>
      </c>
      <c r="AF224" s="396">
        <v>0.93200000000000005</v>
      </c>
      <c r="AG224" s="396">
        <v>0.93200000000000005</v>
      </c>
      <c r="AH224" s="396">
        <v>0.93200000000000005</v>
      </c>
      <c r="AI224" s="396">
        <v>0.93200000000000005</v>
      </c>
      <c r="AJ224" s="396">
        <v>0.93200000000000005</v>
      </c>
      <c r="AK224" s="396">
        <v>0.93200000000000005</v>
      </c>
      <c r="AL224" s="396">
        <v>0.93200000000000005</v>
      </c>
      <c r="AM224" s="396">
        <v>0.93200000000000005</v>
      </c>
      <c r="AN224" s="396">
        <v>0.93200000000000005</v>
      </c>
      <c r="AO224" s="396">
        <v>0.93200000000000005</v>
      </c>
      <c r="AP224" s="396">
        <v>0.93200000000000005</v>
      </c>
    </row>
    <row r="225" spans="1:42" s="140" customFormat="1" ht="26.25" hidden="1" customHeight="1" outlineLevel="3">
      <c r="A225" s="216"/>
      <c r="B225" s="255" t="s">
        <v>411</v>
      </c>
      <c r="C225" s="245" t="s">
        <v>102</v>
      </c>
      <c r="D225" s="227" t="s">
        <v>103</v>
      </c>
      <c r="E225" s="241"/>
      <c r="F225" s="228">
        <f t="shared" si="394"/>
        <v>9.5476860808951347E-2</v>
      </c>
      <c r="G225" s="269">
        <f>+F225*G223</f>
        <v>1.0638929810340637E-4</v>
      </c>
      <c r="H225" s="299"/>
      <c r="I225" s="299"/>
      <c r="J225" s="299"/>
      <c r="K225" s="299"/>
      <c r="L225" s="299"/>
      <c r="M225" s="299"/>
      <c r="N225" s="272">
        <v>0.93200000000000005</v>
      </c>
      <c r="O225" s="272">
        <v>0.93200000000000005</v>
      </c>
      <c r="P225" s="272">
        <v>0.93200000000000005</v>
      </c>
      <c r="Q225" s="272">
        <v>0.93200000000000005</v>
      </c>
      <c r="R225" s="372">
        <v>0.93200000000000005</v>
      </c>
      <c r="S225" s="395">
        <v>0.93200000000000005</v>
      </c>
      <c r="T225" s="272">
        <v>0.93200000000000005</v>
      </c>
      <c r="U225" s="272">
        <v>0.93200000000000005</v>
      </c>
      <c r="V225" s="272">
        <v>0.93200000000000005</v>
      </c>
      <c r="W225" s="272">
        <v>0.93200000000000005</v>
      </c>
      <c r="X225" s="272">
        <v>0.93200000000000005</v>
      </c>
      <c r="Y225" s="272">
        <v>0.93200000000000005</v>
      </c>
      <c r="Z225" s="272">
        <v>0.93200000000000005</v>
      </c>
      <c r="AA225" s="272">
        <v>0.93200000000000005</v>
      </c>
      <c r="AB225" s="272">
        <v>0.93200000000000005</v>
      </c>
      <c r="AC225" s="272">
        <v>0.93200000000000005</v>
      </c>
      <c r="AD225" s="396">
        <v>0.93200000000000005</v>
      </c>
      <c r="AE225" s="396">
        <v>0.93200000000000005</v>
      </c>
      <c r="AF225" s="396">
        <v>0.93200000000000005</v>
      </c>
      <c r="AG225" s="396">
        <v>0.93200000000000005</v>
      </c>
      <c r="AH225" s="396">
        <v>0.93200000000000005</v>
      </c>
      <c r="AI225" s="396">
        <v>0.93200000000000005</v>
      </c>
      <c r="AJ225" s="396">
        <v>0.93200000000000005</v>
      </c>
      <c r="AK225" s="396">
        <v>0.93200000000000005</v>
      </c>
      <c r="AL225" s="396">
        <v>0.93200000000000005</v>
      </c>
      <c r="AM225" s="396">
        <v>0.93200000000000005</v>
      </c>
      <c r="AN225" s="396">
        <v>0.93200000000000005</v>
      </c>
      <c r="AO225" s="396">
        <v>0.93200000000000005</v>
      </c>
      <c r="AP225" s="396">
        <v>0.93200000000000005</v>
      </c>
    </row>
    <row r="226" spans="1:42" s="140" customFormat="1" ht="26.25" hidden="1" customHeight="1" outlineLevel="3">
      <c r="A226" s="216"/>
      <c r="B226" s="255" t="s">
        <v>412</v>
      </c>
      <c r="C226" s="245" t="s">
        <v>105</v>
      </c>
      <c r="D226" s="227" t="s">
        <v>106</v>
      </c>
      <c r="E226" s="241"/>
      <c r="F226" s="228">
        <f t="shared" si="394"/>
        <v>7.7851641421759807E-2</v>
      </c>
      <c r="G226" s="269">
        <f>+F226*G223</f>
        <v>8.67496209749973E-5</v>
      </c>
      <c r="H226" s="299"/>
      <c r="I226" s="299"/>
      <c r="J226" s="299"/>
      <c r="K226" s="299"/>
      <c r="L226" s="299"/>
      <c r="M226" s="299"/>
      <c r="N226" s="272">
        <v>0.93200000000000005</v>
      </c>
      <c r="O226" s="272">
        <v>0.93200000000000005</v>
      </c>
      <c r="P226" s="272">
        <v>0.93200000000000005</v>
      </c>
      <c r="Q226" s="272">
        <v>0.93200000000000005</v>
      </c>
      <c r="R226" s="372">
        <v>0.93200000000000005</v>
      </c>
      <c r="S226" s="395">
        <v>0.93200000000000005</v>
      </c>
      <c r="T226" s="272">
        <v>0.93200000000000005</v>
      </c>
      <c r="U226" s="272">
        <v>0.93200000000000005</v>
      </c>
      <c r="V226" s="272">
        <v>0.93200000000000005</v>
      </c>
      <c r="W226" s="272">
        <v>0.93200000000000005</v>
      </c>
      <c r="X226" s="272">
        <v>0.93200000000000005</v>
      </c>
      <c r="Y226" s="272">
        <v>0.93200000000000005</v>
      </c>
      <c r="Z226" s="272">
        <v>0.93200000000000005</v>
      </c>
      <c r="AA226" s="272">
        <v>0.93200000000000005</v>
      </c>
      <c r="AB226" s="272">
        <v>0.93200000000000005</v>
      </c>
      <c r="AC226" s="272">
        <v>0.93200000000000005</v>
      </c>
      <c r="AD226" s="396">
        <v>0.93200000000000005</v>
      </c>
      <c r="AE226" s="396">
        <v>0.93200000000000005</v>
      </c>
      <c r="AF226" s="396">
        <v>0.93200000000000005</v>
      </c>
      <c r="AG226" s="396">
        <v>0.93200000000000005</v>
      </c>
      <c r="AH226" s="396">
        <v>0.93200000000000005</v>
      </c>
      <c r="AI226" s="396">
        <v>0.93200000000000005</v>
      </c>
      <c r="AJ226" s="396">
        <v>0.93200000000000005</v>
      </c>
      <c r="AK226" s="396">
        <v>0.93200000000000005</v>
      </c>
      <c r="AL226" s="396">
        <v>0.93200000000000005</v>
      </c>
      <c r="AM226" s="396">
        <v>0.93200000000000005</v>
      </c>
      <c r="AN226" s="396">
        <v>0.93200000000000005</v>
      </c>
      <c r="AO226" s="396">
        <v>0.93200000000000005</v>
      </c>
      <c r="AP226" s="396">
        <v>0.93200000000000005</v>
      </c>
    </row>
    <row r="227" spans="1:42" s="140" customFormat="1" ht="26.25" hidden="1" customHeight="1" outlineLevel="3">
      <c r="A227" s="216"/>
      <c r="B227" s="255" t="s">
        <v>413</v>
      </c>
      <c r="C227" s="245" t="s">
        <v>108</v>
      </c>
      <c r="D227" s="227" t="s">
        <v>109</v>
      </c>
      <c r="E227" s="241"/>
      <c r="F227" s="228">
        <f t="shared" si="394"/>
        <v>9.6299858611877787E-2</v>
      </c>
      <c r="G227" s="269">
        <f>+F227*G223</f>
        <v>1.0730635966001946E-4</v>
      </c>
      <c r="H227" s="299"/>
      <c r="I227" s="299"/>
      <c r="J227" s="299"/>
      <c r="K227" s="299"/>
      <c r="L227" s="299"/>
      <c r="M227" s="299"/>
      <c r="N227" s="272">
        <v>0.93200000000000005</v>
      </c>
      <c r="O227" s="272">
        <v>0.93200000000000005</v>
      </c>
      <c r="P227" s="272">
        <v>0.93200000000000005</v>
      </c>
      <c r="Q227" s="272">
        <v>0.93200000000000005</v>
      </c>
      <c r="R227" s="372">
        <v>0.93200000000000005</v>
      </c>
      <c r="S227" s="395">
        <v>0.93200000000000005</v>
      </c>
      <c r="T227" s="272">
        <v>0.93200000000000005</v>
      </c>
      <c r="U227" s="272">
        <v>0.93200000000000005</v>
      </c>
      <c r="V227" s="272">
        <v>0.93200000000000005</v>
      </c>
      <c r="W227" s="272">
        <v>0.93200000000000005</v>
      </c>
      <c r="X227" s="272">
        <v>0.93200000000000005</v>
      </c>
      <c r="Y227" s="272">
        <v>0.93200000000000005</v>
      </c>
      <c r="Z227" s="272">
        <v>0.93200000000000005</v>
      </c>
      <c r="AA227" s="272">
        <v>0.93200000000000005</v>
      </c>
      <c r="AB227" s="272">
        <v>0.93200000000000005</v>
      </c>
      <c r="AC227" s="272">
        <v>0.93200000000000005</v>
      </c>
      <c r="AD227" s="396">
        <v>0.93200000000000005</v>
      </c>
      <c r="AE227" s="396">
        <v>0.93200000000000005</v>
      </c>
      <c r="AF227" s="396">
        <v>0.93200000000000005</v>
      </c>
      <c r="AG227" s="396">
        <v>0.93200000000000005</v>
      </c>
      <c r="AH227" s="396">
        <v>0.93200000000000005</v>
      </c>
      <c r="AI227" s="396">
        <v>0.93200000000000005</v>
      </c>
      <c r="AJ227" s="396">
        <v>0.93200000000000005</v>
      </c>
      <c r="AK227" s="396">
        <v>0.93200000000000005</v>
      </c>
      <c r="AL227" s="396">
        <v>0.93200000000000005</v>
      </c>
      <c r="AM227" s="396">
        <v>0.93200000000000005</v>
      </c>
      <c r="AN227" s="396">
        <v>0.93200000000000005</v>
      </c>
      <c r="AO227" s="396">
        <v>0.93200000000000005</v>
      </c>
      <c r="AP227" s="396">
        <v>0.93200000000000005</v>
      </c>
    </row>
    <row r="228" spans="1:42" s="140" customFormat="1" ht="39" hidden="1" customHeight="1" outlineLevel="3">
      <c r="A228" s="216"/>
      <c r="B228" s="255" t="s">
        <v>414</v>
      </c>
      <c r="C228" s="245" t="s">
        <v>111</v>
      </c>
      <c r="D228" s="227" t="s">
        <v>112</v>
      </c>
      <c r="E228" s="241"/>
      <c r="F228" s="228">
        <f t="shared" si="394"/>
        <v>0.2149063701910354</v>
      </c>
      <c r="G228" s="269">
        <f>+F228*G223</f>
        <v>2.3946889004159111E-4</v>
      </c>
      <c r="H228" s="299"/>
      <c r="I228" s="299"/>
      <c r="J228" s="299"/>
      <c r="K228" s="299"/>
      <c r="L228" s="299"/>
      <c r="M228" s="299"/>
      <c r="N228" s="272">
        <v>0.93200000000000005</v>
      </c>
      <c r="O228" s="272">
        <v>0.93200000000000005</v>
      </c>
      <c r="P228" s="272">
        <v>0.93200000000000005</v>
      </c>
      <c r="Q228" s="272">
        <v>0.93200000000000005</v>
      </c>
      <c r="R228" s="372">
        <v>0.93200000000000005</v>
      </c>
      <c r="S228" s="395">
        <v>0.93200000000000005</v>
      </c>
      <c r="T228" s="272">
        <v>0.93200000000000005</v>
      </c>
      <c r="U228" s="272">
        <v>0.93200000000000005</v>
      </c>
      <c r="V228" s="272">
        <v>0.93200000000000005</v>
      </c>
      <c r="W228" s="272">
        <v>0.93200000000000005</v>
      </c>
      <c r="X228" s="272">
        <v>0.93200000000000005</v>
      </c>
      <c r="Y228" s="272">
        <v>0.93200000000000005</v>
      </c>
      <c r="Z228" s="272">
        <v>0.93200000000000005</v>
      </c>
      <c r="AA228" s="272">
        <v>0.93200000000000005</v>
      </c>
      <c r="AB228" s="272">
        <v>0.93200000000000005</v>
      </c>
      <c r="AC228" s="272">
        <v>0.93200000000000005</v>
      </c>
      <c r="AD228" s="396">
        <v>0.93200000000000005</v>
      </c>
      <c r="AE228" s="396">
        <v>0.93200000000000005</v>
      </c>
      <c r="AF228" s="396">
        <v>0.93200000000000005</v>
      </c>
      <c r="AG228" s="396">
        <v>0.93200000000000005</v>
      </c>
      <c r="AH228" s="396">
        <v>0.93200000000000005</v>
      </c>
      <c r="AI228" s="396">
        <v>0.93200000000000005</v>
      </c>
      <c r="AJ228" s="396">
        <v>0.93200000000000005</v>
      </c>
      <c r="AK228" s="396">
        <v>0.93200000000000005</v>
      </c>
      <c r="AL228" s="396">
        <v>0.93200000000000005</v>
      </c>
      <c r="AM228" s="396">
        <v>0.93200000000000005</v>
      </c>
      <c r="AN228" s="396">
        <v>0.93200000000000005</v>
      </c>
      <c r="AO228" s="396">
        <v>0.93200000000000005</v>
      </c>
      <c r="AP228" s="396">
        <v>0.93200000000000005</v>
      </c>
    </row>
    <row r="229" spans="1:42" s="140" customFormat="1" ht="39" hidden="1" customHeight="1" outlineLevel="3">
      <c r="A229" s="216"/>
      <c r="B229" s="255" t="s">
        <v>415</v>
      </c>
      <c r="C229" s="245" t="s">
        <v>114</v>
      </c>
      <c r="D229" s="227" t="s">
        <v>115</v>
      </c>
      <c r="E229" s="241"/>
      <c r="F229" s="228">
        <f t="shared" si="394"/>
        <v>0.11738040352185054</v>
      </c>
      <c r="G229" s="269">
        <f>+F229*G223</f>
        <v>1.3079628546620045E-4</v>
      </c>
      <c r="H229" s="299"/>
      <c r="I229" s="299"/>
      <c r="J229" s="299"/>
      <c r="K229" s="299"/>
      <c r="L229" s="299"/>
      <c r="M229" s="299"/>
      <c r="N229" s="272">
        <v>0.93200000000000005</v>
      </c>
      <c r="O229" s="272">
        <v>0.93200000000000005</v>
      </c>
      <c r="P229" s="272">
        <v>0.93200000000000005</v>
      </c>
      <c r="Q229" s="272">
        <v>0.93200000000000005</v>
      </c>
      <c r="R229" s="372">
        <v>0.93200000000000005</v>
      </c>
      <c r="S229" s="395">
        <v>0.93200000000000005</v>
      </c>
      <c r="T229" s="272">
        <v>0.93200000000000005</v>
      </c>
      <c r="U229" s="272">
        <v>0.93200000000000005</v>
      </c>
      <c r="V229" s="272">
        <v>0.93200000000000005</v>
      </c>
      <c r="W229" s="272">
        <v>0.93200000000000005</v>
      </c>
      <c r="X229" s="272">
        <v>0.93200000000000005</v>
      </c>
      <c r="Y229" s="272">
        <v>0.93200000000000005</v>
      </c>
      <c r="Z229" s="272">
        <v>0.93200000000000005</v>
      </c>
      <c r="AA229" s="272">
        <v>0.93200000000000005</v>
      </c>
      <c r="AB229" s="272">
        <v>0.93200000000000005</v>
      </c>
      <c r="AC229" s="272">
        <v>0.93200000000000005</v>
      </c>
      <c r="AD229" s="396">
        <v>0.93200000000000005</v>
      </c>
      <c r="AE229" s="396">
        <v>0.93200000000000005</v>
      </c>
      <c r="AF229" s="396">
        <v>0.93200000000000005</v>
      </c>
      <c r="AG229" s="396">
        <v>0.93200000000000005</v>
      </c>
      <c r="AH229" s="396">
        <v>0.93200000000000005</v>
      </c>
      <c r="AI229" s="396">
        <v>0.93200000000000005</v>
      </c>
      <c r="AJ229" s="396">
        <v>0.93200000000000005</v>
      </c>
      <c r="AK229" s="396">
        <v>0.93200000000000005</v>
      </c>
      <c r="AL229" s="396">
        <v>0.93200000000000005</v>
      </c>
      <c r="AM229" s="396">
        <v>0.93200000000000005</v>
      </c>
      <c r="AN229" s="396">
        <v>0.93200000000000005</v>
      </c>
      <c r="AO229" s="396">
        <v>0.93200000000000005</v>
      </c>
      <c r="AP229" s="396">
        <v>0.93200000000000005</v>
      </c>
    </row>
    <row r="230" spans="1:42" s="140" customFormat="1" ht="39" hidden="1" customHeight="1" outlineLevel="3">
      <c r="A230" s="216"/>
      <c r="B230" s="255" t="s">
        <v>416</v>
      </c>
      <c r="C230" s="245" t="s">
        <v>117</v>
      </c>
      <c r="D230" s="227" t="s">
        <v>118</v>
      </c>
      <c r="E230" s="241"/>
      <c r="F230" s="228">
        <f t="shared" si="394"/>
        <v>0.11930471289964986</v>
      </c>
      <c r="G230" s="269">
        <f>+F230*G223</f>
        <v>1.3294053196009732E-4</v>
      </c>
      <c r="H230" s="299"/>
      <c r="I230" s="299"/>
      <c r="J230" s="299"/>
      <c r="K230" s="299"/>
      <c r="L230" s="299"/>
      <c r="M230" s="299"/>
      <c r="N230" s="272">
        <v>0.93200000000000005</v>
      </c>
      <c r="O230" s="272">
        <v>0.93200000000000005</v>
      </c>
      <c r="P230" s="272">
        <v>0.93200000000000005</v>
      </c>
      <c r="Q230" s="272">
        <v>0.93200000000000005</v>
      </c>
      <c r="R230" s="372">
        <v>0.93200000000000005</v>
      </c>
      <c r="S230" s="395">
        <v>0.93200000000000005</v>
      </c>
      <c r="T230" s="272">
        <v>0.93200000000000005</v>
      </c>
      <c r="U230" s="272">
        <v>0.93200000000000005</v>
      </c>
      <c r="V230" s="272">
        <v>0.93200000000000005</v>
      </c>
      <c r="W230" s="272">
        <v>0.93200000000000005</v>
      </c>
      <c r="X230" s="272">
        <v>0.93200000000000005</v>
      </c>
      <c r="Y230" s="272">
        <v>0.93200000000000005</v>
      </c>
      <c r="Z230" s="272">
        <v>0.93200000000000005</v>
      </c>
      <c r="AA230" s="272">
        <v>0.93200000000000005</v>
      </c>
      <c r="AB230" s="272">
        <v>0.93200000000000005</v>
      </c>
      <c r="AC230" s="272">
        <v>0.93200000000000005</v>
      </c>
      <c r="AD230" s="396">
        <v>0.93200000000000005</v>
      </c>
      <c r="AE230" s="396">
        <v>0.93200000000000005</v>
      </c>
      <c r="AF230" s="396">
        <v>0.93200000000000005</v>
      </c>
      <c r="AG230" s="396">
        <v>0.93200000000000005</v>
      </c>
      <c r="AH230" s="396">
        <v>0.93200000000000005</v>
      </c>
      <c r="AI230" s="396">
        <v>0.93200000000000005</v>
      </c>
      <c r="AJ230" s="396">
        <v>0.93200000000000005</v>
      </c>
      <c r="AK230" s="396">
        <v>0.93200000000000005</v>
      </c>
      <c r="AL230" s="396">
        <v>0.93200000000000005</v>
      </c>
      <c r="AM230" s="396">
        <v>0.93200000000000005</v>
      </c>
      <c r="AN230" s="396">
        <v>0.93200000000000005</v>
      </c>
      <c r="AO230" s="396">
        <v>0.93200000000000005</v>
      </c>
      <c r="AP230" s="396">
        <v>0.93200000000000005</v>
      </c>
    </row>
    <row r="231" spans="1:42" s="140" customFormat="1" ht="39" hidden="1" customHeight="1" outlineLevel="3">
      <c r="A231" s="216"/>
      <c r="B231" s="255" t="s">
        <v>417</v>
      </c>
      <c r="C231" s="245" t="s">
        <v>120</v>
      </c>
      <c r="D231" s="227" t="s">
        <v>121</v>
      </c>
      <c r="E231" s="241"/>
      <c r="F231" s="228">
        <f t="shared" si="394"/>
        <v>0.19167132064328818</v>
      </c>
      <c r="G231" s="269">
        <f>+F231*G223</f>
        <v>2.1357821253252348E-4</v>
      </c>
      <c r="H231" s="299"/>
      <c r="I231" s="299"/>
      <c r="J231" s="299"/>
      <c r="K231" s="299"/>
      <c r="L231" s="299"/>
      <c r="M231" s="299"/>
      <c r="N231" s="272">
        <v>0.93200000000000005</v>
      </c>
      <c r="O231" s="272">
        <v>0.93200000000000005</v>
      </c>
      <c r="P231" s="272">
        <v>0.93200000000000005</v>
      </c>
      <c r="Q231" s="272">
        <v>0.93200000000000005</v>
      </c>
      <c r="R231" s="372">
        <v>0.93200000000000005</v>
      </c>
      <c r="S231" s="395">
        <v>0.93200000000000005</v>
      </c>
      <c r="T231" s="272">
        <v>0.93200000000000005</v>
      </c>
      <c r="U231" s="272">
        <v>0.93200000000000005</v>
      </c>
      <c r="V231" s="272">
        <v>0.93200000000000005</v>
      </c>
      <c r="W231" s="272">
        <v>0.93200000000000005</v>
      </c>
      <c r="X231" s="272">
        <v>0.93200000000000005</v>
      </c>
      <c r="Y231" s="272">
        <v>0.93200000000000005</v>
      </c>
      <c r="Z231" s="272">
        <v>0.93200000000000005</v>
      </c>
      <c r="AA231" s="272">
        <v>0.93200000000000005</v>
      </c>
      <c r="AB231" s="272">
        <v>0.93200000000000005</v>
      </c>
      <c r="AC231" s="272">
        <v>0.93200000000000005</v>
      </c>
      <c r="AD231" s="396">
        <v>0.93200000000000005</v>
      </c>
      <c r="AE231" s="396">
        <v>0.93200000000000005</v>
      </c>
      <c r="AF231" s="396">
        <v>0.93200000000000005</v>
      </c>
      <c r="AG231" s="396">
        <v>0.93200000000000005</v>
      </c>
      <c r="AH231" s="396">
        <v>0.93200000000000005</v>
      </c>
      <c r="AI231" s="396">
        <v>0.93200000000000005</v>
      </c>
      <c r="AJ231" s="396">
        <v>0.93200000000000005</v>
      </c>
      <c r="AK231" s="396">
        <v>0.93200000000000005</v>
      </c>
      <c r="AL231" s="396">
        <v>0.93200000000000005</v>
      </c>
      <c r="AM231" s="396">
        <v>0.93200000000000005</v>
      </c>
      <c r="AN231" s="396">
        <v>0.93200000000000005</v>
      </c>
      <c r="AO231" s="396">
        <v>0.93200000000000005</v>
      </c>
      <c r="AP231" s="396">
        <v>0.93200000000000005</v>
      </c>
    </row>
    <row r="232" spans="1:42" s="140" customFormat="1" ht="26.25" hidden="1" customHeight="1" outlineLevel="3">
      <c r="A232" s="216"/>
      <c r="B232" s="255" t="s">
        <v>418</v>
      </c>
      <c r="C232" s="245" t="s">
        <v>123</v>
      </c>
      <c r="D232" s="227" t="s">
        <v>124</v>
      </c>
      <c r="E232" s="241"/>
      <c r="F232" s="228">
        <f t="shared" si="394"/>
        <v>5.2427274764052581E-3</v>
      </c>
      <c r="G232" s="269">
        <f>+F232*G223</f>
        <v>5.8419400432351156E-6</v>
      </c>
      <c r="H232" s="299"/>
      <c r="I232" s="299"/>
      <c r="J232" s="299"/>
      <c r="K232" s="299"/>
      <c r="L232" s="299"/>
      <c r="M232" s="299"/>
      <c r="N232" s="272">
        <v>0.93200000000000005</v>
      </c>
      <c r="O232" s="272">
        <v>0.93200000000000005</v>
      </c>
      <c r="P232" s="272">
        <v>0.93200000000000005</v>
      </c>
      <c r="Q232" s="272">
        <v>0.93200000000000005</v>
      </c>
      <c r="R232" s="372">
        <v>0.93200000000000005</v>
      </c>
      <c r="S232" s="395">
        <v>0.93200000000000005</v>
      </c>
      <c r="T232" s="272">
        <v>0.93200000000000005</v>
      </c>
      <c r="U232" s="272">
        <v>0.93200000000000005</v>
      </c>
      <c r="V232" s="272">
        <v>0.93200000000000005</v>
      </c>
      <c r="W232" s="272">
        <v>0.93200000000000005</v>
      </c>
      <c r="X232" s="272">
        <v>0.93200000000000005</v>
      </c>
      <c r="Y232" s="272">
        <v>0.93200000000000005</v>
      </c>
      <c r="Z232" s="272">
        <v>0.93200000000000005</v>
      </c>
      <c r="AA232" s="272">
        <v>0.93200000000000005</v>
      </c>
      <c r="AB232" s="272">
        <v>0.93200000000000005</v>
      </c>
      <c r="AC232" s="272">
        <v>0.93200000000000005</v>
      </c>
      <c r="AD232" s="396">
        <v>0.93200000000000005</v>
      </c>
      <c r="AE232" s="396">
        <v>0.93200000000000005</v>
      </c>
      <c r="AF232" s="396">
        <v>0.93200000000000005</v>
      </c>
      <c r="AG232" s="396">
        <v>0.93200000000000005</v>
      </c>
      <c r="AH232" s="396">
        <v>0.93200000000000005</v>
      </c>
      <c r="AI232" s="396">
        <v>0.93200000000000005</v>
      </c>
      <c r="AJ232" s="396">
        <v>0.93200000000000005</v>
      </c>
      <c r="AK232" s="396">
        <v>0.93200000000000005</v>
      </c>
      <c r="AL232" s="396">
        <v>0.93200000000000005</v>
      </c>
      <c r="AM232" s="396">
        <v>0.93200000000000005</v>
      </c>
      <c r="AN232" s="396">
        <v>0.93200000000000005</v>
      </c>
      <c r="AO232" s="396">
        <v>0.93200000000000005</v>
      </c>
      <c r="AP232" s="396">
        <v>0.93200000000000005</v>
      </c>
    </row>
    <row r="233" spans="1:42" s="140" customFormat="1" ht="26.25" hidden="1" customHeight="1" outlineLevel="3">
      <c r="A233" s="216"/>
      <c r="B233" s="255" t="s">
        <v>419</v>
      </c>
      <c r="C233" s="245" t="s">
        <v>126</v>
      </c>
      <c r="D233" s="227" t="s">
        <v>127</v>
      </c>
      <c r="E233" s="241"/>
      <c r="F233" s="228">
        <f>F869</f>
        <v>0</v>
      </c>
      <c r="G233" s="269">
        <f>+F233*G223</f>
        <v>0</v>
      </c>
      <c r="H233" s="299"/>
      <c r="I233" s="299"/>
      <c r="J233" s="299"/>
      <c r="K233" s="299"/>
      <c r="L233" s="299"/>
      <c r="M233" s="299"/>
      <c r="N233" s="272">
        <v>0.93200000000000005</v>
      </c>
      <c r="O233" s="272">
        <v>0.93200000000000005</v>
      </c>
      <c r="P233" s="272">
        <v>0.93200000000000005</v>
      </c>
      <c r="Q233" s="272">
        <v>0.93200000000000005</v>
      </c>
      <c r="R233" s="372">
        <v>0.93200000000000005</v>
      </c>
      <c r="S233" s="395">
        <v>0.93200000000000005</v>
      </c>
      <c r="T233" s="272">
        <v>0.93200000000000005</v>
      </c>
      <c r="U233" s="272">
        <v>0.93200000000000005</v>
      </c>
      <c r="V233" s="272">
        <v>0.93200000000000005</v>
      </c>
      <c r="W233" s="272">
        <v>0.93200000000000005</v>
      </c>
      <c r="X233" s="272">
        <v>0.93200000000000005</v>
      </c>
      <c r="Y233" s="272">
        <v>0.93200000000000005</v>
      </c>
      <c r="Z233" s="272">
        <v>0.93200000000000005</v>
      </c>
      <c r="AA233" s="272">
        <v>0.93200000000000005</v>
      </c>
      <c r="AB233" s="272">
        <v>0.93200000000000005</v>
      </c>
      <c r="AC233" s="272">
        <v>0.93200000000000005</v>
      </c>
      <c r="AD233" s="396">
        <v>0.93200000000000005</v>
      </c>
      <c r="AE233" s="396">
        <v>0.93200000000000005</v>
      </c>
      <c r="AF233" s="396">
        <v>0.93200000000000005</v>
      </c>
      <c r="AG233" s="396">
        <v>0.93200000000000005</v>
      </c>
      <c r="AH233" s="396">
        <v>0.93200000000000005</v>
      </c>
      <c r="AI233" s="396">
        <v>0.93200000000000005</v>
      </c>
      <c r="AJ233" s="396">
        <v>0.93200000000000005</v>
      </c>
      <c r="AK233" s="396">
        <v>0.93200000000000005</v>
      </c>
      <c r="AL233" s="396">
        <v>0.93200000000000005</v>
      </c>
      <c r="AM233" s="396">
        <v>0.93200000000000005</v>
      </c>
      <c r="AN233" s="396">
        <v>0.93200000000000005</v>
      </c>
      <c r="AO233" s="396">
        <v>0.93200000000000005</v>
      </c>
      <c r="AP233" s="396">
        <v>0.93200000000000005</v>
      </c>
    </row>
    <row r="234" spans="1:42" s="140" customFormat="1" ht="39" hidden="1" customHeight="1" outlineLevel="3">
      <c r="A234" s="216"/>
      <c r="B234" s="255" t="s">
        <v>420</v>
      </c>
      <c r="C234" s="245" t="s">
        <v>129</v>
      </c>
      <c r="D234" s="227" t="s">
        <v>130</v>
      </c>
      <c r="E234" s="241"/>
      <c r="F234" s="228">
        <f>F870</f>
        <v>2.2980292246743819E-2</v>
      </c>
      <c r="G234" s="269">
        <f>+F234*G223</f>
        <v>2.5606802963854995E-5</v>
      </c>
      <c r="H234" s="299"/>
      <c r="I234" s="299"/>
      <c r="J234" s="299"/>
      <c r="K234" s="299"/>
      <c r="L234" s="299"/>
      <c r="M234" s="299"/>
      <c r="N234" s="272">
        <v>0.93200000000000005</v>
      </c>
      <c r="O234" s="272">
        <v>0.93200000000000005</v>
      </c>
      <c r="P234" s="272">
        <v>0.93200000000000005</v>
      </c>
      <c r="Q234" s="272">
        <v>0.93200000000000005</v>
      </c>
      <c r="R234" s="372">
        <v>0.93200000000000005</v>
      </c>
      <c r="S234" s="395">
        <v>0.93200000000000005</v>
      </c>
      <c r="T234" s="272">
        <v>0.93200000000000005</v>
      </c>
      <c r="U234" s="272">
        <v>0.93200000000000005</v>
      </c>
      <c r="V234" s="272">
        <v>0.93200000000000005</v>
      </c>
      <c r="W234" s="272">
        <v>0.93200000000000005</v>
      </c>
      <c r="X234" s="272">
        <v>0.93200000000000005</v>
      </c>
      <c r="Y234" s="272">
        <v>0.93200000000000005</v>
      </c>
      <c r="Z234" s="272">
        <v>0.93200000000000005</v>
      </c>
      <c r="AA234" s="272">
        <v>0.93200000000000005</v>
      </c>
      <c r="AB234" s="272">
        <v>0.93200000000000005</v>
      </c>
      <c r="AC234" s="272">
        <v>0.93200000000000005</v>
      </c>
      <c r="AD234" s="396">
        <v>0.93200000000000005</v>
      </c>
      <c r="AE234" s="396">
        <v>0.93200000000000005</v>
      </c>
      <c r="AF234" s="396">
        <v>0.93200000000000005</v>
      </c>
      <c r="AG234" s="396">
        <v>0.93200000000000005</v>
      </c>
      <c r="AH234" s="396">
        <v>0.93200000000000005</v>
      </c>
      <c r="AI234" s="396">
        <v>0.93200000000000005</v>
      </c>
      <c r="AJ234" s="396">
        <v>0.93200000000000005</v>
      </c>
      <c r="AK234" s="396">
        <v>0.93200000000000005</v>
      </c>
      <c r="AL234" s="396">
        <v>0.93200000000000005</v>
      </c>
      <c r="AM234" s="396">
        <v>0.93200000000000005</v>
      </c>
      <c r="AN234" s="396">
        <v>0.93200000000000005</v>
      </c>
      <c r="AO234" s="396">
        <v>0.93200000000000005</v>
      </c>
      <c r="AP234" s="396">
        <v>0.93200000000000005</v>
      </c>
    </row>
    <row r="235" spans="1:42" s="140" customFormat="1" ht="26.25" hidden="1" customHeight="1" outlineLevel="2">
      <c r="B235" s="301" t="s">
        <v>421</v>
      </c>
      <c r="C235" s="251"/>
      <c r="D235" s="236" t="s">
        <v>133</v>
      </c>
      <c r="E235" s="242"/>
      <c r="F235" s="232">
        <f>F871</f>
        <v>0.15364965195292599</v>
      </c>
      <c r="G235" s="232">
        <f>+F235*G222</f>
        <v>8.2922754238846322E-4</v>
      </c>
      <c r="H235" s="321"/>
      <c r="I235" s="321"/>
      <c r="J235" s="321"/>
      <c r="K235" s="321"/>
      <c r="L235" s="321"/>
      <c r="M235" s="321"/>
      <c r="N235" s="274">
        <f t="shared" ref="N235:R235" si="464">+SUMPRODUCT($F236:$F242,N236:N242)</f>
        <v>0.93200000000000005</v>
      </c>
      <c r="O235" s="274">
        <f t="shared" si="464"/>
        <v>0.93200000000000005</v>
      </c>
      <c r="P235" s="274">
        <f t="shared" si="464"/>
        <v>0.93200000000000005</v>
      </c>
      <c r="Q235" s="274">
        <f t="shared" si="464"/>
        <v>0.93200000000000005</v>
      </c>
      <c r="R235" s="375">
        <f t="shared" si="464"/>
        <v>0.93200000000000005</v>
      </c>
      <c r="S235" s="401">
        <f t="shared" ref="S235" si="465">+SUMPRODUCT($F236:$F242,S236:S242)</f>
        <v>0.93200000000000005</v>
      </c>
      <c r="T235" s="274">
        <f t="shared" ref="T235" si="466">+SUMPRODUCT($F236:$F242,T236:T242)</f>
        <v>0.93200000000000005</v>
      </c>
      <c r="U235" s="274">
        <f t="shared" ref="U235" si="467">+SUMPRODUCT($F236:$F242,U236:U242)</f>
        <v>0.93200000000000005</v>
      </c>
      <c r="V235" s="274">
        <f t="shared" ref="V235" si="468">+SUMPRODUCT($F236:$F242,V236:V242)</f>
        <v>0.93200000000000005</v>
      </c>
      <c r="W235" s="274">
        <f t="shared" ref="W235" si="469">+SUMPRODUCT($F236:$F242,W236:W242)</f>
        <v>0.93200000000000005</v>
      </c>
      <c r="X235" s="274">
        <f t="shared" ref="X235" si="470">+SUMPRODUCT($F236:$F242,X236:X242)</f>
        <v>0.93200000000000005</v>
      </c>
      <c r="Y235" s="274">
        <f t="shared" ref="Y235" si="471">+SUMPRODUCT($F236:$F242,Y236:Y242)</f>
        <v>0.93200000000000005</v>
      </c>
      <c r="Z235" s="274">
        <f t="shared" ref="Z235" si="472">+SUMPRODUCT($F236:$F242,Z236:Z242)</f>
        <v>0.93200000000000005</v>
      </c>
      <c r="AA235" s="274">
        <f t="shared" ref="AA235" si="473">+SUMPRODUCT($F236:$F242,AA236:AA242)</f>
        <v>0.93200000000000005</v>
      </c>
      <c r="AB235" s="274">
        <f t="shared" ref="AB235" si="474">+SUMPRODUCT($F236:$F242,AB236:AB242)</f>
        <v>0.93200000000000005</v>
      </c>
      <c r="AC235" s="274">
        <f t="shared" ref="AC235" si="475">+SUMPRODUCT($F236:$F242,AC236:AC242)</f>
        <v>0.93200000000000005</v>
      </c>
      <c r="AD235" s="402">
        <f t="shared" ref="AD235:AF235" si="476">+SUMPRODUCT($F236:$F242,AD236:AD242)</f>
        <v>0.93200000000000005</v>
      </c>
      <c r="AE235" s="402">
        <f t="shared" si="476"/>
        <v>0.93200000000000005</v>
      </c>
      <c r="AF235" s="402">
        <f t="shared" si="476"/>
        <v>0.93200000000000005</v>
      </c>
      <c r="AG235" s="402">
        <f t="shared" ref="AG235" si="477">+SUMPRODUCT($F236:$F242,AG236:AG242)</f>
        <v>0.93200000000000005</v>
      </c>
      <c r="AH235" s="402">
        <f t="shared" ref="AH235" si="478">+SUMPRODUCT($F236:$F242,AH236:AH242)</f>
        <v>0.93200000000000005</v>
      </c>
      <c r="AI235" s="402">
        <f t="shared" ref="AI235" si="479">+SUMPRODUCT($F236:$F242,AI236:AI242)</f>
        <v>0.93200000000000005</v>
      </c>
      <c r="AJ235" s="402">
        <f t="shared" ref="AJ235" si="480">+SUMPRODUCT($F236:$F242,AJ236:AJ242)</f>
        <v>0.93200000000000005</v>
      </c>
      <c r="AK235" s="402">
        <f t="shared" ref="AK235" si="481">+SUMPRODUCT($F236:$F242,AK236:AK242)</f>
        <v>0.93200000000000005</v>
      </c>
      <c r="AL235" s="402">
        <f t="shared" ref="AL235" si="482">+SUMPRODUCT($F236:$F242,AL236:AL242)</f>
        <v>0.93200000000000005</v>
      </c>
      <c r="AM235" s="402">
        <f t="shared" ref="AM235" si="483">+SUMPRODUCT($F236:$F242,AM236:AM242)</f>
        <v>0.93200000000000005</v>
      </c>
      <c r="AN235" s="402">
        <f t="shared" ref="AN235" si="484">+SUMPRODUCT($F236:$F242,AN236:AN242)</f>
        <v>0.93200000000000005</v>
      </c>
      <c r="AO235" s="402">
        <f t="shared" ref="AO235" si="485">+SUMPRODUCT($F236:$F242,AO236:AO242)</f>
        <v>0.93200000000000005</v>
      </c>
      <c r="AP235" s="402">
        <f t="shared" ref="AP235" si="486">+SUMPRODUCT($F236:$F242,AP236:AP242)</f>
        <v>0.93200000000000005</v>
      </c>
    </row>
    <row r="236" spans="1:42" s="140" customFormat="1" ht="26.25" hidden="1" customHeight="1" outlineLevel="3">
      <c r="A236" s="216"/>
      <c r="B236" s="255" t="s">
        <v>422</v>
      </c>
      <c r="C236" s="245" t="s">
        <v>135</v>
      </c>
      <c r="D236" s="227" t="s">
        <v>136</v>
      </c>
      <c r="E236" s="241"/>
      <c r="F236" s="228">
        <f>F872</f>
        <v>7.1676986389805894E-2</v>
      </c>
      <c r="G236" s="269">
        <f>+F236*G235</f>
        <v>5.9436531269830068E-5</v>
      </c>
      <c r="H236" s="299"/>
      <c r="I236" s="299"/>
      <c r="J236" s="299"/>
      <c r="K236" s="299"/>
      <c r="L236" s="299"/>
      <c r="M236" s="299"/>
      <c r="N236" s="272">
        <v>0.93200000000000005</v>
      </c>
      <c r="O236" s="272">
        <v>0.93200000000000005</v>
      </c>
      <c r="P236" s="272">
        <v>0.93200000000000005</v>
      </c>
      <c r="Q236" s="272">
        <v>0.93200000000000005</v>
      </c>
      <c r="R236" s="372">
        <v>0.93200000000000005</v>
      </c>
      <c r="S236" s="395">
        <v>0.93200000000000005</v>
      </c>
      <c r="T236" s="272">
        <v>0.93200000000000005</v>
      </c>
      <c r="U236" s="272">
        <v>0.93200000000000005</v>
      </c>
      <c r="V236" s="272">
        <v>0.93200000000000005</v>
      </c>
      <c r="W236" s="272">
        <v>0.93200000000000005</v>
      </c>
      <c r="X236" s="272">
        <v>0.93200000000000005</v>
      </c>
      <c r="Y236" s="272">
        <v>0.93200000000000005</v>
      </c>
      <c r="Z236" s="272">
        <v>0.93200000000000005</v>
      </c>
      <c r="AA236" s="272">
        <v>0.93200000000000005</v>
      </c>
      <c r="AB236" s="272">
        <v>0.93200000000000005</v>
      </c>
      <c r="AC236" s="272">
        <v>0.93200000000000005</v>
      </c>
      <c r="AD236" s="396">
        <v>0.93200000000000005</v>
      </c>
      <c r="AE236" s="396">
        <v>0.93200000000000005</v>
      </c>
      <c r="AF236" s="396">
        <v>0.93200000000000005</v>
      </c>
      <c r="AG236" s="396">
        <v>0.93200000000000005</v>
      </c>
      <c r="AH236" s="396">
        <v>0.93200000000000005</v>
      </c>
      <c r="AI236" s="396">
        <v>0.93200000000000005</v>
      </c>
      <c r="AJ236" s="396">
        <v>0.93200000000000005</v>
      </c>
      <c r="AK236" s="396">
        <v>0.93200000000000005</v>
      </c>
      <c r="AL236" s="396">
        <v>0.93200000000000005</v>
      </c>
      <c r="AM236" s="396">
        <v>0.93200000000000005</v>
      </c>
      <c r="AN236" s="396">
        <v>0.93200000000000005</v>
      </c>
      <c r="AO236" s="396">
        <v>0.93200000000000005</v>
      </c>
      <c r="AP236" s="396">
        <v>0.93200000000000005</v>
      </c>
    </row>
    <row r="237" spans="1:42" s="140" customFormat="1" ht="26.25" hidden="1" customHeight="1" outlineLevel="3">
      <c r="A237" s="216"/>
      <c r="B237" s="255" t="s">
        <v>423</v>
      </c>
      <c r="C237" s="245" t="s">
        <v>138</v>
      </c>
      <c r="D237" s="227" t="s">
        <v>139</v>
      </c>
      <c r="E237" s="241"/>
      <c r="F237" s="228">
        <f>F873</f>
        <v>0.15362856123913068</v>
      </c>
      <c r="G237" s="269">
        <f>+F237*G235</f>
        <v>1.2739303427699986E-4</v>
      </c>
      <c r="H237" s="299"/>
      <c r="I237" s="299"/>
      <c r="J237" s="299"/>
      <c r="K237" s="299"/>
      <c r="L237" s="299"/>
      <c r="M237" s="299"/>
      <c r="N237" s="272">
        <v>0.93200000000000005</v>
      </c>
      <c r="O237" s="272">
        <v>0.93200000000000005</v>
      </c>
      <c r="P237" s="272">
        <v>0.93200000000000005</v>
      </c>
      <c r="Q237" s="272">
        <v>0.93200000000000005</v>
      </c>
      <c r="R237" s="372">
        <v>0.93200000000000005</v>
      </c>
      <c r="S237" s="395">
        <v>0.93200000000000005</v>
      </c>
      <c r="T237" s="272">
        <v>0.93200000000000005</v>
      </c>
      <c r="U237" s="272">
        <v>0.93200000000000005</v>
      </c>
      <c r="V237" s="272">
        <v>0.93200000000000005</v>
      </c>
      <c r="W237" s="272">
        <v>0.93200000000000005</v>
      </c>
      <c r="X237" s="272">
        <v>0.93200000000000005</v>
      </c>
      <c r="Y237" s="272">
        <v>0.93200000000000005</v>
      </c>
      <c r="Z237" s="272">
        <v>0.93200000000000005</v>
      </c>
      <c r="AA237" s="272">
        <v>0.93200000000000005</v>
      </c>
      <c r="AB237" s="272">
        <v>0.93200000000000005</v>
      </c>
      <c r="AC237" s="272">
        <v>0.93200000000000005</v>
      </c>
      <c r="AD237" s="396">
        <v>0.93200000000000005</v>
      </c>
      <c r="AE237" s="396">
        <v>0.93200000000000005</v>
      </c>
      <c r="AF237" s="396">
        <v>0.93200000000000005</v>
      </c>
      <c r="AG237" s="396">
        <v>0.93200000000000005</v>
      </c>
      <c r="AH237" s="396">
        <v>0.93200000000000005</v>
      </c>
      <c r="AI237" s="396">
        <v>0.93200000000000005</v>
      </c>
      <c r="AJ237" s="396">
        <v>0.93200000000000005</v>
      </c>
      <c r="AK237" s="396">
        <v>0.93200000000000005</v>
      </c>
      <c r="AL237" s="396">
        <v>0.93200000000000005</v>
      </c>
      <c r="AM237" s="396">
        <v>0.93200000000000005</v>
      </c>
      <c r="AN237" s="396">
        <v>0.93200000000000005</v>
      </c>
      <c r="AO237" s="396">
        <v>0.93200000000000005</v>
      </c>
      <c r="AP237" s="396">
        <v>0.93200000000000005</v>
      </c>
    </row>
    <row r="238" spans="1:42" s="140" customFormat="1" ht="26.25" hidden="1" customHeight="1" outlineLevel="3">
      <c r="A238" s="216"/>
      <c r="B238" s="255" t="s">
        <v>424</v>
      </c>
      <c r="C238" s="245" t="s">
        <v>141</v>
      </c>
      <c r="D238" s="227" t="s">
        <v>142</v>
      </c>
      <c r="E238" s="241"/>
      <c r="F238" s="228">
        <f t="shared" ref="F238:F267" si="487">F874</f>
        <v>0.20080921506999638</v>
      </c>
      <c r="G238" s="269">
        <f>+F238*G235</f>
        <v>1.6651653190144944E-4</v>
      </c>
      <c r="H238" s="299"/>
      <c r="I238" s="299"/>
      <c r="J238" s="299"/>
      <c r="K238" s="299"/>
      <c r="L238" s="299"/>
      <c r="M238" s="299"/>
      <c r="N238" s="272">
        <v>0.93200000000000005</v>
      </c>
      <c r="O238" s="272">
        <v>0.93200000000000005</v>
      </c>
      <c r="P238" s="272">
        <v>0.93200000000000005</v>
      </c>
      <c r="Q238" s="272">
        <v>0.93200000000000005</v>
      </c>
      <c r="R238" s="372">
        <v>0.93200000000000005</v>
      </c>
      <c r="S238" s="395">
        <v>0.93200000000000005</v>
      </c>
      <c r="T238" s="272">
        <v>0.93200000000000005</v>
      </c>
      <c r="U238" s="272">
        <v>0.93200000000000005</v>
      </c>
      <c r="V238" s="272">
        <v>0.93200000000000005</v>
      </c>
      <c r="W238" s="272">
        <v>0.93200000000000005</v>
      </c>
      <c r="X238" s="272">
        <v>0.93200000000000005</v>
      </c>
      <c r="Y238" s="272">
        <v>0.93200000000000005</v>
      </c>
      <c r="Z238" s="272">
        <v>0.93200000000000005</v>
      </c>
      <c r="AA238" s="272">
        <v>0.93200000000000005</v>
      </c>
      <c r="AB238" s="272">
        <v>0.93200000000000005</v>
      </c>
      <c r="AC238" s="272">
        <v>0.93200000000000005</v>
      </c>
      <c r="AD238" s="396">
        <v>0.93200000000000005</v>
      </c>
      <c r="AE238" s="396">
        <v>0.93200000000000005</v>
      </c>
      <c r="AF238" s="396">
        <v>0.93200000000000005</v>
      </c>
      <c r="AG238" s="396">
        <v>0.93200000000000005</v>
      </c>
      <c r="AH238" s="396">
        <v>0.93200000000000005</v>
      </c>
      <c r="AI238" s="396">
        <v>0.93200000000000005</v>
      </c>
      <c r="AJ238" s="396">
        <v>0.93200000000000005</v>
      </c>
      <c r="AK238" s="396">
        <v>0.93200000000000005</v>
      </c>
      <c r="AL238" s="396">
        <v>0.93200000000000005</v>
      </c>
      <c r="AM238" s="396">
        <v>0.93200000000000005</v>
      </c>
      <c r="AN238" s="396">
        <v>0.93200000000000005</v>
      </c>
      <c r="AO238" s="396">
        <v>0.93200000000000005</v>
      </c>
      <c r="AP238" s="396">
        <v>0.93200000000000005</v>
      </c>
    </row>
    <row r="239" spans="1:42" s="140" customFormat="1" ht="26.25" hidden="1" customHeight="1" outlineLevel="3">
      <c r="A239" s="216"/>
      <c r="B239" s="255" t="s">
        <v>425</v>
      </c>
      <c r="C239" s="245" t="s">
        <v>144</v>
      </c>
      <c r="D239" s="227" t="s">
        <v>145</v>
      </c>
      <c r="E239" s="241"/>
      <c r="F239" s="228">
        <f t="shared" si="487"/>
        <v>0.2365874770023029</v>
      </c>
      <c r="G239" s="269">
        <f>+F239*G235</f>
        <v>1.9618485211450669E-4</v>
      </c>
      <c r="H239" s="299"/>
      <c r="I239" s="299"/>
      <c r="J239" s="299"/>
      <c r="K239" s="299"/>
      <c r="L239" s="299"/>
      <c r="M239" s="299"/>
      <c r="N239" s="272">
        <v>0.93200000000000005</v>
      </c>
      <c r="O239" s="272">
        <v>0.93200000000000005</v>
      </c>
      <c r="P239" s="272">
        <v>0.93200000000000005</v>
      </c>
      <c r="Q239" s="272">
        <v>0.93200000000000005</v>
      </c>
      <c r="R239" s="372">
        <v>0.93200000000000005</v>
      </c>
      <c r="S239" s="395">
        <v>0.93200000000000005</v>
      </c>
      <c r="T239" s="272">
        <v>0.93200000000000005</v>
      </c>
      <c r="U239" s="272">
        <v>0.93200000000000005</v>
      </c>
      <c r="V239" s="272">
        <v>0.93200000000000005</v>
      </c>
      <c r="W239" s="272">
        <v>0.93200000000000005</v>
      </c>
      <c r="X239" s="272">
        <v>0.93200000000000005</v>
      </c>
      <c r="Y239" s="272">
        <v>0.93200000000000005</v>
      </c>
      <c r="Z239" s="272">
        <v>0.93200000000000005</v>
      </c>
      <c r="AA239" s="272">
        <v>0.93200000000000005</v>
      </c>
      <c r="AB239" s="272">
        <v>0.93200000000000005</v>
      </c>
      <c r="AC239" s="272">
        <v>0.93200000000000005</v>
      </c>
      <c r="AD239" s="396">
        <v>0.93200000000000005</v>
      </c>
      <c r="AE239" s="396">
        <v>0.93200000000000005</v>
      </c>
      <c r="AF239" s="396">
        <v>0.93200000000000005</v>
      </c>
      <c r="AG239" s="396">
        <v>0.93200000000000005</v>
      </c>
      <c r="AH239" s="396">
        <v>0.93200000000000005</v>
      </c>
      <c r="AI239" s="396">
        <v>0.93200000000000005</v>
      </c>
      <c r="AJ239" s="396">
        <v>0.93200000000000005</v>
      </c>
      <c r="AK239" s="396">
        <v>0.93200000000000005</v>
      </c>
      <c r="AL239" s="396">
        <v>0.93200000000000005</v>
      </c>
      <c r="AM239" s="396">
        <v>0.93200000000000005</v>
      </c>
      <c r="AN239" s="396">
        <v>0.93200000000000005</v>
      </c>
      <c r="AO239" s="396">
        <v>0.93200000000000005</v>
      </c>
      <c r="AP239" s="396">
        <v>0.93200000000000005</v>
      </c>
    </row>
    <row r="240" spans="1:42" s="140" customFormat="1" ht="13.5" hidden="1" customHeight="1" outlineLevel="3">
      <c r="A240" s="216"/>
      <c r="B240" s="255" t="s">
        <v>426</v>
      </c>
      <c r="C240" s="245" t="s">
        <v>147</v>
      </c>
      <c r="D240" s="227" t="s">
        <v>148</v>
      </c>
      <c r="E240" s="241"/>
      <c r="F240" s="228">
        <f t="shared" si="487"/>
        <v>0.13605594911200233</v>
      </c>
      <c r="G240" s="269">
        <f>+F240*G235</f>
        <v>1.1282134030947551E-4</v>
      </c>
      <c r="H240" s="299"/>
      <c r="I240" s="299"/>
      <c r="J240" s="299"/>
      <c r="K240" s="299"/>
      <c r="L240" s="299"/>
      <c r="M240" s="299"/>
      <c r="N240" s="272">
        <v>0.93200000000000005</v>
      </c>
      <c r="O240" s="272">
        <v>0.93200000000000005</v>
      </c>
      <c r="P240" s="272">
        <v>0.93200000000000005</v>
      </c>
      <c r="Q240" s="272">
        <v>0.93200000000000005</v>
      </c>
      <c r="R240" s="372">
        <v>0.93200000000000005</v>
      </c>
      <c r="S240" s="395">
        <v>0.93200000000000005</v>
      </c>
      <c r="T240" s="272">
        <v>0.93200000000000005</v>
      </c>
      <c r="U240" s="272">
        <v>0.93200000000000005</v>
      </c>
      <c r="V240" s="272">
        <v>0.93200000000000005</v>
      </c>
      <c r="W240" s="272">
        <v>0.93200000000000005</v>
      </c>
      <c r="X240" s="272">
        <v>0.93200000000000005</v>
      </c>
      <c r="Y240" s="272">
        <v>0.93200000000000005</v>
      </c>
      <c r="Z240" s="272">
        <v>0.93200000000000005</v>
      </c>
      <c r="AA240" s="272">
        <v>0.93200000000000005</v>
      </c>
      <c r="AB240" s="272">
        <v>0.93200000000000005</v>
      </c>
      <c r="AC240" s="272">
        <v>0.93200000000000005</v>
      </c>
      <c r="AD240" s="396">
        <v>0.93200000000000005</v>
      </c>
      <c r="AE240" s="396">
        <v>0.93200000000000005</v>
      </c>
      <c r="AF240" s="396">
        <v>0.93200000000000005</v>
      </c>
      <c r="AG240" s="396">
        <v>0.93200000000000005</v>
      </c>
      <c r="AH240" s="396">
        <v>0.93200000000000005</v>
      </c>
      <c r="AI240" s="396">
        <v>0.93200000000000005</v>
      </c>
      <c r="AJ240" s="396">
        <v>0.93200000000000005</v>
      </c>
      <c r="AK240" s="396">
        <v>0.93200000000000005</v>
      </c>
      <c r="AL240" s="396">
        <v>0.93200000000000005</v>
      </c>
      <c r="AM240" s="396">
        <v>0.93200000000000005</v>
      </c>
      <c r="AN240" s="396">
        <v>0.93200000000000005</v>
      </c>
      <c r="AO240" s="396">
        <v>0.93200000000000005</v>
      </c>
      <c r="AP240" s="396">
        <v>0.93200000000000005</v>
      </c>
    </row>
    <row r="241" spans="1:42" s="140" customFormat="1" ht="13.5" hidden="1" customHeight="1" outlineLevel="3">
      <c r="A241" s="216"/>
      <c r="B241" s="255" t="s">
        <v>427</v>
      </c>
      <c r="C241" s="245" t="s">
        <v>150</v>
      </c>
      <c r="D241" s="227" t="s">
        <v>151</v>
      </c>
      <c r="E241" s="241"/>
      <c r="F241" s="228">
        <f t="shared" si="487"/>
        <v>0.10923085522251913</v>
      </c>
      <c r="G241" s="269">
        <f>+F241*G235</f>
        <v>9.0577233629159567E-5</v>
      </c>
      <c r="H241" s="299"/>
      <c r="I241" s="299"/>
      <c r="J241" s="299"/>
      <c r="K241" s="299"/>
      <c r="L241" s="299"/>
      <c r="M241" s="299"/>
      <c r="N241" s="272">
        <v>0.93200000000000005</v>
      </c>
      <c r="O241" s="272">
        <v>0.93200000000000005</v>
      </c>
      <c r="P241" s="272">
        <v>0.93200000000000005</v>
      </c>
      <c r="Q241" s="272">
        <v>0.93200000000000005</v>
      </c>
      <c r="R241" s="372">
        <v>0.93200000000000005</v>
      </c>
      <c r="S241" s="395">
        <v>0.93200000000000005</v>
      </c>
      <c r="T241" s="272">
        <v>0.93200000000000005</v>
      </c>
      <c r="U241" s="272">
        <v>0.93200000000000005</v>
      </c>
      <c r="V241" s="272">
        <v>0.93200000000000005</v>
      </c>
      <c r="W241" s="272">
        <v>0.93200000000000005</v>
      </c>
      <c r="X241" s="272">
        <v>0.93200000000000005</v>
      </c>
      <c r="Y241" s="272">
        <v>0.93200000000000005</v>
      </c>
      <c r="Z241" s="272">
        <v>0.93200000000000005</v>
      </c>
      <c r="AA241" s="272">
        <v>0.93200000000000005</v>
      </c>
      <c r="AB241" s="272">
        <v>0.93200000000000005</v>
      </c>
      <c r="AC241" s="272">
        <v>0.93200000000000005</v>
      </c>
      <c r="AD241" s="396">
        <v>0.93200000000000005</v>
      </c>
      <c r="AE241" s="396">
        <v>0.93200000000000005</v>
      </c>
      <c r="AF241" s="396">
        <v>0.93200000000000005</v>
      </c>
      <c r="AG241" s="396">
        <v>0.93200000000000005</v>
      </c>
      <c r="AH241" s="396">
        <v>0.93200000000000005</v>
      </c>
      <c r="AI241" s="396">
        <v>0.93200000000000005</v>
      </c>
      <c r="AJ241" s="396">
        <v>0.93200000000000005</v>
      </c>
      <c r="AK241" s="396">
        <v>0.93200000000000005</v>
      </c>
      <c r="AL241" s="396">
        <v>0.93200000000000005</v>
      </c>
      <c r="AM241" s="396">
        <v>0.93200000000000005</v>
      </c>
      <c r="AN241" s="396">
        <v>0.93200000000000005</v>
      </c>
      <c r="AO241" s="396">
        <v>0.93200000000000005</v>
      </c>
      <c r="AP241" s="396">
        <v>0.93200000000000005</v>
      </c>
    </row>
    <row r="242" spans="1:42" s="140" customFormat="1" ht="26.25" hidden="1" customHeight="1" outlineLevel="3">
      <c r="A242" s="216"/>
      <c r="B242" s="255" t="s">
        <v>428</v>
      </c>
      <c r="C242" s="245" t="s">
        <v>153</v>
      </c>
      <c r="D242" s="227" t="s">
        <v>154</v>
      </c>
      <c r="E242" s="241"/>
      <c r="F242" s="228">
        <f t="shared" si="487"/>
        <v>9.2010955964242705E-2</v>
      </c>
      <c r="G242" s="269">
        <f>+F242*G235</f>
        <v>7.6298018887042097E-5</v>
      </c>
      <c r="H242" s="299"/>
      <c r="I242" s="299"/>
      <c r="J242" s="299"/>
      <c r="K242" s="299"/>
      <c r="L242" s="299"/>
      <c r="M242" s="299"/>
      <c r="N242" s="272">
        <v>0.93200000000000005</v>
      </c>
      <c r="O242" s="272">
        <v>0.93200000000000005</v>
      </c>
      <c r="P242" s="272">
        <v>0.93200000000000005</v>
      </c>
      <c r="Q242" s="272">
        <v>0.93200000000000005</v>
      </c>
      <c r="R242" s="372">
        <v>0.93200000000000005</v>
      </c>
      <c r="S242" s="395">
        <v>0.93200000000000005</v>
      </c>
      <c r="T242" s="272">
        <v>0.93200000000000005</v>
      </c>
      <c r="U242" s="272">
        <v>0.93200000000000005</v>
      </c>
      <c r="V242" s="272">
        <v>0.93200000000000005</v>
      </c>
      <c r="W242" s="272">
        <v>0.93200000000000005</v>
      </c>
      <c r="X242" s="272">
        <v>0.93200000000000005</v>
      </c>
      <c r="Y242" s="272">
        <v>0.93200000000000005</v>
      </c>
      <c r="Z242" s="272">
        <v>0.93200000000000005</v>
      </c>
      <c r="AA242" s="272">
        <v>0.93200000000000005</v>
      </c>
      <c r="AB242" s="272">
        <v>0.93200000000000005</v>
      </c>
      <c r="AC242" s="272">
        <v>0.93200000000000005</v>
      </c>
      <c r="AD242" s="396">
        <v>0.93200000000000005</v>
      </c>
      <c r="AE242" s="396">
        <v>0.93200000000000005</v>
      </c>
      <c r="AF242" s="396">
        <v>0.93200000000000005</v>
      </c>
      <c r="AG242" s="396">
        <v>0.93200000000000005</v>
      </c>
      <c r="AH242" s="396">
        <v>0.93200000000000005</v>
      </c>
      <c r="AI242" s="396">
        <v>0.93200000000000005</v>
      </c>
      <c r="AJ242" s="396">
        <v>0.93200000000000005</v>
      </c>
      <c r="AK242" s="396">
        <v>0.93200000000000005</v>
      </c>
      <c r="AL242" s="396">
        <v>0.93200000000000005</v>
      </c>
      <c r="AM242" s="396">
        <v>0.93200000000000005</v>
      </c>
      <c r="AN242" s="396">
        <v>0.93200000000000005</v>
      </c>
      <c r="AO242" s="396">
        <v>0.93200000000000005</v>
      </c>
      <c r="AP242" s="396">
        <v>0.93200000000000005</v>
      </c>
    </row>
    <row r="243" spans="1:42" s="140" customFormat="1" ht="26.25" hidden="1" customHeight="1" outlineLevel="1">
      <c r="B243" s="301" t="s">
        <v>429</v>
      </c>
      <c r="C243" s="251"/>
      <c r="D243" s="236" t="s">
        <v>157</v>
      </c>
      <c r="E243" s="242"/>
      <c r="F243" s="232">
        <f t="shared" si="487"/>
        <v>0.15245155571846505</v>
      </c>
      <c r="G243" s="232">
        <f>+F243*G222</f>
        <v>8.2276157007144619E-4</v>
      </c>
      <c r="H243" s="321"/>
      <c r="I243" s="321"/>
      <c r="J243" s="321"/>
      <c r="K243" s="321"/>
      <c r="L243" s="321"/>
      <c r="M243" s="321"/>
      <c r="N243" s="274">
        <f t="shared" ref="N243:R243" si="488">+SUMPRODUCT($F244:$F248,N244:N248)</f>
        <v>0.93200000000000016</v>
      </c>
      <c r="O243" s="274">
        <f t="shared" si="488"/>
        <v>0.93200000000000016</v>
      </c>
      <c r="P243" s="274">
        <f t="shared" si="488"/>
        <v>0.93200000000000016</v>
      </c>
      <c r="Q243" s="274">
        <f t="shared" si="488"/>
        <v>0.93200000000000016</v>
      </c>
      <c r="R243" s="375">
        <f t="shared" si="488"/>
        <v>0.93200000000000016</v>
      </c>
      <c r="S243" s="401">
        <f t="shared" ref="S243" si="489">+SUMPRODUCT($F244:$F248,S244:S248)</f>
        <v>0.93200000000000016</v>
      </c>
      <c r="T243" s="274">
        <f t="shared" ref="T243" si="490">+SUMPRODUCT($F244:$F248,T244:T248)</f>
        <v>0.93200000000000016</v>
      </c>
      <c r="U243" s="274">
        <f t="shared" ref="U243" si="491">+SUMPRODUCT($F244:$F248,U244:U248)</f>
        <v>0.93200000000000016</v>
      </c>
      <c r="V243" s="274">
        <f t="shared" ref="V243" si="492">+SUMPRODUCT($F244:$F248,V244:V248)</f>
        <v>0.93200000000000016</v>
      </c>
      <c r="W243" s="274">
        <f t="shared" ref="W243" si="493">+SUMPRODUCT($F244:$F248,W244:W248)</f>
        <v>0.93200000000000016</v>
      </c>
      <c r="X243" s="274">
        <f t="shared" ref="X243" si="494">+SUMPRODUCT($F244:$F248,X244:X248)</f>
        <v>0.93200000000000016</v>
      </c>
      <c r="Y243" s="274">
        <f t="shared" ref="Y243" si="495">+SUMPRODUCT($F244:$F248,Y244:Y248)</f>
        <v>0.93200000000000016</v>
      </c>
      <c r="Z243" s="274">
        <f t="shared" ref="Z243" si="496">+SUMPRODUCT($F244:$F248,Z244:Z248)</f>
        <v>0.93200000000000016</v>
      </c>
      <c r="AA243" s="274">
        <f t="shared" ref="AA243" si="497">+SUMPRODUCT($F244:$F248,AA244:AA248)</f>
        <v>0.93200000000000016</v>
      </c>
      <c r="AB243" s="274">
        <f t="shared" ref="AB243" si="498">+SUMPRODUCT($F244:$F248,AB244:AB248)</f>
        <v>0.93200000000000016</v>
      </c>
      <c r="AC243" s="274">
        <f t="shared" ref="AC243" si="499">+SUMPRODUCT($F244:$F248,AC244:AC248)</f>
        <v>0.93200000000000016</v>
      </c>
      <c r="AD243" s="402">
        <f t="shared" ref="AD243:AF243" si="500">+SUMPRODUCT($F244:$F248,AD244:AD248)</f>
        <v>0.93200000000000016</v>
      </c>
      <c r="AE243" s="402">
        <f t="shared" si="500"/>
        <v>0.93200000000000016</v>
      </c>
      <c r="AF243" s="402">
        <f t="shared" si="500"/>
        <v>0.93200000000000016</v>
      </c>
      <c r="AG243" s="402">
        <f t="shared" ref="AG243" si="501">+SUMPRODUCT($F244:$F248,AG244:AG248)</f>
        <v>0.93200000000000016</v>
      </c>
      <c r="AH243" s="402">
        <f t="shared" ref="AH243" si="502">+SUMPRODUCT($F244:$F248,AH244:AH248)</f>
        <v>0.93200000000000016</v>
      </c>
      <c r="AI243" s="402">
        <f t="shared" ref="AI243" si="503">+SUMPRODUCT($F244:$F248,AI244:AI248)</f>
        <v>0.93200000000000016</v>
      </c>
      <c r="AJ243" s="402">
        <f t="shared" ref="AJ243" si="504">+SUMPRODUCT($F244:$F248,AJ244:AJ248)</f>
        <v>0.93200000000000016</v>
      </c>
      <c r="AK243" s="402">
        <f t="shared" ref="AK243" si="505">+SUMPRODUCT($F244:$F248,AK244:AK248)</f>
        <v>0.93200000000000016</v>
      </c>
      <c r="AL243" s="402">
        <f t="shared" ref="AL243" si="506">+SUMPRODUCT($F244:$F248,AL244:AL248)</f>
        <v>0.93200000000000016</v>
      </c>
      <c r="AM243" s="402">
        <f t="shared" ref="AM243" si="507">+SUMPRODUCT($F244:$F248,AM244:AM248)</f>
        <v>0.93200000000000016</v>
      </c>
      <c r="AN243" s="402">
        <f t="shared" ref="AN243" si="508">+SUMPRODUCT($F244:$F248,AN244:AN248)</f>
        <v>0.93200000000000016</v>
      </c>
      <c r="AO243" s="402">
        <f t="shared" ref="AO243" si="509">+SUMPRODUCT($F244:$F248,AO244:AO248)</f>
        <v>0.93200000000000016</v>
      </c>
      <c r="AP243" s="402">
        <f t="shared" ref="AP243" si="510">+SUMPRODUCT($F244:$F248,AP244:AP248)</f>
        <v>0.93200000000000016</v>
      </c>
    </row>
    <row r="244" spans="1:42" s="140" customFormat="1" ht="13.5" hidden="1" customHeight="1" outlineLevel="2">
      <c r="A244" s="216"/>
      <c r="B244" s="255" t="s">
        <v>430</v>
      </c>
      <c r="C244" s="245" t="s">
        <v>181</v>
      </c>
      <c r="D244" s="227" t="s">
        <v>182</v>
      </c>
      <c r="E244" s="241"/>
      <c r="F244" s="228">
        <f t="shared" si="487"/>
        <v>0.81307686435397697</v>
      </c>
      <c r="G244" s="269">
        <f>+F244*G243</f>
        <v>6.6896839750464642E-4</v>
      </c>
      <c r="H244" s="299"/>
      <c r="I244" s="299"/>
      <c r="J244" s="299"/>
      <c r="K244" s="299"/>
      <c r="L244" s="299"/>
      <c r="M244" s="299"/>
      <c r="N244" s="272">
        <v>0.93200000000000005</v>
      </c>
      <c r="O244" s="272">
        <v>0.93200000000000005</v>
      </c>
      <c r="P244" s="272">
        <v>0.93200000000000005</v>
      </c>
      <c r="Q244" s="272">
        <v>0.93200000000000005</v>
      </c>
      <c r="R244" s="372">
        <v>0.93200000000000005</v>
      </c>
      <c r="S244" s="395">
        <v>0.93200000000000005</v>
      </c>
      <c r="T244" s="272">
        <v>0.93200000000000005</v>
      </c>
      <c r="U244" s="272">
        <v>0.93200000000000005</v>
      </c>
      <c r="V244" s="272">
        <v>0.93200000000000005</v>
      </c>
      <c r="W244" s="272">
        <v>0.93200000000000005</v>
      </c>
      <c r="X244" s="272">
        <v>0.93200000000000005</v>
      </c>
      <c r="Y244" s="272">
        <v>0.93200000000000005</v>
      </c>
      <c r="Z244" s="272">
        <v>0.93200000000000005</v>
      </c>
      <c r="AA244" s="272">
        <v>0.93200000000000005</v>
      </c>
      <c r="AB244" s="272">
        <v>0.93200000000000005</v>
      </c>
      <c r="AC244" s="272">
        <v>0.93200000000000005</v>
      </c>
      <c r="AD244" s="396">
        <v>0.93200000000000005</v>
      </c>
      <c r="AE244" s="396">
        <v>0.93200000000000005</v>
      </c>
      <c r="AF244" s="396">
        <v>0.93200000000000005</v>
      </c>
      <c r="AG244" s="396">
        <v>0.93200000000000005</v>
      </c>
      <c r="AH244" s="396">
        <v>0.93200000000000005</v>
      </c>
      <c r="AI244" s="396">
        <v>0.93200000000000005</v>
      </c>
      <c r="AJ244" s="396">
        <v>0.93200000000000005</v>
      </c>
      <c r="AK244" s="396">
        <v>0.93200000000000005</v>
      </c>
      <c r="AL244" s="396">
        <v>0.93200000000000005</v>
      </c>
      <c r="AM244" s="396">
        <v>0.93200000000000005</v>
      </c>
      <c r="AN244" s="396">
        <v>0.93200000000000005</v>
      </c>
      <c r="AO244" s="396">
        <v>0.93200000000000005</v>
      </c>
      <c r="AP244" s="396">
        <v>0.93200000000000005</v>
      </c>
    </row>
    <row r="245" spans="1:42" s="140" customFormat="1" ht="13.5" hidden="1" customHeight="1" outlineLevel="2">
      <c r="A245" s="216"/>
      <c r="B245" s="255" t="s">
        <v>431</v>
      </c>
      <c r="C245" s="245" t="s">
        <v>159</v>
      </c>
      <c r="D245" s="227" t="s">
        <v>160</v>
      </c>
      <c r="E245" s="241"/>
      <c r="F245" s="228">
        <f t="shared" si="487"/>
        <v>9.3460693266385869E-2</v>
      </c>
      <c r="G245" s="269">
        <f>+F245*G243</f>
        <v>7.6895866731817476E-5</v>
      </c>
      <c r="H245" s="299"/>
      <c r="I245" s="299"/>
      <c r="J245" s="299"/>
      <c r="K245" s="299"/>
      <c r="L245" s="299"/>
      <c r="M245" s="299"/>
      <c r="N245" s="272">
        <v>0.93200000000000005</v>
      </c>
      <c r="O245" s="272">
        <v>0.93200000000000005</v>
      </c>
      <c r="P245" s="272">
        <v>0.93200000000000005</v>
      </c>
      <c r="Q245" s="272">
        <v>0.93200000000000005</v>
      </c>
      <c r="R245" s="372">
        <v>0.93200000000000005</v>
      </c>
      <c r="S245" s="395">
        <v>0.93200000000000005</v>
      </c>
      <c r="T245" s="272">
        <v>0.93200000000000005</v>
      </c>
      <c r="U245" s="272">
        <v>0.93200000000000005</v>
      </c>
      <c r="V245" s="272">
        <v>0.93200000000000005</v>
      </c>
      <c r="W245" s="272">
        <v>0.93200000000000005</v>
      </c>
      <c r="X245" s="272">
        <v>0.93200000000000005</v>
      </c>
      <c r="Y245" s="272">
        <v>0.93200000000000005</v>
      </c>
      <c r="Z245" s="272">
        <v>0.93200000000000005</v>
      </c>
      <c r="AA245" s="272">
        <v>0.93200000000000005</v>
      </c>
      <c r="AB245" s="272">
        <v>0.93200000000000005</v>
      </c>
      <c r="AC245" s="272">
        <v>0.93200000000000005</v>
      </c>
      <c r="AD245" s="396">
        <v>0.93200000000000005</v>
      </c>
      <c r="AE245" s="396">
        <v>0.93200000000000005</v>
      </c>
      <c r="AF245" s="396">
        <v>0.93200000000000005</v>
      </c>
      <c r="AG245" s="396">
        <v>0.93200000000000005</v>
      </c>
      <c r="AH245" s="396">
        <v>0.93200000000000005</v>
      </c>
      <c r="AI245" s="396">
        <v>0.93200000000000005</v>
      </c>
      <c r="AJ245" s="396">
        <v>0.93200000000000005</v>
      </c>
      <c r="AK245" s="396">
        <v>0.93200000000000005</v>
      </c>
      <c r="AL245" s="396">
        <v>0.93200000000000005</v>
      </c>
      <c r="AM245" s="396">
        <v>0.93200000000000005</v>
      </c>
      <c r="AN245" s="396">
        <v>0.93200000000000005</v>
      </c>
      <c r="AO245" s="396">
        <v>0.93200000000000005</v>
      </c>
      <c r="AP245" s="396">
        <v>0.93200000000000005</v>
      </c>
    </row>
    <row r="246" spans="1:42" s="140" customFormat="1" ht="26.25" hidden="1" customHeight="1" outlineLevel="2">
      <c r="A246" s="216"/>
      <c r="B246" s="255" t="s">
        <v>432</v>
      </c>
      <c r="C246" s="245" t="s">
        <v>162</v>
      </c>
      <c r="D246" s="227" t="s">
        <v>163</v>
      </c>
      <c r="E246" s="241"/>
      <c r="F246" s="228">
        <f t="shared" si="487"/>
        <v>3.036845712708507E-2</v>
      </c>
      <c r="G246" s="269">
        <f>+F246*G243</f>
        <v>2.498599946652791E-5</v>
      </c>
      <c r="H246" s="299"/>
      <c r="I246" s="299"/>
      <c r="J246" s="299"/>
      <c r="K246" s="299"/>
      <c r="L246" s="299"/>
      <c r="M246" s="299"/>
      <c r="N246" s="272">
        <v>0.93200000000000005</v>
      </c>
      <c r="O246" s="272">
        <v>0.93200000000000005</v>
      </c>
      <c r="P246" s="272">
        <v>0.93200000000000005</v>
      </c>
      <c r="Q246" s="272">
        <v>0.93200000000000005</v>
      </c>
      <c r="R246" s="372">
        <v>0.93200000000000005</v>
      </c>
      <c r="S246" s="395">
        <v>0.93200000000000005</v>
      </c>
      <c r="T246" s="272">
        <v>0.93200000000000005</v>
      </c>
      <c r="U246" s="272">
        <v>0.93200000000000005</v>
      </c>
      <c r="V246" s="272">
        <v>0.93200000000000005</v>
      </c>
      <c r="W246" s="272">
        <v>0.93200000000000005</v>
      </c>
      <c r="X246" s="272">
        <v>0.93200000000000005</v>
      </c>
      <c r="Y246" s="272">
        <v>0.93200000000000005</v>
      </c>
      <c r="Z246" s="272">
        <v>0.93200000000000005</v>
      </c>
      <c r="AA246" s="272">
        <v>0.93200000000000005</v>
      </c>
      <c r="AB246" s="272">
        <v>0.93200000000000005</v>
      </c>
      <c r="AC246" s="272">
        <v>0.93200000000000005</v>
      </c>
      <c r="AD246" s="396">
        <v>0.93200000000000005</v>
      </c>
      <c r="AE246" s="396">
        <v>0.93200000000000005</v>
      </c>
      <c r="AF246" s="396">
        <v>0.93200000000000005</v>
      </c>
      <c r="AG246" s="396">
        <v>0.93200000000000005</v>
      </c>
      <c r="AH246" s="396">
        <v>0.93200000000000005</v>
      </c>
      <c r="AI246" s="396">
        <v>0.93200000000000005</v>
      </c>
      <c r="AJ246" s="396">
        <v>0.93200000000000005</v>
      </c>
      <c r="AK246" s="396">
        <v>0.93200000000000005</v>
      </c>
      <c r="AL246" s="396">
        <v>0.93200000000000005</v>
      </c>
      <c r="AM246" s="396">
        <v>0.93200000000000005</v>
      </c>
      <c r="AN246" s="396">
        <v>0.93200000000000005</v>
      </c>
      <c r="AO246" s="396">
        <v>0.93200000000000005</v>
      </c>
      <c r="AP246" s="396">
        <v>0.93200000000000005</v>
      </c>
    </row>
    <row r="247" spans="1:42" s="140" customFormat="1" ht="13.5" hidden="1" customHeight="1" outlineLevel="2">
      <c r="A247" s="216"/>
      <c r="B247" s="255" t="s">
        <v>433</v>
      </c>
      <c r="C247" s="245" t="s">
        <v>165</v>
      </c>
      <c r="D247" s="227" t="s">
        <v>166</v>
      </c>
      <c r="E247" s="241"/>
      <c r="F247" s="228">
        <f t="shared" si="487"/>
        <v>3.6002086533741685E-2</v>
      </c>
      <c r="G247" s="269">
        <f>+F247*G243</f>
        <v>2.9621133242349378E-5</v>
      </c>
      <c r="H247" s="299"/>
      <c r="I247" s="299"/>
      <c r="J247" s="299"/>
      <c r="K247" s="299"/>
      <c r="L247" s="299"/>
      <c r="M247" s="299"/>
      <c r="N247" s="272">
        <v>0.93200000000000005</v>
      </c>
      <c r="O247" s="272">
        <v>0.93200000000000005</v>
      </c>
      <c r="P247" s="272">
        <v>0.93200000000000005</v>
      </c>
      <c r="Q247" s="272">
        <v>0.93200000000000005</v>
      </c>
      <c r="R247" s="372">
        <v>0.93200000000000005</v>
      </c>
      <c r="S247" s="395">
        <v>0.93200000000000005</v>
      </c>
      <c r="T247" s="272">
        <v>0.93200000000000005</v>
      </c>
      <c r="U247" s="272">
        <v>0.93200000000000005</v>
      </c>
      <c r="V247" s="272">
        <v>0.93200000000000005</v>
      </c>
      <c r="W247" s="272">
        <v>0.93200000000000005</v>
      </c>
      <c r="X247" s="272">
        <v>0.93200000000000005</v>
      </c>
      <c r="Y247" s="272">
        <v>0.93200000000000005</v>
      </c>
      <c r="Z247" s="272">
        <v>0.93200000000000005</v>
      </c>
      <c r="AA247" s="272">
        <v>0.93200000000000005</v>
      </c>
      <c r="AB247" s="272">
        <v>0.93200000000000005</v>
      </c>
      <c r="AC247" s="272">
        <v>0.93200000000000005</v>
      </c>
      <c r="AD247" s="396">
        <v>0.93200000000000005</v>
      </c>
      <c r="AE247" s="396">
        <v>0.93200000000000005</v>
      </c>
      <c r="AF247" s="396">
        <v>0.93200000000000005</v>
      </c>
      <c r="AG247" s="396">
        <v>0.93200000000000005</v>
      </c>
      <c r="AH247" s="396">
        <v>0.93200000000000005</v>
      </c>
      <c r="AI247" s="396">
        <v>0.93200000000000005</v>
      </c>
      <c r="AJ247" s="396">
        <v>0.93200000000000005</v>
      </c>
      <c r="AK247" s="396">
        <v>0.93200000000000005</v>
      </c>
      <c r="AL247" s="396">
        <v>0.93200000000000005</v>
      </c>
      <c r="AM247" s="396">
        <v>0.93200000000000005</v>
      </c>
      <c r="AN247" s="396">
        <v>0.93200000000000005</v>
      </c>
      <c r="AO247" s="396">
        <v>0.93200000000000005</v>
      </c>
      <c r="AP247" s="396">
        <v>0.93200000000000005</v>
      </c>
    </row>
    <row r="248" spans="1:42" s="140" customFormat="1" ht="13.5" hidden="1" customHeight="1" outlineLevel="2">
      <c r="A248" s="216"/>
      <c r="B248" s="255" t="s">
        <v>434</v>
      </c>
      <c r="C248" s="245" t="s">
        <v>168</v>
      </c>
      <c r="D248" s="227" t="s">
        <v>169</v>
      </c>
      <c r="E248" s="241"/>
      <c r="F248" s="228">
        <f t="shared" si="487"/>
        <v>2.7091898718810414E-2</v>
      </c>
      <c r="G248" s="269">
        <f>+F248*G243</f>
        <v>2.2290173126105057E-5</v>
      </c>
      <c r="H248" s="299"/>
      <c r="I248" s="299"/>
      <c r="J248" s="299"/>
      <c r="K248" s="299"/>
      <c r="L248" s="299"/>
      <c r="M248" s="299"/>
      <c r="N248" s="272">
        <v>0.93200000000000005</v>
      </c>
      <c r="O248" s="272">
        <v>0.93200000000000005</v>
      </c>
      <c r="P248" s="272">
        <v>0.93200000000000005</v>
      </c>
      <c r="Q248" s="272">
        <v>0.93200000000000005</v>
      </c>
      <c r="R248" s="372">
        <v>0.93200000000000005</v>
      </c>
      <c r="S248" s="395">
        <v>0.93200000000000005</v>
      </c>
      <c r="T248" s="272">
        <v>0.93200000000000005</v>
      </c>
      <c r="U248" s="272">
        <v>0.93200000000000005</v>
      </c>
      <c r="V248" s="272">
        <v>0.93200000000000005</v>
      </c>
      <c r="W248" s="272">
        <v>0.93200000000000005</v>
      </c>
      <c r="X248" s="272">
        <v>0.93200000000000005</v>
      </c>
      <c r="Y248" s="272">
        <v>0.93200000000000005</v>
      </c>
      <c r="Z248" s="272">
        <v>0.93200000000000005</v>
      </c>
      <c r="AA248" s="272">
        <v>0.93200000000000005</v>
      </c>
      <c r="AB248" s="272">
        <v>0.93200000000000005</v>
      </c>
      <c r="AC248" s="272">
        <v>0.93200000000000005</v>
      </c>
      <c r="AD248" s="396">
        <v>0.93200000000000005</v>
      </c>
      <c r="AE248" s="396">
        <v>0.93200000000000005</v>
      </c>
      <c r="AF248" s="396">
        <v>0.93200000000000005</v>
      </c>
      <c r="AG248" s="396">
        <v>0.93200000000000005</v>
      </c>
      <c r="AH248" s="396">
        <v>0.93200000000000005</v>
      </c>
      <c r="AI248" s="396">
        <v>0.93200000000000005</v>
      </c>
      <c r="AJ248" s="396">
        <v>0.93200000000000005</v>
      </c>
      <c r="AK248" s="396">
        <v>0.93200000000000005</v>
      </c>
      <c r="AL248" s="396">
        <v>0.93200000000000005</v>
      </c>
      <c r="AM248" s="396">
        <v>0.93200000000000005</v>
      </c>
      <c r="AN248" s="396">
        <v>0.93200000000000005</v>
      </c>
      <c r="AO248" s="396">
        <v>0.93200000000000005</v>
      </c>
      <c r="AP248" s="396">
        <v>0.93200000000000005</v>
      </c>
    </row>
    <row r="249" spans="1:42" s="140" customFormat="1" ht="26.25" hidden="1" customHeight="1" outlineLevel="1">
      <c r="B249" s="301" t="s">
        <v>435</v>
      </c>
      <c r="C249" s="251"/>
      <c r="D249" s="236" t="s">
        <v>173</v>
      </c>
      <c r="E249" s="242"/>
      <c r="F249" s="232">
        <f t="shared" si="487"/>
        <v>0.30792579068332282</v>
      </c>
      <c r="G249" s="232">
        <f>+F249*G222</f>
        <v>1.6618361538793815E-3</v>
      </c>
      <c r="H249" s="321"/>
      <c r="I249" s="321"/>
      <c r="J249" s="321"/>
      <c r="K249" s="321"/>
      <c r="L249" s="321"/>
      <c r="M249" s="321"/>
      <c r="N249" s="274">
        <f t="shared" ref="N249:R249" si="511">+SUMPRODUCT($F250:$F252,N250:N252)</f>
        <v>0.93200000000000005</v>
      </c>
      <c r="O249" s="274">
        <f t="shared" si="511"/>
        <v>0.93200000000000005</v>
      </c>
      <c r="P249" s="274">
        <f t="shared" si="511"/>
        <v>0.93200000000000005</v>
      </c>
      <c r="Q249" s="274">
        <f t="shared" si="511"/>
        <v>0.93200000000000005</v>
      </c>
      <c r="R249" s="375">
        <f t="shared" si="511"/>
        <v>0.93200000000000005</v>
      </c>
      <c r="S249" s="401">
        <f t="shared" ref="S249" si="512">+SUMPRODUCT($F250:$F252,S250:S252)</f>
        <v>0.93200000000000005</v>
      </c>
      <c r="T249" s="274">
        <f t="shared" ref="T249" si="513">+SUMPRODUCT($F250:$F252,T250:T252)</f>
        <v>0.93200000000000005</v>
      </c>
      <c r="U249" s="274">
        <f t="shared" ref="U249" si="514">+SUMPRODUCT($F250:$F252,U250:U252)</f>
        <v>0.93200000000000005</v>
      </c>
      <c r="V249" s="274">
        <f t="shared" ref="V249" si="515">+SUMPRODUCT($F250:$F252,V250:V252)</f>
        <v>0.93200000000000005</v>
      </c>
      <c r="W249" s="274">
        <f t="shared" ref="W249" si="516">+SUMPRODUCT($F250:$F252,W250:W252)</f>
        <v>0.93200000000000005</v>
      </c>
      <c r="X249" s="274">
        <f t="shared" ref="X249" si="517">+SUMPRODUCT($F250:$F252,X250:X252)</f>
        <v>0.93200000000000005</v>
      </c>
      <c r="Y249" s="274">
        <f t="shared" ref="Y249" si="518">+SUMPRODUCT($F250:$F252,Y250:Y252)</f>
        <v>0.93200000000000005</v>
      </c>
      <c r="Z249" s="274">
        <f t="shared" ref="Z249" si="519">+SUMPRODUCT($F250:$F252,Z250:Z252)</f>
        <v>0.93200000000000005</v>
      </c>
      <c r="AA249" s="274">
        <f t="shared" ref="AA249" si="520">+SUMPRODUCT($F250:$F252,AA250:AA252)</f>
        <v>0.93200000000000005</v>
      </c>
      <c r="AB249" s="274">
        <f t="shared" ref="AB249" si="521">+SUMPRODUCT($F250:$F252,AB250:AB252)</f>
        <v>0.93200000000000005</v>
      </c>
      <c r="AC249" s="274">
        <f t="shared" ref="AC249" si="522">+SUMPRODUCT($F250:$F252,AC250:AC252)</f>
        <v>0.93200000000000005</v>
      </c>
      <c r="AD249" s="402">
        <f t="shared" ref="AD249:AF249" si="523">+SUMPRODUCT($F250:$F252,AD250:AD252)</f>
        <v>0.93200000000000005</v>
      </c>
      <c r="AE249" s="402">
        <f t="shared" si="523"/>
        <v>0.93200000000000005</v>
      </c>
      <c r="AF249" s="402">
        <f t="shared" si="523"/>
        <v>0.93200000000000005</v>
      </c>
      <c r="AG249" s="402">
        <f t="shared" ref="AG249" si="524">+SUMPRODUCT($F250:$F252,AG250:AG252)</f>
        <v>0.93200000000000005</v>
      </c>
      <c r="AH249" s="402">
        <f t="shared" ref="AH249" si="525">+SUMPRODUCT($F250:$F252,AH250:AH252)</f>
        <v>0.93200000000000005</v>
      </c>
      <c r="AI249" s="402">
        <f t="shared" ref="AI249" si="526">+SUMPRODUCT($F250:$F252,AI250:AI252)</f>
        <v>0.93200000000000005</v>
      </c>
      <c r="AJ249" s="402">
        <f t="shared" ref="AJ249" si="527">+SUMPRODUCT($F250:$F252,AJ250:AJ252)</f>
        <v>0.93200000000000005</v>
      </c>
      <c r="AK249" s="402">
        <f t="shared" ref="AK249" si="528">+SUMPRODUCT($F250:$F252,AK250:AK252)</f>
        <v>0.93200000000000005</v>
      </c>
      <c r="AL249" s="402">
        <f t="shared" ref="AL249" si="529">+SUMPRODUCT($F250:$F252,AL250:AL252)</f>
        <v>0.93200000000000005</v>
      </c>
      <c r="AM249" s="402">
        <f t="shared" ref="AM249" si="530">+SUMPRODUCT($F250:$F252,AM250:AM252)</f>
        <v>0.93200000000000005</v>
      </c>
      <c r="AN249" s="402">
        <f t="shared" ref="AN249" si="531">+SUMPRODUCT($F250:$F252,AN250:AN252)</f>
        <v>0.93200000000000005</v>
      </c>
      <c r="AO249" s="402">
        <f t="shared" ref="AO249" si="532">+SUMPRODUCT($F250:$F252,AO250:AO252)</f>
        <v>0.93200000000000005</v>
      </c>
      <c r="AP249" s="402">
        <f t="shared" ref="AP249" si="533">+SUMPRODUCT($F250:$F252,AP250:AP252)</f>
        <v>0.93200000000000005</v>
      </c>
    </row>
    <row r="250" spans="1:42" s="140" customFormat="1" ht="26.25" hidden="1" customHeight="1" outlineLevel="2">
      <c r="A250" s="216"/>
      <c r="B250" s="255" t="s">
        <v>436</v>
      </c>
      <c r="C250" s="245" t="s">
        <v>175</v>
      </c>
      <c r="D250" s="227" t="s">
        <v>176</v>
      </c>
      <c r="E250" s="241"/>
      <c r="F250" s="228">
        <f t="shared" si="487"/>
        <v>0.16618782649623062</v>
      </c>
      <c r="G250" s="269">
        <f>+F250*G249</f>
        <v>2.7617693840606986E-4</v>
      </c>
      <c r="H250" s="299"/>
      <c r="I250" s="299"/>
      <c r="J250" s="299"/>
      <c r="K250" s="299"/>
      <c r="L250" s="299"/>
      <c r="M250" s="299"/>
      <c r="N250" s="272">
        <v>0.93200000000000005</v>
      </c>
      <c r="O250" s="272">
        <v>0.93200000000000005</v>
      </c>
      <c r="P250" s="272">
        <v>0.93200000000000005</v>
      </c>
      <c r="Q250" s="272">
        <v>0.93200000000000005</v>
      </c>
      <c r="R250" s="372">
        <v>0.93200000000000005</v>
      </c>
      <c r="S250" s="395">
        <v>0.93200000000000005</v>
      </c>
      <c r="T250" s="272">
        <v>0.93200000000000005</v>
      </c>
      <c r="U250" s="272">
        <v>0.93200000000000005</v>
      </c>
      <c r="V250" s="272">
        <v>0.93200000000000005</v>
      </c>
      <c r="W250" s="272">
        <v>0.93200000000000005</v>
      </c>
      <c r="X250" s="272">
        <v>0.93200000000000005</v>
      </c>
      <c r="Y250" s="272">
        <v>0.93200000000000005</v>
      </c>
      <c r="Z250" s="272">
        <v>0.93200000000000005</v>
      </c>
      <c r="AA250" s="272">
        <v>0.93200000000000005</v>
      </c>
      <c r="AB250" s="272">
        <v>0.93200000000000005</v>
      </c>
      <c r="AC250" s="272">
        <v>0.93200000000000005</v>
      </c>
      <c r="AD250" s="396">
        <v>0.93200000000000005</v>
      </c>
      <c r="AE250" s="396">
        <v>0.93200000000000005</v>
      </c>
      <c r="AF250" s="396">
        <v>0.93200000000000005</v>
      </c>
      <c r="AG250" s="396">
        <v>0.93200000000000005</v>
      </c>
      <c r="AH250" s="396">
        <v>0.93200000000000005</v>
      </c>
      <c r="AI250" s="396">
        <v>0.93200000000000005</v>
      </c>
      <c r="AJ250" s="396">
        <v>0.93200000000000005</v>
      </c>
      <c r="AK250" s="396">
        <v>0.93200000000000005</v>
      </c>
      <c r="AL250" s="396">
        <v>0.93200000000000005</v>
      </c>
      <c r="AM250" s="396">
        <v>0.93200000000000005</v>
      </c>
      <c r="AN250" s="396">
        <v>0.93200000000000005</v>
      </c>
      <c r="AO250" s="396">
        <v>0.93200000000000005</v>
      </c>
      <c r="AP250" s="396">
        <v>0.93200000000000005</v>
      </c>
    </row>
    <row r="251" spans="1:42" s="140" customFormat="1" ht="26.25" hidden="1" customHeight="1" outlineLevel="2">
      <c r="A251" s="216"/>
      <c r="B251" s="255" t="s">
        <v>437</v>
      </c>
      <c r="C251" s="245" t="s">
        <v>178</v>
      </c>
      <c r="D251" s="227" t="s">
        <v>179</v>
      </c>
      <c r="E251" s="241"/>
      <c r="F251" s="228">
        <f t="shared" si="487"/>
        <v>0.36085232777611836</v>
      </c>
      <c r="G251" s="269">
        <f>+F251*G249</f>
        <v>5.9967744450988643E-4</v>
      </c>
      <c r="H251" s="299"/>
      <c r="I251" s="299"/>
      <c r="J251" s="299"/>
      <c r="K251" s="299"/>
      <c r="L251" s="299"/>
      <c r="M251" s="299"/>
      <c r="N251" s="272">
        <v>0.93200000000000005</v>
      </c>
      <c r="O251" s="272">
        <v>0.93200000000000005</v>
      </c>
      <c r="P251" s="272">
        <v>0.93200000000000005</v>
      </c>
      <c r="Q251" s="272">
        <v>0.93200000000000005</v>
      </c>
      <c r="R251" s="372">
        <v>0.93200000000000005</v>
      </c>
      <c r="S251" s="395">
        <v>0.93200000000000005</v>
      </c>
      <c r="T251" s="272">
        <v>0.93200000000000005</v>
      </c>
      <c r="U251" s="272">
        <v>0.93200000000000005</v>
      </c>
      <c r="V251" s="272">
        <v>0.93200000000000005</v>
      </c>
      <c r="W251" s="272">
        <v>0.93200000000000005</v>
      </c>
      <c r="X251" s="272">
        <v>0.93200000000000005</v>
      </c>
      <c r="Y251" s="272">
        <v>0.93200000000000005</v>
      </c>
      <c r="Z251" s="272">
        <v>0.93200000000000005</v>
      </c>
      <c r="AA251" s="272">
        <v>0.93200000000000005</v>
      </c>
      <c r="AB251" s="272">
        <v>0.93200000000000005</v>
      </c>
      <c r="AC251" s="272">
        <v>0.93200000000000005</v>
      </c>
      <c r="AD251" s="396">
        <v>0.93200000000000005</v>
      </c>
      <c r="AE251" s="396">
        <v>0.93200000000000005</v>
      </c>
      <c r="AF251" s="396">
        <v>0.93200000000000005</v>
      </c>
      <c r="AG251" s="396">
        <v>0.93200000000000005</v>
      </c>
      <c r="AH251" s="396">
        <v>0.93200000000000005</v>
      </c>
      <c r="AI251" s="396">
        <v>0.93200000000000005</v>
      </c>
      <c r="AJ251" s="396">
        <v>0.93200000000000005</v>
      </c>
      <c r="AK251" s="396">
        <v>0.93200000000000005</v>
      </c>
      <c r="AL251" s="396">
        <v>0.93200000000000005</v>
      </c>
      <c r="AM251" s="396">
        <v>0.93200000000000005</v>
      </c>
      <c r="AN251" s="396">
        <v>0.93200000000000005</v>
      </c>
      <c r="AO251" s="396">
        <v>0.93200000000000005</v>
      </c>
      <c r="AP251" s="396">
        <v>0.93200000000000005</v>
      </c>
    </row>
    <row r="252" spans="1:42" s="140" customFormat="1" ht="26.25" hidden="1" customHeight="1" outlineLevel="2">
      <c r="A252" s="216"/>
      <c r="B252" s="255" t="s">
        <v>438</v>
      </c>
      <c r="C252" s="245"/>
      <c r="D252" s="227" t="s">
        <v>439</v>
      </c>
      <c r="E252" s="241"/>
      <c r="F252" s="228">
        <f t="shared" si="487"/>
        <v>0.47295984572765098</v>
      </c>
      <c r="G252" s="269">
        <f>+F252*G249</f>
        <v>7.859817709634252E-4</v>
      </c>
      <c r="H252" s="299"/>
      <c r="I252" s="299"/>
      <c r="J252" s="299"/>
      <c r="K252" s="299"/>
      <c r="L252" s="299"/>
      <c r="M252" s="299"/>
      <c r="N252" s="272">
        <v>0.93200000000000005</v>
      </c>
      <c r="O252" s="272">
        <v>0.93200000000000005</v>
      </c>
      <c r="P252" s="272">
        <v>0.93200000000000005</v>
      </c>
      <c r="Q252" s="272">
        <v>0.93200000000000005</v>
      </c>
      <c r="R252" s="372">
        <v>0.93200000000000005</v>
      </c>
      <c r="S252" s="395">
        <v>0.93200000000000005</v>
      </c>
      <c r="T252" s="272">
        <v>0.93200000000000005</v>
      </c>
      <c r="U252" s="272">
        <v>0.93200000000000005</v>
      </c>
      <c r="V252" s="272">
        <v>0.93200000000000005</v>
      </c>
      <c r="W252" s="272">
        <v>0.93200000000000005</v>
      </c>
      <c r="X252" s="272">
        <v>0.93200000000000005</v>
      </c>
      <c r="Y252" s="272">
        <v>0.93200000000000005</v>
      </c>
      <c r="Z252" s="272">
        <v>0.93200000000000005</v>
      </c>
      <c r="AA252" s="272">
        <v>0.93200000000000005</v>
      </c>
      <c r="AB252" s="272">
        <v>0.93200000000000005</v>
      </c>
      <c r="AC252" s="272">
        <v>0.93200000000000005</v>
      </c>
      <c r="AD252" s="396">
        <v>0.93200000000000005</v>
      </c>
      <c r="AE252" s="396">
        <v>0.93200000000000005</v>
      </c>
      <c r="AF252" s="396">
        <v>0.93200000000000005</v>
      </c>
      <c r="AG252" s="396">
        <v>0.93200000000000005</v>
      </c>
      <c r="AH252" s="396">
        <v>0.93200000000000005</v>
      </c>
      <c r="AI252" s="396">
        <v>0.93200000000000005</v>
      </c>
      <c r="AJ252" s="396">
        <v>0.93200000000000005</v>
      </c>
      <c r="AK252" s="396">
        <v>0.93200000000000005</v>
      </c>
      <c r="AL252" s="396">
        <v>0.93200000000000005</v>
      </c>
      <c r="AM252" s="396">
        <v>0.93200000000000005</v>
      </c>
      <c r="AN252" s="396">
        <v>0.93200000000000005</v>
      </c>
      <c r="AO252" s="396">
        <v>0.93200000000000005</v>
      </c>
      <c r="AP252" s="396">
        <v>0.93200000000000005</v>
      </c>
    </row>
    <row r="253" spans="1:42" s="140" customFormat="1" ht="13.5" hidden="1" customHeight="1" outlineLevel="1">
      <c r="B253" s="301" t="s">
        <v>440</v>
      </c>
      <c r="C253" s="251"/>
      <c r="D253" s="236" t="s">
        <v>441</v>
      </c>
      <c r="E253" s="242"/>
      <c r="F253" s="232">
        <f t="shared" si="487"/>
        <v>0.17950266086228694</v>
      </c>
      <c r="G253" s="232">
        <f>+F253*G222</f>
        <v>9.6875292867325898E-4</v>
      </c>
      <c r="H253" s="321"/>
      <c r="I253" s="321"/>
      <c r="J253" s="321"/>
      <c r="K253" s="321"/>
      <c r="L253" s="321"/>
      <c r="M253" s="321"/>
      <c r="N253" s="274">
        <f t="shared" ref="N253:R253" si="534">+SUMPRODUCT($F254:$F254,N254:N254)</f>
        <v>0.93200000000000005</v>
      </c>
      <c r="O253" s="274">
        <f t="shared" si="534"/>
        <v>0.93200000000000005</v>
      </c>
      <c r="P253" s="274">
        <f t="shared" si="534"/>
        <v>0.93200000000000005</v>
      </c>
      <c r="Q253" s="274">
        <f t="shared" si="534"/>
        <v>0.93200000000000005</v>
      </c>
      <c r="R253" s="375">
        <f t="shared" si="534"/>
        <v>0.93200000000000005</v>
      </c>
      <c r="S253" s="401">
        <f t="shared" ref="S253" si="535">+SUMPRODUCT($F254:$F254,S254:S254)</f>
        <v>0.93200000000000005</v>
      </c>
      <c r="T253" s="274">
        <f t="shared" ref="T253" si="536">+SUMPRODUCT($F254:$F254,T254:T254)</f>
        <v>0.93200000000000005</v>
      </c>
      <c r="U253" s="274">
        <f t="shared" ref="U253" si="537">+SUMPRODUCT($F254:$F254,U254:U254)</f>
        <v>0.93200000000000005</v>
      </c>
      <c r="V253" s="274">
        <f t="shared" ref="V253" si="538">+SUMPRODUCT($F254:$F254,V254:V254)</f>
        <v>0.93200000000000005</v>
      </c>
      <c r="W253" s="274">
        <f t="shared" ref="W253" si="539">+SUMPRODUCT($F254:$F254,W254:W254)</f>
        <v>0.93200000000000005</v>
      </c>
      <c r="X253" s="274">
        <f t="shared" ref="X253" si="540">+SUMPRODUCT($F254:$F254,X254:X254)</f>
        <v>0.93200000000000005</v>
      </c>
      <c r="Y253" s="274">
        <f t="shared" ref="Y253" si="541">+SUMPRODUCT($F254:$F254,Y254:Y254)</f>
        <v>0.93200000000000005</v>
      </c>
      <c r="Z253" s="274">
        <f t="shared" ref="Z253" si="542">+SUMPRODUCT($F254:$F254,Z254:Z254)</f>
        <v>0.93200000000000005</v>
      </c>
      <c r="AA253" s="274">
        <f t="shared" ref="AA253" si="543">+SUMPRODUCT($F254:$F254,AA254:AA254)</f>
        <v>0.93200000000000005</v>
      </c>
      <c r="AB253" s="274">
        <f t="shared" ref="AB253" si="544">+SUMPRODUCT($F254:$F254,AB254:AB254)</f>
        <v>0.93200000000000005</v>
      </c>
      <c r="AC253" s="274">
        <f t="shared" ref="AC253" si="545">+SUMPRODUCT($F254:$F254,AC254:AC254)</f>
        <v>0.93200000000000005</v>
      </c>
      <c r="AD253" s="402">
        <f t="shared" ref="AD253:AF253" si="546">+SUMPRODUCT($F254:$F254,AD254:AD254)</f>
        <v>0.93200000000000005</v>
      </c>
      <c r="AE253" s="402">
        <f t="shared" si="546"/>
        <v>0.93200000000000005</v>
      </c>
      <c r="AF253" s="402">
        <f t="shared" si="546"/>
        <v>0.93200000000000005</v>
      </c>
      <c r="AG253" s="402">
        <f t="shared" ref="AG253" si="547">+SUMPRODUCT($F254:$F254,AG254:AG254)</f>
        <v>0.93200000000000005</v>
      </c>
      <c r="AH253" s="402">
        <f t="shared" ref="AH253" si="548">+SUMPRODUCT($F254:$F254,AH254:AH254)</f>
        <v>0.93200000000000005</v>
      </c>
      <c r="AI253" s="402">
        <f t="shared" ref="AI253" si="549">+SUMPRODUCT($F254:$F254,AI254:AI254)</f>
        <v>0.93200000000000005</v>
      </c>
      <c r="AJ253" s="402">
        <f t="shared" ref="AJ253" si="550">+SUMPRODUCT($F254:$F254,AJ254:AJ254)</f>
        <v>0.93200000000000005</v>
      </c>
      <c r="AK253" s="402">
        <f t="shared" ref="AK253" si="551">+SUMPRODUCT($F254:$F254,AK254:AK254)</f>
        <v>0.93200000000000005</v>
      </c>
      <c r="AL253" s="402">
        <f t="shared" ref="AL253" si="552">+SUMPRODUCT($F254:$F254,AL254:AL254)</f>
        <v>0.93200000000000005</v>
      </c>
      <c r="AM253" s="402">
        <f t="shared" ref="AM253" si="553">+SUMPRODUCT($F254:$F254,AM254:AM254)</f>
        <v>0.93200000000000005</v>
      </c>
      <c r="AN253" s="402">
        <f t="shared" ref="AN253" si="554">+SUMPRODUCT($F254:$F254,AN254:AN254)</f>
        <v>0.93200000000000005</v>
      </c>
      <c r="AO253" s="402">
        <f t="shared" ref="AO253" si="555">+SUMPRODUCT($F254:$F254,AO254:AO254)</f>
        <v>0.93200000000000005</v>
      </c>
      <c r="AP253" s="402">
        <f t="shared" ref="AP253" si="556">+SUMPRODUCT($F254:$F254,AP254:AP254)</f>
        <v>0.93200000000000005</v>
      </c>
    </row>
    <row r="254" spans="1:42" s="140" customFormat="1" ht="13.5" hidden="1" customHeight="1" outlineLevel="2">
      <c r="A254" s="216"/>
      <c r="B254" s="255" t="s">
        <v>442</v>
      </c>
      <c r="C254" s="245" t="s">
        <v>187</v>
      </c>
      <c r="D254" s="227" t="s">
        <v>443</v>
      </c>
      <c r="E254" s="241"/>
      <c r="F254" s="228">
        <f t="shared" si="487"/>
        <v>1</v>
      </c>
      <c r="G254" s="269">
        <f>+F254*G253</f>
        <v>9.6875292867325898E-4</v>
      </c>
      <c r="H254" s="299"/>
      <c r="I254" s="299"/>
      <c r="J254" s="299"/>
      <c r="K254" s="299"/>
      <c r="L254" s="299"/>
      <c r="M254" s="299"/>
      <c r="N254" s="272">
        <v>0.93200000000000005</v>
      </c>
      <c r="O254" s="272">
        <v>0.93200000000000005</v>
      </c>
      <c r="P254" s="272">
        <v>0.93200000000000005</v>
      </c>
      <c r="Q254" s="272">
        <v>0.93200000000000005</v>
      </c>
      <c r="R254" s="372">
        <v>0.93200000000000005</v>
      </c>
      <c r="S254" s="395">
        <v>0.93200000000000005</v>
      </c>
      <c r="T254" s="272">
        <v>0.93200000000000005</v>
      </c>
      <c r="U254" s="272">
        <v>0.93200000000000005</v>
      </c>
      <c r="V254" s="272">
        <v>0.93200000000000005</v>
      </c>
      <c r="W254" s="272">
        <v>0.93200000000000005</v>
      </c>
      <c r="X254" s="272">
        <v>0.93200000000000005</v>
      </c>
      <c r="Y254" s="272">
        <v>0.93200000000000005</v>
      </c>
      <c r="Z254" s="272">
        <v>0.93200000000000005</v>
      </c>
      <c r="AA254" s="272">
        <v>0.93200000000000005</v>
      </c>
      <c r="AB254" s="272">
        <v>0.93200000000000005</v>
      </c>
      <c r="AC254" s="272">
        <v>0.93200000000000005</v>
      </c>
      <c r="AD254" s="396">
        <v>0.93200000000000005</v>
      </c>
      <c r="AE254" s="396">
        <v>0.93200000000000005</v>
      </c>
      <c r="AF254" s="396">
        <v>0.93200000000000005</v>
      </c>
      <c r="AG254" s="396">
        <v>0.93200000000000005</v>
      </c>
      <c r="AH254" s="396">
        <v>0.93200000000000005</v>
      </c>
      <c r="AI254" s="396">
        <v>0.93200000000000005</v>
      </c>
      <c r="AJ254" s="396">
        <v>0.93200000000000005</v>
      </c>
      <c r="AK254" s="396">
        <v>0.93200000000000005</v>
      </c>
      <c r="AL254" s="396">
        <v>0.93200000000000005</v>
      </c>
      <c r="AM254" s="396">
        <v>0.93200000000000005</v>
      </c>
      <c r="AN254" s="396">
        <v>0.93200000000000005</v>
      </c>
      <c r="AO254" s="396">
        <v>0.93200000000000005</v>
      </c>
      <c r="AP254" s="396">
        <v>0.93200000000000005</v>
      </c>
    </row>
    <row r="255" spans="1:42" s="140" customFormat="1" ht="13.5" hidden="1" customHeight="1" outlineLevel="1">
      <c r="B255" s="300" t="s">
        <v>444</v>
      </c>
      <c r="C255" s="294"/>
      <c r="D255" s="294" t="s">
        <v>193</v>
      </c>
      <c r="E255" s="295"/>
      <c r="F255" s="296">
        <f t="shared" si="487"/>
        <v>7.0876940001895719E-2</v>
      </c>
      <c r="G255" s="296">
        <f>+F255*G83</f>
        <v>2.1263082000568716E-3</v>
      </c>
      <c r="H255" s="297"/>
      <c r="I255" s="297"/>
      <c r="J255" s="297"/>
      <c r="K255" s="297"/>
      <c r="L255" s="297"/>
      <c r="M255" s="297"/>
      <c r="N255" s="296">
        <f t="shared" ref="N255:R255" si="557">+SUMPRODUCT($F256:$F267,N256:N267)</f>
        <v>0.93200000000000005</v>
      </c>
      <c r="O255" s="296">
        <f t="shared" si="557"/>
        <v>0.93200000000000005</v>
      </c>
      <c r="P255" s="296">
        <f t="shared" si="557"/>
        <v>0.93200000000000005</v>
      </c>
      <c r="Q255" s="296">
        <f t="shared" si="557"/>
        <v>0.93200000000000005</v>
      </c>
      <c r="R255" s="376">
        <f t="shared" si="557"/>
        <v>0.93200000000000005</v>
      </c>
      <c r="S255" s="403">
        <f t="shared" ref="S255" si="558">+SUMPRODUCT($F256:$F267,S256:S267)</f>
        <v>0.93200000000000005</v>
      </c>
      <c r="T255" s="296">
        <f t="shared" ref="T255" si="559">+SUMPRODUCT($F256:$F267,T256:T267)</f>
        <v>0.93200000000000005</v>
      </c>
      <c r="U255" s="296">
        <f t="shared" ref="U255" si="560">+SUMPRODUCT($F256:$F267,U256:U267)</f>
        <v>0.93200000000000005</v>
      </c>
      <c r="V255" s="296">
        <f t="shared" ref="V255" si="561">+SUMPRODUCT($F256:$F267,V256:V267)</f>
        <v>0.93200000000000005</v>
      </c>
      <c r="W255" s="296">
        <f t="shared" ref="W255" si="562">+SUMPRODUCT($F256:$F267,W256:W267)</f>
        <v>0.93200000000000005</v>
      </c>
      <c r="X255" s="296">
        <f t="shared" ref="X255" si="563">+SUMPRODUCT($F256:$F267,X256:X267)</f>
        <v>0.93200000000000005</v>
      </c>
      <c r="Y255" s="296">
        <f t="shared" ref="Y255" si="564">+SUMPRODUCT($F256:$F267,Y256:Y267)</f>
        <v>0.93200000000000005</v>
      </c>
      <c r="Z255" s="296">
        <f t="shared" ref="Z255" si="565">+SUMPRODUCT($F256:$F267,Z256:Z267)</f>
        <v>0.93200000000000005</v>
      </c>
      <c r="AA255" s="296">
        <f t="shared" ref="AA255" si="566">+SUMPRODUCT($F256:$F267,AA256:AA267)</f>
        <v>0.93200000000000005</v>
      </c>
      <c r="AB255" s="296">
        <f t="shared" ref="AB255" si="567">+SUMPRODUCT($F256:$F267,AB256:AB267)</f>
        <v>0.93200000000000005</v>
      </c>
      <c r="AC255" s="296">
        <f t="shared" ref="AC255" si="568">+SUMPRODUCT($F256:$F267,AC256:AC267)</f>
        <v>0.93200000000000005</v>
      </c>
      <c r="AD255" s="404">
        <f t="shared" ref="AD255:AF255" si="569">+SUMPRODUCT($F256:$F267,AD256:AD267)</f>
        <v>0.93200000000000005</v>
      </c>
      <c r="AE255" s="404">
        <f t="shared" si="569"/>
        <v>0.93200000000000005</v>
      </c>
      <c r="AF255" s="404">
        <f t="shared" si="569"/>
        <v>0.93200000000000005</v>
      </c>
      <c r="AG255" s="404">
        <f t="shared" ref="AG255" si="570">+SUMPRODUCT($F256:$F267,AG256:AG267)</f>
        <v>0.93200000000000005</v>
      </c>
      <c r="AH255" s="404">
        <f t="shared" ref="AH255" si="571">+SUMPRODUCT($F256:$F267,AH256:AH267)</f>
        <v>0.93200000000000005</v>
      </c>
      <c r="AI255" s="404">
        <f t="shared" ref="AI255" si="572">+SUMPRODUCT($F256:$F267,AI256:AI267)</f>
        <v>0.93200000000000005</v>
      </c>
      <c r="AJ255" s="404">
        <f t="shared" ref="AJ255" si="573">+SUMPRODUCT($F256:$F267,AJ256:AJ267)</f>
        <v>0.93200000000000005</v>
      </c>
      <c r="AK255" s="404">
        <f t="shared" ref="AK255" si="574">+SUMPRODUCT($F256:$F267,AK256:AK267)</f>
        <v>0.93200000000000005</v>
      </c>
      <c r="AL255" s="404">
        <f t="shared" ref="AL255" si="575">+SUMPRODUCT($F256:$F267,AL256:AL267)</f>
        <v>0.93200000000000005</v>
      </c>
      <c r="AM255" s="404">
        <f t="shared" ref="AM255" si="576">+SUMPRODUCT($F256:$F267,AM256:AM267)</f>
        <v>0.93200000000000005</v>
      </c>
      <c r="AN255" s="404">
        <f t="shared" ref="AN255" si="577">+SUMPRODUCT($F256:$F267,AN256:AN267)</f>
        <v>0.93200000000000005</v>
      </c>
      <c r="AO255" s="404">
        <f t="shared" ref="AO255" si="578">+SUMPRODUCT($F256:$F267,AO256:AO267)</f>
        <v>0.93200000000000005</v>
      </c>
      <c r="AP255" s="404">
        <f t="shared" ref="AP255" si="579">+SUMPRODUCT($F256:$F267,AP256:AP267)</f>
        <v>0.93200000000000005</v>
      </c>
    </row>
    <row r="256" spans="1:42" s="140" customFormat="1" ht="13.5" hidden="1" customHeight="1" outlineLevel="1">
      <c r="A256" s="216"/>
      <c r="B256" s="255" t="s">
        <v>445</v>
      </c>
      <c r="C256" s="245" t="s">
        <v>195</v>
      </c>
      <c r="D256" s="227" t="s">
        <v>196</v>
      </c>
      <c r="E256" s="241"/>
      <c r="F256" s="228">
        <f t="shared" si="487"/>
        <v>0.11462043390407546</v>
      </c>
      <c r="G256" s="269">
        <f>+F256*G255</f>
        <v>2.4371836850431232E-4</v>
      </c>
      <c r="H256" s="299"/>
      <c r="I256" s="299"/>
      <c r="J256" s="299"/>
      <c r="K256" s="299"/>
      <c r="L256" s="299"/>
      <c r="M256" s="299"/>
      <c r="N256" s="272">
        <v>0.93200000000000005</v>
      </c>
      <c r="O256" s="272">
        <v>0.93200000000000005</v>
      </c>
      <c r="P256" s="272">
        <v>0.93200000000000005</v>
      </c>
      <c r="Q256" s="272">
        <v>0.93200000000000005</v>
      </c>
      <c r="R256" s="372">
        <v>0.93200000000000005</v>
      </c>
      <c r="S256" s="395">
        <v>0.93200000000000005</v>
      </c>
      <c r="T256" s="272">
        <v>0.93200000000000005</v>
      </c>
      <c r="U256" s="272">
        <v>0.93200000000000005</v>
      </c>
      <c r="V256" s="272">
        <v>0.93200000000000005</v>
      </c>
      <c r="W256" s="272">
        <v>0.93200000000000005</v>
      </c>
      <c r="X256" s="272">
        <v>0.93200000000000005</v>
      </c>
      <c r="Y256" s="272">
        <v>0.93200000000000005</v>
      </c>
      <c r="Z256" s="272">
        <v>0.93200000000000005</v>
      </c>
      <c r="AA256" s="272">
        <v>0.93200000000000005</v>
      </c>
      <c r="AB256" s="272">
        <v>0.93200000000000005</v>
      </c>
      <c r="AC256" s="272">
        <v>0.93200000000000005</v>
      </c>
      <c r="AD256" s="396">
        <v>0.93200000000000005</v>
      </c>
      <c r="AE256" s="396">
        <v>0.93200000000000005</v>
      </c>
      <c r="AF256" s="396">
        <v>0.93200000000000005</v>
      </c>
      <c r="AG256" s="396">
        <v>0.93200000000000005</v>
      </c>
      <c r="AH256" s="396">
        <v>0.93200000000000005</v>
      </c>
      <c r="AI256" s="396">
        <v>0.93200000000000005</v>
      </c>
      <c r="AJ256" s="396">
        <v>0.93200000000000005</v>
      </c>
      <c r="AK256" s="396">
        <v>0.93200000000000005</v>
      </c>
      <c r="AL256" s="396">
        <v>0.93200000000000005</v>
      </c>
      <c r="AM256" s="396">
        <v>0.93200000000000005</v>
      </c>
      <c r="AN256" s="396">
        <v>0.93200000000000005</v>
      </c>
      <c r="AO256" s="396">
        <v>0.93200000000000005</v>
      </c>
      <c r="AP256" s="396">
        <v>0.93200000000000005</v>
      </c>
    </row>
    <row r="257" spans="1:42" s="140" customFormat="1" ht="13.5" hidden="1" customHeight="1" outlineLevel="1">
      <c r="A257" s="216"/>
      <c r="B257" s="255" t="s">
        <v>446</v>
      </c>
      <c r="C257" s="245" t="s">
        <v>198</v>
      </c>
      <c r="D257" s="227" t="s">
        <v>199</v>
      </c>
      <c r="E257" s="241"/>
      <c r="F257" s="228">
        <f t="shared" si="487"/>
        <v>0.16914444012256166</v>
      </c>
      <c r="G257" s="269">
        <f>+F257*G255</f>
        <v>3.5965321002663137E-4</v>
      </c>
      <c r="H257" s="299"/>
      <c r="I257" s="299"/>
      <c r="J257" s="299"/>
      <c r="K257" s="299"/>
      <c r="L257" s="299"/>
      <c r="M257" s="299"/>
      <c r="N257" s="272">
        <v>0.93200000000000005</v>
      </c>
      <c r="O257" s="272">
        <v>0.93200000000000005</v>
      </c>
      <c r="P257" s="272">
        <v>0.93200000000000005</v>
      </c>
      <c r="Q257" s="272">
        <v>0.93200000000000005</v>
      </c>
      <c r="R257" s="372">
        <v>0.93200000000000005</v>
      </c>
      <c r="S257" s="395">
        <v>0.93200000000000005</v>
      </c>
      <c r="T257" s="272">
        <v>0.93200000000000005</v>
      </c>
      <c r="U257" s="272">
        <v>0.93200000000000005</v>
      </c>
      <c r="V257" s="272">
        <v>0.93200000000000005</v>
      </c>
      <c r="W257" s="272">
        <v>0.93200000000000005</v>
      </c>
      <c r="X257" s="272">
        <v>0.93200000000000005</v>
      </c>
      <c r="Y257" s="272">
        <v>0.93200000000000005</v>
      </c>
      <c r="Z257" s="272">
        <v>0.93200000000000005</v>
      </c>
      <c r="AA257" s="272">
        <v>0.93200000000000005</v>
      </c>
      <c r="AB257" s="272">
        <v>0.93200000000000005</v>
      </c>
      <c r="AC257" s="272">
        <v>0.93200000000000005</v>
      </c>
      <c r="AD257" s="396">
        <v>0.93200000000000005</v>
      </c>
      <c r="AE257" s="396">
        <v>0.93200000000000005</v>
      </c>
      <c r="AF257" s="396">
        <v>0.93200000000000005</v>
      </c>
      <c r="AG257" s="396">
        <v>0.93200000000000005</v>
      </c>
      <c r="AH257" s="396">
        <v>0.93200000000000005</v>
      </c>
      <c r="AI257" s="396">
        <v>0.93200000000000005</v>
      </c>
      <c r="AJ257" s="396">
        <v>0.93200000000000005</v>
      </c>
      <c r="AK257" s="396">
        <v>0.93200000000000005</v>
      </c>
      <c r="AL257" s="396">
        <v>0.93200000000000005</v>
      </c>
      <c r="AM257" s="396">
        <v>0.93200000000000005</v>
      </c>
      <c r="AN257" s="396">
        <v>0.93200000000000005</v>
      </c>
      <c r="AO257" s="396">
        <v>0.93200000000000005</v>
      </c>
      <c r="AP257" s="396">
        <v>0.93200000000000005</v>
      </c>
    </row>
    <row r="258" spans="1:42" s="140" customFormat="1" ht="13.5" hidden="1" customHeight="1" outlineLevel="1">
      <c r="A258" s="216"/>
      <c r="B258" s="255" t="s">
        <v>447</v>
      </c>
      <c r="C258" s="245" t="s">
        <v>201</v>
      </c>
      <c r="D258" s="227" t="s">
        <v>202</v>
      </c>
      <c r="E258" s="241"/>
      <c r="F258" s="228">
        <f t="shared" si="487"/>
        <v>0.15393682703771108</v>
      </c>
      <c r="G258" s="269">
        <f>+F258*G255</f>
        <v>3.2731713762102144E-4</v>
      </c>
      <c r="H258" s="299"/>
      <c r="I258" s="299"/>
      <c r="J258" s="299"/>
      <c r="K258" s="299"/>
      <c r="L258" s="299"/>
      <c r="M258" s="299"/>
      <c r="N258" s="272">
        <v>0.93200000000000005</v>
      </c>
      <c r="O258" s="272">
        <v>0.93200000000000005</v>
      </c>
      <c r="P258" s="272">
        <v>0.93200000000000005</v>
      </c>
      <c r="Q258" s="272">
        <v>0.93200000000000005</v>
      </c>
      <c r="R258" s="372">
        <v>0.93200000000000005</v>
      </c>
      <c r="S258" s="395">
        <v>0.93200000000000005</v>
      </c>
      <c r="T258" s="272">
        <v>0.93200000000000005</v>
      </c>
      <c r="U258" s="272">
        <v>0.93200000000000005</v>
      </c>
      <c r="V258" s="272">
        <v>0.93200000000000005</v>
      </c>
      <c r="W258" s="272">
        <v>0.93200000000000005</v>
      </c>
      <c r="X258" s="272">
        <v>0.93200000000000005</v>
      </c>
      <c r="Y258" s="272">
        <v>0.93200000000000005</v>
      </c>
      <c r="Z258" s="272">
        <v>0.93200000000000005</v>
      </c>
      <c r="AA258" s="272">
        <v>0.93200000000000005</v>
      </c>
      <c r="AB258" s="272">
        <v>0.93200000000000005</v>
      </c>
      <c r="AC258" s="272">
        <v>0.93200000000000005</v>
      </c>
      <c r="AD258" s="396">
        <v>0.93200000000000005</v>
      </c>
      <c r="AE258" s="396">
        <v>0.93200000000000005</v>
      </c>
      <c r="AF258" s="396">
        <v>0.93200000000000005</v>
      </c>
      <c r="AG258" s="396">
        <v>0.93200000000000005</v>
      </c>
      <c r="AH258" s="396">
        <v>0.93200000000000005</v>
      </c>
      <c r="AI258" s="396">
        <v>0.93200000000000005</v>
      </c>
      <c r="AJ258" s="396">
        <v>0.93200000000000005</v>
      </c>
      <c r="AK258" s="396">
        <v>0.93200000000000005</v>
      </c>
      <c r="AL258" s="396">
        <v>0.93200000000000005</v>
      </c>
      <c r="AM258" s="396">
        <v>0.93200000000000005</v>
      </c>
      <c r="AN258" s="396">
        <v>0.93200000000000005</v>
      </c>
      <c r="AO258" s="396">
        <v>0.93200000000000005</v>
      </c>
      <c r="AP258" s="396">
        <v>0.93200000000000005</v>
      </c>
    </row>
    <row r="259" spans="1:42" s="140" customFormat="1" ht="13.5" hidden="1" customHeight="1" outlineLevel="1">
      <c r="A259" s="216"/>
      <c r="B259" s="255" t="s">
        <v>448</v>
      </c>
      <c r="C259" s="245" t="s">
        <v>204</v>
      </c>
      <c r="D259" s="227" t="s">
        <v>205</v>
      </c>
      <c r="E259" s="241"/>
      <c r="F259" s="228">
        <f t="shared" si="487"/>
        <v>3.9190487501575728E-2</v>
      </c>
      <c r="G259" s="269">
        <f>+F259*G255</f>
        <v>8.3331054938826809E-5</v>
      </c>
      <c r="H259" s="299"/>
      <c r="I259" s="299"/>
      <c r="J259" s="299"/>
      <c r="K259" s="299"/>
      <c r="L259" s="299"/>
      <c r="M259" s="299"/>
      <c r="N259" s="272">
        <v>0.93200000000000005</v>
      </c>
      <c r="O259" s="272">
        <v>0.93200000000000005</v>
      </c>
      <c r="P259" s="272">
        <v>0.93200000000000005</v>
      </c>
      <c r="Q259" s="272">
        <v>0.93200000000000005</v>
      </c>
      <c r="R259" s="372">
        <v>0.93200000000000005</v>
      </c>
      <c r="S259" s="395">
        <v>0.93200000000000005</v>
      </c>
      <c r="T259" s="272">
        <v>0.93200000000000005</v>
      </c>
      <c r="U259" s="272">
        <v>0.93200000000000005</v>
      </c>
      <c r="V259" s="272">
        <v>0.93200000000000005</v>
      </c>
      <c r="W259" s="272">
        <v>0.93200000000000005</v>
      </c>
      <c r="X259" s="272">
        <v>0.93200000000000005</v>
      </c>
      <c r="Y259" s="272">
        <v>0.93200000000000005</v>
      </c>
      <c r="Z259" s="272">
        <v>0.93200000000000005</v>
      </c>
      <c r="AA259" s="272">
        <v>0.93200000000000005</v>
      </c>
      <c r="AB259" s="272">
        <v>0.93200000000000005</v>
      </c>
      <c r="AC259" s="272">
        <v>0.93200000000000005</v>
      </c>
      <c r="AD259" s="396">
        <v>0.93200000000000005</v>
      </c>
      <c r="AE259" s="396">
        <v>0.93200000000000005</v>
      </c>
      <c r="AF259" s="396">
        <v>0.93200000000000005</v>
      </c>
      <c r="AG259" s="396">
        <v>0.93200000000000005</v>
      </c>
      <c r="AH259" s="396">
        <v>0.93200000000000005</v>
      </c>
      <c r="AI259" s="396">
        <v>0.93200000000000005</v>
      </c>
      <c r="AJ259" s="396">
        <v>0.93200000000000005</v>
      </c>
      <c r="AK259" s="396">
        <v>0.93200000000000005</v>
      </c>
      <c r="AL259" s="396">
        <v>0.93200000000000005</v>
      </c>
      <c r="AM259" s="396">
        <v>0.93200000000000005</v>
      </c>
      <c r="AN259" s="396">
        <v>0.93200000000000005</v>
      </c>
      <c r="AO259" s="396">
        <v>0.93200000000000005</v>
      </c>
      <c r="AP259" s="396">
        <v>0.93200000000000005</v>
      </c>
    </row>
    <row r="260" spans="1:42" s="140" customFormat="1" ht="13.5" hidden="1" customHeight="1" outlineLevel="1">
      <c r="A260" s="216"/>
      <c r="B260" s="255" t="s">
        <v>449</v>
      </c>
      <c r="C260" s="245" t="s">
        <v>207</v>
      </c>
      <c r="D260" s="227" t="s">
        <v>205</v>
      </c>
      <c r="E260" s="241"/>
      <c r="F260" s="228">
        <f t="shared" si="487"/>
        <v>3.9190487501575728E-2</v>
      </c>
      <c r="G260" s="269">
        <f>+F260*G255</f>
        <v>8.3331054938826809E-5</v>
      </c>
      <c r="H260" s="299"/>
      <c r="I260" s="299"/>
      <c r="J260" s="299"/>
      <c r="K260" s="299"/>
      <c r="L260" s="299"/>
      <c r="M260" s="299"/>
      <c r="N260" s="272">
        <v>0.93200000000000005</v>
      </c>
      <c r="O260" s="272">
        <v>0.93200000000000005</v>
      </c>
      <c r="P260" s="272">
        <v>0.93200000000000005</v>
      </c>
      <c r="Q260" s="272">
        <v>0.93200000000000005</v>
      </c>
      <c r="R260" s="372">
        <v>0.93200000000000005</v>
      </c>
      <c r="S260" s="395">
        <v>0.93200000000000005</v>
      </c>
      <c r="T260" s="272">
        <v>0.93200000000000005</v>
      </c>
      <c r="U260" s="272">
        <v>0.93200000000000005</v>
      </c>
      <c r="V260" s="272">
        <v>0.93200000000000005</v>
      </c>
      <c r="W260" s="272">
        <v>0.93200000000000005</v>
      </c>
      <c r="X260" s="272">
        <v>0.93200000000000005</v>
      </c>
      <c r="Y260" s="272">
        <v>0.93200000000000005</v>
      </c>
      <c r="Z260" s="272">
        <v>0.93200000000000005</v>
      </c>
      <c r="AA260" s="272">
        <v>0.93200000000000005</v>
      </c>
      <c r="AB260" s="272">
        <v>0.93200000000000005</v>
      </c>
      <c r="AC260" s="272">
        <v>0.93200000000000005</v>
      </c>
      <c r="AD260" s="396">
        <v>0.93200000000000005</v>
      </c>
      <c r="AE260" s="396">
        <v>0.93200000000000005</v>
      </c>
      <c r="AF260" s="396">
        <v>0.93200000000000005</v>
      </c>
      <c r="AG260" s="396">
        <v>0.93200000000000005</v>
      </c>
      <c r="AH260" s="396">
        <v>0.93200000000000005</v>
      </c>
      <c r="AI260" s="396">
        <v>0.93200000000000005</v>
      </c>
      <c r="AJ260" s="396">
        <v>0.93200000000000005</v>
      </c>
      <c r="AK260" s="396">
        <v>0.93200000000000005</v>
      </c>
      <c r="AL260" s="396">
        <v>0.93200000000000005</v>
      </c>
      <c r="AM260" s="396">
        <v>0.93200000000000005</v>
      </c>
      <c r="AN260" s="396">
        <v>0.93200000000000005</v>
      </c>
      <c r="AO260" s="396">
        <v>0.93200000000000005</v>
      </c>
      <c r="AP260" s="396">
        <v>0.93200000000000005</v>
      </c>
    </row>
    <row r="261" spans="1:42" s="140" customFormat="1" ht="13.5" hidden="1" customHeight="1" outlineLevel="1">
      <c r="A261" s="216"/>
      <c r="B261" s="255" t="s">
        <v>450</v>
      </c>
      <c r="C261" s="245" t="s">
        <v>209</v>
      </c>
      <c r="D261" s="227" t="s">
        <v>205</v>
      </c>
      <c r="E261" s="241"/>
      <c r="F261" s="228">
        <f t="shared" si="487"/>
        <v>3.9190487501575728E-2</v>
      </c>
      <c r="G261" s="269">
        <f>+F261*G255</f>
        <v>8.3331054938826809E-5</v>
      </c>
      <c r="H261" s="299"/>
      <c r="I261" s="299"/>
      <c r="J261" s="299"/>
      <c r="K261" s="299"/>
      <c r="L261" s="299"/>
      <c r="M261" s="299"/>
      <c r="N261" s="272">
        <v>0.93200000000000005</v>
      </c>
      <c r="O261" s="272">
        <v>0.93200000000000005</v>
      </c>
      <c r="P261" s="272">
        <v>0.93200000000000005</v>
      </c>
      <c r="Q261" s="272">
        <v>0.93200000000000005</v>
      </c>
      <c r="R261" s="372">
        <v>0.93200000000000005</v>
      </c>
      <c r="S261" s="395">
        <v>0.93200000000000005</v>
      </c>
      <c r="T261" s="272">
        <v>0.93200000000000005</v>
      </c>
      <c r="U261" s="272">
        <v>0.93200000000000005</v>
      </c>
      <c r="V261" s="272">
        <v>0.93200000000000005</v>
      </c>
      <c r="W261" s="272">
        <v>0.93200000000000005</v>
      </c>
      <c r="X261" s="272">
        <v>0.93200000000000005</v>
      </c>
      <c r="Y261" s="272">
        <v>0.93200000000000005</v>
      </c>
      <c r="Z261" s="272">
        <v>0.93200000000000005</v>
      </c>
      <c r="AA261" s="272">
        <v>0.93200000000000005</v>
      </c>
      <c r="AB261" s="272">
        <v>0.93200000000000005</v>
      </c>
      <c r="AC261" s="272">
        <v>0.93200000000000005</v>
      </c>
      <c r="AD261" s="396">
        <v>0.93200000000000005</v>
      </c>
      <c r="AE261" s="396">
        <v>0.93200000000000005</v>
      </c>
      <c r="AF261" s="396">
        <v>0.93200000000000005</v>
      </c>
      <c r="AG261" s="396">
        <v>0.93200000000000005</v>
      </c>
      <c r="AH261" s="396">
        <v>0.93200000000000005</v>
      </c>
      <c r="AI261" s="396">
        <v>0.93200000000000005</v>
      </c>
      <c r="AJ261" s="396">
        <v>0.93200000000000005</v>
      </c>
      <c r="AK261" s="396">
        <v>0.93200000000000005</v>
      </c>
      <c r="AL261" s="396">
        <v>0.93200000000000005</v>
      </c>
      <c r="AM261" s="396">
        <v>0.93200000000000005</v>
      </c>
      <c r="AN261" s="396">
        <v>0.93200000000000005</v>
      </c>
      <c r="AO261" s="396">
        <v>0.93200000000000005</v>
      </c>
      <c r="AP261" s="396">
        <v>0.93200000000000005</v>
      </c>
    </row>
    <row r="262" spans="1:42" s="140" customFormat="1" ht="13.5" hidden="1" customHeight="1" outlineLevel="1">
      <c r="A262" s="216"/>
      <c r="B262" s="255" t="s">
        <v>451</v>
      </c>
      <c r="C262" s="245" t="s">
        <v>211</v>
      </c>
      <c r="D262" s="227" t="s">
        <v>205</v>
      </c>
      <c r="E262" s="241"/>
      <c r="F262" s="228">
        <f t="shared" si="487"/>
        <v>3.9190487501575728E-2</v>
      </c>
      <c r="G262" s="269">
        <f>+F262*G255</f>
        <v>8.3331054938826809E-5</v>
      </c>
      <c r="H262" s="299"/>
      <c r="I262" s="299"/>
      <c r="J262" s="299"/>
      <c r="K262" s="299"/>
      <c r="L262" s="299"/>
      <c r="M262" s="299"/>
      <c r="N262" s="272">
        <v>0.93200000000000005</v>
      </c>
      <c r="O262" s="272">
        <v>0.93200000000000005</v>
      </c>
      <c r="P262" s="272">
        <v>0.93200000000000005</v>
      </c>
      <c r="Q262" s="272">
        <v>0.93200000000000005</v>
      </c>
      <c r="R262" s="372">
        <v>0.93200000000000005</v>
      </c>
      <c r="S262" s="395">
        <v>0.93200000000000005</v>
      </c>
      <c r="T262" s="272">
        <v>0.93200000000000005</v>
      </c>
      <c r="U262" s="272">
        <v>0.93200000000000005</v>
      </c>
      <c r="V262" s="272">
        <v>0.93200000000000005</v>
      </c>
      <c r="W262" s="272">
        <v>0.93200000000000005</v>
      </c>
      <c r="X262" s="272">
        <v>0.93200000000000005</v>
      </c>
      <c r="Y262" s="272">
        <v>0.93200000000000005</v>
      </c>
      <c r="Z262" s="272">
        <v>0.93200000000000005</v>
      </c>
      <c r="AA262" s="272">
        <v>0.93200000000000005</v>
      </c>
      <c r="AB262" s="272">
        <v>0.93200000000000005</v>
      </c>
      <c r="AC262" s="272">
        <v>0.93200000000000005</v>
      </c>
      <c r="AD262" s="396">
        <v>0.93200000000000005</v>
      </c>
      <c r="AE262" s="396">
        <v>0.93200000000000005</v>
      </c>
      <c r="AF262" s="396">
        <v>0.93200000000000005</v>
      </c>
      <c r="AG262" s="396">
        <v>0.93200000000000005</v>
      </c>
      <c r="AH262" s="396">
        <v>0.93200000000000005</v>
      </c>
      <c r="AI262" s="396">
        <v>0.93200000000000005</v>
      </c>
      <c r="AJ262" s="396">
        <v>0.93200000000000005</v>
      </c>
      <c r="AK262" s="396">
        <v>0.93200000000000005</v>
      </c>
      <c r="AL262" s="396">
        <v>0.93200000000000005</v>
      </c>
      <c r="AM262" s="396">
        <v>0.93200000000000005</v>
      </c>
      <c r="AN262" s="396">
        <v>0.93200000000000005</v>
      </c>
      <c r="AO262" s="396">
        <v>0.93200000000000005</v>
      </c>
      <c r="AP262" s="396">
        <v>0.93200000000000005</v>
      </c>
    </row>
    <row r="263" spans="1:42" s="140" customFormat="1" ht="13.5" hidden="1" customHeight="1" outlineLevel="1">
      <c r="A263" s="216"/>
      <c r="B263" s="255" t="s">
        <v>452</v>
      </c>
      <c r="C263" s="245" t="s">
        <v>213</v>
      </c>
      <c r="D263" s="227" t="s">
        <v>205</v>
      </c>
      <c r="E263" s="241"/>
      <c r="F263" s="228">
        <f t="shared" si="487"/>
        <v>3.9190487501575728E-2</v>
      </c>
      <c r="G263" s="269">
        <f>+F263*G255</f>
        <v>8.3331054938826809E-5</v>
      </c>
      <c r="H263" s="299"/>
      <c r="I263" s="299"/>
      <c r="J263" s="299"/>
      <c r="K263" s="299"/>
      <c r="L263" s="299"/>
      <c r="M263" s="299"/>
      <c r="N263" s="272">
        <v>0.93200000000000005</v>
      </c>
      <c r="O263" s="272">
        <v>0.93200000000000005</v>
      </c>
      <c r="P263" s="272">
        <v>0.93200000000000005</v>
      </c>
      <c r="Q263" s="272">
        <v>0.93200000000000005</v>
      </c>
      <c r="R263" s="372">
        <v>0.93200000000000005</v>
      </c>
      <c r="S263" s="395">
        <v>0.93200000000000005</v>
      </c>
      <c r="T263" s="272">
        <v>0.93200000000000005</v>
      </c>
      <c r="U263" s="272">
        <v>0.93200000000000005</v>
      </c>
      <c r="V263" s="272">
        <v>0.93200000000000005</v>
      </c>
      <c r="W263" s="272">
        <v>0.93200000000000005</v>
      </c>
      <c r="X263" s="272">
        <v>0.93200000000000005</v>
      </c>
      <c r="Y263" s="272">
        <v>0.93200000000000005</v>
      </c>
      <c r="Z263" s="272">
        <v>0.93200000000000005</v>
      </c>
      <c r="AA263" s="272">
        <v>0.93200000000000005</v>
      </c>
      <c r="AB263" s="272">
        <v>0.93200000000000005</v>
      </c>
      <c r="AC263" s="272">
        <v>0.93200000000000005</v>
      </c>
      <c r="AD263" s="396">
        <v>0.93200000000000005</v>
      </c>
      <c r="AE263" s="396">
        <v>0.93200000000000005</v>
      </c>
      <c r="AF263" s="396">
        <v>0.93200000000000005</v>
      </c>
      <c r="AG263" s="396">
        <v>0.93200000000000005</v>
      </c>
      <c r="AH263" s="396">
        <v>0.93200000000000005</v>
      </c>
      <c r="AI263" s="396">
        <v>0.93200000000000005</v>
      </c>
      <c r="AJ263" s="396">
        <v>0.93200000000000005</v>
      </c>
      <c r="AK263" s="396">
        <v>0.93200000000000005</v>
      </c>
      <c r="AL263" s="396">
        <v>0.93200000000000005</v>
      </c>
      <c r="AM263" s="396">
        <v>0.93200000000000005</v>
      </c>
      <c r="AN263" s="396">
        <v>0.93200000000000005</v>
      </c>
      <c r="AO263" s="396">
        <v>0.93200000000000005</v>
      </c>
      <c r="AP263" s="396">
        <v>0.93200000000000005</v>
      </c>
    </row>
    <row r="264" spans="1:42" s="140" customFormat="1" ht="13.5" hidden="1" customHeight="1" outlineLevel="1">
      <c r="A264" s="216"/>
      <c r="B264" s="255" t="s">
        <v>453</v>
      </c>
      <c r="C264" s="281" t="s">
        <v>215</v>
      </c>
      <c r="D264" s="282" t="s">
        <v>216</v>
      </c>
      <c r="E264" s="283"/>
      <c r="F264" s="284">
        <f t="shared" si="487"/>
        <v>4.0894421740774678E-2</v>
      </c>
      <c r="G264" s="285">
        <f>+F264*G255</f>
        <v>8.6954144283993208E-5</v>
      </c>
      <c r="H264" s="322"/>
      <c r="I264" s="322"/>
      <c r="J264" s="322"/>
      <c r="K264" s="322"/>
      <c r="L264" s="322"/>
      <c r="M264" s="322"/>
      <c r="N264" s="287">
        <v>0.93200000000000005</v>
      </c>
      <c r="O264" s="287">
        <v>0.93200000000000005</v>
      </c>
      <c r="P264" s="287">
        <v>0.93200000000000005</v>
      </c>
      <c r="Q264" s="287">
        <v>0.93200000000000005</v>
      </c>
      <c r="R264" s="377">
        <v>0.93200000000000005</v>
      </c>
      <c r="S264" s="405">
        <v>0.93200000000000005</v>
      </c>
      <c r="T264" s="287">
        <v>0.93200000000000005</v>
      </c>
      <c r="U264" s="287">
        <v>0.93200000000000005</v>
      </c>
      <c r="V264" s="287">
        <v>0.93200000000000005</v>
      </c>
      <c r="W264" s="287">
        <v>0.93200000000000005</v>
      </c>
      <c r="X264" s="287">
        <v>0.93200000000000005</v>
      </c>
      <c r="Y264" s="287">
        <v>0.93200000000000005</v>
      </c>
      <c r="Z264" s="287">
        <v>0.93200000000000005</v>
      </c>
      <c r="AA264" s="287">
        <v>0.93200000000000005</v>
      </c>
      <c r="AB264" s="287">
        <v>0.93200000000000005</v>
      </c>
      <c r="AC264" s="287">
        <v>0.93200000000000005</v>
      </c>
      <c r="AD264" s="406">
        <v>0.93200000000000005</v>
      </c>
      <c r="AE264" s="406">
        <v>0.93200000000000005</v>
      </c>
      <c r="AF264" s="406">
        <v>0.93200000000000005</v>
      </c>
      <c r="AG264" s="406">
        <v>0.93200000000000005</v>
      </c>
      <c r="AH264" s="406">
        <v>0.93200000000000005</v>
      </c>
      <c r="AI264" s="406">
        <v>0.93200000000000005</v>
      </c>
      <c r="AJ264" s="406">
        <v>0.93200000000000005</v>
      </c>
      <c r="AK264" s="406">
        <v>0.93200000000000005</v>
      </c>
      <c r="AL264" s="406">
        <v>0.93200000000000005</v>
      </c>
      <c r="AM264" s="406">
        <v>0.93200000000000005</v>
      </c>
      <c r="AN264" s="406">
        <v>0.93200000000000005</v>
      </c>
      <c r="AO264" s="406">
        <v>0.93200000000000005</v>
      </c>
      <c r="AP264" s="406">
        <v>0.93200000000000005</v>
      </c>
    </row>
    <row r="265" spans="1:42" s="140" customFormat="1" ht="13.5" hidden="1" customHeight="1" outlineLevel="1">
      <c r="A265" s="216"/>
      <c r="B265" s="255" t="s">
        <v>454</v>
      </c>
      <c r="C265" s="281" t="s">
        <v>218</v>
      </c>
      <c r="D265" s="282" t="s">
        <v>219</v>
      </c>
      <c r="E265" s="283"/>
      <c r="F265" s="284">
        <f t="shared" si="487"/>
        <v>0.13120293641831876</v>
      </c>
      <c r="G265" s="285">
        <f>+F265*G255</f>
        <v>2.7897787957781154E-4</v>
      </c>
      <c r="H265" s="322"/>
      <c r="I265" s="322"/>
      <c r="J265" s="322"/>
      <c r="K265" s="322"/>
      <c r="L265" s="322"/>
      <c r="M265" s="322"/>
      <c r="N265" s="287">
        <v>0.93200000000000005</v>
      </c>
      <c r="O265" s="287">
        <v>0.93200000000000005</v>
      </c>
      <c r="P265" s="287">
        <v>0.93200000000000005</v>
      </c>
      <c r="Q265" s="287">
        <v>0.93200000000000005</v>
      </c>
      <c r="R265" s="377">
        <v>0.93200000000000005</v>
      </c>
      <c r="S265" s="405">
        <v>0.93200000000000005</v>
      </c>
      <c r="T265" s="287">
        <v>0.93200000000000005</v>
      </c>
      <c r="U265" s="287">
        <v>0.93200000000000005</v>
      </c>
      <c r="V265" s="287">
        <v>0.93200000000000005</v>
      </c>
      <c r="W265" s="287">
        <v>0.93200000000000005</v>
      </c>
      <c r="X265" s="287">
        <v>0.93200000000000005</v>
      </c>
      <c r="Y265" s="287">
        <v>0.93200000000000005</v>
      </c>
      <c r="Z265" s="287">
        <v>0.93200000000000005</v>
      </c>
      <c r="AA265" s="287">
        <v>0.93200000000000005</v>
      </c>
      <c r="AB265" s="287">
        <v>0.93200000000000005</v>
      </c>
      <c r="AC265" s="287">
        <v>0.93200000000000005</v>
      </c>
      <c r="AD265" s="406">
        <v>0.93200000000000005</v>
      </c>
      <c r="AE265" s="406">
        <v>0.93200000000000005</v>
      </c>
      <c r="AF265" s="406">
        <v>0.93200000000000005</v>
      </c>
      <c r="AG265" s="406">
        <v>0.93200000000000005</v>
      </c>
      <c r="AH265" s="406">
        <v>0.93200000000000005</v>
      </c>
      <c r="AI265" s="406">
        <v>0.93200000000000005</v>
      </c>
      <c r="AJ265" s="406">
        <v>0.93200000000000005</v>
      </c>
      <c r="AK265" s="406">
        <v>0.93200000000000005</v>
      </c>
      <c r="AL265" s="406">
        <v>0.93200000000000005</v>
      </c>
      <c r="AM265" s="406">
        <v>0.93200000000000005</v>
      </c>
      <c r="AN265" s="406">
        <v>0.93200000000000005</v>
      </c>
      <c r="AO265" s="406">
        <v>0.93200000000000005</v>
      </c>
      <c r="AP265" s="406">
        <v>0.93200000000000005</v>
      </c>
    </row>
    <row r="266" spans="1:42" s="140" customFormat="1" ht="13.5" hidden="1" customHeight="1" outlineLevel="1">
      <c r="A266" s="216"/>
      <c r="B266" s="255" t="s">
        <v>455</v>
      </c>
      <c r="C266" s="281" t="s">
        <v>221</v>
      </c>
      <c r="D266" s="282" t="s">
        <v>222</v>
      </c>
      <c r="E266" s="283"/>
      <c r="F266" s="284">
        <f t="shared" si="487"/>
        <v>0.17039342391989448</v>
      </c>
      <c r="G266" s="285">
        <f>+F266*G255</f>
        <v>3.6230893451663832E-4</v>
      </c>
      <c r="H266" s="322"/>
      <c r="I266" s="322"/>
      <c r="J266" s="322"/>
      <c r="K266" s="322"/>
      <c r="L266" s="322"/>
      <c r="M266" s="322"/>
      <c r="N266" s="287">
        <v>0.93200000000000005</v>
      </c>
      <c r="O266" s="287">
        <v>0.93200000000000005</v>
      </c>
      <c r="P266" s="287">
        <v>0.93200000000000005</v>
      </c>
      <c r="Q266" s="287">
        <v>0.93200000000000005</v>
      </c>
      <c r="R266" s="377">
        <v>0.93200000000000005</v>
      </c>
      <c r="S266" s="405">
        <v>0.93200000000000005</v>
      </c>
      <c r="T266" s="287">
        <v>0.93200000000000005</v>
      </c>
      <c r="U266" s="287">
        <v>0.93200000000000005</v>
      </c>
      <c r="V266" s="287">
        <v>0.93200000000000005</v>
      </c>
      <c r="W266" s="287">
        <v>0.93200000000000005</v>
      </c>
      <c r="X266" s="287">
        <v>0.93200000000000005</v>
      </c>
      <c r="Y266" s="287">
        <v>0.93200000000000005</v>
      </c>
      <c r="Z266" s="287">
        <v>0.93200000000000005</v>
      </c>
      <c r="AA266" s="287">
        <v>0.93200000000000005</v>
      </c>
      <c r="AB266" s="287">
        <v>0.93200000000000005</v>
      </c>
      <c r="AC266" s="287">
        <v>0.93200000000000005</v>
      </c>
      <c r="AD266" s="406">
        <v>0.93200000000000005</v>
      </c>
      <c r="AE266" s="406">
        <v>0.93200000000000005</v>
      </c>
      <c r="AF266" s="406">
        <v>0.93200000000000005</v>
      </c>
      <c r="AG266" s="406">
        <v>0.93200000000000005</v>
      </c>
      <c r="AH266" s="406">
        <v>0.93200000000000005</v>
      </c>
      <c r="AI266" s="406">
        <v>0.93200000000000005</v>
      </c>
      <c r="AJ266" s="406">
        <v>0.93200000000000005</v>
      </c>
      <c r="AK266" s="406">
        <v>0.93200000000000005</v>
      </c>
      <c r="AL266" s="406">
        <v>0.93200000000000005</v>
      </c>
      <c r="AM266" s="406">
        <v>0.93200000000000005</v>
      </c>
      <c r="AN266" s="406">
        <v>0.93200000000000005</v>
      </c>
      <c r="AO266" s="406">
        <v>0.93200000000000005</v>
      </c>
      <c r="AP266" s="406">
        <v>0.93200000000000005</v>
      </c>
    </row>
    <row r="267" spans="1:42" s="140" customFormat="1" ht="13.5" hidden="1" customHeight="1" outlineLevel="1" thickBot="1">
      <c r="A267" s="216"/>
      <c r="B267" s="255" t="s">
        <v>456</v>
      </c>
      <c r="C267" s="281" t="s">
        <v>224</v>
      </c>
      <c r="D267" s="282" t="s">
        <v>225</v>
      </c>
      <c r="E267" s="283"/>
      <c r="F267" s="284">
        <f t="shared" si="487"/>
        <v>2.3855079348785228E-2</v>
      </c>
      <c r="G267" s="285">
        <f>+F267*G255</f>
        <v>5.0723250832329369E-5</v>
      </c>
      <c r="H267" s="322"/>
      <c r="I267" s="322"/>
      <c r="J267" s="322"/>
      <c r="K267" s="322"/>
      <c r="L267" s="322"/>
      <c r="M267" s="322"/>
      <c r="N267" s="287">
        <v>0.93200000000000005</v>
      </c>
      <c r="O267" s="287">
        <v>0.93200000000000005</v>
      </c>
      <c r="P267" s="287">
        <v>0.93200000000000005</v>
      </c>
      <c r="Q267" s="287">
        <v>0.93200000000000005</v>
      </c>
      <c r="R267" s="377">
        <v>0.93200000000000005</v>
      </c>
      <c r="S267" s="405">
        <v>0.93200000000000005</v>
      </c>
      <c r="T267" s="287">
        <v>0.93200000000000005</v>
      </c>
      <c r="U267" s="287">
        <v>0.93200000000000005</v>
      </c>
      <c r="V267" s="287">
        <v>0.93200000000000005</v>
      </c>
      <c r="W267" s="287">
        <v>0.93200000000000005</v>
      </c>
      <c r="X267" s="287">
        <v>0.93200000000000005</v>
      </c>
      <c r="Y267" s="287">
        <v>0.93200000000000005</v>
      </c>
      <c r="Z267" s="287">
        <v>0.93200000000000005</v>
      </c>
      <c r="AA267" s="287">
        <v>0.93200000000000005</v>
      </c>
      <c r="AB267" s="287">
        <v>0.93200000000000005</v>
      </c>
      <c r="AC267" s="287">
        <v>0.93200000000000005</v>
      </c>
      <c r="AD267" s="406">
        <v>0.93200000000000005</v>
      </c>
      <c r="AE267" s="406">
        <v>0.93200000000000005</v>
      </c>
      <c r="AF267" s="406">
        <v>0.93200000000000005</v>
      </c>
      <c r="AG267" s="406">
        <v>0.93200000000000005</v>
      </c>
      <c r="AH267" s="406">
        <v>0.93200000000000005</v>
      </c>
      <c r="AI267" s="406">
        <v>0.93200000000000005</v>
      </c>
      <c r="AJ267" s="406">
        <v>0.93200000000000005</v>
      </c>
      <c r="AK267" s="406">
        <v>0.93200000000000005</v>
      </c>
      <c r="AL267" s="406">
        <v>0.93200000000000005</v>
      </c>
      <c r="AM267" s="406">
        <v>0.93200000000000005</v>
      </c>
      <c r="AN267" s="406">
        <v>0.93200000000000005</v>
      </c>
      <c r="AO267" s="406">
        <v>0.93200000000000005</v>
      </c>
      <c r="AP267" s="406">
        <v>0.93200000000000005</v>
      </c>
    </row>
    <row r="268" spans="1:42" s="140" customFormat="1" ht="13.5" collapsed="1" thickBot="1">
      <c r="B268" s="312">
        <v>3</v>
      </c>
      <c r="C268" s="313"/>
      <c r="D268" s="314" t="s">
        <v>457</v>
      </c>
      <c r="E268" s="315"/>
      <c r="F268" s="316"/>
      <c r="G268" s="317">
        <v>0.01</v>
      </c>
      <c r="H268" s="358">
        <v>45884</v>
      </c>
      <c r="I268" s="358">
        <v>46387</v>
      </c>
      <c r="J268" s="358"/>
      <c r="K268" s="358"/>
      <c r="L268" s="358"/>
      <c r="M268" s="358"/>
      <c r="N268" s="319">
        <f t="shared" ref="N268:R268" si="580">+($G269*N269+$G270*N270)/$G268</f>
        <v>0.86743723464683364</v>
      </c>
      <c r="O268" s="319">
        <f t="shared" si="580"/>
        <v>0.86743723464683364</v>
      </c>
      <c r="P268" s="319">
        <f t="shared" si="580"/>
        <v>0.86743723464683364</v>
      </c>
      <c r="Q268" s="319">
        <f t="shared" si="580"/>
        <v>0.86743723464683364</v>
      </c>
      <c r="R268" s="367">
        <f t="shared" si="580"/>
        <v>0.86743723464683364</v>
      </c>
      <c r="S268" s="386">
        <f t="shared" ref="S268" si="581">+($G269*S269+$G270*S270)/$G268</f>
        <v>0.86743723464683364</v>
      </c>
      <c r="T268" s="319">
        <f t="shared" ref="T268" si="582">+($G269*T269+$G270*T270)/$G268</f>
        <v>0.86743723464683364</v>
      </c>
      <c r="U268" s="319">
        <f t="shared" ref="U268" si="583">+($G269*U269+$G270*U270)/$G268</f>
        <v>0.86743723464683364</v>
      </c>
      <c r="V268" s="319">
        <f t="shared" ref="V268" si="584">+($G269*V269+$G270*V270)/$G268</f>
        <v>0.86743723464683364</v>
      </c>
      <c r="W268" s="319">
        <f t="shared" ref="W268" si="585">+($G269*W269+$G270*W270)/$G268</f>
        <v>0.86743723464683364</v>
      </c>
      <c r="X268" s="319">
        <f t="shared" ref="X268" si="586">+($G269*X269+$G270*X270)/$G268</f>
        <v>0.86743723464683364</v>
      </c>
      <c r="Y268" s="319">
        <f t="shared" ref="Y268" si="587">+($G269*Y269+$G270*Y270)/$G268</f>
        <v>0.86743723464683364</v>
      </c>
      <c r="Z268" s="319">
        <f t="shared" ref="Z268" si="588">+($G269*Z269+$G270*Z270)/$G268</f>
        <v>0.86743723464683364</v>
      </c>
      <c r="AA268" s="319">
        <f t="shared" ref="AA268" si="589">+($G269*AA269+$G270*AA270)/$G268</f>
        <v>0.86743723464683364</v>
      </c>
      <c r="AB268" s="319">
        <f t="shared" ref="AB268" si="590">+($G269*AB269+$G270*AB270)/$G268</f>
        <v>0.86743723464683364</v>
      </c>
      <c r="AC268" s="319">
        <f t="shared" ref="AC268" si="591">+($G269*AC269+$G270*AC270)/$G268</f>
        <v>0.86743723464683364</v>
      </c>
      <c r="AD268" s="320">
        <f t="shared" ref="AD268:AF268" si="592">+($G269*AD269+$G270*AD270)/$G268</f>
        <v>0.86743723464683364</v>
      </c>
      <c r="AE268" s="320">
        <f t="shared" si="592"/>
        <v>0.86743723464683364</v>
      </c>
      <c r="AF268" s="320">
        <f t="shared" si="592"/>
        <v>0.86743723464683364</v>
      </c>
      <c r="AG268" s="320">
        <f t="shared" ref="AG268" si="593">+($G269*AG269+$G270*AG270)/$G268</f>
        <v>0.86743723464683364</v>
      </c>
      <c r="AH268" s="320">
        <f t="shared" ref="AH268" si="594">+($G269*AH269+$G270*AH270)/$G268</f>
        <v>0.86743723464683364</v>
      </c>
      <c r="AI268" s="320">
        <f t="shared" ref="AI268" si="595">+($G269*AI269+$G270*AI270)/$G268</f>
        <v>0.86743723464683364</v>
      </c>
      <c r="AJ268" s="320">
        <f t="shared" ref="AJ268" si="596">+($G269*AJ269+$G270*AJ270)/$G268</f>
        <v>0.86743723464683364</v>
      </c>
      <c r="AK268" s="320">
        <f t="shared" ref="AK268" si="597">+($G269*AK269+$G270*AK270)/$G268</f>
        <v>0.86743723464683364</v>
      </c>
      <c r="AL268" s="320">
        <f t="shared" ref="AL268" si="598">+($G269*AL269+$G270*AL270)/$G268</f>
        <v>0.86743723464683364</v>
      </c>
      <c r="AM268" s="320">
        <f t="shared" ref="AM268" si="599">+($G269*AM269+$G270*AM270)/$G268</f>
        <v>0.86743723464683364</v>
      </c>
      <c r="AN268" s="320">
        <f t="shared" ref="AN268" si="600">+($G269*AN269+$G270*AN270)/$G268</f>
        <v>0.86743723464683364</v>
      </c>
      <c r="AO268" s="320">
        <f t="shared" ref="AO268" si="601">+($G269*AO269+$G270*AO270)/$G268</f>
        <v>0.86743723464683364</v>
      </c>
      <c r="AP268" s="320">
        <f t="shared" ref="AP268" si="602">+($G269*AP269+$G270*AP270)/$G268</f>
        <v>0.86743723464683364</v>
      </c>
    </row>
    <row r="269" spans="1:42" s="140" customFormat="1" ht="13.5" hidden="1" customHeight="1" outlineLevel="1" thickBot="1">
      <c r="B269" s="252">
        <v>3.1</v>
      </c>
      <c r="C269" s="244"/>
      <c r="D269" s="225" t="s">
        <v>458</v>
      </c>
      <c r="E269" s="239"/>
      <c r="F269" s="221">
        <v>0.2</v>
      </c>
      <c r="G269" s="226">
        <v>2E-3</v>
      </c>
      <c r="H269" s="359"/>
      <c r="I269" s="359"/>
      <c r="J269" s="359"/>
      <c r="K269" s="359"/>
      <c r="L269" s="359"/>
      <c r="M269" s="359"/>
      <c r="N269" s="250">
        <v>1</v>
      </c>
      <c r="O269" s="250">
        <v>1</v>
      </c>
      <c r="P269" s="250">
        <v>1</v>
      </c>
      <c r="Q269" s="250">
        <v>1</v>
      </c>
      <c r="R269" s="378">
        <v>1</v>
      </c>
      <c r="S269" s="407">
        <v>1</v>
      </c>
      <c r="T269" s="250">
        <v>1</v>
      </c>
      <c r="U269" s="250">
        <v>1</v>
      </c>
      <c r="V269" s="250">
        <v>1</v>
      </c>
      <c r="W269" s="250">
        <v>1</v>
      </c>
      <c r="X269" s="250">
        <v>1</v>
      </c>
      <c r="Y269" s="250">
        <v>1</v>
      </c>
      <c r="Z269" s="250">
        <v>1</v>
      </c>
      <c r="AA269" s="250">
        <v>1</v>
      </c>
      <c r="AB269" s="250">
        <v>1</v>
      </c>
      <c r="AC269" s="250">
        <v>1</v>
      </c>
      <c r="AD269" s="408">
        <v>1</v>
      </c>
      <c r="AE269" s="408">
        <v>1</v>
      </c>
      <c r="AF269" s="408">
        <v>1</v>
      </c>
      <c r="AG269" s="408">
        <v>1</v>
      </c>
      <c r="AH269" s="408">
        <v>1</v>
      </c>
      <c r="AI269" s="408">
        <v>1</v>
      </c>
      <c r="AJ269" s="408">
        <v>1</v>
      </c>
      <c r="AK269" s="408">
        <v>1</v>
      </c>
      <c r="AL269" s="408">
        <v>1</v>
      </c>
      <c r="AM269" s="408">
        <v>1</v>
      </c>
      <c r="AN269" s="408">
        <v>1</v>
      </c>
      <c r="AO269" s="408">
        <v>1</v>
      </c>
      <c r="AP269" s="408">
        <v>1</v>
      </c>
    </row>
    <row r="270" spans="1:42" s="140" customFormat="1" ht="13.5" hidden="1" customHeight="1" outlineLevel="1" thickBot="1">
      <c r="B270" s="252">
        <v>3.2</v>
      </c>
      <c r="C270" s="244"/>
      <c r="D270" s="225" t="s">
        <v>459</v>
      </c>
      <c r="E270" s="239"/>
      <c r="F270" s="221">
        <v>0.8</v>
      </c>
      <c r="G270" s="226">
        <v>8.0000000000000002E-3</v>
      </c>
      <c r="H270" s="359"/>
      <c r="I270" s="359"/>
      <c r="J270" s="359"/>
      <c r="K270" s="359"/>
      <c r="L270" s="359"/>
      <c r="M270" s="359"/>
      <c r="N270" s="250">
        <f t="shared" ref="N270:R270" si="603">+($F271*N271+$F280*N280+$F296*N296)</f>
        <v>0.83429654330854208</v>
      </c>
      <c r="O270" s="250">
        <f t="shared" si="603"/>
        <v>0.83429654330854208</v>
      </c>
      <c r="P270" s="250">
        <f t="shared" si="603"/>
        <v>0.83429654330854208</v>
      </c>
      <c r="Q270" s="250">
        <f t="shared" si="603"/>
        <v>0.83429654330854208</v>
      </c>
      <c r="R270" s="378">
        <f t="shared" si="603"/>
        <v>0.83429654330854208</v>
      </c>
      <c r="S270" s="407">
        <f t="shared" ref="S270" si="604">+($F271*S271+$F280*S280+$F296*S296)</f>
        <v>0.83429654330854208</v>
      </c>
      <c r="T270" s="250">
        <f t="shared" ref="T270" si="605">+($F271*T271+$F280*T280+$F296*T296)</f>
        <v>0.83429654330854208</v>
      </c>
      <c r="U270" s="250">
        <f t="shared" ref="U270" si="606">+($F271*U271+$F280*U280+$F296*U296)</f>
        <v>0.83429654330854208</v>
      </c>
      <c r="V270" s="250">
        <f t="shared" ref="V270" si="607">+($F271*V271+$F280*V280+$F296*V296)</f>
        <v>0.83429654330854208</v>
      </c>
      <c r="W270" s="250">
        <f t="shared" ref="W270" si="608">+($F271*W271+$F280*W280+$F296*W296)</f>
        <v>0.83429654330854208</v>
      </c>
      <c r="X270" s="250">
        <f t="shared" ref="X270" si="609">+($F271*X271+$F280*X280+$F296*X296)</f>
        <v>0.83429654330854208</v>
      </c>
      <c r="Y270" s="250">
        <f t="shared" ref="Y270" si="610">+($F271*Y271+$F280*Y280+$F296*Y296)</f>
        <v>0.83429654330854208</v>
      </c>
      <c r="Z270" s="250">
        <f t="shared" ref="Z270" si="611">+($F271*Z271+$F280*Z280+$F296*Z296)</f>
        <v>0.83429654330854208</v>
      </c>
      <c r="AA270" s="250">
        <f t="shared" ref="AA270" si="612">+($F271*AA271+$F280*AA280+$F296*AA296)</f>
        <v>0.83429654330854208</v>
      </c>
      <c r="AB270" s="250">
        <f t="shared" ref="AB270" si="613">+($F271*AB271+$F280*AB280+$F296*AB296)</f>
        <v>0.83429654330854208</v>
      </c>
      <c r="AC270" s="250">
        <f t="shared" ref="AC270" si="614">+($F271*AC271+$F280*AC280+$F296*AC296)</f>
        <v>0.83429654330854208</v>
      </c>
      <c r="AD270" s="408">
        <f t="shared" ref="AD270:AF270" si="615">+($F271*AD271+$F280*AD280+$F296*AD296)</f>
        <v>0.83429654330854208</v>
      </c>
      <c r="AE270" s="408">
        <f t="shared" si="615"/>
        <v>0.83429654330854208</v>
      </c>
      <c r="AF270" s="408">
        <f t="shared" si="615"/>
        <v>0.83429654330854208</v>
      </c>
      <c r="AG270" s="408">
        <f t="shared" ref="AG270" si="616">+($F271*AG271+$F280*AG280+$F296*AG296)</f>
        <v>0.83429654330854208</v>
      </c>
      <c r="AH270" s="408">
        <f t="shared" ref="AH270" si="617">+($F271*AH271+$F280*AH280+$F296*AH296)</f>
        <v>0.83429654330854208</v>
      </c>
      <c r="AI270" s="408">
        <f t="shared" ref="AI270" si="618">+($F271*AI271+$F280*AI280+$F296*AI296)</f>
        <v>0.83429654330854208</v>
      </c>
      <c r="AJ270" s="408">
        <f t="shared" ref="AJ270" si="619">+($F271*AJ271+$F280*AJ280+$F296*AJ296)</f>
        <v>0.83429654330854208</v>
      </c>
      <c r="AK270" s="408">
        <f t="shared" ref="AK270" si="620">+($F271*AK271+$F280*AK280+$F296*AK296)</f>
        <v>0.83429654330854208</v>
      </c>
      <c r="AL270" s="408">
        <f t="shared" ref="AL270" si="621">+($F271*AL271+$F280*AL280+$F296*AL296)</f>
        <v>0.83429654330854208</v>
      </c>
      <c r="AM270" s="408">
        <f t="shared" ref="AM270" si="622">+($F271*AM271+$F280*AM280+$F296*AM296)</f>
        <v>0.83429654330854208</v>
      </c>
      <c r="AN270" s="408">
        <f t="shared" ref="AN270" si="623">+($F271*AN271+$F280*AN280+$F296*AN296)</f>
        <v>0.83429654330854208</v>
      </c>
      <c r="AO270" s="408">
        <f t="shared" ref="AO270" si="624">+($F271*AO271+$F280*AO280+$F296*AO296)</f>
        <v>0.83429654330854208</v>
      </c>
      <c r="AP270" s="408">
        <f t="shared" ref="AP270" si="625">+($F271*AP271+$F280*AP280+$F296*AP296)</f>
        <v>0.83429654330854208</v>
      </c>
    </row>
    <row r="271" spans="1:42" s="140" customFormat="1" ht="13.5" hidden="1" customHeight="1" outlineLevel="2" thickBot="1">
      <c r="B271" s="300" t="s">
        <v>393</v>
      </c>
      <c r="C271" s="294"/>
      <c r="D271" s="294" t="s">
        <v>31</v>
      </c>
      <c r="E271" s="295"/>
      <c r="F271" s="296">
        <f>F719</f>
        <v>0.78107171599540315</v>
      </c>
      <c r="G271" s="296">
        <f>+F271*G270</f>
        <v>6.2485737279632256E-3</v>
      </c>
      <c r="H271" s="297"/>
      <c r="I271" s="297"/>
      <c r="J271" s="297"/>
      <c r="K271" s="297"/>
      <c r="L271" s="297"/>
      <c r="M271" s="297"/>
      <c r="N271" s="296">
        <f t="shared" ref="N271:R271" si="626">+$F272*N272+$F273*N273+$F274*N274+$F275*N275+$F276*N276+$F277*N277+$F278*N278+$F279*N279</f>
        <v>1.0000000000000002</v>
      </c>
      <c r="O271" s="296">
        <f t="shared" si="626"/>
        <v>1.0000000000000002</v>
      </c>
      <c r="P271" s="296">
        <f t="shared" si="626"/>
        <v>1.0000000000000002</v>
      </c>
      <c r="Q271" s="296">
        <f t="shared" si="626"/>
        <v>1.0000000000000002</v>
      </c>
      <c r="R271" s="376">
        <f t="shared" si="626"/>
        <v>1.0000000000000002</v>
      </c>
      <c r="S271" s="403">
        <f t="shared" ref="S271" si="627">+$F272*S272+$F273*S273+$F274*S274+$F275*S275+$F276*S276+$F277*S277+$F278*S278+$F279*S279</f>
        <v>1.0000000000000002</v>
      </c>
      <c r="T271" s="296">
        <f t="shared" ref="T271" si="628">+$F272*T272+$F273*T273+$F274*T274+$F275*T275+$F276*T276+$F277*T277+$F278*T278+$F279*T279</f>
        <v>1.0000000000000002</v>
      </c>
      <c r="U271" s="296">
        <f t="shared" ref="U271" si="629">+$F272*U272+$F273*U273+$F274*U274+$F275*U275+$F276*U276+$F277*U277+$F278*U278+$F279*U279</f>
        <v>1.0000000000000002</v>
      </c>
      <c r="V271" s="296">
        <f t="shared" ref="V271" si="630">+$F272*V272+$F273*V273+$F274*V274+$F275*V275+$F276*V276+$F277*V277+$F278*V278+$F279*V279</f>
        <v>1.0000000000000002</v>
      </c>
      <c r="W271" s="296">
        <f t="shared" ref="W271" si="631">+$F272*W272+$F273*W273+$F274*W274+$F275*W275+$F276*W276+$F277*W277+$F278*W278+$F279*W279</f>
        <v>1.0000000000000002</v>
      </c>
      <c r="X271" s="296">
        <f t="shared" ref="X271" si="632">+$F272*X272+$F273*X273+$F274*X274+$F275*X275+$F276*X276+$F277*X277+$F278*X278+$F279*X279</f>
        <v>1.0000000000000002</v>
      </c>
      <c r="Y271" s="296">
        <f t="shared" ref="Y271" si="633">+$F272*Y272+$F273*Y273+$F274*Y274+$F275*Y275+$F276*Y276+$F277*Y277+$F278*Y278+$F279*Y279</f>
        <v>1.0000000000000002</v>
      </c>
      <c r="Z271" s="296">
        <f t="shared" ref="Z271" si="634">+$F272*Z272+$F273*Z273+$F274*Z274+$F275*Z275+$F276*Z276+$F277*Z277+$F278*Z278+$F279*Z279</f>
        <v>1.0000000000000002</v>
      </c>
      <c r="AA271" s="296">
        <f t="shared" ref="AA271" si="635">+$F272*AA272+$F273*AA273+$F274*AA274+$F275*AA275+$F276*AA276+$F277*AA277+$F278*AA278+$F279*AA279</f>
        <v>1.0000000000000002</v>
      </c>
      <c r="AB271" s="296">
        <f t="shared" ref="AB271" si="636">+$F272*AB272+$F273*AB273+$F274*AB274+$F275*AB275+$F276*AB276+$F277*AB277+$F278*AB278+$F279*AB279</f>
        <v>1.0000000000000002</v>
      </c>
      <c r="AC271" s="296">
        <f t="shared" ref="AC271" si="637">+$F272*AC272+$F273*AC273+$F274*AC274+$F275*AC275+$F276*AC276+$F277*AC277+$F278*AC278+$F279*AC279</f>
        <v>1.0000000000000002</v>
      </c>
      <c r="AD271" s="404">
        <f t="shared" ref="AD271:AF271" si="638">+$F272*AD272+$F273*AD273+$F274*AD274+$F275*AD275+$F276*AD276+$F277*AD277+$F278*AD278+$F279*AD279</f>
        <v>1.0000000000000002</v>
      </c>
      <c r="AE271" s="404">
        <f t="shared" si="638"/>
        <v>1.0000000000000002</v>
      </c>
      <c r="AF271" s="404">
        <f t="shared" si="638"/>
        <v>1.0000000000000002</v>
      </c>
      <c r="AG271" s="404">
        <f t="shared" ref="AG271" si="639">+$F272*AG272+$F273*AG273+$F274*AG274+$F275*AG275+$F276*AG276+$F277*AG277+$F278*AG278+$F279*AG279</f>
        <v>1.0000000000000002</v>
      </c>
      <c r="AH271" s="404">
        <f t="shared" ref="AH271" si="640">+$F272*AH272+$F273*AH273+$F274*AH274+$F275*AH275+$F276*AH276+$F277*AH277+$F278*AH278+$F279*AH279</f>
        <v>1.0000000000000002</v>
      </c>
      <c r="AI271" s="404">
        <f t="shared" ref="AI271" si="641">+$F272*AI272+$F273*AI273+$F274*AI274+$F275*AI275+$F276*AI276+$F277*AI277+$F278*AI278+$F279*AI279</f>
        <v>1.0000000000000002</v>
      </c>
      <c r="AJ271" s="404">
        <f t="shared" ref="AJ271" si="642">+$F272*AJ272+$F273*AJ273+$F274*AJ274+$F275*AJ275+$F276*AJ276+$F277*AJ277+$F278*AJ278+$F279*AJ279</f>
        <v>1.0000000000000002</v>
      </c>
      <c r="AK271" s="404">
        <f t="shared" ref="AK271" si="643">+$F272*AK272+$F273*AK273+$F274*AK274+$F275*AK275+$F276*AK276+$F277*AK277+$F278*AK278+$F279*AK279</f>
        <v>1.0000000000000002</v>
      </c>
      <c r="AL271" s="404">
        <f t="shared" ref="AL271" si="644">+$F272*AL272+$F273*AL273+$F274*AL274+$F275*AL275+$F276*AL276+$F277*AL277+$F278*AL278+$F279*AL279</f>
        <v>1.0000000000000002</v>
      </c>
      <c r="AM271" s="404">
        <f t="shared" ref="AM271" si="645">+$F272*AM272+$F273*AM273+$F274*AM274+$F275*AM275+$F276*AM276+$F277*AM277+$F278*AM278+$F279*AM279</f>
        <v>1.0000000000000002</v>
      </c>
      <c r="AN271" s="404">
        <f t="shared" ref="AN271" si="646">+$F272*AN272+$F273*AN273+$F274*AN274+$F275*AN275+$F276*AN276+$F277*AN277+$F278*AN278+$F279*AN279</f>
        <v>1.0000000000000002</v>
      </c>
      <c r="AO271" s="404">
        <f t="shared" ref="AO271" si="647">+$F272*AO272+$F273*AO273+$F274*AO274+$F275*AO275+$F276*AO276+$F277*AO277+$F278*AO278+$F279*AO279</f>
        <v>1.0000000000000002</v>
      </c>
      <c r="AP271" s="404">
        <f t="shared" ref="AP271" si="648">+$F272*AP272+$F273*AP273+$F274*AP274+$F275*AP275+$F276*AP276+$F277*AP277+$F278*AP278+$F279*AP279</f>
        <v>1.0000000000000002</v>
      </c>
    </row>
    <row r="272" spans="1:42" s="140" customFormat="1" ht="13.5" hidden="1" customHeight="1" outlineLevel="3" thickBot="1">
      <c r="A272" s="216"/>
      <c r="B272" s="291" t="s">
        <v>460</v>
      </c>
      <c r="C272" s="292" t="s">
        <v>32</v>
      </c>
      <c r="D272" s="234" t="s">
        <v>33</v>
      </c>
      <c r="E272" s="240"/>
      <c r="F272" s="223">
        <f>F720</f>
        <v>0.19239834958539684</v>
      </c>
      <c r="G272" s="293">
        <f>+F272*G271</f>
        <v>1.2022152725227951E-3</v>
      </c>
      <c r="H272" s="298"/>
      <c r="I272" s="298"/>
      <c r="J272" s="298"/>
      <c r="K272" s="298"/>
      <c r="L272" s="298"/>
      <c r="M272" s="298"/>
      <c r="N272" s="270">
        <v>1</v>
      </c>
      <c r="O272" s="270">
        <v>1</v>
      </c>
      <c r="P272" s="270">
        <v>1</v>
      </c>
      <c r="Q272" s="270">
        <v>1</v>
      </c>
      <c r="R272" s="370">
        <v>1</v>
      </c>
      <c r="S272" s="391">
        <v>1</v>
      </c>
      <c r="T272" s="270">
        <v>1</v>
      </c>
      <c r="U272" s="270">
        <v>1</v>
      </c>
      <c r="V272" s="270">
        <v>1</v>
      </c>
      <c r="W272" s="270">
        <v>1</v>
      </c>
      <c r="X272" s="270">
        <v>1</v>
      </c>
      <c r="Y272" s="270">
        <v>1</v>
      </c>
      <c r="Z272" s="270">
        <v>1</v>
      </c>
      <c r="AA272" s="270">
        <v>1</v>
      </c>
      <c r="AB272" s="270">
        <v>1</v>
      </c>
      <c r="AC272" s="270">
        <v>1</v>
      </c>
      <c r="AD272" s="392">
        <v>1</v>
      </c>
      <c r="AE272" s="392">
        <v>1</v>
      </c>
      <c r="AF272" s="392">
        <v>1</v>
      </c>
      <c r="AG272" s="392">
        <v>1</v>
      </c>
      <c r="AH272" s="392">
        <v>1</v>
      </c>
      <c r="AI272" s="392">
        <v>1</v>
      </c>
      <c r="AJ272" s="392">
        <v>1</v>
      </c>
      <c r="AK272" s="392">
        <v>1</v>
      </c>
      <c r="AL272" s="392">
        <v>1</v>
      </c>
      <c r="AM272" s="392">
        <v>1</v>
      </c>
      <c r="AN272" s="392">
        <v>1</v>
      </c>
      <c r="AO272" s="392">
        <v>1</v>
      </c>
      <c r="AP272" s="392">
        <v>1</v>
      </c>
    </row>
    <row r="273" spans="1:42" s="140" customFormat="1" ht="13.5" hidden="1" customHeight="1" outlineLevel="3" thickBot="1">
      <c r="A273" s="216"/>
      <c r="B273" s="291" t="s">
        <v>461</v>
      </c>
      <c r="C273" s="292" t="s">
        <v>35</v>
      </c>
      <c r="D273" s="234" t="s">
        <v>33</v>
      </c>
      <c r="E273" s="240"/>
      <c r="F273" s="223">
        <f>F741</f>
        <v>0.23125330456717236</v>
      </c>
      <c r="G273" s="293">
        <f>+F273*G271</f>
        <v>1.4450033234231115E-3</v>
      </c>
      <c r="H273" s="298"/>
      <c r="I273" s="298"/>
      <c r="J273" s="298"/>
      <c r="K273" s="298"/>
      <c r="L273" s="298"/>
      <c r="M273" s="298"/>
      <c r="N273" s="270">
        <v>1</v>
      </c>
      <c r="O273" s="270">
        <v>1</v>
      </c>
      <c r="P273" s="270">
        <v>1</v>
      </c>
      <c r="Q273" s="270">
        <v>1</v>
      </c>
      <c r="R273" s="370">
        <v>1</v>
      </c>
      <c r="S273" s="391">
        <v>1</v>
      </c>
      <c r="T273" s="270">
        <v>1</v>
      </c>
      <c r="U273" s="270">
        <v>1</v>
      </c>
      <c r="V273" s="270">
        <v>1</v>
      </c>
      <c r="W273" s="270">
        <v>1</v>
      </c>
      <c r="X273" s="270">
        <v>1</v>
      </c>
      <c r="Y273" s="270">
        <v>1</v>
      </c>
      <c r="Z273" s="270">
        <v>1</v>
      </c>
      <c r="AA273" s="270">
        <v>1</v>
      </c>
      <c r="AB273" s="270">
        <v>1</v>
      </c>
      <c r="AC273" s="270">
        <v>1</v>
      </c>
      <c r="AD273" s="392">
        <v>1</v>
      </c>
      <c r="AE273" s="392">
        <v>1</v>
      </c>
      <c r="AF273" s="392">
        <v>1</v>
      </c>
      <c r="AG273" s="392">
        <v>1</v>
      </c>
      <c r="AH273" s="392">
        <v>1</v>
      </c>
      <c r="AI273" s="392">
        <v>1</v>
      </c>
      <c r="AJ273" s="392">
        <v>1</v>
      </c>
      <c r="AK273" s="392">
        <v>1</v>
      </c>
      <c r="AL273" s="392">
        <v>1</v>
      </c>
      <c r="AM273" s="392">
        <v>1</v>
      </c>
      <c r="AN273" s="392">
        <v>1</v>
      </c>
      <c r="AO273" s="392">
        <v>1</v>
      </c>
      <c r="AP273" s="392">
        <v>1</v>
      </c>
    </row>
    <row r="274" spans="1:42" s="140" customFormat="1" ht="13.5" hidden="1" customHeight="1" outlineLevel="3" thickBot="1">
      <c r="A274" s="216"/>
      <c r="B274" s="291" t="s">
        <v>462</v>
      </c>
      <c r="C274" s="292" t="s">
        <v>37</v>
      </c>
      <c r="D274" s="234" t="s">
        <v>33</v>
      </c>
      <c r="E274" s="240"/>
      <c r="F274" s="223">
        <f>F768</f>
        <v>9.0647549000068411E-2</v>
      </c>
      <c r="G274" s="293">
        <f>+F274*G271</f>
        <v>5.6641789318608666E-4</v>
      </c>
      <c r="H274" s="298"/>
      <c r="I274" s="298"/>
      <c r="J274" s="298"/>
      <c r="K274" s="298"/>
      <c r="L274" s="298"/>
      <c r="M274" s="298"/>
      <c r="N274" s="270">
        <v>1</v>
      </c>
      <c r="O274" s="270">
        <v>1</v>
      </c>
      <c r="P274" s="270">
        <v>1</v>
      </c>
      <c r="Q274" s="270">
        <v>1</v>
      </c>
      <c r="R274" s="370">
        <v>1</v>
      </c>
      <c r="S274" s="391">
        <v>1</v>
      </c>
      <c r="T274" s="270">
        <v>1</v>
      </c>
      <c r="U274" s="270">
        <v>1</v>
      </c>
      <c r="V274" s="270">
        <v>1</v>
      </c>
      <c r="W274" s="270">
        <v>1</v>
      </c>
      <c r="X274" s="270">
        <v>1</v>
      </c>
      <c r="Y274" s="270">
        <v>1</v>
      </c>
      <c r="Z274" s="270">
        <v>1</v>
      </c>
      <c r="AA274" s="270">
        <v>1</v>
      </c>
      <c r="AB274" s="270">
        <v>1</v>
      </c>
      <c r="AC274" s="270">
        <v>1</v>
      </c>
      <c r="AD274" s="392">
        <v>1</v>
      </c>
      <c r="AE274" s="392">
        <v>1</v>
      </c>
      <c r="AF274" s="392">
        <v>1</v>
      </c>
      <c r="AG274" s="392">
        <v>1</v>
      </c>
      <c r="AH274" s="392">
        <v>1</v>
      </c>
      <c r="AI274" s="392">
        <v>1</v>
      </c>
      <c r="AJ274" s="392">
        <v>1</v>
      </c>
      <c r="AK274" s="392">
        <v>1</v>
      </c>
      <c r="AL274" s="392">
        <v>1</v>
      </c>
      <c r="AM274" s="392">
        <v>1</v>
      </c>
      <c r="AN274" s="392">
        <v>1</v>
      </c>
      <c r="AO274" s="392">
        <v>1</v>
      </c>
      <c r="AP274" s="392">
        <v>1</v>
      </c>
    </row>
    <row r="275" spans="1:42" s="140" customFormat="1" ht="13.5" hidden="1" customHeight="1" outlineLevel="3" thickBot="1">
      <c r="A275" s="216"/>
      <c r="B275" s="291" t="s">
        <v>463</v>
      </c>
      <c r="C275" s="292" t="s">
        <v>39</v>
      </c>
      <c r="D275" s="234" t="s">
        <v>33</v>
      </c>
      <c r="E275" s="240"/>
      <c r="F275" s="223">
        <f>F780</f>
        <v>9.6849312518274097E-2</v>
      </c>
      <c r="G275" s="293">
        <f>+F275*G271</f>
        <v>6.0517006977298744E-4</v>
      </c>
      <c r="H275" s="298"/>
      <c r="I275" s="298"/>
      <c r="J275" s="298"/>
      <c r="K275" s="298"/>
      <c r="L275" s="298"/>
      <c r="M275" s="298"/>
      <c r="N275" s="270">
        <v>1</v>
      </c>
      <c r="O275" s="270">
        <v>1</v>
      </c>
      <c r="P275" s="270">
        <v>1</v>
      </c>
      <c r="Q275" s="270">
        <v>1</v>
      </c>
      <c r="R275" s="370">
        <v>1</v>
      </c>
      <c r="S275" s="391">
        <v>1</v>
      </c>
      <c r="T275" s="270">
        <v>1</v>
      </c>
      <c r="U275" s="270">
        <v>1</v>
      </c>
      <c r="V275" s="270">
        <v>1</v>
      </c>
      <c r="W275" s="270">
        <v>1</v>
      </c>
      <c r="X275" s="270">
        <v>1</v>
      </c>
      <c r="Y275" s="270">
        <v>1</v>
      </c>
      <c r="Z275" s="270">
        <v>1</v>
      </c>
      <c r="AA275" s="270">
        <v>1</v>
      </c>
      <c r="AB275" s="270">
        <v>1</v>
      </c>
      <c r="AC275" s="270">
        <v>1</v>
      </c>
      <c r="AD275" s="392">
        <v>1</v>
      </c>
      <c r="AE275" s="392">
        <v>1</v>
      </c>
      <c r="AF275" s="392">
        <v>1</v>
      </c>
      <c r="AG275" s="392">
        <v>1</v>
      </c>
      <c r="AH275" s="392">
        <v>1</v>
      </c>
      <c r="AI275" s="392">
        <v>1</v>
      </c>
      <c r="AJ275" s="392">
        <v>1</v>
      </c>
      <c r="AK275" s="392">
        <v>1</v>
      </c>
      <c r="AL275" s="392">
        <v>1</v>
      </c>
      <c r="AM275" s="392">
        <v>1</v>
      </c>
      <c r="AN275" s="392">
        <v>1</v>
      </c>
      <c r="AO275" s="392">
        <v>1</v>
      </c>
      <c r="AP275" s="392">
        <v>1</v>
      </c>
    </row>
    <row r="276" spans="1:42" s="140" customFormat="1" ht="13.5" hidden="1" customHeight="1" outlineLevel="3" thickBot="1">
      <c r="A276" s="216"/>
      <c r="B276" s="291" t="s">
        <v>464</v>
      </c>
      <c r="C276" s="292" t="s">
        <v>41</v>
      </c>
      <c r="D276" s="234" t="s">
        <v>33</v>
      </c>
      <c r="E276" s="240"/>
      <c r="F276" s="223">
        <f>F793</f>
        <v>0.11049772843953055</v>
      </c>
      <c r="G276" s="293">
        <f>+F276*G271</f>
        <v>6.9045320292686558E-4</v>
      </c>
      <c r="H276" s="298"/>
      <c r="I276" s="298"/>
      <c r="J276" s="298"/>
      <c r="K276" s="298"/>
      <c r="L276" s="298"/>
      <c r="M276" s="298"/>
      <c r="N276" s="270">
        <v>1</v>
      </c>
      <c r="O276" s="270">
        <v>1</v>
      </c>
      <c r="P276" s="270">
        <v>1</v>
      </c>
      <c r="Q276" s="270">
        <v>1</v>
      </c>
      <c r="R276" s="370">
        <v>1</v>
      </c>
      <c r="S276" s="391">
        <v>1</v>
      </c>
      <c r="T276" s="270">
        <v>1</v>
      </c>
      <c r="U276" s="270">
        <v>1</v>
      </c>
      <c r="V276" s="270">
        <v>1</v>
      </c>
      <c r="W276" s="270">
        <v>1</v>
      </c>
      <c r="X276" s="270">
        <v>1</v>
      </c>
      <c r="Y276" s="270">
        <v>1</v>
      </c>
      <c r="Z276" s="270">
        <v>1</v>
      </c>
      <c r="AA276" s="270">
        <v>1</v>
      </c>
      <c r="AB276" s="270">
        <v>1</v>
      </c>
      <c r="AC276" s="270">
        <v>1</v>
      </c>
      <c r="AD276" s="392">
        <v>1</v>
      </c>
      <c r="AE276" s="392">
        <v>1</v>
      </c>
      <c r="AF276" s="392">
        <v>1</v>
      </c>
      <c r="AG276" s="392">
        <v>1</v>
      </c>
      <c r="AH276" s="392">
        <v>1</v>
      </c>
      <c r="AI276" s="392">
        <v>1</v>
      </c>
      <c r="AJ276" s="392">
        <v>1</v>
      </c>
      <c r="AK276" s="392">
        <v>1</v>
      </c>
      <c r="AL276" s="392">
        <v>1</v>
      </c>
      <c r="AM276" s="392">
        <v>1</v>
      </c>
      <c r="AN276" s="392">
        <v>1</v>
      </c>
      <c r="AO276" s="392">
        <v>1</v>
      </c>
      <c r="AP276" s="392">
        <v>1</v>
      </c>
    </row>
    <row r="277" spans="1:42" s="140" customFormat="1" ht="13.5" hidden="1" customHeight="1" outlineLevel="3" thickBot="1">
      <c r="A277" s="216"/>
      <c r="B277" s="291" t="s">
        <v>465</v>
      </c>
      <c r="C277" s="292" t="s">
        <v>43</v>
      </c>
      <c r="D277" s="234" t="s">
        <v>33</v>
      </c>
      <c r="E277" s="240"/>
      <c r="F277" s="223">
        <f>F808</f>
        <v>0.13388996515868054</v>
      </c>
      <c r="G277" s="293">
        <f>+F277*G271</f>
        <v>8.366213187284429E-4</v>
      </c>
      <c r="H277" s="298"/>
      <c r="I277" s="298"/>
      <c r="J277" s="298"/>
      <c r="K277" s="298"/>
      <c r="L277" s="298"/>
      <c r="M277" s="298"/>
      <c r="N277" s="270">
        <v>1</v>
      </c>
      <c r="O277" s="270">
        <v>1</v>
      </c>
      <c r="P277" s="270">
        <v>1</v>
      </c>
      <c r="Q277" s="270">
        <v>1</v>
      </c>
      <c r="R277" s="370">
        <v>1</v>
      </c>
      <c r="S277" s="391">
        <v>1</v>
      </c>
      <c r="T277" s="270">
        <v>1</v>
      </c>
      <c r="U277" s="270">
        <v>1</v>
      </c>
      <c r="V277" s="270">
        <v>1</v>
      </c>
      <c r="W277" s="270">
        <v>1</v>
      </c>
      <c r="X277" s="270">
        <v>1</v>
      </c>
      <c r="Y277" s="270">
        <v>1</v>
      </c>
      <c r="Z277" s="270">
        <v>1</v>
      </c>
      <c r="AA277" s="270">
        <v>1</v>
      </c>
      <c r="AB277" s="270">
        <v>1</v>
      </c>
      <c r="AC277" s="270">
        <v>1</v>
      </c>
      <c r="AD277" s="392">
        <v>1</v>
      </c>
      <c r="AE277" s="392">
        <v>1</v>
      </c>
      <c r="AF277" s="392">
        <v>1</v>
      </c>
      <c r="AG277" s="392">
        <v>1</v>
      </c>
      <c r="AH277" s="392">
        <v>1</v>
      </c>
      <c r="AI277" s="392">
        <v>1</v>
      </c>
      <c r="AJ277" s="392">
        <v>1</v>
      </c>
      <c r="AK277" s="392">
        <v>1</v>
      </c>
      <c r="AL277" s="392">
        <v>1</v>
      </c>
      <c r="AM277" s="392">
        <v>1</v>
      </c>
      <c r="AN277" s="392">
        <v>1</v>
      </c>
      <c r="AO277" s="392">
        <v>1</v>
      </c>
      <c r="AP277" s="392">
        <v>1</v>
      </c>
    </row>
    <row r="278" spans="1:42" s="140" customFormat="1" ht="13.5" hidden="1" customHeight="1" outlineLevel="3" thickBot="1">
      <c r="A278" s="216"/>
      <c r="B278" s="291" t="s">
        <v>466</v>
      </c>
      <c r="C278" s="292" t="s">
        <v>45</v>
      </c>
      <c r="D278" s="234" t="s">
        <v>33</v>
      </c>
      <c r="E278" s="240"/>
      <c r="F278" s="223">
        <f>F826</f>
        <v>0.10189354851165684</v>
      </c>
      <c r="G278" s="293">
        <f>+F278*G271</f>
        <v>6.3668935027888539E-4</v>
      </c>
      <c r="H278" s="298"/>
      <c r="I278" s="298"/>
      <c r="J278" s="298"/>
      <c r="K278" s="298"/>
      <c r="L278" s="298"/>
      <c r="M278" s="298"/>
      <c r="N278" s="270">
        <v>1</v>
      </c>
      <c r="O278" s="270">
        <v>1</v>
      </c>
      <c r="P278" s="270">
        <v>1</v>
      </c>
      <c r="Q278" s="270">
        <v>1</v>
      </c>
      <c r="R278" s="370">
        <v>1</v>
      </c>
      <c r="S278" s="391">
        <v>1</v>
      </c>
      <c r="T278" s="270">
        <v>1</v>
      </c>
      <c r="U278" s="270">
        <v>1</v>
      </c>
      <c r="V278" s="270">
        <v>1</v>
      </c>
      <c r="W278" s="270">
        <v>1</v>
      </c>
      <c r="X278" s="270">
        <v>1</v>
      </c>
      <c r="Y278" s="270">
        <v>1</v>
      </c>
      <c r="Z278" s="270">
        <v>1</v>
      </c>
      <c r="AA278" s="270">
        <v>1</v>
      </c>
      <c r="AB278" s="270">
        <v>1</v>
      </c>
      <c r="AC278" s="270">
        <v>1</v>
      </c>
      <c r="AD278" s="392">
        <v>1</v>
      </c>
      <c r="AE278" s="392">
        <v>1</v>
      </c>
      <c r="AF278" s="392">
        <v>1</v>
      </c>
      <c r="AG278" s="392">
        <v>1</v>
      </c>
      <c r="AH278" s="392">
        <v>1</v>
      </c>
      <c r="AI278" s="392">
        <v>1</v>
      </c>
      <c r="AJ278" s="392">
        <v>1</v>
      </c>
      <c r="AK278" s="392">
        <v>1</v>
      </c>
      <c r="AL278" s="392">
        <v>1</v>
      </c>
      <c r="AM278" s="392">
        <v>1</v>
      </c>
      <c r="AN278" s="392">
        <v>1</v>
      </c>
      <c r="AO278" s="392">
        <v>1</v>
      </c>
      <c r="AP278" s="392">
        <v>1</v>
      </c>
    </row>
    <row r="279" spans="1:42" s="140" customFormat="1" ht="13.5" hidden="1" customHeight="1" outlineLevel="3" thickBot="1">
      <c r="A279" s="216"/>
      <c r="B279" s="291" t="s">
        <v>467</v>
      </c>
      <c r="C279" s="292" t="s">
        <v>170</v>
      </c>
      <c r="D279" s="234" t="s">
        <v>171</v>
      </c>
      <c r="E279" s="240"/>
      <c r="F279" s="223">
        <f t="shared" ref="F279:F306" si="649">F841</f>
        <v>4.25702422192204E-2</v>
      </c>
      <c r="G279" s="293">
        <f>+F279*G271</f>
        <v>2.660032971240515E-4</v>
      </c>
      <c r="H279" s="298"/>
      <c r="I279" s="298"/>
      <c r="J279" s="298"/>
      <c r="K279" s="298"/>
      <c r="L279" s="298"/>
      <c r="M279" s="298"/>
      <c r="N279" s="270">
        <v>1</v>
      </c>
      <c r="O279" s="270">
        <v>1</v>
      </c>
      <c r="P279" s="270">
        <v>1</v>
      </c>
      <c r="Q279" s="270">
        <v>1</v>
      </c>
      <c r="R279" s="370">
        <v>1</v>
      </c>
      <c r="S279" s="391">
        <v>1</v>
      </c>
      <c r="T279" s="270">
        <v>1</v>
      </c>
      <c r="U279" s="270">
        <v>1</v>
      </c>
      <c r="V279" s="270">
        <v>1</v>
      </c>
      <c r="W279" s="270">
        <v>1</v>
      </c>
      <c r="X279" s="270">
        <v>1</v>
      </c>
      <c r="Y279" s="270">
        <v>1</v>
      </c>
      <c r="Z279" s="270">
        <v>1</v>
      </c>
      <c r="AA279" s="270">
        <v>1</v>
      </c>
      <c r="AB279" s="270">
        <v>1</v>
      </c>
      <c r="AC279" s="270">
        <v>1</v>
      </c>
      <c r="AD279" s="392">
        <v>1</v>
      </c>
      <c r="AE279" s="392">
        <v>1</v>
      </c>
      <c r="AF279" s="392">
        <v>1</v>
      </c>
      <c r="AG279" s="392">
        <v>1</v>
      </c>
      <c r="AH279" s="392">
        <v>1</v>
      </c>
      <c r="AI279" s="392">
        <v>1</v>
      </c>
      <c r="AJ279" s="392">
        <v>1</v>
      </c>
      <c r="AK279" s="392">
        <v>1</v>
      </c>
      <c r="AL279" s="392">
        <v>1</v>
      </c>
      <c r="AM279" s="392">
        <v>1</v>
      </c>
      <c r="AN279" s="392">
        <v>1</v>
      </c>
      <c r="AO279" s="392">
        <v>1</v>
      </c>
      <c r="AP279" s="392">
        <v>1</v>
      </c>
    </row>
    <row r="280" spans="1:42" s="140" customFormat="1" ht="13.5" hidden="1" customHeight="1" outlineLevel="2" thickBot="1">
      <c r="B280" s="300" t="s">
        <v>394</v>
      </c>
      <c r="C280" s="294" t="s">
        <v>392</v>
      </c>
      <c r="D280" s="294" t="s">
        <v>47</v>
      </c>
      <c r="E280" s="295"/>
      <c r="F280" s="296">
        <f t="shared" si="649"/>
        <v>3.9032542437386124E-2</v>
      </c>
      <c r="G280" s="296">
        <f>+F280*G270</f>
        <v>3.1226033949908902E-4</v>
      </c>
      <c r="H280" s="297"/>
      <c r="I280" s="297"/>
      <c r="J280" s="297"/>
      <c r="K280" s="297"/>
      <c r="L280" s="297"/>
      <c r="M280" s="297"/>
      <c r="N280" s="296">
        <f t="shared" ref="N280:R280" si="650">+SUMPRODUCT($F281:$F295,N281:N295)</f>
        <v>0.4383826661484056</v>
      </c>
      <c r="O280" s="296">
        <f t="shared" si="650"/>
        <v>0.4383826661484056</v>
      </c>
      <c r="P280" s="296">
        <f t="shared" si="650"/>
        <v>0.4383826661484056</v>
      </c>
      <c r="Q280" s="296">
        <f t="shared" si="650"/>
        <v>0.4383826661484056</v>
      </c>
      <c r="R280" s="376">
        <f t="shared" si="650"/>
        <v>0.4383826661484056</v>
      </c>
      <c r="S280" s="403">
        <f t="shared" ref="S280" si="651">+SUMPRODUCT($F281:$F295,S281:S295)</f>
        <v>0.4383826661484056</v>
      </c>
      <c r="T280" s="296">
        <f t="shared" ref="T280" si="652">+SUMPRODUCT($F281:$F295,T281:T295)</f>
        <v>0.4383826661484056</v>
      </c>
      <c r="U280" s="296">
        <f t="shared" ref="U280" si="653">+SUMPRODUCT($F281:$F295,U281:U295)</f>
        <v>0.4383826661484056</v>
      </c>
      <c r="V280" s="296">
        <f t="shared" ref="V280" si="654">+SUMPRODUCT($F281:$F295,V281:V295)</f>
        <v>0.4383826661484056</v>
      </c>
      <c r="W280" s="296">
        <f t="shared" ref="W280" si="655">+SUMPRODUCT($F281:$F295,W281:W295)</f>
        <v>0.4383826661484056</v>
      </c>
      <c r="X280" s="296">
        <f t="shared" ref="X280" si="656">+SUMPRODUCT($F281:$F295,X281:X295)</f>
        <v>0.4383826661484056</v>
      </c>
      <c r="Y280" s="296">
        <f t="shared" ref="Y280" si="657">+SUMPRODUCT($F281:$F295,Y281:Y295)</f>
        <v>0.4383826661484056</v>
      </c>
      <c r="Z280" s="296">
        <f t="shared" ref="Z280" si="658">+SUMPRODUCT($F281:$F295,Z281:Z295)</f>
        <v>0.4383826661484056</v>
      </c>
      <c r="AA280" s="296">
        <f t="shared" ref="AA280" si="659">+SUMPRODUCT($F281:$F295,AA281:AA295)</f>
        <v>0.4383826661484056</v>
      </c>
      <c r="AB280" s="296">
        <f t="shared" ref="AB280" si="660">+SUMPRODUCT($F281:$F295,AB281:AB295)</f>
        <v>0.4383826661484056</v>
      </c>
      <c r="AC280" s="296">
        <f t="shared" ref="AC280" si="661">+SUMPRODUCT($F281:$F295,AC281:AC295)</f>
        <v>0.4383826661484056</v>
      </c>
      <c r="AD280" s="404">
        <f t="shared" ref="AD280:AF280" si="662">+SUMPRODUCT($F281:$F295,AD281:AD295)</f>
        <v>0.4383826661484056</v>
      </c>
      <c r="AE280" s="404">
        <f t="shared" si="662"/>
        <v>0.4383826661484056</v>
      </c>
      <c r="AF280" s="404">
        <f t="shared" si="662"/>
        <v>0.4383826661484056</v>
      </c>
      <c r="AG280" s="404">
        <f t="shared" ref="AG280" si="663">+SUMPRODUCT($F281:$F295,AG281:AG295)</f>
        <v>0.4383826661484056</v>
      </c>
      <c r="AH280" s="404">
        <f t="shared" ref="AH280" si="664">+SUMPRODUCT($F281:$F295,AH281:AH295)</f>
        <v>0.4383826661484056</v>
      </c>
      <c r="AI280" s="404">
        <f t="shared" ref="AI280" si="665">+SUMPRODUCT($F281:$F295,AI281:AI295)</f>
        <v>0.4383826661484056</v>
      </c>
      <c r="AJ280" s="404">
        <f t="shared" ref="AJ280" si="666">+SUMPRODUCT($F281:$F295,AJ281:AJ295)</f>
        <v>0.4383826661484056</v>
      </c>
      <c r="AK280" s="404">
        <f t="shared" ref="AK280" si="667">+SUMPRODUCT($F281:$F295,AK281:AK295)</f>
        <v>0.4383826661484056</v>
      </c>
      <c r="AL280" s="404">
        <f t="shared" ref="AL280" si="668">+SUMPRODUCT($F281:$F295,AL281:AL295)</f>
        <v>0.4383826661484056</v>
      </c>
      <c r="AM280" s="404">
        <f t="shared" ref="AM280" si="669">+SUMPRODUCT($F281:$F295,AM281:AM295)</f>
        <v>0.4383826661484056</v>
      </c>
      <c r="AN280" s="404">
        <f t="shared" ref="AN280" si="670">+SUMPRODUCT($F281:$F295,AN281:AN295)</f>
        <v>0.4383826661484056</v>
      </c>
      <c r="AO280" s="404">
        <f t="shared" ref="AO280" si="671">+SUMPRODUCT($F281:$F295,AO281:AO295)</f>
        <v>0.4383826661484056</v>
      </c>
      <c r="AP280" s="404">
        <f t="shared" ref="AP280" si="672">+SUMPRODUCT($F281:$F295,AP281:AP295)</f>
        <v>0.4383826661484056</v>
      </c>
    </row>
    <row r="281" spans="1:42" s="140" customFormat="1" ht="13.5" hidden="1" customHeight="1" outlineLevel="3" thickBot="1">
      <c r="A281" s="216"/>
      <c r="B281" s="255" t="s">
        <v>468</v>
      </c>
      <c r="C281" s="245" t="s">
        <v>49</v>
      </c>
      <c r="D281" s="227" t="s">
        <v>50</v>
      </c>
      <c r="E281" s="241"/>
      <c r="F281" s="228">
        <f t="shared" si="649"/>
        <v>9.2877610796635368E-2</v>
      </c>
      <c r="G281" s="269">
        <f>+F281*G280</f>
        <v>2.9001994279221617E-5</v>
      </c>
      <c r="H281" s="299"/>
      <c r="I281" s="299"/>
      <c r="J281" s="299"/>
      <c r="K281" s="299"/>
      <c r="L281" s="299"/>
      <c r="M281" s="299"/>
      <c r="N281" s="272">
        <v>1</v>
      </c>
      <c r="O281" s="272">
        <v>1</v>
      </c>
      <c r="P281" s="272">
        <v>1</v>
      </c>
      <c r="Q281" s="272">
        <v>1</v>
      </c>
      <c r="R281" s="372">
        <v>1</v>
      </c>
      <c r="S281" s="395">
        <v>1</v>
      </c>
      <c r="T281" s="272">
        <v>1</v>
      </c>
      <c r="U281" s="272">
        <v>1</v>
      </c>
      <c r="V281" s="272">
        <v>1</v>
      </c>
      <c r="W281" s="272">
        <v>1</v>
      </c>
      <c r="X281" s="272">
        <v>1</v>
      </c>
      <c r="Y281" s="272">
        <v>1</v>
      </c>
      <c r="Z281" s="272">
        <v>1</v>
      </c>
      <c r="AA281" s="272">
        <v>1</v>
      </c>
      <c r="AB281" s="272">
        <v>1</v>
      </c>
      <c r="AC281" s="272">
        <v>1</v>
      </c>
      <c r="AD281" s="396">
        <v>1</v>
      </c>
      <c r="AE281" s="396">
        <v>1</v>
      </c>
      <c r="AF281" s="396">
        <v>1</v>
      </c>
      <c r="AG281" s="396">
        <v>1</v>
      </c>
      <c r="AH281" s="396">
        <v>1</v>
      </c>
      <c r="AI281" s="396">
        <v>1</v>
      </c>
      <c r="AJ281" s="396">
        <v>1</v>
      </c>
      <c r="AK281" s="396">
        <v>1</v>
      </c>
      <c r="AL281" s="396">
        <v>1</v>
      </c>
      <c r="AM281" s="396">
        <v>1</v>
      </c>
      <c r="AN281" s="396">
        <v>1</v>
      </c>
      <c r="AO281" s="396">
        <v>1</v>
      </c>
      <c r="AP281" s="396">
        <v>1</v>
      </c>
    </row>
    <row r="282" spans="1:42" s="140" customFormat="1" ht="13.5" hidden="1" customHeight="1" outlineLevel="3" thickBot="1">
      <c r="A282" s="216"/>
      <c r="B282" s="255" t="s">
        <v>469</v>
      </c>
      <c r="C282" s="245" t="s">
        <v>52</v>
      </c>
      <c r="D282" s="227" t="s">
        <v>53</v>
      </c>
      <c r="E282" s="241"/>
      <c r="F282" s="228">
        <f t="shared" si="649"/>
        <v>5.8105219309829384E-2</v>
      </c>
      <c r="G282" s="269">
        <f>+F282*G280</f>
        <v>1.8143955508356345E-5</v>
      </c>
      <c r="H282" s="299"/>
      <c r="I282" s="299"/>
      <c r="J282" s="299"/>
      <c r="K282" s="299"/>
      <c r="L282" s="299"/>
      <c r="M282" s="299"/>
      <c r="N282" s="272">
        <v>1</v>
      </c>
      <c r="O282" s="272">
        <v>1</v>
      </c>
      <c r="P282" s="272">
        <v>1</v>
      </c>
      <c r="Q282" s="272">
        <v>1</v>
      </c>
      <c r="R282" s="372">
        <v>1</v>
      </c>
      <c r="S282" s="395">
        <v>1</v>
      </c>
      <c r="T282" s="272">
        <v>1</v>
      </c>
      <c r="U282" s="272">
        <v>1</v>
      </c>
      <c r="V282" s="272">
        <v>1</v>
      </c>
      <c r="W282" s="272">
        <v>1</v>
      </c>
      <c r="X282" s="272">
        <v>1</v>
      </c>
      <c r="Y282" s="272">
        <v>1</v>
      </c>
      <c r="Z282" s="272">
        <v>1</v>
      </c>
      <c r="AA282" s="272">
        <v>1</v>
      </c>
      <c r="AB282" s="272">
        <v>1</v>
      </c>
      <c r="AC282" s="272">
        <v>1</v>
      </c>
      <c r="AD282" s="396">
        <v>1</v>
      </c>
      <c r="AE282" s="396">
        <v>1</v>
      </c>
      <c r="AF282" s="396">
        <v>1</v>
      </c>
      <c r="AG282" s="396">
        <v>1</v>
      </c>
      <c r="AH282" s="396">
        <v>1</v>
      </c>
      <c r="AI282" s="396">
        <v>1</v>
      </c>
      <c r="AJ282" s="396">
        <v>1</v>
      </c>
      <c r="AK282" s="396">
        <v>1</v>
      </c>
      <c r="AL282" s="396">
        <v>1</v>
      </c>
      <c r="AM282" s="396">
        <v>1</v>
      </c>
      <c r="AN282" s="396">
        <v>1</v>
      </c>
      <c r="AO282" s="396">
        <v>1</v>
      </c>
      <c r="AP282" s="396">
        <v>1</v>
      </c>
    </row>
    <row r="283" spans="1:42" s="140" customFormat="1" ht="13.5" hidden="1" customHeight="1" outlineLevel="3" thickBot="1">
      <c r="A283" s="216"/>
      <c r="B283" s="255" t="s">
        <v>470</v>
      </c>
      <c r="C283" s="245" t="s">
        <v>55</v>
      </c>
      <c r="D283" s="227" t="s">
        <v>56</v>
      </c>
      <c r="E283" s="241"/>
      <c r="F283" s="228">
        <f t="shared" si="649"/>
        <v>2.7796911320762424E-2</v>
      </c>
      <c r="G283" s="269">
        <f>+F283*G280</f>
        <v>8.6798729660473458E-6</v>
      </c>
      <c r="H283" s="299"/>
      <c r="I283" s="299"/>
      <c r="J283" s="299"/>
      <c r="K283" s="299"/>
      <c r="L283" s="299"/>
      <c r="M283" s="299"/>
      <c r="N283" s="272">
        <v>1</v>
      </c>
      <c r="O283" s="272">
        <v>1</v>
      </c>
      <c r="P283" s="272">
        <v>1</v>
      </c>
      <c r="Q283" s="272">
        <v>1</v>
      </c>
      <c r="R283" s="372">
        <v>1</v>
      </c>
      <c r="S283" s="395">
        <v>1</v>
      </c>
      <c r="T283" s="272">
        <v>1</v>
      </c>
      <c r="U283" s="272">
        <v>1</v>
      </c>
      <c r="V283" s="272">
        <v>1</v>
      </c>
      <c r="W283" s="272">
        <v>1</v>
      </c>
      <c r="X283" s="272">
        <v>1</v>
      </c>
      <c r="Y283" s="272">
        <v>1</v>
      </c>
      <c r="Z283" s="272">
        <v>1</v>
      </c>
      <c r="AA283" s="272">
        <v>1</v>
      </c>
      <c r="AB283" s="272">
        <v>1</v>
      </c>
      <c r="AC283" s="272">
        <v>1</v>
      </c>
      <c r="AD283" s="396">
        <v>1</v>
      </c>
      <c r="AE283" s="396">
        <v>1</v>
      </c>
      <c r="AF283" s="396">
        <v>1</v>
      </c>
      <c r="AG283" s="396">
        <v>1</v>
      </c>
      <c r="AH283" s="396">
        <v>1</v>
      </c>
      <c r="AI283" s="396">
        <v>1</v>
      </c>
      <c r="AJ283" s="396">
        <v>1</v>
      </c>
      <c r="AK283" s="396">
        <v>1</v>
      </c>
      <c r="AL283" s="396">
        <v>1</v>
      </c>
      <c r="AM283" s="396">
        <v>1</v>
      </c>
      <c r="AN283" s="396">
        <v>1</v>
      </c>
      <c r="AO283" s="396">
        <v>1</v>
      </c>
      <c r="AP283" s="396">
        <v>1</v>
      </c>
    </row>
    <row r="284" spans="1:42" s="140" customFormat="1" ht="13.5" hidden="1" customHeight="1" outlineLevel="3" thickBot="1">
      <c r="A284" s="216"/>
      <c r="B284" s="255" t="s">
        <v>471</v>
      </c>
      <c r="C284" s="245" t="s">
        <v>58</v>
      </c>
      <c r="D284" s="227" t="s">
        <v>59</v>
      </c>
      <c r="E284" s="241"/>
      <c r="F284" s="228">
        <f t="shared" si="649"/>
        <v>2.9155300375276354E-2</v>
      </c>
      <c r="G284" s="269">
        <f>+F284*G280</f>
        <v>9.1040439933817114E-6</v>
      </c>
      <c r="H284" s="299"/>
      <c r="I284" s="299"/>
      <c r="J284" s="299"/>
      <c r="K284" s="299"/>
      <c r="L284" s="299"/>
      <c r="M284" s="299"/>
      <c r="N284" s="272">
        <v>1</v>
      </c>
      <c r="O284" s="272">
        <v>1</v>
      </c>
      <c r="P284" s="272">
        <v>1</v>
      </c>
      <c r="Q284" s="272">
        <v>1</v>
      </c>
      <c r="R284" s="372">
        <v>1</v>
      </c>
      <c r="S284" s="395">
        <v>1</v>
      </c>
      <c r="T284" s="272">
        <v>1</v>
      </c>
      <c r="U284" s="272">
        <v>1</v>
      </c>
      <c r="V284" s="272">
        <v>1</v>
      </c>
      <c r="W284" s="272">
        <v>1</v>
      </c>
      <c r="X284" s="272">
        <v>1</v>
      </c>
      <c r="Y284" s="272">
        <v>1</v>
      </c>
      <c r="Z284" s="272">
        <v>1</v>
      </c>
      <c r="AA284" s="272">
        <v>1</v>
      </c>
      <c r="AB284" s="272">
        <v>1</v>
      </c>
      <c r="AC284" s="272">
        <v>1</v>
      </c>
      <c r="AD284" s="396">
        <v>1</v>
      </c>
      <c r="AE284" s="396">
        <v>1</v>
      </c>
      <c r="AF284" s="396">
        <v>1</v>
      </c>
      <c r="AG284" s="396">
        <v>1</v>
      </c>
      <c r="AH284" s="396">
        <v>1</v>
      </c>
      <c r="AI284" s="396">
        <v>1</v>
      </c>
      <c r="AJ284" s="396">
        <v>1</v>
      </c>
      <c r="AK284" s="396">
        <v>1</v>
      </c>
      <c r="AL284" s="396">
        <v>1</v>
      </c>
      <c r="AM284" s="396">
        <v>1</v>
      </c>
      <c r="AN284" s="396">
        <v>1</v>
      </c>
      <c r="AO284" s="396">
        <v>1</v>
      </c>
      <c r="AP284" s="396">
        <v>1</v>
      </c>
    </row>
    <row r="285" spans="1:42" s="140" customFormat="1" ht="13.5" hidden="1" customHeight="1" outlineLevel="3" thickBot="1">
      <c r="A285" s="216"/>
      <c r="B285" s="255" t="s">
        <v>472</v>
      </c>
      <c r="C285" s="245" t="s">
        <v>61</v>
      </c>
      <c r="D285" s="227" t="s">
        <v>62</v>
      </c>
      <c r="E285" s="241"/>
      <c r="F285" s="228">
        <f t="shared" si="649"/>
        <v>4.0182801717972776E-2</v>
      </c>
      <c r="G285" s="269">
        <f>+F285*G280</f>
        <v>1.2547495306478756E-5</v>
      </c>
      <c r="H285" s="299"/>
      <c r="I285" s="299"/>
      <c r="J285" s="299"/>
      <c r="K285" s="299"/>
      <c r="L285" s="299"/>
      <c r="M285" s="299"/>
      <c r="N285" s="272">
        <v>1</v>
      </c>
      <c r="O285" s="272">
        <v>1</v>
      </c>
      <c r="P285" s="272">
        <v>1</v>
      </c>
      <c r="Q285" s="272">
        <v>1</v>
      </c>
      <c r="R285" s="372">
        <v>1</v>
      </c>
      <c r="S285" s="395">
        <v>1</v>
      </c>
      <c r="T285" s="272">
        <v>1</v>
      </c>
      <c r="U285" s="272">
        <v>1</v>
      </c>
      <c r="V285" s="272">
        <v>1</v>
      </c>
      <c r="W285" s="272">
        <v>1</v>
      </c>
      <c r="X285" s="272">
        <v>1</v>
      </c>
      <c r="Y285" s="272">
        <v>1</v>
      </c>
      <c r="Z285" s="272">
        <v>1</v>
      </c>
      <c r="AA285" s="272">
        <v>1</v>
      </c>
      <c r="AB285" s="272">
        <v>1</v>
      </c>
      <c r="AC285" s="272">
        <v>1</v>
      </c>
      <c r="AD285" s="396">
        <v>1</v>
      </c>
      <c r="AE285" s="396">
        <v>1</v>
      </c>
      <c r="AF285" s="396">
        <v>1</v>
      </c>
      <c r="AG285" s="396">
        <v>1</v>
      </c>
      <c r="AH285" s="396">
        <v>1</v>
      </c>
      <c r="AI285" s="396">
        <v>1</v>
      </c>
      <c r="AJ285" s="396">
        <v>1</v>
      </c>
      <c r="AK285" s="396">
        <v>1</v>
      </c>
      <c r="AL285" s="396">
        <v>1</v>
      </c>
      <c r="AM285" s="396">
        <v>1</v>
      </c>
      <c r="AN285" s="396">
        <v>1</v>
      </c>
      <c r="AO285" s="396">
        <v>1</v>
      </c>
      <c r="AP285" s="396">
        <v>1</v>
      </c>
    </row>
    <row r="286" spans="1:42" s="140" customFormat="1" ht="13.5" hidden="1" customHeight="1" outlineLevel="3" thickBot="1">
      <c r="A286" s="216"/>
      <c r="B286" s="255" t="s">
        <v>473</v>
      </c>
      <c r="C286" s="245" t="s">
        <v>64</v>
      </c>
      <c r="D286" s="227" t="s">
        <v>65</v>
      </c>
      <c r="E286" s="241"/>
      <c r="F286" s="228">
        <f t="shared" si="649"/>
        <v>9.8615013818202632E-2</v>
      </c>
      <c r="G286" s="269">
        <f>+F286*G280</f>
        <v>3.0793557694579307E-5</v>
      </c>
      <c r="H286" s="299"/>
      <c r="I286" s="299"/>
      <c r="J286" s="299"/>
      <c r="K286" s="299"/>
      <c r="L286" s="299"/>
      <c r="M286" s="299"/>
      <c r="N286" s="272">
        <v>1</v>
      </c>
      <c r="O286" s="272">
        <v>1</v>
      </c>
      <c r="P286" s="272">
        <v>1</v>
      </c>
      <c r="Q286" s="272">
        <v>1</v>
      </c>
      <c r="R286" s="372">
        <v>1</v>
      </c>
      <c r="S286" s="395">
        <v>1</v>
      </c>
      <c r="T286" s="272">
        <v>1</v>
      </c>
      <c r="U286" s="272">
        <v>1</v>
      </c>
      <c r="V286" s="272">
        <v>1</v>
      </c>
      <c r="W286" s="272">
        <v>1</v>
      </c>
      <c r="X286" s="272">
        <v>1</v>
      </c>
      <c r="Y286" s="272">
        <v>1</v>
      </c>
      <c r="Z286" s="272">
        <v>1</v>
      </c>
      <c r="AA286" s="272">
        <v>1</v>
      </c>
      <c r="AB286" s="272">
        <v>1</v>
      </c>
      <c r="AC286" s="272">
        <v>1</v>
      </c>
      <c r="AD286" s="396">
        <v>1</v>
      </c>
      <c r="AE286" s="396">
        <v>1</v>
      </c>
      <c r="AF286" s="396">
        <v>1</v>
      </c>
      <c r="AG286" s="396">
        <v>1</v>
      </c>
      <c r="AH286" s="396">
        <v>1</v>
      </c>
      <c r="AI286" s="396">
        <v>1</v>
      </c>
      <c r="AJ286" s="396">
        <v>1</v>
      </c>
      <c r="AK286" s="396">
        <v>1</v>
      </c>
      <c r="AL286" s="396">
        <v>1</v>
      </c>
      <c r="AM286" s="396">
        <v>1</v>
      </c>
      <c r="AN286" s="396">
        <v>1</v>
      </c>
      <c r="AO286" s="396">
        <v>1</v>
      </c>
      <c r="AP286" s="396">
        <v>1</v>
      </c>
    </row>
    <row r="287" spans="1:42" s="140" customFormat="1" ht="13.5" hidden="1" customHeight="1" outlineLevel="3" thickBot="1">
      <c r="A287" s="216"/>
      <c r="B287" s="255" t="s">
        <v>474</v>
      </c>
      <c r="C287" s="245" t="s">
        <v>67</v>
      </c>
      <c r="D287" s="227" t="s">
        <v>68</v>
      </c>
      <c r="E287" s="241"/>
      <c r="F287" s="228">
        <f t="shared" si="649"/>
        <v>9.164980880972666E-2</v>
      </c>
      <c r="G287" s="269">
        <f>+F287*G280</f>
        <v>2.8618600413951846E-5</v>
      </c>
      <c r="H287" s="299"/>
      <c r="I287" s="299"/>
      <c r="J287" s="299"/>
      <c r="K287" s="299"/>
      <c r="L287" s="299"/>
      <c r="M287" s="299"/>
      <c r="N287" s="272">
        <v>1</v>
      </c>
      <c r="O287" s="272">
        <v>1</v>
      </c>
      <c r="P287" s="272">
        <v>1</v>
      </c>
      <c r="Q287" s="272">
        <v>1</v>
      </c>
      <c r="R287" s="372">
        <v>1</v>
      </c>
      <c r="S287" s="395">
        <v>1</v>
      </c>
      <c r="T287" s="272">
        <v>1</v>
      </c>
      <c r="U287" s="272">
        <v>1</v>
      </c>
      <c r="V287" s="272">
        <v>1</v>
      </c>
      <c r="W287" s="272">
        <v>1</v>
      </c>
      <c r="X287" s="272">
        <v>1</v>
      </c>
      <c r="Y287" s="272">
        <v>1</v>
      </c>
      <c r="Z287" s="272">
        <v>1</v>
      </c>
      <c r="AA287" s="272">
        <v>1</v>
      </c>
      <c r="AB287" s="272">
        <v>1</v>
      </c>
      <c r="AC287" s="272">
        <v>1</v>
      </c>
      <c r="AD287" s="396">
        <v>1</v>
      </c>
      <c r="AE287" s="396">
        <v>1</v>
      </c>
      <c r="AF287" s="396">
        <v>1</v>
      </c>
      <c r="AG287" s="396">
        <v>1</v>
      </c>
      <c r="AH287" s="396">
        <v>1</v>
      </c>
      <c r="AI287" s="396">
        <v>1</v>
      </c>
      <c r="AJ287" s="396">
        <v>1</v>
      </c>
      <c r="AK287" s="396">
        <v>1</v>
      </c>
      <c r="AL287" s="396">
        <v>1</v>
      </c>
      <c r="AM287" s="396">
        <v>1</v>
      </c>
      <c r="AN287" s="396">
        <v>1</v>
      </c>
      <c r="AO287" s="396">
        <v>1</v>
      </c>
      <c r="AP287" s="396">
        <v>1</v>
      </c>
    </row>
    <row r="288" spans="1:42" s="140" customFormat="1" ht="26.25" hidden="1" customHeight="1" outlineLevel="3" thickBot="1">
      <c r="A288" s="216"/>
      <c r="B288" s="255" t="s">
        <v>475</v>
      </c>
      <c r="C288" s="245" t="s">
        <v>70</v>
      </c>
      <c r="D288" s="227" t="s">
        <v>71</v>
      </c>
      <c r="E288" s="241"/>
      <c r="F288" s="228">
        <f t="shared" si="649"/>
        <v>9.2909380612212003E-2</v>
      </c>
      <c r="G288" s="269">
        <f>+F288*G280</f>
        <v>2.90119147326194E-5</v>
      </c>
      <c r="H288" s="299"/>
      <c r="I288" s="299"/>
      <c r="J288" s="299"/>
      <c r="K288" s="299"/>
      <c r="L288" s="299"/>
      <c r="M288" s="299"/>
      <c r="N288" s="272">
        <v>0</v>
      </c>
      <c r="O288" s="272">
        <v>0</v>
      </c>
      <c r="P288" s="272">
        <v>0</v>
      </c>
      <c r="Q288" s="272">
        <v>0</v>
      </c>
      <c r="R288" s="372">
        <v>0</v>
      </c>
      <c r="S288" s="395">
        <v>0</v>
      </c>
      <c r="T288" s="272">
        <v>0</v>
      </c>
      <c r="U288" s="272">
        <v>0</v>
      </c>
      <c r="V288" s="272">
        <v>0</v>
      </c>
      <c r="W288" s="272">
        <v>0</v>
      </c>
      <c r="X288" s="272">
        <v>0</v>
      </c>
      <c r="Y288" s="272">
        <v>0</v>
      </c>
      <c r="Z288" s="272">
        <v>0</v>
      </c>
      <c r="AA288" s="272">
        <v>0</v>
      </c>
      <c r="AB288" s="272">
        <v>0</v>
      </c>
      <c r="AC288" s="272">
        <v>0</v>
      </c>
      <c r="AD288" s="396">
        <v>0</v>
      </c>
      <c r="AE288" s="396">
        <v>0</v>
      </c>
      <c r="AF288" s="396">
        <v>0</v>
      </c>
      <c r="AG288" s="396"/>
      <c r="AH288" s="396"/>
      <c r="AI288" s="396"/>
      <c r="AJ288" s="396"/>
      <c r="AK288" s="396"/>
      <c r="AL288" s="396"/>
      <c r="AM288" s="396"/>
      <c r="AN288" s="396"/>
      <c r="AO288" s="396"/>
      <c r="AP288" s="396"/>
    </row>
    <row r="289" spans="1:42" s="140" customFormat="1" ht="13.5" hidden="1" customHeight="1" outlineLevel="3" thickBot="1">
      <c r="A289" s="216"/>
      <c r="B289" s="255" t="s">
        <v>476</v>
      </c>
      <c r="C289" s="245" t="s">
        <v>73</v>
      </c>
      <c r="D289" s="227" t="s">
        <v>74</v>
      </c>
      <c r="E289" s="241"/>
      <c r="F289" s="228">
        <f t="shared" si="649"/>
        <v>8.0887028733242702E-2</v>
      </c>
      <c r="G289" s="269">
        <f>+F289*G280</f>
        <v>2.5257811053314934E-5</v>
      </c>
      <c r="H289" s="299"/>
      <c r="I289" s="299"/>
      <c r="J289" s="299"/>
      <c r="K289" s="299"/>
      <c r="L289" s="299"/>
      <c r="M289" s="299"/>
      <c r="N289" s="272">
        <v>0</v>
      </c>
      <c r="O289" s="272">
        <v>0</v>
      </c>
      <c r="P289" s="272">
        <v>0</v>
      </c>
      <c r="Q289" s="272">
        <v>0</v>
      </c>
      <c r="R289" s="372">
        <v>0</v>
      </c>
      <c r="S289" s="395">
        <v>0</v>
      </c>
      <c r="T289" s="272">
        <v>0</v>
      </c>
      <c r="U289" s="272">
        <v>0</v>
      </c>
      <c r="V289" s="272">
        <v>0</v>
      </c>
      <c r="W289" s="272">
        <v>0</v>
      </c>
      <c r="X289" s="272">
        <v>0</v>
      </c>
      <c r="Y289" s="272">
        <v>0</v>
      </c>
      <c r="Z289" s="272">
        <v>0</v>
      </c>
      <c r="AA289" s="272">
        <v>0</v>
      </c>
      <c r="AB289" s="272">
        <v>0</v>
      </c>
      <c r="AC289" s="272">
        <v>0</v>
      </c>
      <c r="AD289" s="396">
        <v>0</v>
      </c>
      <c r="AE289" s="396">
        <v>0</v>
      </c>
      <c r="AF289" s="396">
        <v>0</v>
      </c>
      <c r="AG289" s="396"/>
      <c r="AH289" s="396"/>
      <c r="AI289" s="396"/>
      <c r="AJ289" s="396"/>
      <c r="AK289" s="396"/>
      <c r="AL289" s="396"/>
      <c r="AM289" s="396"/>
      <c r="AN289" s="396"/>
      <c r="AO289" s="396"/>
      <c r="AP289" s="396"/>
    </row>
    <row r="290" spans="1:42" s="140" customFormat="1" ht="13.5" hidden="1" customHeight="1" outlineLevel="3" thickBot="1">
      <c r="A290" s="216"/>
      <c r="B290" s="255" t="s">
        <v>477</v>
      </c>
      <c r="C290" s="245" t="s">
        <v>76</v>
      </c>
      <c r="D290" s="227" t="s">
        <v>77</v>
      </c>
      <c r="E290" s="241"/>
      <c r="F290" s="228">
        <f t="shared" si="649"/>
        <v>0.11788367881609482</v>
      </c>
      <c r="G290" s="269">
        <f>+F290*G280</f>
        <v>3.6810397568515335E-5</v>
      </c>
      <c r="H290" s="299"/>
      <c r="I290" s="299"/>
      <c r="J290" s="299"/>
      <c r="K290" s="299"/>
      <c r="L290" s="299"/>
      <c r="M290" s="299"/>
      <c r="N290" s="272">
        <v>0</v>
      </c>
      <c r="O290" s="272">
        <v>0</v>
      </c>
      <c r="P290" s="272">
        <v>0</v>
      </c>
      <c r="Q290" s="272">
        <v>0</v>
      </c>
      <c r="R290" s="372">
        <v>0</v>
      </c>
      <c r="S290" s="395">
        <v>0</v>
      </c>
      <c r="T290" s="272">
        <v>0</v>
      </c>
      <c r="U290" s="272">
        <v>0</v>
      </c>
      <c r="V290" s="272">
        <v>0</v>
      </c>
      <c r="W290" s="272">
        <v>0</v>
      </c>
      <c r="X290" s="272">
        <v>0</v>
      </c>
      <c r="Y290" s="272">
        <v>0</v>
      </c>
      <c r="Z290" s="272">
        <v>0</v>
      </c>
      <c r="AA290" s="272">
        <v>0</v>
      </c>
      <c r="AB290" s="272">
        <v>0</v>
      </c>
      <c r="AC290" s="272">
        <v>0</v>
      </c>
      <c r="AD290" s="396">
        <v>0</v>
      </c>
      <c r="AE290" s="396">
        <v>0</v>
      </c>
      <c r="AF290" s="396">
        <v>0</v>
      </c>
      <c r="AG290" s="396"/>
      <c r="AH290" s="396"/>
      <c r="AI290" s="396"/>
      <c r="AJ290" s="396"/>
      <c r="AK290" s="396"/>
      <c r="AL290" s="396"/>
      <c r="AM290" s="396"/>
      <c r="AN290" s="396"/>
      <c r="AO290" s="396"/>
      <c r="AP290" s="396"/>
    </row>
    <row r="291" spans="1:42" s="140" customFormat="1" ht="13.5" hidden="1" customHeight="1" outlineLevel="3" thickBot="1">
      <c r="A291" s="216"/>
      <c r="B291" s="255" t="s">
        <v>478</v>
      </c>
      <c r="C291" s="245" t="s">
        <v>79</v>
      </c>
      <c r="D291" s="227" t="s">
        <v>80</v>
      </c>
      <c r="E291" s="241"/>
      <c r="F291" s="228">
        <f t="shared" si="649"/>
        <v>4.1046638926131508E-2</v>
      </c>
      <c r="G291" s="269">
        <f>+F291*G280</f>
        <v>1.2817237406370348E-5</v>
      </c>
      <c r="H291" s="299"/>
      <c r="I291" s="299"/>
      <c r="J291" s="299"/>
      <c r="K291" s="299"/>
      <c r="L291" s="299"/>
      <c r="M291" s="299"/>
      <c r="N291" s="272">
        <v>0</v>
      </c>
      <c r="O291" s="272">
        <v>0</v>
      </c>
      <c r="P291" s="272">
        <v>0</v>
      </c>
      <c r="Q291" s="272">
        <v>0</v>
      </c>
      <c r="R291" s="372">
        <v>0</v>
      </c>
      <c r="S291" s="395">
        <v>0</v>
      </c>
      <c r="T291" s="272">
        <v>0</v>
      </c>
      <c r="U291" s="272">
        <v>0</v>
      </c>
      <c r="V291" s="272">
        <v>0</v>
      </c>
      <c r="W291" s="272">
        <v>0</v>
      </c>
      <c r="X291" s="272">
        <v>0</v>
      </c>
      <c r="Y291" s="272">
        <v>0</v>
      </c>
      <c r="Z291" s="272">
        <v>0</v>
      </c>
      <c r="AA291" s="272">
        <v>0</v>
      </c>
      <c r="AB291" s="272">
        <v>0</v>
      </c>
      <c r="AC291" s="272">
        <v>0</v>
      </c>
      <c r="AD291" s="396">
        <v>0</v>
      </c>
      <c r="AE291" s="396">
        <v>0</v>
      </c>
      <c r="AF291" s="396">
        <v>0</v>
      </c>
      <c r="AG291" s="396"/>
      <c r="AH291" s="396"/>
      <c r="AI291" s="396"/>
      <c r="AJ291" s="396"/>
      <c r="AK291" s="396"/>
      <c r="AL291" s="396"/>
      <c r="AM291" s="396"/>
      <c r="AN291" s="396"/>
      <c r="AO291" s="396"/>
      <c r="AP291" s="396"/>
    </row>
    <row r="292" spans="1:42" s="140" customFormat="1" ht="13.5" hidden="1" customHeight="1" outlineLevel="3" thickBot="1">
      <c r="A292" s="216"/>
      <c r="B292" s="255" t="s">
        <v>479</v>
      </c>
      <c r="C292" s="245" t="s">
        <v>82</v>
      </c>
      <c r="D292" s="227" t="s">
        <v>83</v>
      </c>
      <c r="E292" s="241"/>
      <c r="F292" s="228">
        <f t="shared" si="649"/>
        <v>5.3741978219236555E-2</v>
      </c>
      <c r="G292" s="269">
        <f>+F292*G280</f>
        <v>1.6781488364091453E-5</v>
      </c>
      <c r="H292" s="299"/>
      <c r="I292" s="299"/>
      <c r="J292" s="299"/>
      <c r="K292" s="299"/>
      <c r="L292" s="299"/>
      <c r="M292" s="299"/>
      <c r="N292" s="272">
        <v>0</v>
      </c>
      <c r="O292" s="272">
        <v>0</v>
      </c>
      <c r="P292" s="272">
        <v>0</v>
      </c>
      <c r="Q292" s="272">
        <v>0</v>
      </c>
      <c r="R292" s="372">
        <v>0</v>
      </c>
      <c r="S292" s="395">
        <v>0</v>
      </c>
      <c r="T292" s="272">
        <v>0</v>
      </c>
      <c r="U292" s="272">
        <v>0</v>
      </c>
      <c r="V292" s="272">
        <v>0</v>
      </c>
      <c r="W292" s="272">
        <v>0</v>
      </c>
      <c r="X292" s="272">
        <v>0</v>
      </c>
      <c r="Y292" s="272">
        <v>0</v>
      </c>
      <c r="Z292" s="272">
        <v>0</v>
      </c>
      <c r="AA292" s="272">
        <v>0</v>
      </c>
      <c r="AB292" s="272">
        <v>0</v>
      </c>
      <c r="AC292" s="272">
        <v>0</v>
      </c>
      <c r="AD292" s="396">
        <v>0</v>
      </c>
      <c r="AE292" s="396">
        <v>0</v>
      </c>
      <c r="AF292" s="396">
        <v>0</v>
      </c>
      <c r="AG292" s="396"/>
      <c r="AH292" s="396"/>
      <c r="AI292" s="396"/>
      <c r="AJ292" s="396"/>
      <c r="AK292" s="396"/>
      <c r="AL292" s="396"/>
      <c r="AM292" s="396"/>
      <c r="AN292" s="396"/>
      <c r="AO292" s="396"/>
      <c r="AP292" s="396"/>
    </row>
    <row r="293" spans="1:42" s="140" customFormat="1" ht="13.5" hidden="1" customHeight="1" outlineLevel="3" thickBot="1">
      <c r="A293" s="216"/>
      <c r="B293" s="255" t="s">
        <v>480</v>
      </c>
      <c r="C293" s="245" t="s">
        <v>85</v>
      </c>
      <c r="D293" s="227" t="s">
        <v>86</v>
      </c>
      <c r="E293" s="241"/>
      <c r="F293" s="228">
        <f t="shared" si="649"/>
        <v>5.8057394561842592E-2</v>
      </c>
      <c r="G293" s="269">
        <f>+F293*G280</f>
        <v>1.8129021736313533E-5</v>
      </c>
      <c r="H293" s="299"/>
      <c r="I293" s="299"/>
      <c r="J293" s="299"/>
      <c r="K293" s="299"/>
      <c r="L293" s="299"/>
      <c r="M293" s="299"/>
      <c r="N293" s="272">
        <v>0</v>
      </c>
      <c r="O293" s="272">
        <v>0</v>
      </c>
      <c r="P293" s="272">
        <v>0</v>
      </c>
      <c r="Q293" s="272">
        <v>0</v>
      </c>
      <c r="R293" s="372">
        <v>0</v>
      </c>
      <c r="S293" s="395">
        <v>0</v>
      </c>
      <c r="T293" s="272">
        <v>0</v>
      </c>
      <c r="U293" s="272">
        <v>0</v>
      </c>
      <c r="V293" s="272">
        <v>0</v>
      </c>
      <c r="W293" s="272">
        <v>0</v>
      </c>
      <c r="X293" s="272">
        <v>0</v>
      </c>
      <c r="Y293" s="272">
        <v>0</v>
      </c>
      <c r="Z293" s="272">
        <v>0</v>
      </c>
      <c r="AA293" s="272">
        <v>0</v>
      </c>
      <c r="AB293" s="272">
        <v>0</v>
      </c>
      <c r="AC293" s="272">
        <v>0</v>
      </c>
      <c r="AD293" s="396">
        <v>0</v>
      </c>
      <c r="AE293" s="396">
        <v>0</v>
      </c>
      <c r="AF293" s="396">
        <v>0</v>
      </c>
      <c r="AG293" s="396"/>
      <c r="AH293" s="396"/>
      <c r="AI293" s="396"/>
      <c r="AJ293" s="396"/>
      <c r="AK293" s="396"/>
      <c r="AL293" s="396"/>
      <c r="AM293" s="396"/>
      <c r="AN293" s="396"/>
      <c r="AO293" s="396"/>
      <c r="AP293" s="396"/>
    </row>
    <row r="294" spans="1:42" s="140" customFormat="1" ht="13.5" hidden="1" customHeight="1" outlineLevel="3" thickBot="1">
      <c r="A294" s="216"/>
      <c r="B294" s="255" t="s">
        <v>481</v>
      </c>
      <c r="C294" s="245" t="s">
        <v>88</v>
      </c>
      <c r="D294" s="227" t="s">
        <v>89</v>
      </c>
      <c r="E294" s="241"/>
      <c r="F294" s="228">
        <f t="shared" si="649"/>
        <v>6.1612726844928238E-2</v>
      </c>
      <c r="G294" s="269">
        <f>+F294*G280</f>
        <v>1.9239211002061926E-5</v>
      </c>
      <c r="H294" s="299"/>
      <c r="I294" s="299"/>
      <c r="J294" s="299"/>
      <c r="K294" s="299"/>
      <c r="L294" s="299"/>
      <c r="M294" s="299"/>
      <c r="N294" s="272">
        <v>0</v>
      </c>
      <c r="O294" s="272">
        <v>0</v>
      </c>
      <c r="P294" s="272">
        <v>0</v>
      </c>
      <c r="Q294" s="272">
        <v>0</v>
      </c>
      <c r="R294" s="372">
        <v>0</v>
      </c>
      <c r="S294" s="395">
        <v>0</v>
      </c>
      <c r="T294" s="272">
        <v>0</v>
      </c>
      <c r="U294" s="272">
        <v>0</v>
      </c>
      <c r="V294" s="272">
        <v>0</v>
      </c>
      <c r="W294" s="272">
        <v>0</v>
      </c>
      <c r="X294" s="272">
        <v>0</v>
      </c>
      <c r="Y294" s="272">
        <v>0</v>
      </c>
      <c r="Z294" s="272">
        <v>0</v>
      </c>
      <c r="AA294" s="272">
        <v>0</v>
      </c>
      <c r="AB294" s="272">
        <v>0</v>
      </c>
      <c r="AC294" s="272">
        <v>0</v>
      </c>
      <c r="AD294" s="396">
        <v>0</v>
      </c>
      <c r="AE294" s="396">
        <v>0</v>
      </c>
      <c r="AF294" s="396">
        <v>0</v>
      </c>
      <c r="AG294" s="396"/>
      <c r="AH294" s="396"/>
      <c r="AI294" s="396"/>
      <c r="AJ294" s="396"/>
      <c r="AK294" s="396"/>
      <c r="AL294" s="396"/>
      <c r="AM294" s="396"/>
      <c r="AN294" s="396"/>
      <c r="AO294" s="396"/>
      <c r="AP294" s="396"/>
    </row>
    <row r="295" spans="1:42" s="140" customFormat="1" ht="13.5" hidden="1" customHeight="1" outlineLevel="3" thickBot="1">
      <c r="A295" s="216"/>
      <c r="B295" s="255" t="s">
        <v>482</v>
      </c>
      <c r="C295" s="245" t="s">
        <v>91</v>
      </c>
      <c r="D295" s="227" t="s">
        <v>92</v>
      </c>
      <c r="E295" s="241"/>
      <c r="F295" s="228">
        <f t="shared" si="649"/>
        <v>5.5478507137905975E-2</v>
      </c>
      <c r="G295" s="269">
        <f>+F295*G280</f>
        <v>1.7323737473785154E-5</v>
      </c>
      <c r="H295" s="299"/>
      <c r="I295" s="299"/>
      <c r="J295" s="299"/>
      <c r="K295" s="299"/>
      <c r="L295" s="299"/>
      <c r="M295" s="299"/>
      <c r="N295" s="272">
        <v>0</v>
      </c>
      <c r="O295" s="272">
        <v>0</v>
      </c>
      <c r="P295" s="272">
        <v>0</v>
      </c>
      <c r="Q295" s="272">
        <v>0</v>
      </c>
      <c r="R295" s="372">
        <v>0</v>
      </c>
      <c r="S295" s="395">
        <v>0</v>
      </c>
      <c r="T295" s="272">
        <v>0</v>
      </c>
      <c r="U295" s="272">
        <v>0</v>
      </c>
      <c r="V295" s="272">
        <v>0</v>
      </c>
      <c r="W295" s="272">
        <v>0</v>
      </c>
      <c r="X295" s="272">
        <v>0</v>
      </c>
      <c r="Y295" s="272">
        <v>0</v>
      </c>
      <c r="Z295" s="272">
        <v>0</v>
      </c>
      <c r="AA295" s="272">
        <v>0</v>
      </c>
      <c r="AB295" s="272">
        <v>0</v>
      </c>
      <c r="AC295" s="272">
        <v>0</v>
      </c>
      <c r="AD295" s="396">
        <v>0</v>
      </c>
      <c r="AE295" s="396">
        <v>0</v>
      </c>
      <c r="AF295" s="396">
        <v>0</v>
      </c>
      <c r="AG295" s="396"/>
      <c r="AH295" s="396"/>
      <c r="AI295" s="396"/>
      <c r="AJ295" s="396"/>
      <c r="AK295" s="396"/>
      <c r="AL295" s="396"/>
      <c r="AM295" s="396"/>
      <c r="AN295" s="396"/>
      <c r="AO295" s="396"/>
      <c r="AP295" s="396"/>
    </row>
    <row r="296" spans="1:42" s="140" customFormat="1" ht="13.5" hidden="1" customHeight="1" outlineLevel="3" thickBot="1">
      <c r="A296" s="216"/>
      <c r="B296" s="300" t="s">
        <v>395</v>
      </c>
      <c r="C296" s="294"/>
      <c r="D296" s="294" t="s">
        <v>94</v>
      </c>
      <c r="E296" s="295"/>
      <c r="F296" s="296">
        <f t="shared" si="649"/>
        <v>0.17989574156721069</v>
      </c>
      <c r="G296" s="296">
        <f>+F296*G270</f>
        <v>1.4391659325376856E-3</v>
      </c>
      <c r="H296" s="297"/>
      <c r="I296" s="297"/>
      <c r="J296" s="297"/>
      <c r="K296" s="297"/>
      <c r="L296" s="297"/>
      <c r="M296" s="297"/>
      <c r="N296" s="296">
        <f t="shared" ref="N296:R296" si="673">+$F297*N297+$F309*N309+$F317*N317+$F323*N323+$F327*N327</f>
        <v>0.20074759401347061</v>
      </c>
      <c r="O296" s="296">
        <f t="shared" si="673"/>
        <v>0.20074759401347061</v>
      </c>
      <c r="P296" s="296">
        <f t="shared" si="673"/>
        <v>0.20074759401347061</v>
      </c>
      <c r="Q296" s="296">
        <f t="shared" si="673"/>
        <v>0.20074759401347061</v>
      </c>
      <c r="R296" s="376">
        <f t="shared" si="673"/>
        <v>0.20074759401347061</v>
      </c>
      <c r="S296" s="403">
        <f t="shared" ref="S296" si="674">+$F297*S297+$F309*S309+$F317*S317+$F323*S323+$F327*S327</f>
        <v>0.20074759401347061</v>
      </c>
      <c r="T296" s="296">
        <f t="shared" ref="T296" si="675">+$F297*T297+$F309*T309+$F317*T317+$F323*T323+$F327*T327</f>
        <v>0.20074759401347061</v>
      </c>
      <c r="U296" s="296">
        <f t="shared" ref="U296" si="676">+$F297*U297+$F309*U309+$F317*U317+$F323*U323+$F327*U327</f>
        <v>0.20074759401347061</v>
      </c>
      <c r="V296" s="296">
        <f t="shared" ref="V296" si="677">+$F297*V297+$F309*V309+$F317*V317+$F323*V323+$F327*V327</f>
        <v>0.20074759401347061</v>
      </c>
      <c r="W296" s="296">
        <f t="shared" ref="W296" si="678">+$F297*W297+$F309*W309+$F317*W317+$F323*W323+$F327*W327</f>
        <v>0.20074759401347061</v>
      </c>
      <c r="X296" s="296">
        <f t="shared" ref="X296" si="679">+$F297*X297+$F309*X309+$F317*X317+$F323*X323+$F327*X327</f>
        <v>0.20074759401347061</v>
      </c>
      <c r="Y296" s="296">
        <f t="shared" ref="Y296" si="680">+$F297*Y297+$F309*Y309+$F317*Y317+$F323*Y323+$F327*Y327</f>
        <v>0.20074759401347061</v>
      </c>
      <c r="Z296" s="296">
        <f t="shared" ref="Z296" si="681">+$F297*Z297+$F309*Z309+$F317*Z317+$F323*Z323+$F327*Z327</f>
        <v>0.20074759401347061</v>
      </c>
      <c r="AA296" s="296">
        <f t="shared" ref="AA296" si="682">+$F297*AA297+$F309*AA309+$F317*AA317+$F323*AA323+$F327*AA327</f>
        <v>0.20074759401347061</v>
      </c>
      <c r="AB296" s="296">
        <f t="shared" ref="AB296" si="683">+$F297*AB297+$F309*AB309+$F317*AB317+$F323*AB323+$F327*AB327</f>
        <v>0.20074759401347061</v>
      </c>
      <c r="AC296" s="296">
        <f t="shared" ref="AC296" si="684">+$F297*AC297+$F309*AC309+$F317*AC317+$F323*AC323+$F327*AC327</f>
        <v>0.20074759401347061</v>
      </c>
      <c r="AD296" s="404">
        <f t="shared" ref="AD296:AF296" si="685">+$F297*AD297+$F309*AD309+$F317*AD317+$F323*AD323+$F327*AD327</f>
        <v>0.20074759401347061</v>
      </c>
      <c r="AE296" s="404">
        <f t="shared" si="685"/>
        <v>0.20074759401347061</v>
      </c>
      <c r="AF296" s="404">
        <f t="shared" si="685"/>
        <v>0.20074759401347061</v>
      </c>
      <c r="AG296" s="404">
        <f t="shared" ref="AG296" si="686">+$F297*AG297+$F309*AG309+$F317*AG317+$F323*AG323+$F327*AG327</f>
        <v>0.20074759401347061</v>
      </c>
      <c r="AH296" s="404">
        <f t="shared" ref="AH296" si="687">+$F297*AH297+$F309*AH309+$F317*AH317+$F323*AH323+$F327*AH327</f>
        <v>0.20074759401347061</v>
      </c>
      <c r="AI296" s="404">
        <f t="shared" ref="AI296" si="688">+$F297*AI297+$F309*AI309+$F317*AI317+$F323*AI323+$F327*AI327</f>
        <v>0.20074759401347061</v>
      </c>
      <c r="AJ296" s="404">
        <f t="shared" ref="AJ296" si="689">+$F297*AJ297+$F309*AJ309+$F317*AJ317+$F323*AJ323+$F327*AJ327</f>
        <v>0.20074759401347061</v>
      </c>
      <c r="AK296" s="404">
        <f t="shared" ref="AK296" si="690">+$F297*AK297+$F309*AK309+$F317*AK317+$F323*AK323+$F327*AK327</f>
        <v>0.20074759401347061</v>
      </c>
      <c r="AL296" s="404">
        <f t="shared" ref="AL296" si="691">+$F297*AL297+$F309*AL309+$F317*AL317+$F323*AL323+$F327*AL327</f>
        <v>0.20074759401347061</v>
      </c>
      <c r="AM296" s="404">
        <f t="shared" ref="AM296" si="692">+$F297*AM297+$F309*AM309+$F317*AM317+$F323*AM323+$F327*AM327</f>
        <v>0.20074759401347061</v>
      </c>
      <c r="AN296" s="404">
        <f t="shared" ref="AN296" si="693">+$F297*AN297+$F309*AN309+$F317*AN317+$F323*AN323+$F327*AN327</f>
        <v>0.20074759401347061</v>
      </c>
      <c r="AO296" s="404">
        <f t="shared" ref="AO296" si="694">+$F297*AO297+$F309*AO309+$F317*AO317+$F323*AO323+$F327*AO327</f>
        <v>0.20074759401347061</v>
      </c>
      <c r="AP296" s="404">
        <f t="shared" ref="AP296" si="695">+$F297*AP297+$F309*AP309+$F317*AP317+$F323*AP323+$F327*AP327</f>
        <v>0.20074759401347061</v>
      </c>
    </row>
    <row r="297" spans="1:42" s="140" customFormat="1" ht="13.5" hidden="1" customHeight="1" outlineLevel="3" thickBot="1">
      <c r="B297" s="301" t="s">
        <v>483</v>
      </c>
      <c r="C297" s="251"/>
      <c r="D297" s="236" t="s">
        <v>97</v>
      </c>
      <c r="E297" s="242"/>
      <c r="F297" s="232">
        <f t="shared" si="649"/>
        <v>0.2064703407829992</v>
      </c>
      <c r="G297" s="232">
        <f>+F297*G296</f>
        <v>2.9714508053433876E-4</v>
      </c>
      <c r="H297" s="321"/>
      <c r="I297" s="321"/>
      <c r="J297" s="321"/>
      <c r="K297" s="321"/>
      <c r="L297" s="321"/>
      <c r="M297" s="321"/>
      <c r="N297" s="274">
        <f t="shared" ref="N297:R297" si="696">+SUMPRODUCT($F298:$F308,N298:N308)</f>
        <v>0.32851417302102698</v>
      </c>
      <c r="O297" s="274">
        <f t="shared" si="696"/>
        <v>0.32851417302102698</v>
      </c>
      <c r="P297" s="274">
        <f t="shared" si="696"/>
        <v>0.32851417302102698</v>
      </c>
      <c r="Q297" s="274">
        <f t="shared" si="696"/>
        <v>0.32851417302102698</v>
      </c>
      <c r="R297" s="375">
        <f t="shared" si="696"/>
        <v>0.32851417302102698</v>
      </c>
      <c r="S297" s="401">
        <f t="shared" ref="S297" si="697">+SUMPRODUCT($F298:$F308,S298:S308)</f>
        <v>0.32851417302102698</v>
      </c>
      <c r="T297" s="274">
        <f t="shared" ref="T297" si="698">+SUMPRODUCT($F298:$F308,T298:T308)</f>
        <v>0.32851417302102698</v>
      </c>
      <c r="U297" s="274">
        <f t="shared" ref="U297" si="699">+SUMPRODUCT($F298:$F308,U298:U308)</f>
        <v>0.32851417302102698</v>
      </c>
      <c r="V297" s="274">
        <f t="shared" ref="V297" si="700">+SUMPRODUCT($F298:$F308,V298:V308)</f>
        <v>0.32851417302102698</v>
      </c>
      <c r="W297" s="274">
        <f t="shared" ref="W297" si="701">+SUMPRODUCT($F298:$F308,W298:W308)</f>
        <v>0.32851417302102698</v>
      </c>
      <c r="X297" s="274">
        <f t="shared" ref="X297" si="702">+SUMPRODUCT($F298:$F308,X298:X308)</f>
        <v>0.32851417302102698</v>
      </c>
      <c r="Y297" s="274">
        <f t="shared" ref="Y297" si="703">+SUMPRODUCT($F298:$F308,Y298:Y308)</f>
        <v>0.32851417302102698</v>
      </c>
      <c r="Z297" s="274">
        <f t="shared" ref="Z297" si="704">+SUMPRODUCT($F298:$F308,Z298:Z308)</f>
        <v>0.32851417302102698</v>
      </c>
      <c r="AA297" s="274">
        <f t="shared" ref="AA297" si="705">+SUMPRODUCT($F298:$F308,AA298:AA308)</f>
        <v>0.32851417302102698</v>
      </c>
      <c r="AB297" s="274">
        <f t="shared" ref="AB297" si="706">+SUMPRODUCT($F298:$F308,AB298:AB308)</f>
        <v>0.32851417302102698</v>
      </c>
      <c r="AC297" s="274">
        <f t="shared" ref="AC297" si="707">+SUMPRODUCT($F298:$F308,AC298:AC308)</f>
        <v>0.32851417302102698</v>
      </c>
      <c r="AD297" s="402">
        <f t="shared" ref="AD297:AF297" si="708">+SUMPRODUCT($F298:$F308,AD298:AD308)</f>
        <v>0.32851417302102698</v>
      </c>
      <c r="AE297" s="402">
        <f t="shared" si="708"/>
        <v>0.32851417302102698</v>
      </c>
      <c r="AF297" s="402">
        <f t="shared" si="708"/>
        <v>0.32851417302102698</v>
      </c>
      <c r="AG297" s="402">
        <f t="shared" ref="AG297" si="709">+SUMPRODUCT($F298:$F308,AG298:AG308)</f>
        <v>0.32851417302102698</v>
      </c>
      <c r="AH297" s="402">
        <f t="shared" ref="AH297" si="710">+SUMPRODUCT($F298:$F308,AH298:AH308)</f>
        <v>0.32851417302102698</v>
      </c>
      <c r="AI297" s="402">
        <f t="shared" ref="AI297" si="711">+SUMPRODUCT($F298:$F308,AI298:AI308)</f>
        <v>0.32851417302102698</v>
      </c>
      <c r="AJ297" s="402">
        <f t="shared" ref="AJ297" si="712">+SUMPRODUCT($F298:$F308,AJ298:AJ308)</f>
        <v>0.32851417302102698</v>
      </c>
      <c r="AK297" s="402">
        <f t="shared" ref="AK297" si="713">+SUMPRODUCT($F298:$F308,AK298:AK308)</f>
        <v>0.32851417302102698</v>
      </c>
      <c r="AL297" s="402">
        <f t="shared" ref="AL297" si="714">+SUMPRODUCT($F298:$F308,AL298:AL308)</f>
        <v>0.32851417302102698</v>
      </c>
      <c r="AM297" s="402">
        <f t="shared" ref="AM297" si="715">+SUMPRODUCT($F298:$F308,AM298:AM308)</f>
        <v>0.32851417302102698</v>
      </c>
      <c r="AN297" s="402">
        <f t="shared" ref="AN297" si="716">+SUMPRODUCT($F298:$F308,AN298:AN308)</f>
        <v>0.32851417302102698</v>
      </c>
      <c r="AO297" s="402">
        <f t="shared" ref="AO297" si="717">+SUMPRODUCT($F298:$F308,AO298:AO308)</f>
        <v>0.32851417302102698</v>
      </c>
      <c r="AP297" s="402">
        <f t="shared" ref="AP297" si="718">+SUMPRODUCT($F298:$F308,AP298:AP308)</f>
        <v>0.32851417302102698</v>
      </c>
    </row>
    <row r="298" spans="1:42" s="140" customFormat="1" ht="26.25" hidden="1" customHeight="1" outlineLevel="4" thickBot="1">
      <c r="A298" s="216"/>
      <c r="B298" s="255" t="s">
        <v>484</v>
      </c>
      <c r="C298" s="245" t="s">
        <v>99</v>
      </c>
      <c r="D298" s="227" t="s">
        <v>100</v>
      </c>
      <c r="E298" s="241"/>
      <c r="F298" s="228">
        <f t="shared" si="649"/>
        <v>5.8885812178438031E-2</v>
      </c>
      <c r="G298" s="269">
        <f>+F298*G297</f>
        <v>1.7497629402091916E-5</v>
      </c>
      <c r="H298" s="299"/>
      <c r="I298" s="299"/>
      <c r="J298" s="299"/>
      <c r="K298" s="299"/>
      <c r="L298" s="299"/>
      <c r="M298" s="299"/>
      <c r="N298" s="272">
        <v>1</v>
      </c>
      <c r="O298" s="272">
        <v>1</v>
      </c>
      <c r="P298" s="272">
        <v>1</v>
      </c>
      <c r="Q298" s="272">
        <v>1</v>
      </c>
      <c r="R298" s="372">
        <v>1</v>
      </c>
      <c r="S298" s="395">
        <v>1</v>
      </c>
      <c r="T298" s="272">
        <v>1</v>
      </c>
      <c r="U298" s="272">
        <v>1</v>
      </c>
      <c r="V298" s="272">
        <v>1</v>
      </c>
      <c r="W298" s="272">
        <v>1</v>
      </c>
      <c r="X298" s="272">
        <v>1</v>
      </c>
      <c r="Y298" s="272">
        <v>1</v>
      </c>
      <c r="Z298" s="272">
        <v>1</v>
      </c>
      <c r="AA298" s="272">
        <v>1</v>
      </c>
      <c r="AB298" s="272">
        <v>1</v>
      </c>
      <c r="AC298" s="272">
        <v>1</v>
      </c>
      <c r="AD298" s="396">
        <v>1</v>
      </c>
      <c r="AE298" s="396">
        <v>1</v>
      </c>
      <c r="AF298" s="396">
        <v>1</v>
      </c>
      <c r="AG298" s="396">
        <v>1</v>
      </c>
      <c r="AH298" s="396">
        <v>1</v>
      </c>
      <c r="AI298" s="396">
        <v>1</v>
      </c>
      <c r="AJ298" s="396">
        <v>1</v>
      </c>
      <c r="AK298" s="396">
        <v>1</v>
      </c>
      <c r="AL298" s="396">
        <v>1</v>
      </c>
      <c r="AM298" s="396">
        <v>1</v>
      </c>
      <c r="AN298" s="396">
        <v>1</v>
      </c>
      <c r="AO298" s="396">
        <v>1</v>
      </c>
      <c r="AP298" s="396">
        <v>1</v>
      </c>
    </row>
    <row r="299" spans="1:42" s="140" customFormat="1" ht="26.25" hidden="1" customHeight="1" outlineLevel="4" thickBot="1">
      <c r="A299" s="216"/>
      <c r="B299" s="255" t="s">
        <v>485</v>
      </c>
      <c r="C299" s="245" t="s">
        <v>102</v>
      </c>
      <c r="D299" s="227" t="s">
        <v>103</v>
      </c>
      <c r="E299" s="241"/>
      <c r="F299" s="228">
        <f t="shared" si="649"/>
        <v>9.5476860808951347E-2</v>
      </c>
      <c r="G299" s="269">
        <f>+F299*G297</f>
        <v>2.83704794942417E-5</v>
      </c>
      <c r="H299" s="299"/>
      <c r="I299" s="299"/>
      <c r="J299" s="299"/>
      <c r="K299" s="299"/>
      <c r="L299" s="299"/>
      <c r="M299" s="299"/>
      <c r="N299" s="272">
        <v>1</v>
      </c>
      <c r="O299" s="272">
        <v>1</v>
      </c>
      <c r="P299" s="272">
        <v>1</v>
      </c>
      <c r="Q299" s="272">
        <v>1</v>
      </c>
      <c r="R299" s="372">
        <v>1</v>
      </c>
      <c r="S299" s="395">
        <v>1</v>
      </c>
      <c r="T299" s="272">
        <v>1</v>
      </c>
      <c r="U299" s="272">
        <v>1</v>
      </c>
      <c r="V299" s="272">
        <v>1</v>
      </c>
      <c r="W299" s="272">
        <v>1</v>
      </c>
      <c r="X299" s="272">
        <v>1</v>
      </c>
      <c r="Y299" s="272">
        <v>1</v>
      </c>
      <c r="Z299" s="272">
        <v>1</v>
      </c>
      <c r="AA299" s="272">
        <v>1</v>
      </c>
      <c r="AB299" s="272">
        <v>1</v>
      </c>
      <c r="AC299" s="272">
        <v>1</v>
      </c>
      <c r="AD299" s="396">
        <v>1</v>
      </c>
      <c r="AE299" s="396">
        <v>1</v>
      </c>
      <c r="AF299" s="396">
        <v>1</v>
      </c>
      <c r="AG299" s="396">
        <v>1</v>
      </c>
      <c r="AH299" s="396">
        <v>1</v>
      </c>
      <c r="AI299" s="396">
        <v>1</v>
      </c>
      <c r="AJ299" s="396">
        <v>1</v>
      </c>
      <c r="AK299" s="396">
        <v>1</v>
      </c>
      <c r="AL299" s="396">
        <v>1</v>
      </c>
      <c r="AM299" s="396">
        <v>1</v>
      </c>
      <c r="AN299" s="396">
        <v>1</v>
      </c>
      <c r="AO299" s="396">
        <v>1</v>
      </c>
      <c r="AP299" s="396">
        <v>1</v>
      </c>
    </row>
    <row r="300" spans="1:42" s="140" customFormat="1" ht="26.25" hidden="1" customHeight="1" outlineLevel="4" thickBot="1">
      <c r="A300" s="216"/>
      <c r="B300" s="255" t="s">
        <v>486</v>
      </c>
      <c r="C300" s="245" t="s">
        <v>105</v>
      </c>
      <c r="D300" s="340" t="s">
        <v>106</v>
      </c>
      <c r="E300" s="334"/>
      <c r="F300" s="228">
        <f t="shared" si="649"/>
        <v>7.7851641421759807E-2</v>
      </c>
      <c r="G300" s="269">
        <f>+F300*G297</f>
        <v>2.3133232259999282E-5</v>
      </c>
      <c r="H300" s="299"/>
      <c r="I300" s="299"/>
      <c r="J300" s="299"/>
      <c r="K300" s="299"/>
      <c r="L300" s="299"/>
      <c r="M300" s="299"/>
      <c r="N300" s="336">
        <v>1</v>
      </c>
      <c r="O300" s="336">
        <v>1</v>
      </c>
      <c r="P300" s="336">
        <v>1</v>
      </c>
      <c r="Q300" s="336">
        <v>1</v>
      </c>
      <c r="R300" s="373">
        <v>1</v>
      </c>
      <c r="S300" s="397">
        <v>1</v>
      </c>
      <c r="T300" s="336">
        <v>1</v>
      </c>
      <c r="U300" s="336">
        <v>1</v>
      </c>
      <c r="V300" s="336">
        <v>1</v>
      </c>
      <c r="W300" s="336">
        <v>1</v>
      </c>
      <c r="X300" s="336">
        <v>1</v>
      </c>
      <c r="Y300" s="336">
        <v>1</v>
      </c>
      <c r="Z300" s="336">
        <v>1</v>
      </c>
      <c r="AA300" s="336">
        <v>1</v>
      </c>
      <c r="AB300" s="336">
        <v>1</v>
      </c>
      <c r="AC300" s="336">
        <v>1</v>
      </c>
      <c r="AD300" s="398">
        <v>1</v>
      </c>
      <c r="AE300" s="398">
        <v>1</v>
      </c>
      <c r="AF300" s="398">
        <v>1</v>
      </c>
      <c r="AG300" s="398">
        <v>1</v>
      </c>
      <c r="AH300" s="398">
        <v>1</v>
      </c>
      <c r="AI300" s="398">
        <v>1</v>
      </c>
      <c r="AJ300" s="398">
        <v>1</v>
      </c>
      <c r="AK300" s="398">
        <v>1</v>
      </c>
      <c r="AL300" s="398">
        <v>1</v>
      </c>
      <c r="AM300" s="398">
        <v>1</v>
      </c>
      <c r="AN300" s="398">
        <v>1</v>
      </c>
      <c r="AO300" s="398">
        <v>1</v>
      </c>
      <c r="AP300" s="398">
        <v>1</v>
      </c>
    </row>
    <row r="301" spans="1:42" s="140" customFormat="1" ht="26.25" hidden="1" customHeight="1" outlineLevel="4" thickBot="1">
      <c r="A301" s="216"/>
      <c r="B301" s="255" t="s">
        <v>487</v>
      </c>
      <c r="C301" s="245" t="s">
        <v>108</v>
      </c>
      <c r="D301" s="340" t="s">
        <v>109</v>
      </c>
      <c r="E301" s="334"/>
      <c r="F301" s="228">
        <f t="shared" si="649"/>
        <v>9.6299858611877787E-2</v>
      </c>
      <c r="G301" s="269">
        <f>+F301*G297</f>
        <v>2.8615029242671862E-5</v>
      </c>
      <c r="H301" s="299"/>
      <c r="I301" s="299"/>
      <c r="J301" s="299"/>
      <c r="K301" s="299"/>
      <c r="L301" s="299"/>
      <c r="M301" s="299"/>
      <c r="N301" s="336">
        <v>1</v>
      </c>
      <c r="O301" s="336">
        <v>1</v>
      </c>
      <c r="P301" s="336">
        <v>1</v>
      </c>
      <c r="Q301" s="336">
        <v>1</v>
      </c>
      <c r="R301" s="373">
        <v>1</v>
      </c>
      <c r="S301" s="397">
        <v>1</v>
      </c>
      <c r="T301" s="336">
        <v>1</v>
      </c>
      <c r="U301" s="336">
        <v>1</v>
      </c>
      <c r="V301" s="336">
        <v>1</v>
      </c>
      <c r="W301" s="336">
        <v>1</v>
      </c>
      <c r="X301" s="336">
        <v>1</v>
      </c>
      <c r="Y301" s="336">
        <v>1</v>
      </c>
      <c r="Z301" s="336">
        <v>1</v>
      </c>
      <c r="AA301" s="336">
        <v>1</v>
      </c>
      <c r="AB301" s="336">
        <v>1</v>
      </c>
      <c r="AC301" s="336">
        <v>1</v>
      </c>
      <c r="AD301" s="398">
        <v>1</v>
      </c>
      <c r="AE301" s="398">
        <v>1</v>
      </c>
      <c r="AF301" s="398">
        <v>1</v>
      </c>
      <c r="AG301" s="398">
        <v>1</v>
      </c>
      <c r="AH301" s="398">
        <v>1</v>
      </c>
      <c r="AI301" s="398">
        <v>1</v>
      </c>
      <c r="AJ301" s="398">
        <v>1</v>
      </c>
      <c r="AK301" s="398">
        <v>1</v>
      </c>
      <c r="AL301" s="398">
        <v>1</v>
      </c>
      <c r="AM301" s="398">
        <v>1</v>
      </c>
      <c r="AN301" s="398">
        <v>1</v>
      </c>
      <c r="AO301" s="398">
        <v>1</v>
      </c>
      <c r="AP301" s="398">
        <v>1</v>
      </c>
    </row>
    <row r="302" spans="1:42" s="140" customFormat="1" ht="39" hidden="1" customHeight="1" outlineLevel="4" thickBot="1">
      <c r="A302" s="216"/>
      <c r="B302" s="255" t="s">
        <v>488</v>
      </c>
      <c r="C302" s="245" t="s">
        <v>111</v>
      </c>
      <c r="D302" s="340" t="s">
        <v>112</v>
      </c>
      <c r="E302" s="334"/>
      <c r="F302" s="228">
        <f t="shared" si="649"/>
        <v>0.2149063701910354</v>
      </c>
      <c r="G302" s="269">
        <f>+F302*G297</f>
        <v>6.3858370677757637E-5</v>
      </c>
      <c r="H302" s="299"/>
      <c r="I302" s="299"/>
      <c r="J302" s="299"/>
      <c r="K302" s="299"/>
      <c r="L302" s="299"/>
      <c r="M302" s="299"/>
      <c r="N302" s="336">
        <v>0</v>
      </c>
      <c r="O302" s="336">
        <v>0</v>
      </c>
      <c r="P302" s="336">
        <v>0</v>
      </c>
      <c r="Q302" s="336">
        <v>0</v>
      </c>
      <c r="R302" s="373">
        <v>0</v>
      </c>
      <c r="S302" s="397">
        <v>0</v>
      </c>
      <c r="T302" s="336">
        <v>0</v>
      </c>
      <c r="U302" s="336">
        <v>0</v>
      </c>
      <c r="V302" s="336">
        <v>0</v>
      </c>
      <c r="W302" s="336">
        <v>0</v>
      </c>
      <c r="X302" s="336">
        <v>0</v>
      </c>
      <c r="Y302" s="336">
        <v>0</v>
      </c>
      <c r="Z302" s="336">
        <v>0</v>
      </c>
      <c r="AA302" s="336">
        <v>0</v>
      </c>
      <c r="AB302" s="336">
        <v>0</v>
      </c>
      <c r="AC302" s="336">
        <v>0</v>
      </c>
      <c r="AD302" s="398">
        <v>0</v>
      </c>
      <c r="AE302" s="398">
        <v>0</v>
      </c>
      <c r="AF302" s="398">
        <v>0</v>
      </c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</row>
    <row r="303" spans="1:42" s="140" customFormat="1" ht="39" hidden="1" customHeight="1" outlineLevel="4" thickBot="1">
      <c r="A303" s="216"/>
      <c r="B303" s="255" t="s">
        <v>489</v>
      </c>
      <c r="C303" s="245" t="s">
        <v>114</v>
      </c>
      <c r="D303" s="340" t="s">
        <v>115</v>
      </c>
      <c r="E303" s="334"/>
      <c r="F303" s="228">
        <f t="shared" si="649"/>
        <v>0.11738040352185054</v>
      </c>
      <c r="G303" s="269">
        <f>+F303*G297</f>
        <v>3.4879009457653461E-5</v>
      </c>
      <c r="H303" s="299"/>
      <c r="I303" s="299"/>
      <c r="J303" s="299"/>
      <c r="K303" s="299"/>
      <c r="L303" s="299"/>
      <c r="M303" s="299"/>
      <c r="N303" s="336">
        <v>0</v>
      </c>
      <c r="O303" s="336">
        <v>0</v>
      </c>
      <c r="P303" s="336">
        <v>0</v>
      </c>
      <c r="Q303" s="336">
        <v>0</v>
      </c>
      <c r="R303" s="373">
        <v>0</v>
      </c>
      <c r="S303" s="397">
        <v>0</v>
      </c>
      <c r="T303" s="336">
        <v>0</v>
      </c>
      <c r="U303" s="336">
        <v>0</v>
      </c>
      <c r="V303" s="336">
        <v>0</v>
      </c>
      <c r="W303" s="336">
        <v>0</v>
      </c>
      <c r="X303" s="336">
        <v>0</v>
      </c>
      <c r="Y303" s="336">
        <v>0</v>
      </c>
      <c r="Z303" s="336">
        <v>0</v>
      </c>
      <c r="AA303" s="336">
        <v>0</v>
      </c>
      <c r="AB303" s="336">
        <v>0</v>
      </c>
      <c r="AC303" s="336">
        <v>0</v>
      </c>
      <c r="AD303" s="398">
        <v>0</v>
      </c>
      <c r="AE303" s="398">
        <v>0</v>
      </c>
      <c r="AF303" s="398">
        <v>0</v>
      </c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</row>
    <row r="304" spans="1:42" s="140" customFormat="1" ht="39" hidden="1" customHeight="1" outlineLevel="4" thickBot="1">
      <c r="A304" s="216"/>
      <c r="B304" s="255" t="s">
        <v>490</v>
      </c>
      <c r="C304" s="245" t="s">
        <v>117</v>
      </c>
      <c r="D304" s="340" t="s">
        <v>118</v>
      </c>
      <c r="E304" s="334"/>
      <c r="F304" s="228">
        <f t="shared" si="649"/>
        <v>0.11930471289964986</v>
      </c>
      <c r="G304" s="269">
        <f>+F304*G297</f>
        <v>3.5450808522692625E-5</v>
      </c>
      <c r="H304" s="299"/>
      <c r="I304" s="299"/>
      <c r="J304" s="299"/>
      <c r="K304" s="299"/>
      <c r="L304" s="299"/>
      <c r="M304" s="299"/>
      <c r="N304" s="336">
        <v>0</v>
      </c>
      <c r="O304" s="336">
        <v>0</v>
      </c>
      <c r="P304" s="336">
        <v>0</v>
      </c>
      <c r="Q304" s="336">
        <v>0</v>
      </c>
      <c r="R304" s="373">
        <v>0</v>
      </c>
      <c r="S304" s="397">
        <v>0</v>
      </c>
      <c r="T304" s="336">
        <v>0</v>
      </c>
      <c r="U304" s="336">
        <v>0</v>
      </c>
      <c r="V304" s="336">
        <v>0</v>
      </c>
      <c r="W304" s="336">
        <v>0</v>
      </c>
      <c r="X304" s="336">
        <v>0</v>
      </c>
      <c r="Y304" s="336">
        <v>0</v>
      </c>
      <c r="Z304" s="336">
        <v>0</v>
      </c>
      <c r="AA304" s="336">
        <v>0</v>
      </c>
      <c r="AB304" s="336">
        <v>0</v>
      </c>
      <c r="AC304" s="336">
        <v>0</v>
      </c>
      <c r="AD304" s="398">
        <v>0</v>
      </c>
      <c r="AE304" s="398">
        <v>0</v>
      </c>
      <c r="AF304" s="398">
        <v>0</v>
      </c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</row>
    <row r="305" spans="1:42" s="140" customFormat="1" ht="39" hidden="1" customHeight="1" outlineLevel="4" thickBot="1">
      <c r="A305" s="216"/>
      <c r="B305" s="255" t="s">
        <v>491</v>
      </c>
      <c r="C305" s="245" t="s">
        <v>120</v>
      </c>
      <c r="D305" s="340" t="s">
        <v>121</v>
      </c>
      <c r="E305" s="334"/>
      <c r="F305" s="228">
        <f t="shared" si="649"/>
        <v>0.19167132064328818</v>
      </c>
      <c r="G305" s="269">
        <f>+F305*G297</f>
        <v>5.6954190008672937E-5</v>
      </c>
      <c r="H305" s="299"/>
      <c r="I305" s="299"/>
      <c r="J305" s="299"/>
      <c r="K305" s="299"/>
      <c r="L305" s="299"/>
      <c r="M305" s="299"/>
      <c r="N305" s="336">
        <v>0</v>
      </c>
      <c r="O305" s="336">
        <v>0</v>
      </c>
      <c r="P305" s="336">
        <v>0</v>
      </c>
      <c r="Q305" s="336">
        <v>0</v>
      </c>
      <c r="R305" s="373">
        <v>0</v>
      </c>
      <c r="S305" s="397">
        <v>0</v>
      </c>
      <c r="T305" s="336">
        <v>0</v>
      </c>
      <c r="U305" s="336">
        <v>0</v>
      </c>
      <c r="V305" s="336">
        <v>0</v>
      </c>
      <c r="W305" s="336">
        <v>0</v>
      </c>
      <c r="X305" s="336">
        <v>0</v>
      </c>
      <c r="Y305" s="336">
        <v>0</v>
      </c>
      <c r="Z305" s="336">
        <v>0</v>
      </c>
      <c r="AA305" s="336">
        <v>0</v>
      </c>
      <c r="AB305" s="336">
        <v>0</v>
      </c>
      <c r="AC305" s="336">
        <v>0</v>
      </c>
      <c r="AD305" s="398">
        <v>0</v>
      </c>
      <c r="AE305" s="398">
        <v>0</v>
      </c>
      <c r="AF305" s="398">
        <v>0</v>
      </c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</row>
    <row r="306" spans="1:42" s="140" customFormat="1" ht="26.25" hidden="1" customHeight="1" outlineLevel="4" thickBot="1">
      <c r="A306" s="216"/>
      <c r="B306" s="255" t="s">
        <v>492</v>
      </c>
      <c r="C306" s="245" t="s">
        <v>123</v>
      </c>
      <c r="D306" s="227" t="s">
        <v>124</v>
      </c>
      <c r="E306" s="241"/>
      <c r="F306" s="228">
        <f t="shared" si="649"/>
        <v>5.2427274764052581E-3</v>
      </c>
      <c r="G306" s="269">
        <f>+F306*G297</f>
        <v>1.5578506781960311E-6</v>
      </c>
      <c r="H306" s="299"/>
      <c r="I306" s="299"/>
      <c r="J306" s="299"/>
      <c r="K306" s="299"/>
      <c r="L306" s="299"/>
      <c r="M306" s="299"/>
      <c r="N306" s="272"/>
      <c r="O306" s="272"/>
      <c r="P306" s="272"/>
      <c r="Q306" s="272"/>
      <c r="R306" s="372"/>
      <c r="S306" s="395"/>
      <c r="T306" s="272"/>
      <c r="U306" s="272"/>
      <c r="V306" s="272"/>
      <c r="W306" s="272"/>
      <c r="X306" s="272"/>
      <c r="Y306" s="272"/>
      <c r="Z306" s="272"/>
      <c r="AA306" s="272"/>
      <c r="AB306" s="272"/>
      <c r="AC306" s="272"/>
      <c r="AD306" s="396"/>
      <c r="AE306" s="396"/>
      <c r="AF306" s="396"/>
      <c r="AG306" s="396"/>
      <c r="AH306" s="396"/>
      <c r="AI306" s="396"/>
      <c r="AJ306" s="396"/>
      <c r="AK306" s="396"/>
      <c r="AL306" s="396"/>
      <c r="AM306" s="396"/>
      <c r="AN306" s="396"/>
      <c r="AO306" s="396"/>
      <c r="AP306" s="396"/>
    </row>
    <row r="307" spans="1:42" s="140" customFormat="1" ht="26.25" hidden="1" customHeight="1" outlineLevel="4" thickBot="1">
      <c r="A307" s="216"/>
      <c r="B307" s="255" t="s">
        <v>493</v>
      </c>
      <c r="C307" s="245" t="s">
        <v>126</v>
      </c>
      <c r="D307" s="227" t="s">
        <v>127</v>
      </c>
      <c r="E307" s="241"/>
      <c r="F307" s="228">
        <f>F869</f>
        <v>0</v>
      </c>
      <c r="G307" s="269">
        <f>+F307*G297</f>
        <v>0</v>
      </c>
      <c r="H307" s="299"/>
      <c r="I307" s="299"/>
      <c r="J307" s="299"/>
      <c r="K307" s="299"/>
      <c r="L307" s="299"/>
      <c r="M307" s="299"/>
      <c r="N307" s="272"/>
      <c r="O307" s="272"/>
      <c r="P307" s="272"/>
      <c r="Q307" s="272"/>
      <c r="R307" s="372"/>
      <c r="S307" s="395"/>
      <c r="T307" s="272"/>
      <c r="U307" s="272"/>
      <c r="V307" s="272"/>
      <c r="W307" s="272"/>
      <c r="X307" s="272"/>
      <c r="Y307" s="272"/>
      <c r="Z307" s="272"/>
      <c r="AA307" s="272"/>
      <c r="AB307" s="272"/>
      <c r="AC307" s="272"/>
      <c r="AD307" s="396"/>
      <c r="AE307" s="396"/>
      <c r="AF307" s="396"/>
      <c r="AG307" s="396"/>
      <c r="AH307" s="396"/>
      <c r="AI307" s="396"/>
      <c r="AJ307" s="396"/>
      <c r="AK307" s="396"/>
      <c r="AL307" s="396"/>
      <c r="AM307" s="396"/>
      <c r="AN307" s="396"/>
      <c r="AO307" s="396"/>
      <c r="AP307" s="396"/>
    </row>
    <row r="308" spans="1:42" s="140" customFormat="1" ht="39" hidden="1" customHeight="1" outlineLevel="4" thickBot="1">
      <c r="A308" s="216"/>
      <c r="B308" s="255" t="s">
        <v>494</v>
      </c>
      <c r="C308" s="245" t="s">
        <v>129</v>
      </c>
      <c r="D308" s="227" t="s">
        <v>130</v>
      </c>
      <c r="E308" s="241"/>
      <c r="F308" s="228">
        <f>F870</f>
        <v>2.2980292246743819E-2</v>
      </c>
      <c r="G308" s="269">
        <f>+F308*G297</f>
        <v>6.8284807903613332E-6</v>
      </c>
      <c r="H308" s="299"/>
      <c r="I308" s="299"/>
      <c r="J308" s="299"/>
      <c r="K308" s="299"/>
      <c r="L308" s="299"/>
      <c r="M308" s="299"/>
      <c r="N308" s="272"/>
      <c r="O308" s="272"/>
      <c r="P308" s="272"/>
      <c r="Q308" s="272"/>
      <c r="R308" s="372"/>
      <c r="S308" s="395"/>
      <c r="T308" s="272"/>
      <c r="U308" s="272"/>
      <c r="V308" s="272"/>
      <c r="W308" s="272"/>
      <c r="X308" s="272"/>
      <c r="Y308" s="272"/>
      <c r="Z308" s="272"/>
      <c r="AA308" s="272"/>
      <c r="AB308" s="272"/>
      <c r="AC308" s="272"/>
      <c r="AD308" s="396"/>
      <c r="AE308" s="396"/>
      <c r="AF308" s="396"/>
      <c r="AG308" s="396"/>
      <c r="AH308" s="396"/>
      <c r="AI308" s="396"/>
      <c r="AJ308" s="396"/>
      <c r="AK308" s="396"/>
      <c r="AL308" s="396"/>
      <c r="AM308" s="396"/>
      <c r="AN308" s="396"/>
      <c r="AO308" s="396"/>
      <c r="AP308" s="396"/>
    </row>
    <row r="309" spans="1:42" s="140" customFormat="1" ht="26.25" hidden="1" customHeight="1" outlineLevel="3" thickBot="1">
      <c r="B309" s="301" t="s">
        <v>495</v>
      </c>
      <c r="C309" s="251"/>
      <c r="D309" s="236" t="s">
        <v>133</v>
      </c>
      <c r="E309" s="242"/>
      <c r="F309" s="232">
        <f>F871</f>
        <v>0.15364965195292599</v>
      </c>
      <c r="G309" s="232">
        <f>+F309*G296</f>
        <v>2.2112734463692354E-4</v>
      </c>
      <c r="H309" s="321"/>
      <c r="I309" s="321"/>
      <c r="J309" s="321"/>
      <c r="K309" s="321"/>
      <c r="L309" s="321"/>
      <c r="M309" s="321"/>
      <c r="N309" s="274">
        <f t="shared" ref="N309:R309" si="719">+SUMPRODUCT($F310:$F316,N310:N316)</f>
        <v>0.40775907168993258</v>
      </c>
      <c r="O309" s="274">
        <f t="shared" si="719"/>
        <v>0.40775907168993258</v>
      </c>
      <c r="P309" s="274">
        <f t="shared" si="719"/>
        <v>0.40775907168993258</v>
      </c>
      <c r="Q309" s="274">
        <f t="shared" si="719"/>
        <v>0.40775907168993258</v>
      </c>
      <c r="R309" s="375">
        <f t="shared" si="719"/>
        <v>0.40775907168993258</v>
      </c>
      <c r="S309" s="401">
        <f t="shared" ref="S309" si="720">+SUMPRODUCT($F310:$F316,S310:S316)</f>
        <v>0.40775907168993258</v>
      </c>
      <c r="T309" s="274">
        <f t="shared" ref="T309" si="721">+SUMPRODUCT($F310:$F316,T310:T316)</f>
        <v>0.40775907168993258</v>
      </c>
      <c r="U309" s="274">
        <f t="shared" ref="U309" si="722">+SUMPRODUCT($F310:$F316,U310:U316)</f>
        <v>0.40775907168993258</v>
      </c>
      <c r="V309" s="274">
        <f t="shared" ref="V309" si="723">+SUMPRODUCT($F310:$F316,V310:V316)</f>
        <v>0.40775907168993258</v>
      </c>
      <c r="W309" s="274">
        <f t="shared" ref="W309" si="724">+SUMPRODUCT($F310:$F316,W310:W316)</f>
        <v>0.40775907168993258</v>
      </c>
      <c r="X309" s="274">
        <f t="shared" ref="X309" si="725">+SUMPRODUCT($F310:$F316,X310:X316)</f>
        <v>0.40775907168993258</v>
      </c>
      <c r="Y309" s="274">
        <f t="shared" ref="Y309" si="726">+SUMPRODUCT($F310:$F316,Y310:Y316)</f>
        <v>0.40775907168993258</v>
      </c>
      <c r="Z309" s="274">
        <f t="shared" ref="Z309" si="727">+SUMPRODUCT($F310:$F316,Z310:Z316)</f>
        <v>0.40775907168993258</v>
      </c>
      <c r="AA309" s="274">
        <f t="shared" ref="AA309" si="728">+SUMPRODUCT($F310:$F316,AA310:AA316)</f>
        <v>0.40775907168993258</v>
      </c>
      <c r="AB309" s="274">
        <f t="shared" ref="AB309" si="729">+SUMPRODUCT($F310:$F316,AB310:AB316)</f>
        <v>0.40775907168993258</v>
      </c>
      <c r="AC309" s="274">
        <f t="shared" ref="AC309" si="730">+SUMPRODUCT($F310:$F316,AC310:AC316)</f>
        <v>0.40775907168993258</v>
      </c>
      <c r="AD309" s="402">
        <f t="shared" ref="AD309:AF309" si="731">+SUMPRODUCT($F310:$F316,AD310:AD316)</f>
        <v>0.40775907168993258</v>
      </c>
      <c r="AE309" s="402">
        <f t="shared" si="731"/>
        <v>0.40775907168993258</v>
      </c>
      <c r="AF309" s="402">
        <f t="shared" si="731"/>
        <v>0.40775907168993258</v>
      </c>
      <c r="AG309" s="402">
        <f t="shared" ref="AG309" si="732">+SUMPRODUCT($F310:$F316,AG310:AG316)</f>
        <v>0.40775907168993258</v>
      </c>
      <c r="AH309" s="402">
        <f t="shared" ref="AH309" si="733">+SUMPRODUCT($F310:$F316,AH310:AH316)</f>
        <v>0.40775907168993258</v>
      </c>
      <c r="AI309" s="402">
        <f t="shared" ref="AI309" si="734">+SUMPRODUCT($F310:$F316,AI310:AI316)</f>
        <v>0.40775907168993258</v>
      </c>
      <c r="AJ309" s="402">
        <f t="shared" ref="AJ309" si="735">+SUMPRODUCT($F310:$F316,AJ310:AJ316)</f>
        <v>0.40775907168993258</v>
      </c>
      <c r="AK309" s="402">
        <f t="shared" ref="AK309" si="736">+SUMPRODUCT($F310:$F316,AK310:AK316)</f>
        <v>0.40775907168993258</v>
      </c>
      <c r="AL309" s="402">
        <f t="shared" ref="AL309" si="737">+SUMPRODUCT($F310:$F316,AL310:AL316)</f>
        <v>0.40775907168993258</v>
      </c>
      <c r="AM309" s="402">
        <f t="shared" ref="AM309" si="738">+SUMPRODUCT($F310:$F316,AM310:AM316)</f>
        <v>0.40775907168993258</v>
      </c>
      <c r="AN309" s="402">
        <f t="shared" ref="AN309" si="739">+SUMPRODUCT($F310:$F316,AN310:AN316)</f>
        <v>0.40775907168993258</v>
      </c>
      <c r="AO309" s="402">
        <f t="shared" ref="AO309" si="740">+SUMPRODUCT($F310:$F316,AO310:AO316)</f>
        <v>0.40775907168993258</v>
      </c>
      <c r="AP309" s="402">
        <f t="shared" ref="AP309" si="741">+SUMPRODUCT($F310:$F316,AP310:AP316)</f>
        <v>0.40775907168993258</v>
      </c>
    </row>
    <row r="310" spans="1:42" s="140" customFormat="1" ht="26.25" hidden="1" customHeight="1" outlineLevel="4" thickBot="1">
      <c r="A310" s="216"/>
      <c r="B310" s="255" t="s">
        <v>496</v>
      </c>
      <c r="C310" s="245" t="s">
        <v>135</v>
      </c>
      <c r="D310" s="227" t="s">
        <v>136</v>
      </c>
      <c r="E310" s="241"/>
      <c r="F310" s="228">
        <f>F872</f>
        <v>7.1676986389805894E-2</v>
      </c>
      <c r="G310" s="269">
        <f>+F310*G309</f>
        <v>1.5849741671954687E-5</v>
      </c>
      <c r="H310" s="299"/>
      <c r="I310" s="299"/>
      <c r="J310" s="299"/>
      <c r="K310" s="299"/>
      <c r="L310" s="299"/>
      <c r="M310" s="299"/>
      <c r="N310" s="336">
        <v>1</v>
      </c>
      <c r="O310" s="336">
        <v>1</v>
      </c>
      <c r="P310" s="336">
        <v>1</v>
      </c>
      <c r="Q310" s="336">
        <v>1</v>
      </c>
      <c r="R310" s="373">
        <v>1</v>
      </c>
      <c r="S310" s="397">
        <v>1</v>
      </c>
      <c r="T310" s="336">
        <v>1</v>
      </c>
      <c r="U310" s="336">
        <v>1</v>
      </c>
      <c r="V310" s="336">
        <v>1</v>
      </c>
      <c r="W310" s="336">
        <v>1</v>
      </c>
      <c r="X310" s="336">
        <v>1</v>
      </c>
      <c r="Y310" s="336">
        <v>1</v>
      </c>
      <c r="Z310" s="336">
        <v>1</v>
      </c>
      <c r="AA310" s="336">
        <v>1</v>
      </c>
      <c r="AB310" s="336">
        <v>1</v>
      </c>
      <c r="AC310" s="336">
        <v>1</v>
      </c>
      <c r="AD310" s="398">
        <v>1</v>
      </c>
      <c r="AE310" s="398">
        <v>1</v>
      </c>
      <c r="AF310" s="398">
        <v>1</v>
      </c>
      <c r="AG310" s="398">
        <v>1</v>
      </c>
      <c r="AH310" s="398">
        <v>1</v>
      </c>
      <c r="AI310" s="398">
        <v>1</v>
      </c>
      <c r="AJ310" s="398">
        <v>1</v>
      </c>
      <c r="AK310" s="398">
        <v>1</v>
      </c>
      <c r="AL310" s="398">
        <v>1</v>
      </c>
      <c r="AM310" s="398">
        <v>1</v>
      </c>
      <c r="AN310" s="398">
        <v>1</v>
      </c>
      <c r="AO310" s="398">
        <v>1</v>
      </c>
      <c r="AP310" s="398">
        <v>1</v>
      </c>
    </row>
    <row r="311" spans="1:42" s="140" customFormat="1" ht="26.25" hidden="1" customHeight="1" outlineLevel="4" thickBot="1">
      <c r="A311" s="216"/>
      <c r="B311" s="255" t="s">
        <v>497</v>
      </c>
      <c r="C311" s="245" t="s">
        <v>138</v>
      </c>
      <c r="D311" s="227" t="s">
        <v>139</v>
      </c>
      <c r="E311" s="241"/>
      <c r="F311" s="228">
        <f t="shared" ref="F311:F341" si="742">F873</f>
        <v>0.15362856123913068</v>
      </c>
      <c r="G311" s="269">
        <f>+F311*G309</f>
        <v>3.3971475807199966E-5</v>
      </c>
      <c r="H311" s="299"/>
      <c r="I311" s="299"/>
      <c r="J311" s="299"/>
      <c r="K311" s="299"/>
      <c r="L311" s="299"/>
      <c r="M311" s="299"/>
      <c r="N311" s="336">
        <v>1</v>
      </c>
      <c r="O311" s="336">
        <v>1</v>
      </c>
      <c r="P311" s="336">
        <v>1</v>
      </c>
      <c r="Q311" s="336">
        <v>1</v>
      </c>
      <c r="R311" s="373">
        <v>1</v>
      </c>
      <c r="S311" s="397">
        <v>1</v>
      </c>
      <c r="T311" s="336">
        <v>1</v>
      </c>
      <c r="U311" s="336">
        <v>1</v>
      </c>
      <c r="V311" s="336">
        <v>1</v>
      </c>
      <c r="W311" s="336">
        <v>1</v>
      </c>
      <c r="X311" s="336">
        <v>1</v>
      </c>
      <c r="Y311" s="336">
        <v>1</v>
      </c>
      <c r="Z311" s="336">
        <v>1</v>
      </c>
      <c r="AA311" s="336">
        <v>1</v>
      </c>
      <c r="AB311" s="336">
        <v>1</v>
      </c>
      <c r="AC311" s="336">
        <v>1</v>
      </c>
      <c r="AD311" s="398">
        <v>1</v>
      </c>
      <c r="AE311" s="398">
        <v>1</v>
      </c>
      <c r="AF311" s="398">
        <v>1</v>
      </c>
      <c r="AG311" s="398">
        <v>1</v>
      </c>
      <c r="AH311" s="398">
        <v>1</v>
      </c>
      <c r="AI311" s="398">
        <v>1</v>
      </c>
      <c r="AJ311" s="398">
        <v>1</v>
      </c>
      <c r="AK311" s="398">
        <v>1</v>
      </c>
      <c r="AL311" s="398">
        <v>1</v>
      </c>
      <c r="AM311" s="398">
        <v>1</v>
      </c>
      <c r="AN311" s="398">
        <v>1</v>
      </c>
      <c r="AO311" s="398">
        <v>1</v>
      </c>
      <c r="AP311" s="398">
        <v>1</v>
      </c>
    </row>
    <row r="312" spans="1:42" s="140" customFormat="1" ht="26.25" hidden="1" customHeight="1" outlineLevel="4" thickBot="1">
      <c r="A312" s="216"/>
      <c r="B312" s="255" t="s">
        <v>498</v>
      </c>
      <c r="C312" s="245" t="s">
        <v>141</v>
      </c>
      <c r="D312" s="227" t="s">
        <v>142</v>
      </c>
      <c r="E312" s="241"/>
      <c r="F312" s="228">
        <f t="shared" si="742"/>
        <v>0.20080921506999638</v>
      </c>
      <c r="G312" s="269">
        <f>+F312*G309</f>
        <v>4.4404408507053194E-5</v>
      </c>
      <c r="H312" s="299"/>
      <c r="I312" s="299"/>
      <c r="J312" s="299"/>
      <c r="K312" s="299"/>
      <c r="L312" s="299"/>
      <c r="M312" s="299"/>
      <c r="N312" s="336">
        <v>0</v>
      </c>
      <c r="O312" s="336">
        <v>0</v>
      </c>
      <c r="P312" s="336">
        <v>0</v>
      </c>
      <c r="Q312" s="336">
        <v>0</v>
      </c>
      <c r="R312" s="373">
        <v>0</v>
      </c>
      <c r="S312" s="397">
        <v>0</v>
      </c>
      <c r="T312" s="336">
        <v>0</v>
      </c>
      <c r="U312" s="336">
        <v>0</v>
      </c>
      <c r="V312" s="336">
        <v>0</v>
      </c>
      <c r="W312" s="336">
        <v>0</v>
      </c>
      <c r="X312" s="336">
        <v>0</v>
      </c>
      <c r="Y312" s="336">
        <v>0</v>
      </c>
      <c r="Z312" s="336">
        <v>0</v>
      </c>
      <c r="AA312" s="336">
        <v>0</v>
      </c>
      <c r="AB312" s="336">
        <v>0</v>
      </c>
      <c r="AC312" s="336">
        <v>0</v>
      </c>
      <c r="AD312" s="398">
        <v>0</v>
      </c>
      <c r="AE312" s="398">
        <v>0</v>
      </c>
      <c r="AF312" s="398">
        <v>0</v>
      </c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</row>
    <row r="313" spans="1:42" s="140" customFormat="1" ht="26.25" hidden="1" customHeight="1" outlineLevel="4" thickBot="1">
      <c r="A313" s="216"/>
      <c r="B313" s="255" t="s">
        <v>499</v>
      </c>
      <c r="C313" s="245" t="s">
        <v>144</v>
      </c>
      <c r="D313" s="227" t="s">
        <v>145</v>
      </c>
      <c r="E313" s="241"/>
      <c r="F313" s="228">
        <f t="shared" si="742"/>
        <v>0.2365874770023029</v>
      </c>
      <c r="G313" s="269">
        <f>+F313*G309</f>
        <v>5.2315960563868453E-5</v>
      </c>
      <c r="H313" s="299"/>
      <c r="I313" s="299"/>
      <c r="J313" s="299"/>
      <c r="K313" s="299"/>
      <c r="L313" s="299"/>
      <c r="M313" s="299"/>
      <c r="N313" s="336">
        <v>0</v>
      </c>
      <c r="O313" s="336">
        <v>0</v>
      </c>
      <c r="P313" s="336">
        <v>0</v>
      </c>
      <c r="Q313" s="336">
        <v>0</v>
      </c>
      <c r="R313" s="373">
        <v>0</v>
      </c>
      <c r="S313" s="397">
        <v>0</v>
      </c>
      <c r="T313" s="336">
        <v>0</v>
      </c>
      <c r="U313" s="336">
        <v>0</v>
      </c>
      <c r="V313" s="336">
        <v>0</v>
      </c>
      <c r="W313" s="336">
        <v>0</v>
      </c>
      <c r="X313" s="336">
        <v>0</v>
      </c>
      <c r="Y313" s="336">
        <v>0</v>
      </c>
      <c r="Z313" s="336">
        <v>0</v>
      </c>
      <c r="AA313" s="336">
        <v>0</v>
      </c>
      <c r="AB313" s="336">
        <v>0</v>
      </c>
      <c r="AC313" s="336">
        <v>0</v>
      </c>
      <c r="AD313" s="398">
        <v>0</v>
      </c>
      <c r="AE313" s="398">
        <v>0</v>
      </c>
      <c r="AF313" s="398">
        <v>0</v>
      </c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</row>
    <row r="314" spans="1:42" s="140" customFormat="1" ht="13.5" hidden="1" customHeight="1" outlineLevel="4" thickBot="1">
      <c r="A314" s="216"/>
      <c r="B314" s="255" t="s">
        <v>500</v>
      </c>
      <c r="C314" s="245" t="s">
        <v>147</v>
      </c>
      <c r="D314" s="227" t="s">
        <v>148</v>
      </c>
      <c r="E314" s="241"/>
      <c r="F314" s="228">
        <f t="shared" si="742"/>
        <v>0.13605594911200233</v>
      </c>
      <c r="G314" s="269">
        <f>+F314*G309</f>
        <v>3.0085690749193471E-5</v>
      </c>
      <c r="H314" s="299"/>
      <c r="I314" s="299"/>
      <c r="J314" s="299"/>
      <c r="K314" s="299"/>
      <c r="L314" s="299"/>
      <c r="M314" s="299"/>
      <c r="N314" s="336">
        <v>0.8</v>
      </c>
      <c r="O314" s="336">
        <v>0.8</v>
      </c>
      <c r="P314" s="336">
        <v>0.8</v>
      </c>
      <c r="Q314" s="336">
        <v>0.8</v>
      </c>
      <c r="R314" s="373">
        <v>0.8</v>
      </c>
      <c r="S314" s="397">
        <v>0.8</v>
      </c>
      <c r="T314" s="336">
        <v>0.8</v>
      </c>
      <c r="U314" s="336">
        <v>0.8</v>
      </c>
      <c r="V314" s="336">
        <v>0.8</v>
      </c>
      <c r="W314" s="336">
        <v>0.8</v>
      </c>
      <c r="X314" s="336">
        <v>0.8</v>
      </c>
      <c r="Y314" s="336">
        <v>0.8</v>
      </c>
      <c r="Z314" s="336">
        <v>0.8</v>
      </c>
      <c r="AA314" s="336">
        <v>0.8</v>
      </c>
      <c r="AB314" s="336">
        <v>0.8</v>
      </c>
      <c r="AC314" s="336">
        <v>0.8</v>
      </c>
      <c r="AD314" s="398">
        <v>0.8</v>
      </c>
      <c r="AE314" s="398">
        <v>0.8</v>
      </c>
      <c r="AF314" s="398">
        <v>0.8</v>
      </c>
      <c r="AG314" s="398">
        <v>0.8</v>
      </c>
      <c r="AH314" s="398">
        <v>0.8</v>
      </c>
      <c r="AI314" s="398">
        <v>0.8</v>
      </c>
      <c r="AJ314" s="398">
        <v>0.8</v>
      </c>
      <c r="AK314" s="398">
        <v>0.8</v>
      </c>
      <c r="AL314" s="398">
        <v>0.8</v>
      </c>
      <c r="AM314" s="398">
        <v>0.8</v>
      </c>
      <c r="AN314" s="398">
        <v>0.8</v>
      </c>
      <c r="AO314" s="398">
        <v>0.8</v>
      </c>
      <c r="AP314" s="398">
        <v>0.8</v>
      </c>
    </row>
    <row r="315" spans="1:42" s="140" customFormat="1" ht="13.5" hidden="1" customHeight="1" outlineLevel="4" thickBot="1">
      <c r="A315" s="216"/>
      <c r="B315" s="255" t="s">
        <v>501</v>
      </c>
      <c r="C315" s="245" t="s">
        <v>150</v>
      </c>
      <c r="D315" s="227" t="s">
        <v>151</v>
      </c>
      <c r="E315" s="241"/>
      <c r="F315" s="228">
        <f t="shared" si="742"/>
        <v>0.10923085522251913</v>
      </c>
      <c r="G315" s="269">
        <f>+F315*G309</f>
        <v>2.4153928967775887E-5</v>
      </c>
      <c r="H315" s="299"/>
      <c r="I315" s="299"/>
      <c r="J315" s="299"/>
      <c r="K315" s="299"/>
      <c r="L315" s="299"/>
      <c r="M315" s="299"/>
      <c r="N315" s="336"/>
      <c r="O315" s="336"/>
      <c r="P315" s="336"/>
      <c r="Q315" s="336"/>
      <c r="R315" s="373"/>
      <c r="S315" s="397"/>
      <c r="T315" s="336"/>
      <c r="U315" s="336"/>
      <c r="V315" s="336"/>
      <c r="W315" s="336"/>
      <c r="X315" s="336"/>
      <c r="Y315" s="336"/>
      <c r="Z315" s="336"/>
      <c r="AA315" s="336"/>
      <c r="AB315" s="336"/>
      <c r="AC315" s="336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</row>
    <row r="316" spans="1:42" s="140" customFormat="1" ht="26.25" hidden="1" customHeight="1" outlineLevel="4" thickBot="1">
      <c r="A316" s="216"/>
      <c r="B316" s="255" t="s">
        <v>502</v>
      </c>
      <c r="C316" s="245" t="s">
        <v>153</v>
      </c>
      <c r="D316" s="227" t="s">
        <v>154</v>
      </c>
      <c r="E316" s="241"/>
      <c r="F316" s="228">
        <f t="shared" si="742"/>
        <v>9.2010955964242705E-2</v>
      </c>
      <c r="G316" s="269">
        <f>+F316*G309</f>
        <v>2.0346138369877894E-5</v>
      </c>
      <c r="H316" s="299"/>
      <c r="I316" s="299"/>
      <c r="J316" s="299"/>
      <c r="K316" s="299"/>
      <c r="L316" s="299"/>
      <c r="M316" s="299"/>
      <c r="N316" s="336">
        <v>0.8</v>
      </c>
      <c r="O316" s="336">
        <v>0.8</v>
      </c>
      <c r="P316" s="336">
        <v>0.8</v>
      </c>
      <c r="Q316" s="336">
        <v>0.8</v>
      </c>
      <c r="R316" s="373">
        <v>0.8</v>
      </c>
      <c r="S316" s="397">
        <v>0.8</v>
      </c>
      <c r="T316" s="336">
        <v>0.8</v>
      </c>
      <c r="U316" s="336">
        <v>0.8</v>
      </c>
      <c r="V316" s="336">
        <v>0.8</v>
      </c>
      <c r="W316" s="336">
        <v>0.8</v>
      </c>
      <c r="X316" s="336">
        <v>0.8</v>
      </c>
      <c r="Y316" s="336">
        <v>0.8</v>
      </c>
      <c r="Z316" s="336">
        <v>0.8</v>
      </c>
      <c r="AA316" s="336">
        <v>0.8</v>
      </c>
      <c r="AB316" s="336">
        <v>0.8</v>
      </c>
      <c r="AC316" s="336">
        <v>0.8</v>
      </c>
      <c r="AD316" s="398">
        <v>0.8</v>
      </c>
      <c r="AE316" s="398">
        <v>0.8</v>
      </c>
      <c r="AF316" s="398">
        <v>0.8</v>
      </c>
      <c r="AG316" s="398">
        <v>0.8</v>
      </c>
      <c r="AH316" s="398">
        <v>0.8</v>
      </c>
      <c r="AI316" s="398">
        <v>0.8</v>
      </c>
      <c r="AJ316" s="398">
        <v>0.8</v>
      </c>
      <c r="AK316" s="398">
        <v>0.8</v>
      </c>
      <c r="AL316" s="398">
        <v>0.8</v>
      </c>
      <c r="AM316" s="398">
        <v>0.8</v>
      </c>
      <c r="AN316" s="398">
        <v>0.8</v>
      </c>
      <c r="AO316" s="398">
        <v>0.8</v>
      </c>
      <c r="AP316" s="398">
        <v>0.8</v>
      </c>
    </row>
    <row r="317" spans="1:42" s="140" customFormat="1" ht="26.25" hidden="1" customHeight="1" outlineLevel="2" thickBot="1">
      <c r="B317" s="301" t="s">
        <v>503</v>
      </c>
      <c r="C317" s="251"/>
      <c r="D317" s="236" t="s">
        <v>157</v>
      </c>
      <c r="E317" s="242"/>
      <c r="F317" s="232">
        <f t="shared" si="742"/>
        <v>0.15245155571846505</v>
      </c>
      <c r="G317" s="232">
        <f>+F317*G296</f>
        <v>2.1940308535238568E-4</v>
      </c>
      <c r="H317" s="321"/>
      <c r="I317" s="321"/>
      <c r="J317" s="321"/>
      <c r="K317" s="321"/>
      <c r="L317" s="321"/>
      <c r="M317" s="321"/>
      <c r="N317" s="274">
        <f t="shared" ref="N317:R317" si="743">+SUMPRODUCT($F318:$F322,N318:N322)</f>
        <v>0.12524374281515038</v>
      </c>
      <c r="O317" s="274">
        <f t="shared" si="743"/>
        <v>0.12524374281515038</v>
      </c>
      <c r="P317" s="274">
        <f t="shared" si="743"/>
        <v>0.12524374281515038</v>
      </c>
      <c r="Q317" s="274">
        <f t="shared" si="743"/>
        <v>0.12524374281515038</v>
      </c>
      <c r="R317" s="375">
        <f t="shared" si="743"/>
        <v>0.12524374281515038</v>
      </c>
      <c r="S317" s="401">
        <f t="shared" ref="S317" si="744">+SUMPRODUCT($F318:$F322,S318:S322)</f>
        <v>0.12524374281515038</v>
      </c>
      <c r="T317" s="274">
        <f t="shared" ref="T317" si="745">+SUMPRODUCT($F318:$F322,T318:T322)</f>
        <v>0.12524374281515038</v>
      </c>
      <c r="U317" s="274">
        <f t="shared" ref="U317" si="746">+SUMPRODUCT($F318:$F322,U318:U322)</f>
        <v>0.12524374281515038</v>
      </c>
      <c r="V317" s="274">
        <f t="shared" ref="V317" si="747">+SUMPRODUCT($F318:$F322,V318:V322)</f>
        <v>0.12524374281515038</v>
      </c>
      <c r="W317" s="274">
        <f t="shared" ref="W317" si="748">+SUMPRODUCT($F318:$F322,W318:W322)</f>
        <v>0.12524374281515038</v>
      </c>
      <c r="X317" s="274">
        <f t="shared" ref="X317" si="749">+SUMPRODUCT($F318:$F322,X318:X322)</f>
        <v>0.12524374281515038</v>
      </c>
      <c r="Y317" s="274">
        <f t="shared" ref="Y317" si="750">+SUMPRODUCT($F318:$F322,Y318:Y322)</f>
        <v>0.12524374281515038</v>
      </c>
      <c r="Z317" s="274">
        <f t="shared" ref="Z317" si="751">+SUMPRODUCT($F318:$F322,Z318:Z322)</f>
        <v>0.12524374281515038</v>
      </c>
      <c r="AA317" s="274">
        <f t="shared" ref="AA317" si="752">+SUMPRODUCT($F318:$F322,AA318:AA322)</f>
        <v>0.12524374281515038</v>
      </c>
      <c r="AB317" s="274">
        <f t="shared" ref="AB317" si="753">+SUMPRODUCT($F318:$F322,AB318:AB322)</f>
        <v>0.12524374281515038</v>
      </c>
      <c r="AC317" s="274">
        <f t="shared" ref="AC317" si="754">+SUMPRODUCT($F318:$F322,AC318:AC322)</f>
        <v>0.12524374281515038</v>
      </c>
      <c r="AD317" s="402">
        <f t="shared" ref="AD317:AF317" si="755">+SUMPRODUCT($F318:$F322,AD318:AD322)</f>
        <v>0.12524374281515038</v>
      </c>
      <c r="AE317" s="402">
        <f t="shared" si="755"/>
        <v>0.12524374281515038</v>
      </c>
      <c r="AF317" s="402">
        <f t="shared" si="755"/>
        <v>0.12524374281515038</v>
      </c>
      <c r="AG317" s="402">
        <f t="shared" ref="AG317" si="756">+SUMPRODUCT($F318:$F322,AG318:AG322)</f>
        <v>0.12524374281515038</v>
      </c>
      <c r="AH317" s="402">
        <f t="shared" ref="AH317" si="757">+SUMPRODUCT($F318:$F322,AH318:AH322)</f>
        <v>0.12524374281515038</v>
      </c>
      <c r="AI317" s="402">
        <f t="shared" ref="AI317" si="758">+SUMPRODUCT($F318:$F322,AI318:AI322)</f>
        <v>0.12524374281515038</v>
      </c>
      <c r="AJ317" s="402">
        <f t="shared" ref="AJ317" si="759">+SUMPRODUCT($F318:$F322,AJ318:AJ322)</f>
        <v>0.12524374281515038</v>
      </c>
      <c r="AK317" s="402">
        <f t="shared" ref="AK317" si="760">+SUMPRODUCT($F318:$F322,AK318:AK322)</f>
        <v>0.12524374281515038</v>
      </c>
      <c r="AL317" s="402">
        <f t="shared" ref="AL317" si="761">+SUMPRODUCT($F318:$F322,AL318:AL322)</f>
        <v>0.12524374281515038</v>
      </c>
      <c r="AM317" s="402">
        <f t="shared" ref="AM317" si="762">+SUMPRODUCT($F318:$F322,AM318:AM322)</f>
        <v>0.12524374281515038</v>
      </c>
      <c r="AN317" s="402">
        <f t="shared" ref="AN317" si="763">+SUMPRODUCT($F318:$F322,AN318:AN322)</f>
        <v>0.12524374281515038</v>
      </c>
      <c r="AO317" s="402">
        <f t="shared" ref="AO317" si="764">+SUMPRODUCT($F318:$F322,AO318:AO322)</f>
        <v>0.12524374281515038</v>
      </c>
      <c r="AP317" s="402">
        <f t="shared" ref="AP317" si="765">+SUMPRODUCT($F318:$F322,AP318:AP322)</f>
        <v>0.12524374281515038</v>
      </c>
    </row>
    <row r="318" spans="1:42" s="140" customFormat="1" ht="13.5" hidden="1" customHeight="1" outlineLevel="3" thickBot="1">
      <c r="A318" s="216"/>
      <c r="B318" s="255" t="s">
        <v>504</v>
      </c>
      <c r="C318" s="245" t="s">
        <v>181</v>
      </c>
      <c r="D318" s="227" t="s">
        <v>182</v>
      </c>
      <c r="E318" s="241"/>
      <c r="F318" s="228">
        <f t="shared" si="742"/>
        <v>0.81307686435397697</v>
      </c>
      <c r="G318" s="269">
        <f>+F318*G317</f>
        <v>1.7839157266790571E-4</v>
      </c>
      <c r="H318" s="299"/>
      <c r="I318" s="299"/>
      <c r="J318" s="299"/>
      <c r="K318" s="299"/>
      <c r="L318" s="299"/>
      <c r="M318" s="299"/>
      <c r="N318" s="336">
        <v>0</v>
      </c>
      <c r="O318" s="336">
        <v>0</v>
      </c>
      <c r="P318" s="336">
        <v>0</v>
      </c>
      <c r="Q318" s="336">
        <v>0</v>
      </c>
      <c r="R318" s="373">
        <v>0</v>
      </c>
      <c r="S318" s="397">
        <v>0</v>
      </c>
      <c r="T318" s="336">
        <v>0</v>
      </c>
      <c r="U318" s="336">
        <v>0</v>
      </c>
      <c r="V318" s="336">
        <v>0</v>
      </c>
      <c r="W318" s="336">
        <v>0</v>
      </c>
      <c r="X318" s="336">
        <v>0</v>
      </c>
      <c r="Y318" s="336">
        <v>0</v>
      </c>
      <c r="Z318" s="336">
        <v>0</v>
      </c>
      <c r="AA318" s="336">
        <v>0</v>
      </c>
      <c r="AB318" s="336">
        <v>0</v>
      </c>
      <c r="AC318" s="336">
        <v>0</v>
      </c>
      <c r="AD318" s="398">
        <v>0</v>
      </c>
      <c r="AE318" s="398">
        <v>0</v>
      </c>
      <c r="AF318" s="398">
        <v>0</v>
      </c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</row>
    <row r="319" spans="1:42" s="140" customFormat="1" ht="13.5" hidden="1" customHeight="1" outlineLevel="3" thickBot="1">
      <c r="A319" s="216"/>
      <c r="B319" s="255" t="s">
        <v>505</v>
      </c>
      <c r="C319" s="245" t="s">
        <v>159</v>
      </c>
      <c r="D319" s="227" t="s">
        <v>160</v>
      </c>
      <c r="E319" s="241"/>
      <c r="F319" s="228">
        <f t="shared" si="742"/>
        <v>9.3460693266385869E-2</v>
      </c>
      <c r="G319" s="269">
        <f>+F319*G317</f>
        <v>2.0505564461817996E-5</v>
      </c>
      <c r="H319" s="299"/>
      <c r="I319" s="299"/>
      <c r="J319" s="299"/>
      <c r="K319" s="299"/>
      <c r="L319" s="299"/>
      <c r="M319" s="299"/>
      <c r="N319" s="336">
        <v>0.8</v>
      </c>
      <c r="O319" s="336">
        <v>0.8</v>
      </c>
      <c r="P319" s="336">
        <v>0.8</v>
      </c>
      <c r="Q319" s="336">
        <v>0.8</v>
      </c>
      <c r="R319" s="373">
        <v>0.8</v>
      </c>
      <c r="S319" s="397">
        <v>0.8</v>
      </c>
      <c r="T319" s="336">
        <v>0.8</v>
      </c>
      <c r="U319" s="336">
        <v>0.8</v>
      </c>
      <c r="V319" s="336">
        <v>0.8</v>
      </c>
      <c r="W319" s="336">
        <v>0.8</v>
      </c>
      <c r="X319" s="336">
        <v>0.8</v>
      </c>
      <c r="Y319" s="336">
        <v>0.8</v>
      </c>
      <c r="Z319" s="336">
        <v>0.8</v>
      </c>
      <c r="AA319" s="336">
        <v>0.8</v>
      </c>
      <c r="AB319" s="336">
        <v>0.8</v>
      </c>
      <c r="AC319" s="336">
        <v>0.8</v>
      </c>
      <c r="AD319" s="398">
        <v>0.8</v>
      </c>
      <c r="AE319" s="398">
        <v>0.8</v>
      </c>
      <c r="AF319" s="398">
        <v>0.8</v>
      </c>
      <c r="AG319" s="398">
        <v>0.8</v>
      </c>
      <c r="AH319" s="398">
        <v>0.8</v>
      </c>
      <c r="AI319" s="398">
        <v>0.8</v>
      </c>
      <c r="AJ319" s="398">
        <v>0.8</v>
      </c>
      <c r="AK319" s="398">
        <v>0.8</v>
      </c>
      <c r="AL319" s="398">
        <v>0.8</v>
      </c>
      <c r="AM319" s="398">
        <v>0.8</v>
      </c>
      <c r="AN319" s="398">
        <v>0.8</v>
      </c>
      <c r="AO319" s="398">
        <v>0.8</v>
      </c>
      <c r="AP319" s="398">
        <v>0.8</v>
      </c>
    </row>
    <row r="320" spans="1:42" s="140" customFormat="1" ht="26.25" hidden="1" customHeight="1" outlineLevel="3" thickBot="1">
      <c r="A320" s="216"/>
      <c r="B320" s="255" t="s">
        <v>506</v>
      </c>
      <c r="C320" s="245" t="s">
        <v>162</v>
      </c>
      <c r="D320" s="227" t="s">
        <v>163</v>
      </c>
      <c r="E320" s="241"/>
      <c r="F320" s="228">
        <f t="shared" si="742"/>
        <v>3.036845712708507E-2</v>
      </c>
      <c r="G320" s="269">
        <f>+F320*G317</f>
        <v>6.6629331910741111E-6</v>
      </c>
      <c r="H320" s="299"/>
      <c r="I320" s="299"/>
      <c r="J320" s="299"/>
      <c r="K320" s="299"/>
      <c r="L320" s="299"/>
      <c r="M320" s="299"/>
      <c r="N320" s="336">
        <v>0</v>
      </c>
      <c r="O320" s="336">
        <v>0</v>
      </c>
      <c r="P320" s="336">
        <v>0</v>
      </c>
      <c r="Q320" s="336">
        <v>0</v>
      </c>
      <c r="R320" s="373">
        <v>0</v>
      </c>
      <c r="S320" s="397">
        <v>0</v>
      </c>
      <c r="T320" s="336">
        <v>0</v>
      </c>
      <c r="U320" s="336">
        <v>0</v>
      </c>
      <c r="V320" s="336">
        <v>0</v>
      </c>
      <c r="W320" s="336">
        <v>0</v>
      </c>
      <c r="X320" s="336">
        <v>0</v>
      </c>
      <c r="Y320" s="336">
        <v>0</v>
      </c>
      <c r="Z320" s="336">
        <v>0</v>
      </c>
      <c r="AA320" s="336">
        <v>0</v>
      </c>
      <c r="AB320" s="336">
        <v>0</v>
      </c>
      <c r="AC320" s="336">
        <v>0</v>
      </c>
      <c r="AD320" s="398">
        <v>0</v>
      </c>
      <c r="AE320" s="398">
        <v>0</v>
      </c>
      <c r="AF320" s="398">
        <v>0</v>
      </c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</row>
    <row r="321" spans="1:42" s="140" customFormat="1" ht="13.5" hidden="1" customHeight="1" outlineLevel="3" thickBot="1">
      <c r="A321" s="216"/>
      <c r="B321" s="255" t="s">
        <v>507</v>
      </c>
      <c r="C321" s="245" t="s">
        <v>165</v>
      </c>
      <c r="D321" s="227" t="s">
        <v>166</v>
      </c>
      <c r="E321" s="241"/>
      <c r="F321" s="228">
        <f t="shared" si="742"/>
        <v>3.6002086533741685E-2</v>
      </c>
      <c r="G321" s="269">
        <f>+F321*G317</f>
        <v>7.8989688646265018E-6</v>
      </c>
      <c r="H321" s="299"/>
      <c r="I321" s="299"/>
      <c r="J321" s="299"/>
      <c r="K321" s="299"/>
      <c r="L321" s="299"/>
      <c r="M321" s="299"/>
      <c r="N321" s="336">
        <v>0.8</v>
      </c>
      <c r="O321" s="336">
        <v>0.8</v>
      </c>
      <c r="P321" s="336">
        <v>0.8</v>
      </c>
      <c r="Q321" s="336">
        <v>0.8</v>
      </c>
      <c r="R321" s="373">
        <v>0.8</v>
      </c>
      <c r="S321" s="397">
        <v>0.8</v>
      </c>
      <c r="T321" s="336">
        <v>0.8</v>
      </c>
      <c r="U321" s="336">
        <v>0.8</v>
      </c>
      <c r="V321" s="336">
        <v>0.8</v>
      </c>
      <c r="W321" s="336">
        <v>0.8</v>
      </c>
      <c r="X321" s="336">
        <v>0.8</v>
      </c>
      <c r="Y321" s="336">
        <v>0.8</v>
      </c>
      <c r="Z321" s="336">
        <v>0.8</v>
      </c>
      <c r="AA321" s="336">
        <v>0.8</v>
      </c>
      <c r="AB321" s="336">
        <v>0.8</v>
      </c>
      <c r="AC321" s="336">
        <v>0.8</v>
      </c>
      <c r="AD321" s="398">
        <v>0.8</v>
      </c>
      <c r="AE321" s="398">
        <v>0.8</v>
      </c>
      <c r="AF321" s="398">
        <v>0.8</v>
      </c>
      <c r="AG321" s="398">
        <v>0.8</v>
      </c>
      <c r="AH321" s="398">
        <v>0.8</v>
      </c>
      <c r="AI321" s="398">
        <v>0.8</v>
      </c>
      <c r="AJ321" s="398">
        <v>0.8</v>
      </c>
      <c r="AK321" s="398">
        <v>0.8</v>
      </c>
      <c r="AL321" s="398">
        <v>0.8</v>
      </c>
      <c r="AM321" s="398">
        <v>0.8</v>
      </c>
      <c r="AN321" s="398">
        <v>0.8</v>
      </c>
      <c r="AO321" s="398">
        <v>0.8</v>
      </c>
      <c r="AP321" s="398">
        <v>0.8</v>
      </c>
    </row>
    <row r="322" spans="1:42" s="140" customFormat="1" ht="13.5" hidden="1" customHeight="1" outlineLevel="3" thickBot="1">
      <c r="A322" s="216"/>
      <c r="B322" s="255" t="s">
        <v>508</v>
      </c>
      <c r="C322" s="245" t="s">
        <v>168</v>
      </c>
      <c r="D322" s="227" t="s">
        <v>169</v>
      </c>
      <c r="E322" s="241"/>
      <c r="F322" s="228">
        <f t="shared" si="742"/>
        <v>2.7091898718810414E-2</v>
      </c>
      <c r="G322" s="269">
        <f>+F322*G317</f>
        <v>5.9440461669613495E-6</v>
      </c>
      <c r="H322" s="299"/>
      <c r="I322" s="299"/>
      <c r="J322" s="299"/>
      <c r="K322" s="299"/>
      <c r="L322" s="299"/>
      <c r="M322" s="299"/>
      <c r="N322" s="336">
        <v>0.8</v>
      </c>
      <c r="O322" s="336">
        <v>0.8</v>
      </c>
      <c r="P322" s="336">
        <v>0.8</v>
      </c>
      <c r="Q322" s="336">
        <v>0.8</v>
      </c>
      <c r="R322" s="373">
        <v>0.8</v>
      </c>
      <c r="S322" s="397">
        <v>0.8</v>
      </c>
      <c r="T322" s="336">
        <v>0.8</v>
      </c>
      <c r="U322" s="336">
        <v>0.8</v>
      </c>
      <c r="V322" s="336">
        <v>0.8</v>
      </c>
      <c r="W322" s="336">
        <v>0.8</v>
      </c>
      <c r="X322" s="336">
        <v>0.8</v>
      </c>
      <c r="Y322" s="336">
        <v>0.8</v>
      </c>
      <c r="Z322" s="336">
        <v>0.8</v>
      </c>
      <c r="AA322" s="336">
        <v>0.8</v>
      </c>
      <c r="AB322" s="336">
        <v>0.8</v>
      </c>
      <c r="AC322" s="336">
        <v>0.8</v>
      </c>
      <c r="AD322" s="398">
        <v>0.8</v>
      </c>
      <c r="AE322" s="398">
        <v>0.8</v>
      </c>
      <c r="AF322" s="398">
        <v>0.8</v>
      </c>
      <c r="AG322" s="398">
        <v>0.8</v>
      </c>
      <c r="AH322" s="398">
        <v>0.8</v>
      </c>
      <c r="AI322" s="398">
        <v>0.8</v>
      </c>
      <c r="AJ322" s="398">
        <v>0.8</v>
      </c>
      <c r="AK322" s="398">
        <v>0.8</v>
      </c>
      <c r="AL322" s="398">
        <v>0.8</v>
      </c>
      <c r="AM322" s="398">
        <v>0.8</v>
      </c>
      <c r="AN322" s="398">
        <v>0.8</v>
      </c>
      <c r="AO322" s="398">
        <v>0.8</v>
      </c>
      <c r="AP322" s="398">
        <v>0.8</v>
      </c>
    </row>
    <row r="323" spans="1:42" s="140" customFormat="1" ht="26.25" hidden="1" customHeight="1" outlineLevel="2" thickBot="1">
      <c r="B323" s="301" t="s">
        <v>509</v>
      </c>
      <c r="C323" s="251"/>
      <c r="D323" s="236" t="s">
        <v>173</v>
      </c>
      <c r="E323" s="242"/>
      <c r="F323" s="232">
        <f t="shared" si="742"/>
        <v>0.30792579068332282</v>
      </c>
      <c r="G323" s="232">
        <f>+F323*G296</f>
        <v>4.4315630770116847E-4</v>
      </c>
      <c r="H323" s="321"/>
      <c r="I323" s="321"/>
      <c r="J323" s="321"/>
      <c r="K323" s="321"/>
      <c r="L323" s="321"/>
      <c r="M323" s="321"/>
      <c r="N323" s="274">
        <f t="shared" ref="N323:R323" si="766">+SUMPRODUCT($F324:$F326,N324:N326)</f>
        <v>0.16618782649623062</v>
      </c>
      <c r="O323" s="274">
        <f t="shared" si="766"/>
        <v>0.16618782649623062</v>
      </c>
      <c r="P323" s="274">
        <f t="shared" si="766"/>
        <v>0.16618782649623062</v>
      </c>
      <c r="Q323" s="274">
        <f t="shared" si="766"/>
        <v>0.16618782649623062</v>
      </c>
      <c r="R323" s="375">
        <f t="shared" si="766"/>
        <v>0.16618782649623062</v>
      </c>
      <c r="S323" s="401">
        <f t="shared" ref="S323" si="767">+SUMPRODUCT($F324:$F326,S324:S326)</f>
        <v>0.16618782649623062</v>
      </c>
      <c r="T323" s="274">
        <f t="shared" ref="T323" si="768">+SUMPRODUCT($F324:$F326,T324:T326)</f>
        <v>0.16618782649623062</v>
      </c>
      <c r="U323" s="274">
        <f t="shared" ref="U323" si="769">+SUMPRODUCT($F324:$F326,U324:U326)</f>
        <v>0.16618782649623062</v>
      </c>
      <c r="V323" s="274">
        <f t="shared" ref="V323" si="770">+SUMPRODUCT($F324:$F326,V324:V326)</f>
        <v>0.16618782649623062</v>
      </c>
      <c r="W323" s="274">
        <f t="shared" ref="W323" si="771">+SUMPRODUCT($F324:$F326,W324:W326)</f>
        <v>0.16618782649623062</v>
      </c>
      <c r="X323" s="274">
        <f t="shared" ref="X323" si="772">+SUMPRODUCT($F324:$F326,X324:X326)</f>
        <v>0.16618782649623062</v>
      </c>
      <c r="Y323" s="274">
        <f t="shared" ref="Y323" si="773">+SUMPRODUCT($F324:$F326,Y324:Y326)</f>
        <v>0.16618782649623062</v>
      </c>
      <c r="Z323" s="274">
        <f t="shared" ref="Z323" si="774">+SUMPRODUCT($F324:$F326,Z324:Z326)</f>
        <v>0.16618782649623062</v>
      </c>
      <c r="AA323" s="274">
        <f t="shared" ref="AA323" si="775">+SUMPRODUCT($F324:$F326,AA324:AA326)</f>
        <v>0.16618782649623062</v>
      </c>
      <c r="AB323" s="274">
        <f t="shared" ref="AB323" si="776">+SUMPRODUCT($F324:$F326,AB324:AB326)</f>
        <v>0.16618782649623062</v>
      </c>
      <c r="AC323" s="274">
        <f t="shared" ref="AC323" si="777">+SUMPRODUCT($F324:$F326,AC324:AC326)</f>
        <v>0.16618782649623062</v>
      </c>
      <c r="AD323" s="402">
        <f t="shared" ref="AD323:AF323" si="778">+SUMPRODUCT($F324:$F326,AD324:AD326)</f>
        <v>0.16618782649623062</v>
      </c>
      <c r="AE323" s="402">
        <f t="shared" si="778"/>
        <v>0.16618782649623062</v>
      </c>
      <c r="AF323" s="402">
        <f t="shared" si="778"/>
        <v>0.16618782649623062</v>
      </c>
      <c r="AG323" s="402">
        <f t="shared" ref="AG323" si="779">+SUMPRODUCT($F324:$F326,AG324:AG326)</f>
        <v>0.16618782649623062</v>
      </c>
      <c r="AH323" s="402">
        <f t="shared" ref="AH323" si="780">+SUMPRODUCT($F324:$F326,AH324:AH326)</f>
        <v>0.16618782649623062</v>
      </c>
      <c r="AI323" s="402">
        <f t="shared" ref="AI323" si="781">+SUMPRODUCT($F324:$F326,AI324:AI326)</f>
        <v>0.16618782649623062</v>
      </c>
      <c r="AJ323" s="402">
        <f t="shared" ref="AJ323" si="782">+SUMPRODUCT($F324:$F326,AJ324:AJ326)</f>
        <v>0.16618782649623062</v>
      </c>
      <c r="AK323" s="402">
        <f t="shared" ref="AK323" si="783">+SUMPRODUCT($F324:$F326,AK324:AK326)</f>
        <v>0.16618782649623062</v>
      </c>
      <c r="AL323" s="402">
        <f t="shared" ref="AL323" si="784">+SUMPRODUCT($F324:$F326,AL324:AL326)</f>
        <v>0.16618782649623062</v>
      </c>
      <c r="AM323" s="402">
        <f t="shared" ref="AM323" si="785">+SUMPRODUCT($F324:$F326,AM324:AM326)</f>
        <v>0.16618782649623062</v>
      </c>
      <c r="AN323" s="402">
        <f t="shared" ref="AN323" si="786">+SUMPRODUCT($F324:$F326,AN324:AN326)</f>
        <v>0.16618782649623062</v>
      </c>
      <c r="AO323" s="402">
        <f t="shared" ref="AO323" si="787">+SUMPRODUCT($F324:$F326,AO324:AO326)</f>
        <v>0.16618782649623062</v>
      </c>
      <c r="AP323" s="402">
        <f t="shared" ref="AP323" si="788">+SUMPRODUCT($F324:$F326,AP324:AP326)</f>
        <v>0.16618782649623062</v>
      </c>
    </row>
    <row r="324" spans="1:42" s="140" customFormat="1" ht="26.25" hidden="1" customHeight="1" outlineLevel="3" thickBot="1">
      <c r="A324" s="216"/>
      <c r="B324" s="255" t="s">
        <v>510</v>
      </c>
      <c r="C324" s="245" t="s">
        <v>175</v>
      </c>
      <c r="D324" s="227" t="s">
        <v>176</v>
      </c>
      <c r="E324" s="241"/>
      <c r="F324" s="228">
        <f t="shared" si="742"/>
        <v>0.16618782649623062</v>
      </c>
      <c r="G324" s="269">
        <f>+F324*G323</f>
        <v>7.3647183574951974E-5</v>
      </c>
      <c r="H324" s="299"/>
      <c r="I324" s="299"/>
      <c r="J324" s="299"/>
      <c r="K324" s="299"/>
      <c r="L324" s="299"/>
      <c r="M324" s="299"/>
      <c r="N324" s="272">
        <v>1</v>
      </c>
      <c r="O324" s="272">
        <v>1</v>
      </c>
      <c r="P324" s="272">
        <v>1</v>
      </c>
      <c r="Q324" s="272">
        <v>1</v>
      </c>
      <c r="R324" s="372">
        <v>1</v>
      </c>
      <c r="S324" s="395">
        <v>1</v>
      </c>
      <c r="T324" s="272">
        <v>1</v>
      </c>
      <c r="U324" s="272">
        <v>1</v>
      </c>
      <c r="V324" s="272">
        <v>1</v>
      </c>
      <c r="W324" s="272">
        <v>1</v>
      </c>
      <c r="X324" s="272">
        <v>1</v>
      </c>
      <c r="Y324" s="272">
        <v>1</v>
      </c>
      <c r="Z324" s="272">
        <v>1</v>
      </c>
      <c r="AA324" s="272">
        <v>1</v>
      </c>
      <c r="AB324" s="272">
        <v>1</v>
      </c>
      <c r="AC324" s="272">
        <v>1</v>
      </c>
      <c r="AD324" s="396">
        <v>1</v>
      </c>
      <c r="AE324" s="396">
        <v>1</v>
      </c>
      <c r="AF324" s="396">
        <v>1</v>
      </c>
      <c r="AG324" s="396">
        <v>1</v>
      </c>
      <c r="AH324" s="396">
        <v>1</v>
      </c>
      <c r="AI324" s="396">
        <v>1</v>
      </c>
      <c r="AJ324" s="396">
        <v>1</v>
      </c>
      <c r="AK324" s="396">
        <v>1</v>
      </c>
      <c r="AL324" s="396">
        <v>1</v>
      </c>
      <c r="AM324" s="396">
        <v>1</v>
      </c>
      <c r="AN324" s="396">
        <v>1</v>
      </c>
      <c r="AO324" s="396">
        <v>1</v>
      </c>
      <c r="AP324" s="396">
        <v>1</v>
      </c>
    </row>
    <row r="325" spans="1:42" s="140" customFormat="1" ht="26.25" hidden="1" customHeight="1" outlineLevel="3" thickBot="1">
      <c r="A325" s="216"/>
      <c r="B325" s="255" t="s">
        <v>511</v>
      </c>
      <c r="C325" s="245" t="s">
        <v>178</v>
      </c>
      <c r="D325" s="227" t="s">
        <v>179</v>
      </c>
      <c r="E325" s="241"/>
      <c r="F325" s="228">
        <f t="shared" si="742"/>
        <v>0.36085232777611836</v>
      </c>
      <c r="G325" s="269">
        <f>+F325*G323</f>
        <v>1.599139852026364E-4</v>
      </c>
      <c r="H325" s="299"/>
      <c r="I325" s="299"/>
      <c r="J325" s="299"/>
      <c r="K325" s="299"/>
      <c r="L325" s="299"/>
      <c r="M325" s="299"/>
      <c r="N325" s="272">
        <v>0</v>
      </c>
      <c r="O325" s="272">
        <v>0</v>
      </c>
      <c r="P325" s="272">
        <v>0</v>
      </c>
      <c r="Q325" s="272">
        <v>0</v>
      </c>
      <c r="R325" s="372">
        <v>0</v>
      </c>
      <c r="S325" s="395">
        <v>0</v>
      </c>
      <c r="T325" s="272">
        <v>0</v>
      </c>
      <c r="U325" s="272">
        <v>0</v>
      </c>
      <c r="V325" s="272">
        <v>0</v>
      </c>
      <c r="W325" s="272">
        <v>0</v>
      </c>
      <c r="X325" s="272">
        <v>0</v>
      </c>
      <c r="Y325" s="272">
        <v>0</v>
      </c>
      <c r="Z325" s="272">
        <v>0</v>
      </c>
      <c r="AA325" s="272">
        <v>0</v>
      </c>
      <c r="AB325" s="272">
        <v>0</v>
      </c>
      <c r="AC325" s="272">
        <v>0</v>
      </c>
      <c r="AD325" s="396">
        <v>0</v>
      </c>
      <c r="AE325" s="396">
        <v>0</v>
      </c>
      <c r="AF325" s="396">
        <v>0</v>
      </c>
      <c r="AG325" s="396"/>
      <c r="AH325" s="396"/>
      <c r="AI325" s="396"/>
      <c r="AJ325" s="396"/>
      <c r="AK325" s="396"/>
      <c r="AL325" s="396"/>
      <c r="AM325" s="396"/>
      <c r="AN325" s="396"/>
      <c r="AO325" s="396"/>
      <c r="AP325" s="396"/>
    </row>
    <row r="326" spans="1:42" s="140" customFormat="1" ht="26.25" hidden="1" customHeight="1" outlineLevel="3" thickBot="1">
      <c r="A326" s="216"/>
      <c r="B326" s="255" t="s">
        <v>512</v>
      </c>
      <c r="C326" s="245"/>
      <c r="D326" s="227" t="s">
        <v>439</v>
      </c>
      <c r="E326" s="241"/>
      <c r="F326" s="228">
        <f t="shared" si="742"/>
        <v>0.47295984572765098</v>
      </c>
      <c r="G326" s="269">
        <f>+F326*G323</f>
        <v>2.0959513892358008E-4</v>
      </c>
      <c r="H326" s="299"/>
      <c r="I326" s="299"/>
      <c r="J326" s="299"/>
      <c r="K326" s="299"/>
      <c r="L326" s="299"/>
      <c r="M326" s="299"/>
      <c r="N326" s="272">
        <v>0</v>
      </c>
      <c r="O326" s="272">
        <v>0</v>
      </c>
      <c r="P326" s="272">
        <v>0</v>
      </c>
      <c r="Q326" s="272">
        <v>0</v>
      </c>
      <c r="R326" s="372">
        <v>0</v>
      </c>
      <c r="S326" s="395">
        <v>0</v>
      </c>
      <c r="T326" s="272">
        <v>0</v>
      </c>
      <c r="U326" s="272">
        <v>0</v>
      </c>
      <c r="V326" s="272">
        <v>0</v>
      </c>
      <c r="W326" s="272">
        <v>0</v>
      </c>
      <c r="X326" s="272">
        <v>0</v>
      </c>
      <c r="Y326" s="272">
        <v>0</v>
      </c>
      <c r="Z326" s="272">
        <v>0</v>
      </c>
      <c r="AA326" s="272">
        <v>0</v>
      </c>
      <c r="AB326" s="272">
        <v>0</v>
      </c>
      <c r="AC326" s="272">
        <v>0</v>
      </c>
      <c r="AD326" s="396">
        <v>0</v>
      </c>
      <c r="AE326" s="396">
        <v>0</v>
      </c>
      <c r="AF326" s="396">
        <v>0</v>
      </c>
      <c r="AG326" s="396"/>
      <c r="AH326" s="396"/>
      <c r="AI326" s="396"/>
      <c r="AJ326" s="396"/>
      <c r="AK326" s="396"/>
      <c r="AL326" s="396"/>
      <c r="AM326" s="396"/>
      <c r="AN326" s="396"/>
      <c r="AO326" s="396"/>
      <c r="AP326" s="396"/>
    </row>
    <row r="327" spans="1:42" s="140" customFormat="1" ht="13.5" hidden="1" customHeight="1" outlineLevel="2" thickBot="1">
      <c r="B327" s="301" t="s">
        <v>513</v>
      </c>
      <c r="C327" s="251"/>
      <c r="D327" s="236" t="s">
        <v>441</v>
      </c>
      <c r="E327" s="242"/>
      <c r="F327" s="232">
        <f t="shared" si="742"/>
        <v>0.17950266086228694</v>
      </c>
      <c r="G327" s="232">
        <f>+F327*G296</f>
        <v>2.583341143128691E-4</v>
      </c>
      <c r="H327" s="321"/>
      <c r="I327" s="321"/>
      <c r="J327" s="321"/>
      <c r="K327" s="321"/>
      <c r="L327" s="321"/>
      <c r="M327" s="321"/>
      <c r="N327" s="274">
        <f t="shared" ref="N327:R327" si="789">+SUMPRODUCT($F328:$F328,N328:N328)</f>
        <v>0</v>
      </c>
      <c r="O327" s="274">
        <f t="shared" si="789"/>
        <v>0</v>
      </c>
      <c r="P327" s="274">
        <f t="shared" si="789"/>
        <v>0</v>
      </c>
      <c r="Q327" s="274">
        <f t="shared" si="789"/>
        <v>0</v>
      </c>
      <c r="R327" s="375">
        <f t="shared" si="789"/>
        <v>0</v>
      </c>
      <c r="S327" s="401">
        <f t="shared" ref="S327" si="790">+SUMPRODUCT($F328:$F328,S328:S328)</f>
        <v>0</v>
      </c>
      <c r="T327" s="274">
        <f t="shared" ref="T327" si="791">+SUMPRODUCT($F328:$F328,T328:T328)</f>
        <v>0</v>
      </c>
      <c r="U327" s="274">
        <f t="shared" ref="U327" si="792">+SUMPRODUCT($F328:$F328,U328:U328)</f>
        <v>0</v>
      </c>
      <c r="V327" s="274">
        <f t="shared" ref="V327" si="793">+SUMPRODUCT($F328:$F328,V328:V328)</f>
        <v>0</v>
      </c>
      <c r="W327" s="274">
        <f t="shared" ref="W327" si="794">+SUMPRODUCT($F328:$F328,W328:W328)</f>
        <v>0</v>
      </c>
      <c r="X327" s="274">
        <f t="shared" ref="X327" si="795">+SUMPRODUCT($F328:$F328,X328:X328)</f>
        <v>0</v>
      </c>
      <c r="Y327" s="274">
        <f t="shared" ref="Y327" si="796">+SUMPRODUCT($F328:$F328,Y328:Y328)</f>
        <v>0</v>
      </c>
      <c r="Z327" s="274">
        <f t="shared" ref="Z327" si="797">+SUMPRODUCT($F328:$F328,Z328:Z328)</f>
        <v>0</v>
      </c>
      <c r="AA327" s="274">
        <f t="shared" ref="AA327" si="798">+SUMPRODUCT($F328:$F328,AA328:AA328)</f>
        <v>0</v>
      </c>
      <c r="AB327" s="274">
        <f t="shared" ref="AB327" si="799">+SUMPRODUCT($F328:$F328,AB328:AB328)</f>
        <v>0</v>
      </c>
      <c r="AC327" s="274">
        <f t="shared" ref="AC327" si="800">+SUMPRODUCT($F328:$F328,AC328:AC328)</f>
        <v>0</v>
      </c>
      <c r="AD327" s="402">
        <f t="shared" ref="AD327:AF327" si="801">+SUMPRODUCT($F328:$F328,AD328:AD328)</f>
        <v>0</v>
      </c>
      <c r="AE327" s="402">
        <f t="shared" si="801"/>
        <v>0</v>
      </c>
      <c r="AF327" s="402">
        <f t="shared" si="801"/>
        <v>0</v>
      </c>
      <c r="AG327" s="402"/>
      <c r="AH327" s="402"/>
      <c r="AI327" s="402"/>
      <c r="AJ327" s="402"/>
      <c r="AK327" s="402"/>
      <c r="AL327" s="402"/>
      <c r="AM327" s="402"/>
      <c r="AN327" s="402"/>
      <c r="AO327" s="402"/>
      <c r="AP327" s="402"/>
    </row>
    <row r="328" spans="1:42" s="140" customFormat="1" ht="13.5" hidden="1" customHeight="1" outlineLevel="3" thickBot="1">
      <c r="A328" s="216"/>
      <c r="B328" s="255" t="s">
        <v>514</v>
      </c>
      <c r="C328" s="245" t="s">
        <v>187</v>
      </c>
      <c r="D328" s="227" t="s">
        <v>443</v>
      </c>
      <c r="E328" s="241"/>
      <c r="F328" s="228">
        <f t="shared" si="742"/>
        <v>1</v>
      </c>
      <c r="G328" s="269">
        <f>+F328*G327</f>
        <v>2.583341143128691E-4</v>
      </c>
      <c r="H328" s="299"/>
      <c r="I328" s="299"/>
      <c r="J328" s="299"/>
      <c r="K328" s="299"/>
      <c r="L328" s="299"/>
      <c r="M328" s="299"/>
      <c r="N328" s="272">
        <v>0</v>
      </c>
      <c r="O328" s="272">
        <v>0</v>
      </c>
      <c r="P328" s="272">
        <v>0</v>
      </c>
      <c r="Q328" s="272">
        <v>0</v>
      </c>
      <c r="R328" s="372">
        <v>0</v>
      </c>
      <c r="S328" s="395">
        <v>0</v>
      </c>
      <c r="T328" s="272">
        <v>0</v>
      </c>
      <c r="U328" s="272">
        <v>0</v>
      </c>
      <c r="V328" s="272">
        <v>0</v>
      </c>
      <c r="W328" s="272">
        <v>0</v>
      </c>
      <c r="X328" s="272">
        <v>0</v>
      </c>
      <c r="Y328" s="272">
        <v>0</v>
      </c>
      <c r="Z328" s="272">
        <v>0</v>
      </c>
      <c r="AA328" s="272">
        <v>0</v>
      </c>
      <c r="AB328" s="272">
        <v>0</v>
      </c>
      <c r="AC328" s="272">
        <v>0</v>
      </c>
      <c r="AD328" s="396">
        <v>0</v>
      </c>
      <c r="AE328" s="396">
        <v>0</v>
      </c>
      <c r="AF328" s="396">
        <v>0</v>
      </c>
      <c r="AG328" s="396"/>
      <c r="AH328" s="396"/>
      <c r="AI328" s="396"/>
      <c r="AJ328" s="396"/>
      <c r="AK328" s="396"/>
      <c r="AL328" s="396"/>
      <c r="AM328" s="396"/>
      <c r="AN328" s="396"/>
      <c r="AO328" s="396"/>
      <c r="AP328" s="396"/>
    </row>
    <row r="329" spans="1:42" s="140" customFormat="1" ht="13.5" hidden="1" customHeight="1" outlineLevel="2" thickBot="1">
      <c r="B329" s="300" t="s">
        <v>396</v>
      </c>
      <c r="C329" s="294"/>
      <c r="D329" s="294" t="s">
        <v>193</v>
      </c>
      <c r="E329" s="295"/>
      <c r="F329" s="296">
        <f t="shared" si="742"/>
        <v>7.0876940001895719E-2</v>
      </c>
      <c r="G329" s="296">
        <f>+F329*G270</f>
        <v>5.6701552001516573E-4</v>
      </c>
      <c r="H329" s="297"/>
      <c r="I329" s="297"/>
      <c r="J329" s="297"/>
      <c r="K329" s="297"/>
      <c r="L329" s="297"/>
      <c r="M329" s="297"/>
      <c r="N329" s="296">
        <f t="shared" ref="N329:R329" si="802">+SUMPRODUCT($F330:$F341,N330:N341)</f>
        <v>0</v>
      </c>
      <c r="O329" s="296">
        <f t="shared" si="802"/>
        <v>0</v>
      </c>
      <c r="P329" s="296">
        <f t="shared" si="802"/>
        <v>0</v>
      </c>
      <c r="Q329" s="296">
        <f t="shared" si="802"/>
        <v>0</v>
      </c>
      <c r="R329" s="376">
        <f t="shared" si="802"/>
        <v>0</v>
      </c>
      <c r="S329" s="403">
        <f t="shared" ref="S329" si="803">+SUMPRODUCT($F330:$F341,S330:S341)</f>
        <v>0</v>
      </c>
      <c r="T329" s="296">
        <f t="shared" ref="T329" si="804">+SUMPRODUCT($F330:$F341,T330:T341)</f>
        <v>0</v>
      </c>
      <c r="U329" s="296">
        <f t="shared" ref="U329" si="805">+SUMPRODUCT($F330:$F341,U330:U341)</f>
        <v>0</v>
      </c>
      <c r="V329" s="296">
        <f t="shared" ref="V329" si="806">+SUMPRODUCT($F330:$F341,V330:V341)</f>
        <v>0</v>
      </c>
      <c r="W329" s="296">
        <f t="shared" ref="W329" si="807">+SUMPRODUCT($F330:$F341,W330:W341)</f>
        <v>0</v>
      </c>
      <c r="X329" s="296">
        <f t="shared" ref="X329" si="808">+SUMPRODUCT($F330:$F341,X330:X341)</f>
        <v>0</v>
      </c>
      <c r="Y329" s="296">
        <f t="shared" ref="Y329" si="809">+SUMPRODUCT($F330:$F341,Y330:Y341)</f>
        <v>0</v>
      </c>
      <c r="Z329" s="296">
        <f t="shared" ref="Z329" si="810">+SUMPRODUCT($F330:$F341,Z330:Z341)</f>
        <v>0</v>
      </c>
      <c r="AA329" s="296">
        <f t="shared" ref="AA329" si="811">+SUMPRODUCT($F330:$F341,AA330:AA341)</f>
        <v>0</v>
      </c>
      <c r="AB329" s="296">
        <f t="shared" ref="AB329" si="812">+SUMPRODUCT($F330:$F341,AB330:AB341)</f>
        <v>0</v>
      </c>
      <c r="AC329" s="296">
        <f t="shared" ref="AC329" si="813">+SUMPRODUCT($F330:$F341,AC330:AC341)</f>
        <v>0</v>
      </c>
      <c r="AD329" s="404">
        <f t="shared" ref="AD329:AF329" si="814">+SUMPRODUCT($F330:$F341,AD330:AD341)</f>
        <v>0</v>
      </c>
      <c r="AE329" s="404">
        <f t="shared" si="814"/>
        <v>0</v>
      </c>
      <c r="AF329" s="404">
        <f t="shared" si="814"/>
        <v>0</v>
      </c>
      <c r="AG329" s="404"/>
      <c r="AH329" s="404"/>
      <c r="AI329" s="404"/>
      <c r="AJ329" s="404"/>
      <c r="AK329" s="404"/>
      <c r="AL329" s="404"/>
      <c r="AM329" s="404"/>
      <c r="AN329" s="404"/>
      <c r="AO329" s="404"/>
      <c r="AP329" s="404"/>
    </row>
    <row r="330" spans="1:42" s="140" customFormat="1" ht="13.5" hidden="1" customHeight="1" outlineLevel="2" thickBot="1">
      <c r="A330" s="216"/>
      <c r="B330" s="255" t="s">
        <v>515</v>
      </c>
      <c r="C330" s="245" t="s">
        <v>195</v>
      </c>
      <c r="D330" s="227" t="s">
        <v>196</v>
      </c>
      <c r="E330" s="241"/>
      <c r="F330" s="228">
        <f t="shared" si="742"/>
        <v>0.11462043390407546</v>
      </c>
      <c r="G330" s="269">
        <f>+F330*G329</f>
        <v>6.4991564934483283E-5</v>
      </c>
      <c r="H330" s="299"/>
      <c r="I330" s="299"/>
      <c r="J330" s="299"/>
      <c r="K330" s="299"/>
      <c r="L330" s="299"/>
      <c r="M330" s="299"/>
      <c r="N330" s="272">
        <v>0</v>
      </c>
      <c r="O330" s="272">
        <v>0</v>
      </c>
      <c r="P330" s="272">
        <v>0</v>
      </c>
      <c r="Q330" s="272">
        <v>0</v>
      </c>
      <c r="R330" s="372">
        <v>0</v>
      </c>
      <c r="S330" s="395">
        <v>0</v>
      </c>
      <c r="T330" s="272">
        <v>0</v>
      </c>
      <c r="U330" s="272">
        <v>0</v>
      </c>
      <c r="V330" s="272">
        <v>0</v>
      </c>
      <c r="W330" s="272">
        <v>0</v>
      </c>
      <c r="X330" s="272">
        <v>0</v>
      </c>
      <c r="Y330" s="272">
        <v>0</v>
      </c>
      <c r="Z330" s="272">
        <v>0</v>
      </c>
      <c r="AA330" s="272">
        <v>0</v>
      </c>
      <c r="AB330" s="272">
        <v>0</v>
      </c>
      <c r="AC330" s="272">
        <v>0</v>
      </c>
      <c r="AD330" s="396">
        <v>0</v>
      </c>
      <c r="AE330" s="396">
        <v>0</v>
      </c>
      <c r="AF330" s="396">
        <v>0</v>
      </c>
      <c r="AG330" s="396"/>
      <c r="AH330" s="396"/>
      <c r="AI330" s="396"/>
      <c r="AJ330" s="396"/>
      <c r="AK330" s="396"/>
      <c r="AL330" s="396"/>
      <c r="AM330" s="396"/>
      <c r="AN330" s="396"/>
      <c r="AO330" s="396"/>
      <c r="AP330" s="396"/>
    </row>
    <row r="331" spans="1:42" s="140" customFormat="1" ht="13.5" hidden="1" customHeight="1" outlineLevel="2" thickBot="1">
      <c r="A331" s="216"/>
      <c r="B331" s="255" t="s">
        <v>516</v>
      </c>
      <c r="C331" s="245" t="s">
        <v>198</v>
      </c>
      <c r="D331" s="227" t="s">
        <v>199</v>
      </c>
      <c r="E331" s="241"/>
      <c r="F331" s="228">
        <f t="shared" si="742"/>
        <v>0.16914444012256166</v>
      </c>
      <c r="G331" s="269">
        <f>+F331*G329</f>
        <v>9.5907522673768363E-5</v>
      </c>
      <c r="H331" s="299"/>
      <c r="I331" s="299"/>
      <c r="J331" s="299"/>
      <c r="K331" s="299"/>
      <c r="L331" s="299"/>
      <c r="M331" s="299"/>
      <c r="N331" s="272">
        <v>0</v>
      </c>
      <c r="O331" s="272">
        <v>0</v>
      </c>
      <c r="P331" s="272">
        <v>0</v>
      </c>
      <c r="Q331" s="272">
        <v>0</v>
      </c>
      <c r="R331" s="372">
        <v>0</v>
      </c>
      <c r="S331" s="395">
        <v>0</v>
      </c>
      <c r="T331" s="272">
        <v>0</v>
      </c>
      <c r="U331" s="272">
        <v>0</v>
      </c>
      <c r="V331" s="272">
        <v>0</v>
      </c>
      <c r="W331" s="272">
        <v>0</v>
      </c>
      <c r="X331" s="272">
        <v>0</v>
      </c>
      <c r="Y331" s="272">
        <v>0</v>
      </c>
      <c r="Z331" s="272">
        <v>0</v>
      </c>
      <c r="AA331" s="272">
        <v>0</v>
      </c>
      <c r="AB331" s="272">
        <v>0</v>
      </c>
      <c r="AC331" s="272">
        <v>0</v>
      </c>
      <c r="AD331" s="396">
        <v>0</v>
      </c>
      <c r="AE331" s="396">
        <v>0</v>
      </c>
      <c r="AF331" s="396">
        <v>0</v>
      </c>
      <c r="AG331" s="396"/>
      <c r="AH331" s="396"/>
      <c r="AI331" s="396"/>
      <c r="AJ331" s="396"/>
      <c r="AK331" s="396"/>
      <c r="AL331" s="396"/>
      <c r="AM331" s="396"/>
      <c r="AN331" s="396"/>
      <c r="AO331" s="396"/>
      <c r="AP331" s="396"/>
    </row>
    <row r="332" spans="1:42" s="140" customFormat="1" ht="13.5" hidden="1" customHeight="1" outlineLevel="2" thickBot="1">
      <c r="A332" s="216"/>
      <c r="B332" s="255" t="s">
        <v>517</v>
      </c>
      <c r="C332" s="245" t="s">
        <v>201</v>
      </c>
      <c r="D332" s="227" t="s">
        <v>202</v>
      </c>
      <c r="E332" s="241"/>
      <c r="F332" s="228">
        <f t="shared" si="742"/>
        <v>0.15393682703771108</v>
      </c>
      <c r="G332" s="269">
        <f>+F332*G329</f>
        <v>8.7284570032272374E-5</v>
      </c>
      <c r="H332" s="299"/>
      <c r="I332" s="299"/>
      <c r="J332" s="299"/>
      <c r="K332" s="299"/>
      <c r="L332" s="299"/>
      <c r="M332" s="299"/>
      <c r="N332" s="272">
        <v>0</v>
      </c>
      <c r="O332" s="272">
        <v>0</v>
      </c>
      <c r="P332" s="272">
        <v>0</v>
      </c>
      <c r="Q332" s="272">
        <v>0</v>
      </c>
      <c r="R332" s="372">
        <v>0</v>
      </c>
      <c r="S332" s="395">
        <v>0</v>
      </c>
      <c r="T332" s="272">
        <v>0</v>
      </c>
      <c r="U332" s="272">
        <v>0</v>
      </c>
      <c r="V332" s="272">
        <v>0</v>
      </c>
      <c r="W332" s="272">
        <v>0</v>
      </c>
      <c r="X332" s="272">
        <v>0</v>
      </c>
      <c r="Y332" s="272">
        <v>0</v>
      </c>
      <c r="Z332" s="272">
        <v>0</v>
      </c>
      <c r="AA332" s="272">
        <v>0</v>
      </c>
      <c r="AB332" s="272">
        <v>0</v>
      </c>
      <c r="AC332" s="272">
        <v>0</v>
      </c>
      <c r="AD332" s="396">
        <v>0</v>
      </c>
      <c r="AE332" s="396">
        <v>0</v>
      </c>
      <c r="AF332" s="396">
        <v>0</v>
      </c>
      <c r="AG332" s="396"/>
      <c r="AH332" s="396"/>
      <c r="AI332" s="396"/>
      <c r="AJ332" s="396"/>
      <c r="AK332" s="396"/>
      <c r="AL332" s="396"/>
      <c r="AM332" s="396"/>
      <c r="AN332" s="396"/>
      <c r="AO332" s="396"/>
      <c r="AP332" s="396"/>
    </row>
    <row r="333" spans="1:42" s="140" customFormat="1" ht="13.5" hidden="1" customHeight="1" outlineLevel="2" thickBot="1">
      <c r="A333" s="216"/>
      <c r="B333" s="255" t="s">
        <v>518</v>
      </c>
      <c r="C333" s="245" t="s">
        <v>204</v>
      </c>
      <c r="D333" s="227" t="s">
        <v>205</v>
      </c>
      <c r="E333" s="241"/>
      <c r="F333" s="228">
        <f t="shared" si="742"/>
        <v>3.9190487501575728E-2</v>
      </c>
      <c r="G333" s="269">
        <f>+F333*G329</f>
        <v>2.2221614650353814E-5</v>
      </c>
      <c r="H333" s="299"/>
      <c r="I333" s="299"/>
      <c r="J333" s="299"/>
      <c r="K333" s="299"/>
      <c r="L333" s="299"/>
      <c r="M333" s="299"/>
      <c r="N333" s="272">
        <v>0</v>
      </c>
      <c r="O333" s="272">
        <v>0</v>
      </c>
      <c r="P333" s="272">
        <v>0</v>
      </c>
      <c r="Q333" s="272">
        <v>0</v>
      </c>
      <c r="R333" s="372">
        <v>0</v>
      </c>
      <c r="S333" s="395">
        <v>0</v>
      </c>
      <c r="T333" s="272">
        <v>0</v>
      </c>
      <c r="U333" s="272">
        <v>0</v>
      </c>
      <c r="V333" s="272">
        <v>0</v>
      </c>
      <c r="W333" s="272">
        <v>0</v>
      </c>
      <c r="X333" s="272">
        <v>0</v>
      </c>
      <c r="Y333" s="272">
        <v>0</v>
      </c>
      <c r="Z333" s="272">
        <v>0</v>
      </c>
      <c r="AA333" s="272">
        <v>0</v>
      </c>
      <c r="AB333" s="272">
        <v>0</v>
      </c>
      <c r="AC333" s="272">
        <v>0</v>
      </c>
      <c r="AD333" s="396">
        <v>0</v>
      </c>
      <c r="AE333" s="396">
        <v>0</v>
      </c>
      <c r="AF333" s="396">
        <v>0</v>
      </c>
      <c r="AG333" s="396"/>
      <c r="AH333" s="396"/>
      <c r="AI333" s="396"/>
      <c r="AJ333" s="396"/>
      <c r="AK333" s="396"/>
      <c r="AL333" s="396"/>
      <c r="AM333" s="396"/>
      <c r="AN333" s="396"/>
      <c r="AO333" s="396"/>
      <c r="AP333" s="396"/>
    </row>
    <row r="334" spans="1:42" s="140" customFormat="1" ht="13.5" hidden="1" customHeight="1" outlineLevel="2" thickBot="1">
      <c r="A334" s="216"/>
      <c r="B334" s="255" t="s">
        <v>519</v>
      </c>
      <c r="C334" s="245" t="s">
        <v>207</v>
      </c>
      <c r="D334" s="227" t="s">
        <v>205</v>
      </c>
      <c r="E334" s="241"/>
      <c r="F334" s="228">
        <f t="shared" si="742"/>
        <v>3.9190487501575728E-2</v>
      </c>
      <c r="G334" s="269">
        <f>+F334*G329</f>
        <v>2.2221614650353814E-5</v>
      </c>
      <c r="H334" s="299"/>
      <c r="I334" s="299"/>
      <c r="J334" s="299"/>
      <c r="K334" s="299"/>
      <c r="L334" s="299"/>
      <c r="M334" s="299"/>
      <c r="N334" s="272">
        <v>0</v>
      </c>
      <c r="O334" s="272">
        <v>0</v>
      </c>
      <c r="P334" s="272">
        <v>0</v>
      </c>
      <c r="Q334" s="272">
        <v>0</v>
      </c>
      <c r="R334" s="372">
        <v>0</v>
      </c>
      <c r="S334" s="395">
        <v>0</v>
      </c>
      <c r="T334" s="272">
        <v>0</v>
      </c>
      <c r="U334" s="272">
        <v>0</v>
      </c>
      <c r="V334" s="272">
        <v>0</v>
      </c>
      <c r="W334" s="272">
        <v>0</v>
      </c>
      <c r="X334" s="272">
        <v>0</v>
      </c>
      <c r="Y334" s="272">
        <v>0</v>
      </c>
      <c r="Z334" s="272">
        <v>0</v>
      </c>
      <c r="AA334" s="272">
        <v>0</v>
      </c>
      <c r="AB334" s="272">
        <v>0</v>
      </c>
      <c r="AC334" s="272">
        <v>0</v>
      </c>
      <c r="AD334" s="396">
        <v>0</v>
      </c>
      <c r="AE334" s="396">
        <v>0</v>
      </c>
      <c r="AF334" s="396">
        <v>0</v>
      </c>
      <c r="AG334" s="396"/>
      <c r="AH334" s="396"/>
      <c r="AI334" s="396"/>
      <c r="AJ334" s="396"/>
      <c r="AK334" s="396"/>
      <c r="AL334" s="396"/>
      <c r="AM334" s="396"/>
      <c r="AN334" s="396"/>
      <c r="AO334" s="396"/>
      <c r="AP334" s="396"/>
    </row>
    <row r="335" spans="1:42" s="140" customFormat="1" ht="13.5" hidden="1" customHeight="1" outlineLevel="2" thickBot="1">
      <c r="A335" s="216"/>
      <c r="B335" s="255" t="s">
        <v>520</v>
      </c>
      <c r="C335" s="245" t="s">
        <v>209</v>
      </c>
      <c r="D335" s="227" t="s">
        <v>205</v>
      </c>
      <c r="E335" s="241"/>
      <c r="F335" s="228">
        <f t="shared" si="742"/>
        <v>3.9190487501575728E-2</v>
      </c>
      <c r="G335" s="269">
        <f>+F335*G329</f>
        <v>2.2221614650353814E-5</v>
      </c>
      <c r="H335" s="299"/>
      <c r="I335" s="299"/>
      <c r="J335" s="299"/>
      <c r="K335" s="299"/>
      <c r="L335" s="299"/>
      <c r="M335" s="299"/>
      <c r="N335" s="272">
        <v>0</v>
      </c>
      <c r="O335" s="272">
        <v>0</v>
      </c>
      <c r="P335" s="272">
        <v>0</v>
      </c>
      <c r="Q335" s="272">
        <v>0</v>
      </c>
      <c r="R335" s="372">
        <v>0</v>
      </c>
      <c r="S335" s="395">
        <v>0</v>
      </c>
      <c r="T335" s="272">
        <v>0</v>
      </c>
      <c r="U335" s="272">
        <v>0</v>
      </c>
      <c r="V335" s="272">
        <v>0</v>
      </c>
      <c r="W335" s="272">
        <v>0</v>
      </c>
      <c r="X335" s="272">
        <v>0</v>
      </c>
      <c r="Y335" s="272">
        <v>0</v>
      </c>
      <c r="Z335" s="272">
        <v>0</v>
      </c>
      <c r="AA335" s="272">
        <v>0</v>
      </c>
      <c r="AB335" s="272">
        <v>0</v>
      </c>
      <c r="AC335" s="272">
        <v>0</v>
      </c>
      <c r="AD335" s="396">
        <v>0</v>
      </c>
      <c r="AE335" s="396">
        <v>0</v>
      </c>
      <c r="AF335" s="396">
        <v>0</v>
      </c>
      <c r="AG335" s="396"/>
      <c r="AH335" s="396"/>
      <c r="AI335" s="396"/>
      <c r="AJ335" s="396"/>
      <c r="AK335" s="396"/>
      <c r="AL335" s="396"/>
      <c r="AM335" s="396"/>
      <c r="AN335" s="396"/>
      <c r="AO335" s="396"/>
      <c r="AP335" s="396"/>
    </row>
    <row r="336" spans="1:42" s="140" customFormat="1" ht="13.5" hidden="1" customHeight="1" outlineLevel="2" thickBot="1">
      <c r="A336" s="216"/>
      <c r="B336" s="255" t="s">
        <v>521</v>
      </c>
      <c r="C336" s="245" t="s">
        <v>211</v>
      </c>
      <c r="D336" s="227" t="s">
        <v>205</v>
      </c>
      <c r="E336" s="241"/>
      <c r="F336" s="228">
        <f t="shared" si="742"/>
        <v>3.9190487501575728E-2</v>
      </c>
      <c r="G336" s="269">
        <f>+F336*G329</f>
        <v>2.2221614650353814E-5</v>
      </c>
      <c r="H336" s="299"/>
      <c r="I336" s="299"/>
      <c r="J336" s="299"/>
      <c r="K336" s="299"/>
      <c r="L336" s="299"/>
      <c r="M336" s="299"/>
      <c r="N336" s="272">
        <v>0</v>
      </c>
      <c r="O336" s="272">
        <v>0</v>
      </c>
      <c r="P336" s="272">
        <v>0</v>
      </c>
      <c r="Q336" s="272">
        <v>0</v>
      </c>
      <c r="R336" s="372">
        <v>0</v>
      </c>
      <c r="S336" s="395">
        <v>0</v>
      </c>
      <c r="T336" s="272">
        <v>0</v>
      </c>
      <c r="U336" s="272">
        <v>0</v>
      </c>
      <c r="V336" s="272">
        <v>0</v>
      </c>
      <c r="W336" s="272">
        <v>0</v>
      </c>
      <c r="X336" s="272">
        <v>0</v>
      </c>
      <c r="Y336" s="272">
        <v>0</v>
      </c>
      <c r="Z336" s="272">
        <v>0</v>
      </c>
      <c r="AA336" s="272">
        <v>0</v>
      </c>
      <c r="AB336" s="272">
        <v>0</v>
      </c>
      <c r="AC336" s="272">
        <v>0</v>
      </c>
      <c r="AD336" s="396">
        <v>0</v>
      </c>
      <c r="AE336" s="396">
        <v>0</v>
      </c>
      <c r="AF336" s="396">
        <v>0</v>
      </c>
      <c r="AG336" s="396"/>
      <c r="AH336" s="396"/>
      <c r="AI336" s="396"/>
      <c r="AJ336" s="396"/>
      <c r="AK336" s="396"/>
      <c r="AL336" s="396"/>
      <c r="AM336" s="396"/>
      <c r="AN336" s="396"/>
      <c r="AO336" s="396"/>
      <c r="AP336" s="396"/>
    </row>
    <row r="337" spans="1:42" s="140" customFormat="1" ht="13.5" hidden="1" customHeight="1" outlineLevel="2" thickBot="1">
      <c r="A337" s="216"/>
      <c r="B337" s="255" t="s">
        <v>522</v>
      </c>
      <c r="C337" s="245" t="s">
        <v>213</v>
      </c>
      <c r="D337" s="227" t="s">
        <v>205</v>
      </c>
      <c r="E337" s="241"/>
      <c r="F337" s="228">
        <f t="shared" si="742"/>
        <v>3.9190487501575728E-2</v>
      </c>
      <c r="G337" s="269">
        <f>+F337*G329</f>
        <v>2.2221614650353814E-5</v>
      </c>
      <c r="H337" s="299"/>
      <c r="I337" s="299"/>
      <c r="J337" s="299"/>
      <c r="K337" s="299"/>
      <c r="L337" s="299"/>
      <c r="M337" s="299"/>
      <c r="N337" s="272">
        <v>0</v>
      </c>
      <c r="O337" s="272">
        <v>0</v>
      </c>
      <c r="P337" s="272">
        <v>0</v>
      </c>
      <c r="Q337" s="272">
        <v>0</v>
      </c>
      <c r="R337" s="372">
        <v>0</v>
      </c>
      <c r="S337" s="395">
        <v>0</v>
      </c>
      <c r="T337" s="272">
        <v>0</v>
      </c>
      <c r="U337" s="272">
        <v>0</v>
      </c>
      <c r="V337" s="272">
        <v>0</v>
      </c>
      <c r="W337" s="272">
        <v>0</v>
      </c>
      <c r="X337" s="272">
        <v>0</v>
      </c>
      <c r="Y337" s="272">
        <v>0</v>
      </c>
      <c r="Z337" s="272">
        <v>0</v>
      </c>
      <c r="AA337" s="272">
        <v>0</v>
      </c>
      <c r="AB337" s="272">
        <v>0</v>
      </c>
      <c r="AC337" s="272">
        <v>0</v>
      </c>
      <c r="AD337" s="396">
        <v>0</v>
      </c>
      <c r="AE337" s="396">
        <v>0</v>
      </c>
      <c r="AF337" s="396">
        <v>0</v>
      </c>
      <c r="AG337" s="396"/>
      <c r="AH337" s="396"/>
      <c r="AI337" s="396"/>
      <c r="AJ337" s="396"/>
      <c r="AK337" s="396"/>
      <c r="AL337" s="396"/>
      <c r="AM337" s="396"/>
      <c r="AN337" s="396"/>
      <c r="AO337" s="396"/>
      <c r="AP337" s="396"/>
    </row>
    <row r="338" spans="1:42" s="140" customFormat="1" ht="13.5" hidden="1" customHeight="1" outlineLevel="2" thickBot="1">
      <c r="A338" s="216"/>
      <c r="B338" s="255" t="s">
        <v>523</v>
      </c>
      <c r="C338" s="281" t="s">
        <v>215</v>
      </c>
      <c r="D338" s="282" t="s">
        <v>216</v>
      </c>
      <c r="E338" s="283"/>
      <c r="F338" s="284">
        <f t="shared" si="742"/>
        <v>4.0894421740774678E-2</v>
      </c>
      <c r="G338" s="285">
        <f>+F338*G329</f>
        <v>2.3187771809064854E-5</v>
      </c>
      <c r="H338" s="322"/>
      <c r="I338" s="322"/>
      <c r="J338" s="322"/>
      <c r="K338" s="322"/>
      <c r="L338" s="322"/>
      <c r="M338" s="322"/>
      <c r="N338" s="287">
        <v>0</v>
      </c>
      <c r="O338" s="287">
        <v>0</v>
      </c>
      <c r="P338" s="287">
        <v>0</v>
      </c>
      <c r="Q338" s="287">
        <v>0</v>
      </c>
      <c r="R338" s="377">
        <v>0</v>
      </c>
      <c r="S338" s="405">
        <v>0</v>
      </c>
      <c r="T338" s="287">
        <v>0</v>
      </c>
      <c r="U338" s="287">
        <v>0</v>
      </c>
      <c r="V338" s="287">
        <v>0</v>
      </c>
      <c r="W338" s="287">
        <v>0</v>
      </c>
      <c r="X338" s="287">
        <v>0</v>
      </c>
      <c r="Y338" s="287">
        <v>0</v>
      </c>
      <c r="Z338" s="287">
        <v>0</v>
      </c>
      <c r="AA338" s="287">
        <v>0</v>
      </c>
      <c r="AB338" s="287">
        <v>0</v>
      </c>
      <c r="AC338" s="287">
        <v>0</v>
      </c>
      <c r="AD338" s="406">
        <v>0</v>
      </c>
      <c r="AE338" s="406">
        <v>0</v>
      </c>
      <c r="AF338" s="406">
        <v>0</v>
      </c>
      <c r="AG338" s="406"/>
      <c r="AH338" s="406"/>
      <c r="AI338" s="406"/>
      <c r="AJ338" s="406"/>
      <c r="AK338" s="406"/>
      <c r="AL338" s="406"/>
      <c r="AM338" s="406"/>
      <c r="AN338" s="406"/>
      <c r="AO338" s="406"/>
      <c r="AP338" s="406"/>
    </row>
    <row r="339" spans="1:42" s="140" customFormat="1" ht="13.5" hidden="1" customHeight="1" outlineLevel="2" thickBot="1">
      <c r="A339" s="216"/>
      <c r="B339" s="255" t="s">
        <v>524</v>
      </c>
      <c r="C339" s="281" t="s">
        <v>218</v>
      </c>
      <c r="D339" s="282" t="s">
        <v>219</v>
      </c>
      <c r="E339" s="283"/>
      <c r="F339" s="284">
        <f t="shared" si="742"/>
        <v>0.13120293641831876</v>
      </c>
      <c r="G339" s="285">
        <f>+F339*G329</f>
        <v>7.4394101220749738E-5</v>
      </c>
      <c r="H339" s="322"/>
      <c r="I339" s="322"/>
      <c r="J339" s="322"/>
      <c r="K339" s="322"/>
      <c r="L339" s="322"/>
      <c r="M339" s="322"/>
      <c r="N339" s="287">
        <v>0</v>
      </c>
      <c r="O339" s="287">
        <v>0</v>
      </c>
      <c r="P339" s="287">
        <v>0</v>
      </c>
      <c r="Q339" s="287">
        <v>0</v>
      </c>
      <c r="R339" s="377">
        <v>0</v>
      </c>
      <c r="S339" s="405">
        <v>0</v>
      </c>
      <c r="T339" s="287">
        <v>0</v>
      </c>
      <c r="U339" s="287">
        <v>0</v>
      </c>
      <c r="V339" s="287">
        <v>0</v>
      </c>
      <c r="W339" s="287">
        <v>0</v>
      </c>
      <c r="X339" s="287">
        <v>0</v>
      </c>
      <c r="Y339" s="287">
        <v>0</v>
      </c>
      <c r="Z339" s="287">
        <v>0</v>
      </c>
      <c r="AA339" s="287">
        <v>0</v>
      </c>
      <c r="AB339" s="287">
        <v>0</v>
      </c>
      <c r="AC339" s="287">
        <v>0</v>
      </c>
      <c r="AD339" s="406">
        <v>0</v>
      </c>
      <c r="AE339" s="406">
        <v>0</v>
      </c>
      <c r="AF339" s="406">
        <v>0</v>
      </c>
      <c r="AG339" s="406"/>
      <c r="AH339" s="406"/>
      <c r="AI339" s="406"/>
      <c r="AJ339" s="406"/>
      <c r="AK339" s="406"/>
      <c r="AL339" s="406"/>
      <c r="AM339" s="406"/>
      <c r="AN339" s="406"/>
      <c r="AO339" s="406"/>
      <c r="AP339" s="406"/>
    </row>
    <row r="340" spans="1:42" s="140" customFormat="1" ht="13.5" hidden="1" customHeight="1" outlineLevel="2" thickBot="1">
      <c r="A340" s="216"/>
      <c r="B340" s="255" t="s">
        <v>525</v>
      </c>
      <c r="C340" s="281" t="s">
        <v>221</v>
      </c>
      <c r="D340" s="282" t="s">
        <v>222</v>
      </c>
      <c r="E340" s="283"/>
      <c r="F340" s="284">
        <f t="shared" si="742"/>
        <v>0.17039342391989448</v>
      </c>
      <c r="G340" s="285">
        <f>+F340*G329</f>
        <v>9.6615715871103548E-5</v>
      </c>
      <c r="H340" s="322"/>
      <c r="I340" s="322"/>
      <c r="J340" s="322"/>
      <c r="K340" s="322"/>
      <c r="L340" s="322"/>
      <c r="M340" s="322"/>
      <c r="N340" s="287">
        <v>0</v>
      </c>
      <c r="O340" s="287">
        <v>0</v>
      </c>
      <c r="P340" s="287">
        <v>0</v>
      </c>
      <c r="Q340" s="287">
        <v>0</v>
      </c>
      <c r="R340" s="377">
        <v>0</v>
      </c>
      <c r="S340" s="405">
        <v>0</v>
      </c>
      <c r="T340" s="287">
        <v>0</v>
      </c>
      <c r="U340" s="287">
        <v>0</v>
      </c>
      <c r="V340" s="287">
        <v>0</v>
      </c>
      <c r="W340" s="287">
        <v>0</v>
      </c>
      <c r="X340" s="287">
        <v>0</v>
      </c>
      <c r="Y340" s="287">
        <v>0</v>
      </c>
      <c r="Z340" s="287">
        <v>0</v>
      </c>
      <c r="AA340" s="287">
        <v>0</v>
      </c>
      <c r="AB340" s="287">
        <v>0</v>
      </c>
      <c r="AC340" s="287">
        <v>0</v>
      </c>
      <c r="AD340" s="406">
        <v>0</v>
      </c>
      <c r="AE340" s="406">
        <v>0</v>
      </c>
      <c r="AF340" s="406">
        <v>0</v>
      </c>
      <c r="AG340" s="406"/>
      <c r="AH340" s="406"/>
      <c r="AI340" s="406"/>
      <c r="AJ340" s="406"/>
      <c r="AK340" s="406"/>
      <c r="AL340" s="406"/>
      <c r="AM340" s="406"/>
      <c r="AN340" s="406"/>
      <c r="AO340" s="406"/>
      <c r="AP340" s="406"/>
    </row>
    <row r="341" spans="1:42" s="140" customFormat="1" ht="13.5" hidden="1" customHeight="1" outlineLevel="2" thickBot="1">
      <c r="A341" s="216"/>
      <c r="B341" s="255" t="s">
        <v>526</v>
      </c>
      <c r="C341" s="281" t="s">
        <v>224</v>
      </c>
      <c r="D341" s="282" t="s">
        <v>225</v>
      </c>
      <c r="E341" s="283"/>
      <c r="F341" s="284">
        <f t="shared" si="742"/>
        <v>2.3855079348785228E-2</v>
      </c>
      <c r="G341" s="285">
        <f>+F341*G329</f>
        <v>1.3526200221954497E-5</v>
      </c>
      <c r="H341" s="322"/>
      <c r="I341" s="322"/>
      <c r="J341" s="322"/>
      <c r="K341" s="322"/>
      <c r="L341" s="322"/>
      <c r="M341" s="322"/>
      <c r="N341" s="287">
        <v>0</v>
      </c>
      <c r="O341" s="287">
        <v>0</v>
      </c>
      <c r="P341" s="287">
        <v>0</v>
      </c>
      <c r="Q341" s="287">
        <v>0</v>
      </c>
      <c r="R341" s="377">
        <v>0</v>
      </c>
      <c r="S341" s="405">
        <v>0</v>
      </c>
      <c r="T341" s="287">
        <v>0</v>
      </c>
      <c r="U341" s="287">
        <v>0</v>
      </c>
      <c r="V341" s="287">
        <v>0</v>
      </c>
      <c r="W341" s="287">
        <v>0</v>
      </c>
      <c r="X341" s="287">
        <v>0</v>
      </c>
      <c r="Y341" s="287">
        <v>0</v>
      </c>
      <c r="Z341" s="287">
        <v>0</v>
      </c>
      <c r="AA341" s="287">
        <v>0</v>
      </c>
      <c r="AB341" s="287">
        <v>0</v>
      </c>
      <c r="AC341" s="287">
        <v>0</v>
      </c>
      <c r="AD341" s="406">
        <v>0</v>
      </c>
      <c r="AE341" s="406">
        <v>0</v>
      </c>
      <c r="AF341" s="406">
        <v>0</v>
      </c>
      <c r="AG341" s="406"/>
      <c r="AH341" s="406"/>
      <c r="AI341" s="406"/>
      <c r="AJ341" s="406"/>
      <c r="AK341" s="406"/>
      <c r="AL341" s="406"/>
      <c r="AM341" s="406"/>
      <c r="AN341" s="406"/>
      <c r="AO341" s="406"/>
      <c r="AP341" s="406"/>
    </row>
    <row r="342" spans="1:42" s="140" customFormat="1" ht="13.5" collapsed="1" thickBot="1">
      <c r="B342" s="312">
        <v>4</v>
      </c>
      <c r="C342" s="313"/>
      <c r="D342" s="314" t="s">
        <v>527</v>
      </c>
      <c r="E342" s="315"/>
      <c r="F342" s="316"/>
      <c r="G342" s="317">
        <v>0.01</v>
      </c>
      <c r="H342" s="357">
        <v>45555</v>
      </c>
      <c r="I342" s="358">
        <v>46387</v>
      </c>
      <c r="J342" s="358"/>
      <c r="K342" s="358"/>
      <c r="L342" s="358"/>
      <c r="M342" s="358"/>
      <c r="N342" s="319">
        <f t="shared" ref="N342:R342" si="815">+($F343*N343+$F466*N466+$F482*N482)</f>
        <v>0.86992741587581057</v>
      </c>
      <c r="O342" s="319">
        <f t="shared" si="815"/>
        <v>0.86992741587581057</v>
      </c>
      <c r="P342" s="319">
        <f t="shared" si="815"/>
        <v>0.86992741587581057</v>
      </c>
      <c r="Q342" s="319">
        <f t="shared" si="815"/>
        <v>0.86992741587581057</v>
      </c>
      <c r="R342" s="367">
        <f t="shared" si="815"/>
        <v>0.86992741587581057</v>
      </c>
      <c r="S342" s="386">
        <f t="shared" ref="S342" si="816">+($F343*S343+$F466*S466+$F482*S482)</f>
        <v>0.86992741587581057</v>
      </c>
      <c r="T342" s="319">
        <f t="shared" ref="T342" si="817">+($F343*T343+$F466*T466+$F482*T482)</f>
        <v>0.86992741587581057</v>
      </c>
      <c r="U342" s="319">
        <f t="shared" ref="U342" si="818">+($F343*U343+$F466*U466+$F482*U482)</f>
        <v>0.86992741587581057</v>
      </c>
      <c r="V342" s="319">
        <f t="shared" ref="V342" si="819">+($F343*V343+$F466*V466+$F482*V482)</f>
        <v>0.86992741587581057</v>
      </c>
      <c r="W342" s="319">
        <f t="shared" ref="W342" si="820">+($F343*W343+$F466*W466+$F482*W482)</f>
        <v>0.86992741587581057</v>
      </c>
      <c r="X342" s="319">
        <f t="shared" ref="X342" si="821">+($F343*X343+$F466*X466+$F482*X482)</f>
        <v>0.86992741587581057</v>
      </c>
      <c r="Y342" s="319">
        <f t="shared" ref="Y342" si="822">+($F343*Y343+$F466*Y466+$F482*Y482)</f>
        <v>0.86992741587581057</v>
      </c>
      <c r="Z342" s="319">
        <f t="shared" ref="Z342" si="823">+($F343*Z343+$F466*Z466+$F482*Z482)</f>
        <v>0.86992741587581057</v>
      </c>
      <c r="AA342" s="319">
        <f t="shared" ref="AA342" si="824">+($F343*AA343+$F466*AA466+$F482*AA482)</f>
        <v>0.86992741587581057</v>
      </c>
      <c r="AB342" s="319">
        <f t="shared" ref="AB342" si="825">+($F343*AB343+$F466*AB466+$F482*AB482)</f>
        <v>0.86992741587581057</v>
      </c>
      <c r="AC342" s="319">
        <f t="shared" ref="AC342" si="826">+($F343*AC343+$F466*AC466+$F482*AC482)</f>
        <v>0.86992741587581057</v>
      </c>
      <c r="AD342" s="320">
        <f t="shared" ref="AD342:AF342" si="827">+($F343*AD343+$F466*AD466+$F482*AD482)</f>
        <v>0.86992741587581057</v>
      </c>
      <c r="AE342" s="320">
        <f t="shared" si="827"/>
        <v>0.86992741587581057</v>
      </c>
      <c r="AF342" s="320">
        <f t="shared" si="827"/>
        <v>0.86992741587581057</v>
      </c>
      <c r="AG342" s="320">
        <f t="shared" ref="AG342" si="828">+($F343*AG343+$F466*AG466+$F482*AG482)</f>
        <v>0.86992741587581057</v>
      </c>
      <c r="AH342" s="320">
        <f t="shared" ref="AH342" si="829">+($F343*AH343+$F466*AH466+$F482*AH482)</f>
        <v>0.86992741587581057</v>
      </c>
      <c r="AI342" s="320">
        <f t="shared" ref="AI342" si="830">+($F343*AI343+$F466*AI466+$F482*AI482)</f>
        <v>0.86992741587581057</v>
      </c>
      <c r="AJ342" s="320">
        <f t="shared" ref="AJ342" si="831">+($F343*AJ343+$F466*AJ466+$F482*AJ482)</f>
        <v>0.86992741587581057</v>
      </c>
      <c r="AK342" s="320">
        <f t="shared" ref="AK342" si="832">+($F343*AK343+$F466*AK466+$F482*AK482)</f>
        <v>0.86992741587581057</v>
      </c>
      <c r="AL342" s="320">
        <f t="shared" ref="AL342" si="833">+($F343*AL343+$F466*AL466+$F482*AL482)</f>
        <v>0.86992741587581057</v>
      </c>
      <c r="AM342" s="320">
        <f t="shared" ref="AM342" si="834">+($F343*AM343+$F466*AM466+$F482*AM482)</f>
        <v>0.86992741587581057</v>
      </c>
      <c r="AN342" s="320">
        <f t="shared" ref="AN342" si="835">+($F343*AN343+$F466*AN466+$F482*AN482)</f>
        <v>0.86992741587581057</v>
      </c>
      <c r="AO342" s="320">
        <f t="shared" ref="AO342" si="836">+($F343*AO343+$F466*AO466+$F482*AO482)</f>
        <v>0.86992741587581057</v>
      </c>
      <c r="AP342" s="320">
        <f t="shared" ref="AP342" si="837">+($F343*AP343+$F466*AP466+$F482*AP482)</f>
        <v>0.86992741587581057</v>
      </c>
    </row>
    <row r="343" spans="1:42" s="140" customFormat="1" ht="13.5" hidden="1" customHeight="1" outlineLevel="1" thickBot="1">
      <c r="B343" s="300" t="s">
        <v>528</v>
      </c>
      <c r="C343" s="294"/>
      <c r="D343" s="294" t="s">
        <v>31</v>
      </c>
      <c r="E343" s="295"/>
      <c r="F343" s="296">
        <f t="shared" ref="F343:F406" si="838">F719</f>
        <v>0.78107171599540315</v>
      </c>
      <c r="G343" s="296">
        <f>+F343*G342</f>
        <v>7.8107171599540318E-3</v>
      </c>
      <c r="H343" s="297"/>
      <c r="I343" s="297"/>
      <c r="J343" s="297"/>
      <c r="K343" s="297"/>
      <c r="L343" s="297"/>
      <c r="M343" s="297"/>
      <c r="N343" s="296">
        <f t="shared" ref="N343:R343" si="839">+$F344*N344+$F365*N365+$F392*N392+$F404*N404+$F417*N417+$F432*N432+$F450*N450+$F465*N465</f>
        <v>0.99574297577807791</v>
      </c>
      <c r="O343" s="296">
        <f t="shared" si="839"/>
        <v>0.99574297577807791</v>
      </c>
      <c r="P343" s="296">
        <f t="shared" si="839"/>
        <v>0.99574297577807791</v>
      </c>
      <c r="Q343" s="296">
        <f t="shared" si="839"/>
        <v>0.99574297577807791</v>
      </c>
      <c r="R343" s="376">
        <f t="shared" si="839"/>
        <v>0.99574297577807791</v>
      </c>
      <c r="S343" s="403">
        <f t="shared" ref="S343" si="840">+$F344*S344+$F365*S365+$F392*S392+$F404*S404+$F417*S417+$F432*S432+$F450*S450+$F465*S465</f>
        <v>0.99574297577807791</v>
      </c>
      <c r="T343" s="296">
        <f t="shared" ref="T343" si="841">+$F344*T344+$F365*T365+$F392*T392+$F404*T404+$F417*T417+$F432*T432+$F450*T450+$F465*T465</f>
        <v>0.99574297577807791</v>
      </c>
      <c r="U343" s="296">
        <f t="shared" ref="U343" si="842">+$F344*U344+$F365*U365+$F392*U392+$F404*U404+$F417*U417+$F432*U432+$F450*U450+$F465*U465</f>
        <v>0.99574297577807791</v>
      </c>
      <c r="V343" s="296">
        <f t="shared" ref="V343" si="843">+$F344*V344+$F365*V365+$F392*V392+$F404*V404+$F417*V417+$F432*V432+$F450*V450+$F465*V465</f>
        <v>0.99574297577807791</v>
      </c>
      <c r="W343" s="296">
        <f t="shared" ref="W343" si="844">+$F344*W344+$F365*W365+$F392*W392+$F404*W404+$F417*W417+$F432*W432+$F450*W450+$F465*W465</f>
        <v>0.99574297577807791</v>
      </c>
      <c r="X343" s="296">
        <f t="shared" ref="X343" si="845">+$F344*X344+$F365*X365+$F392*X392+$F404*X404+$F417*X417+$F432*X432+$F450*X450+$F465*X465</f>
        <v>0.99574297577807791</v>
      </c>
      <c r="Y343" s="296">
        <f t="shared" ref="Y343" si="846">+$F344*Y344+$F365*Y365+$F392*Y392+$F404*Y404+$F417*Y417+$F432*Y432+$F450*Y450+$F465*Y465</f>
        <v>0.99574297577807791</v>
      </c>
      <c r="Z343" s="296">
        <f t="shared" ref="Z343" si="847">+$F344*Z344+$F365*Z365+$F392*Z392+$F404*Z404+$F417*Z417+$F432*Z432+$F450*Z450+$F465*Z465</f>
        <v>0.99574297577807791</v>
      </c>
      <c r="AA343" s="296">
        <f t="shared" ref="AA343" si="848">+$F344*AA344+$F365*AA365+$F392*AA392+$F404*AA404+$F417*AA417+$F432*AA432+$F450*AA450+$F465*AA465</f>
        <v>0.99574297577807791</v>
      </c>
      <c r="AB343" s="296">
        <f t="shared" ref="AB343" si="849">+$F344*AB344+$F365*AB365+$F392*AB392+$F404*AB404+$F417*AB417+$F432*AB432+$F450*AB450+$F465*AB465</f>
        <v>0.99574297577807791</v>
      </c>
      <c r="AC343" s="296">
        <f t="shared" ref="AC343" si="850">+$F344*AC344+$F365*AC365+$F392*AC392+$F404*AC404+$F417*AC417+$F432*AC432+$F450*AC450+$F465*AC465</f>
        <v>0.99574297577807791</v>
      </c>
      <c r="AD343" s="404">
        <f t="shared" ref="AD343:AF343" si="851">+$F344*AD344+$F365*AD365+$F392*AD392+$F404*AD404+$F417*AD417+$F432*AD432+$F450*AD450+$F465*AD465</f>
        <v>0.99574297577807791</v>
      </c>
      <c r="AE343" s="404">
        <f t="shared" si="851"/>
        <v>0.99574297577807791</v>
      </c>
      <c r="AF343" s="404">
        <f t="shared" si="851"/>
        <v>0.99574297577807791</v>
      </c>
      <c r="AG343" s="404">
        <f t="shared" ref="AG343" si="852">+$F344*AG344+$F365*AG365+$F392*AG392+$F404*AG404+$F417*AG417+$F432*AG432+$F450*AG450+$F465*AG465</f>
        <v>0.99574297577807791</v>
      </c>
      <c r="AH343" s="404">
        <f t="shared" ref="AH343" si="853">+$F344*AH344+$F365*AH365+$F392*AH392+$F404*AH404+$F417*AH417+$F432*AH432+$F450*AH450+$F465*AH465</f>
        <v>0.99574297577807791</v>
      </c>
      <c r="AI343" s="404">
        <f t="shared" ref="AI343" si="854">+$F344*AI344+$F365*AI365+$F392*AI392+$F404*AI404+$F417*AI417+$F432*AI432+$F450*AI450+$F465*AI465</f>
        <v>0.99574297577807791</v>
      </c>
      <c r="AJ343" s="404">
        <f t="shared" ref="AJ343" si="855">+$F344*AJ344+$F365*AJ365+$F392*AJ392+$F404*AJ404+$F417*AJ417+$F432*AJ432+$F450*AJ450+$F465*AJ465</f>
        <v>0.99574297577807791</v>
      </c>
      <c r="AK343" s="404">
        <f t="shared" ref="AK343" si="856">+$F344*AK344+$F365*AK365+$F392*AK392+$F404*AK404+$F417*AK417+$F432*AK432+$F450*AK450+$F465*AK465</f>
        <v>0.99574297577807791</v>
      </c>
      <c r="AL343" s="404">
        <f t="shared" ref="AL343" si="857">+$F344*AL344+$F365*AL365+$F392*AL392+$F404*AL404+$F417*AL417+$F432*AL432+$F450*AL450+$F465*AL465</f>
        <v>0.99574297577807791</v>
      </c>
      <c r="AM343" s="404">
        <f t="shared" ref="AM343" si="858">+$F344*AM344+$F365*AM365+$F392*AM392+$F404*AM404+$F417*AM417+$F432*AM432+$F450*AM450+$F465*AM465</f>
        <v>0.99574297577807791</v>
      </c>
      <c r="AN343" s="404">
        <f t="shared" ref="AN343" si="859">+$F344*AN344+$F365*AN365+$F392*AN392+$F404*AN404+$F417*AN417+$F432*AN432+$F450*AN450+$F465*AN465</f>
        <v>0.99574297577807791</v>
      </c>
      <c r="AO343" s="404">
        <f t="shared" ref="AO343" si="860">+$F344*AO344+$F365*AO365+$F392*AO392+$F404*AO404+$F417*AO417+$F432*AO432+$F450*AO450+$F465*AO465</f>
        <v>0.99574297577807791</v>
      </c>
      <c r="AP343" s="404">
        <f t="shared" ref="AP343" si="861">+$F344*AP344+$F365*AP365+$F392*AP392+$F404*AP404+$F417*AP417+$F432*AP432+$F450*AP450+$F465*AP465</f>
        <v>0.99574297577807791</v>
      </c>
    </row>
    <row r="344" spans="1:42" s="140" customFormat="1" ht="13.5" hidden="1" customHeight="1" outlineLevel="2" thickBot="1">
      <c r="A344" s="216"/>
      <c r="B344" s="291" t="s">
        <v>529</v>
      </c>
      <c r="C344" s="292" t="s">
        <v>32</v>
      </c>
      <c r="D344" s="234" t="s">
        <v>33</v>
      </c>
      <c r="E344" s="240"/>
      <c r="F344" s="223">
        <f t="shared" si="838"/>
        <v>0.19239834958539684</v>
      </c>
      <c r="G344" s="293">
        <f>+F344*G343</f>
        <v>1.5027690906534938E-3</v>
      </c>
      <c r="H344" s="298"/>
      <c r="I344" s="298"/>
      <c r="J344" s="298"/>
      <c r="K344" s="298"/>
      <c r="L344" s="298"/>
      <c r="M344" s="298"/>
      <c r="N344" s="270">
        <f t="shared" ref="N344:R344" si="862">+SUMPRODUCT($F345:$F364,N345:N364)</f>
        <v>0.99999999999999978</v>
      </c>
      <c r="O344" s="270">
        <f t="shared" si="862"/>
        <v>0.99999999999999978</v>
      </c>
      <c r="P344" s="270">
        <f t="shared" si="862"/>
        <v>0.99999999999999978</v>
      </c>
      <c r="Q344" s="270">
        <f t="shared" si="862"/>
        <v>0.99999999999999978</v>
      </c>
      <c r="R344" s="370">
        <f t="shared" si="862"/>
        <v>0.99999999999999978</v>
      </c>
      <c r="S344" s="391">
        <f t="shared" ref="S344" si="863">+SUMPRODUCT($F345:$F364,S345:S364)</f>
        <v>0.99999999999999978</v>
      </c>
      <c r="T344" s="270">
        <f t="shared" ref="T344" si="864">+SUMPRODUCT($F345:$F364,T345:T364)</f>
        <v>0.99999999999999978</v>
      </c>
      <c r="U344" s="270">
        <f t="shared" ref="U344" si="865">+SUMPRODUCT($F345:$F364,U345:U364)</f>
        <v>0.99999999999999978</v>
      </c>
      <c r="V344" s="270">
        <f t="shared" ref="V344" si="866">+SUMPRODUCT($F345:$F364,V345:V364)</f>
        <v>0.99999999999999978</v>
      </c>
      <c r="W344" s="270">
        <f t="shared" ref="W344" si="867">+SUMPRODUCT($F345:$F364,W345:W364)</f>
        <v>0.99999999999999978</v>
      </c>
      <c r="X344" s="270">
        <f t="shared" ref="X344" si="868">+SUMPRODUCT($F345:$F364,X345:X364)</f>
        <v>0.99999999999999978</v>
      </c>
      <c r="Y344" s="270">
        <f t="shared" ref="Y344" si="869">+SUMPRODUCT($F345:$F364,Y345:Y364)</f>
        <v>0.99999999999999978</v>
      </c>
      <c r="Z344" s="270">
        <f t="shared" ref="Z344" si="870">+SUMPRODUCT($F345:$F364,Z345:Z364)</f>
        <v>0.99999999999999978</v>
      </c>
      <c r="AA344" s="270">
        <f t="shared" ref="AA344" si="871">+SUMPRODUCT($F345:$F364,AA345:AA364)</f>
        <v>0.99999999999999978</v>
      </c>
      <c r="AB344" s="270">
        <f t="shared" ref="AB344" si="872">+SUMPRODUCT($F345:$F364,AB345:AB364)</f>
        <v>0.99999999999999978</v>
      </c>
      <c r="AC344" s="270">
        <f t="shared" ref="AC344" si="873">+SUMPRODUCT($F345:$F364,AC345:AC364)</f>
        <v>0.99999999999999978</v>
      </c>
      <c r="AD344" s="392">
        <f t="shared" ref="AD344:AF344" si="874">+SUMPRODUCT($F345:$F364,AD345:AD364)</f>
        <v>0.99999999999999978</v>
      </c>
      <c r="AE344" s="392">
        <f t="shared" si="874"/>
        <v>0.99999999999999978</v>
      </c>
      <c r="AF344" s="392">
        <f t="shared" si="874"/>
        <v>0.99999999999999978</v>
      </c>
      <c r="AG344" s="392">
        <f t="shared" ref="AG344" si="875">+SUMPRODUCT($F345:$F364,AG345:AG364)</f>
        <v>0.99999999999999978</v>
      </c>
      <c r="AH344" s="392">
        <f t="shared" ref="AH344" si="876">+SUMPRODUCT($F345:$F364,AH345:AH364)</f>
        <v>0.99999999999999978</v>
      </c>
      <c r="AI344" s="392">
        <f t="shared" ref="AI344" si="877">+SUMPRODUCT($F345:$F364,AI345:AI364)</f>
        <v>0.99999999999999978</v>
      </c>
      <c r="AJ344" s="392">
        <f t="shared" ref="AJ344" si="878">+SUMPRODUCT($F345:$F364,AJ345:AJ364)</f>
        <v>0.99999999999999978</v>
      </c>
      <c r="AK344" s="392">
        <f t="shared" ref="AK344" si="879">+SUMPRODUCT($F345:$F364,AK345:AK364)</f>
        <v>0.99999999999999978</v>
      </c>
      <c r="AL344" s="392">
        <f t="shared" ref="AL344" si="880">+SUMPRODUCT($F345:$F364,AL345:AL364)</f>
        <v>0.99999999999999978</v>
      </c>
      <c r="AM344" s="392">
        <f t="shared" ref="AM344" si="881">+SUMPRODUCT($F345:$F364,AM345:AM364)</f>
        <v>0.99999999999999978</v>
      </c>
      <c r="AN344" s="392">
        <f t="shared" ref="AN344" si="882">+SUMPRODUCT($F345:$F364,AN345:AN364)</f>
        <v>0.99999999999999978</v>
      </c>
      <c r="AO344" s="392">
        <f t="shared" ref="AO344" si="883">+SUMPRODUCT($F345:$F364,AO345:AO364)</f>
        <v>0.99999999999999978</v>
      </c>
      <c r="AP344" s="392">
        <f t="shared" ref="AP344" si="884">+SUMPRODUCT($F345:$F364,AP345:AP364)</f>
        <v>0.99999999999999978</v>
      </c>
    </row>
    <row r="345" spans="1:42" s="140" customFormat="1" ht="13.5" hidden="1" customHeight="1" outlineLevel="3" thickBot="1">
      <c r="A345" s="216"/>
      <c r="B345" s="255" t="s">
        <v>530</v>
      </c>
      <c r="C345" s="290" t="s">
        <v>230</v>
      </c>
      <c r="D345" s="227" t="s">
        <v>231</v>
      </c>
      <c r="E345" s="241"/>
      <c r="F345" s="228">
        <f t="shared" si="838"/>
        <v>4.4581817293365446E-2</v>
      </c>
      <c r="G345" s="269">
        <f>+F345*G344</f>
        <v>6.6996177033630994E-5</v>
      </c>
      <c r="H345" s="299"/>
      <c r="I345" s="299"/>
      <c r="J345" s="299"/>
      <c r="K345" s="299"/>
      <c r="L345" s="299"/>
      <c r="M345" s="299"/>
      <c r="N345" s="272">
        <v>1</v>
      </c>
      <c r="O345" s="272">
        <v>1</v>
      </c>
      <c r="P345" s="272">
        <v>1</v>
      </c>
      <c r="Q345" s="272">
        <v>1</v>
      </c>
      <c r="R345" s="372">
        <v>1</v>
      </c>
      <c r="S345" s="395">
        <v>1</v>
      </c>
      <c r="T345" s="272">
        <v>1</v>
      </c>
      <c r="U345" s="272">
        <v>1</v>
      </c>
      <c r="V345" s="272">
        <v>1</v>
      </c>
      <c r="W345" s="272">
        <v>1</v>
      </c>
      <c r="X345" s="272">
        <v>1</v>
      </c>
      <c r="Y345" s="272">
        <v>1</v>
      </c>
      <c r="Z345" s="272">
        <v>1</v>
      </c>
      <c r="AA345" s="272">
        <v>1</v>
      </c>
      <c r="AB345" s="272">
        <v>1</v>
      </c>
      <c r="AC345" s="272">
        <v>1</v>
      </c>
      <c r="AD345" s="396">
        <v>1</v>
      </c>
      <c r="AE345" s="396">
        <v>1</v>
      </c>
      <c r="AF345" s="396">
        <v>1</v>
      </c>
      <c r="AG345" s="396">
        <v>1</v>
      </c>
      <c r="AH345" s="396">
        <v>1</v>
      </c>
      <c r="AI345" s="396">
        <v>1</v>
      </c>
      <c r="AJ345" s="396">
        <v>1</v>
      </c>
      <c r="AK345" s="396">
        <v>1</v>
      </c>
      <c r="AL345" s="396">
        <v>1</v>
      </c>
      <c r="AM345" s="396">
        <v>1</v>
      </c>
      <c r="AN345" s="396">
        <v>1</v>
      </c>
      <c r="AO345" s="396">
        <v>1</v>
      </c>
      <c r="AP345" s="396">
        <v>1</v>
      </c>
    </row>
    <row r="346" spans="1:42" s="140" customFormat="1" ht="13.5" hidden="1" customHeight="1" outlineLevel="3" thickBot="1">
      <c r="A346" s="216"/>
      <c r="B346" s="255" t="s">
        <v>531</v>
      </c>
      <c r="C346" s="290" t="s">
        <v>233</v>
      </c>
      <c r="D346" s="227" t="s">
        <v>231</v>
      </c>
      <c r="E346" s="241"/>
      <c r="F346" s="228">
        <f t="shared" si="838"/>
        <v>4.4581817293365446E-2</v>
      </c>
      <c r="G346" s="269">
        <f>+F346*G344</f>
        <v>6.6996177033630994E-5</v>
      </c>
      <c r="H346" s="299"/>
      <c r="I346" s="299"/>
      <c r="J346" s="299"/>
      <c r="K346" s="299"/>
      <c r="L346" s="299"/>
      <c r="M346" s="299"/>
      <c r="N346" s="272">
        <v>1</v>
      </c>
      <c r="O346" s="272">
        <v>1</v>
      </c>
      <c r="P346" s="272">
        <v>1</v>
      </c>
      <c r="Q346" s="272">
        <v>1</v>
      </c>
      <c r="R346" s="372">
        <v>1</v>
      </c>
      <c r="S346" s="395">
        <v>1</v>
      </c>
      <c r="T346" s="272">
        <v>1</v>
      </c>
      <c r="U346" s="272">
        <v>1</v>
      </c>
      <c r="V346" s="272">
        <v>1</v>
      </c>
      <c r="W346" s="272">
        <v>1</v>
      </c>
      <c r="X346" s="272">
        <v>1</v>
      </c>
      <c r="Y346" s="272">
        <v>1</v>
      </c>
      <c r="Z346" s="272">
        <v>1</v>
      </c>
      <c r="AA346" s="272">
        <v>1</v>
      </c>
      <c r="AB346" s="272">
        <v>1</v>
      </c>
      <c r="AC346" s="272">
        <v>1</v>
      </c>
      <c r="AD346" s="396">
        <v>1</v>
      </c>
      <c r="AE346" s="396">
        <v>1</v>
      </c>
      <c r="AF346" s="396">
        <v>1</v>
      </c>
      <c r="AG346" s="396">
        <v>1</v>
      </c>
      <c r="AH346" s="396">
        <v>1</v>
      </c>
      <c r="AI346" s="396">
        <v>1</v>
      </c>
      <c r="AJ346" s="396">
        <v>1</v>
      </c>
      <c r="AK346" s="396">
        <v>1</v>
      </c>
      <c r="AL346" s="396">
        <v>1</v>
      </c>
      <c r="AM346" s="396">
        <v>1</v>
      </c>
      <c r="AN346" s="396">
        <v>1</v>
      </c>
      <c r="AO346" s="396">
        <v>1</v>
      </c>
      <c r="AP346" s="396">
        <v>1</v>
      </c>
    </row>
    <row r="347" spans="1:42" s="140" customFormat="1" ht="13.5" hidden="1" customHeight="1" outlineLevel="3" thickBot="1">
      <c r="A347" s="216"/>
      <c r="B347" s="255" t="s">
        <v>532</v>
      </c>
      <c r="C347" s="290" t="s">
        <v>235</v>
      </c>
      <c r="D347" s="227" t="s">
        <v>231</v>
      </c>
      <c r="E347" s="241"/>
      <c r="F347" s="228">
        <f t="shared" si="838"/>
        <v>4.4581817293365446E-2</v>
      </c>
      <c r="G347" s="269">
        <f>+F347*G344</f>
        <v>6.6996177033630994E-5</v>
      </c>
      <c r="H347" s="299"/>
      <c r="I347" s="299"/>
      <c r="J347" s="299"/>
      <c r="K347" s="299"/>
      <c r="L347" s="299"/>
      <c r="M347" s="299"/>
      <c r="N347" s="272">
        <v>1</v>
      </c>
      <c r="O347" s="272">
        <v>1</v>
      </c>
      <c r="P347" s="272">
        <v>1</v>
      </c>
      <c r="Q347" s="272">
        <v>1</v>
      </c>
      <c r="R347" s="372">
        <v>1</v>
      </c>
      <c r="S347" s="395">
        <v>1</v>
      </c>
      <c r="T347" s="272">
        <v>1</v>
      </c>
      <c r="U347" s="272">
        <v>1</v>
      </c>
      <c r="V347" s="272">
        <v>1</v>
      </c>
      <c r="W347" s="272">
        <v>1</v>
      </c>
      <c r="X347" s="272">
        <v>1</v>
      </c>
      <c r="Y347" s="272">
        <v>1</v>
      </c>
      <c r="Z347" s="272">
        <v>1</v>
      </c>
      <c r="AA347" s="272">
        <v>1</v>
      </c>
      <c r="AB347" s="272">
        <v>1</v>
      </c>
      <c r="AC347" s="272">
        <v>1</v>
      </c>
      <c r="AD347" s="396">
        <v>1</v>
      </c>
      <c r="AE347" s="396">
        <v>1</v>
      </c>
      <c r="AF347" s="396">
        <v>1</v>
      </c>
      <c r="AG347" s="396">
        <v>1</v>
      </c>
      <c r="AH347" s="396">
        <v>1</v>
      </c>
      <c r="AI347" s="396">
        <v>1</v>
      </c>
      <c r="AJ347" s="396">
        <v>1</v>
      </c>
      <c r="AK347" s="396">
        <v>1</v>
      </c>
      <c r="AL347" s="396">
        <v>1</v>
      </c>
      <c r="AM347" s="396">
        <v>1</v>
      </c>
      <c r="AN347" s="396">
        <v>1</v>
      </c>
      <c r="AO347" s="396">
        <v>1</v>
      </c>
      <c r="AP347" s="396">
        <v>1</v>
      </c>
    </row>
    <row r="348" spans="1:42" s="140" customFormat="1" ht="13.5" hidden="1" customHeight="1" outlineLevel="3" thickBot="1">
      <c r="A348" s="216"/>
      <c r="B348" s="255" t="s">
        <v>533</v>
      </c>
      <c r="C348" s="290" t="s">
        <v>237</v>
      </c>
      <c r="D348" s="227" t="s">
        <v>231</v>
      </c>
      <c r="E348" s="241"/>
      <c r="F348" s="228">
        <f t="shared" si="838"/>
        <v>4.4581817293365446E-2</v>
      </c>
      <c r="G348" s="269">
        <f>+F348*G344</f>
        <v>6.6996177033630994E-5</v>
      </c>
      <c r="H348" s="299"/>
      <c r="I348" s="299"/>
      <c r="J348" s="299"/>
      <c r="K348" s="299"/>
      <c r="L348" s="299"/>
      <c r="M348" s="299"/>
      <c r="N348" s="272">
        <v>1</v>
      </c>
      <c r="O348" s="272">
        <v>1</v>
      </c>
      <c r="P348" s="272">
        <v>1</v>
      </c>
      <c r="Q348" s="272">
        <v>1</v>
      </c>
      <c r="R348" s="372">
        <v>1</v>
      </c>
      <c r="S348" s="395">
        <v>1</v>
      </c>
      <c r="T348" s="272">
        <v>1</v>
      </c>
      <c r="U348" s="272">
        <v>1</v>
      </c>
      <c r="V348" s="272">
        <v>1</v>
      </c>
      <c r="W348" s="272">
        <v>1</v>
      </c>
      <c r="X348" s="272">
        <v>1</v>
      </c>
      <c r="Y348" s="272">
        <v>1</v>
      </c>
      <c r="Z348" s="272">
        <v>1</v>
      </c>
      <c r="AA348" s="272">
        <v>1</v>
      </c>
      <c r="AB348" s="272">
        <v>1</v>
      </c>
      <c r="AC348" s="272">
        <v>1</v>
      </c>
      <c r="AD348" s="396">
        <v>1</v>
      </c>
      <c r="AE348" s="396">
        <v>1</v>
      </c>
      <c r="AF348" s="396">
        <v>1</v>
      </c>
      <c r="AG348" s="396">
        <v>1</v>
      </c>
      <c r="AH348" s="396">
        <v>1</v>
      </c>
      <c r="AI348" s="396">
        <v>1</v>
      </c>
      <c r="AJ348" s="396">
        <v>1</v>
      </c>
      <c r="AK348" s="396">
        <v>1</v>
      </c>
      <c r="AL348" s="396">
        <v>1</v>
      </c>
      <c r="AM348" s="396">
        <v>1</v>
      </c>
      <c r="AN348" s="396">
        <v>1</v>
      </c>
      <c r="AO348" s="396">
        <v>1</v>
      </c>
      <c r="AP348" s="396">
        <v>1</v>
      </c>
    </row>
    <row r="349" spans="1:42" s="140" customFormat="1" ht="13.5" hidden="1" customHeight="1" outlineLevel="3" thickBot="1">
      <c r="A349" s="216"/>
      <c r="B349" s="255" t="s">
        <v>534</v>
      </c>
      <c r="C349" s="290" t="s">
        <v>239</v>
      </c>
      <c r="D349" s="227" t="s">
        <v>231</v>
      </c>
      <c r="E349" s="241"/>
      <c r="F349" s="228">
        <f t="shared" si="838"/>
        <v>4.4581817293365446E-2</v>
      </c>
      <c r="G349" s="269">
        <f>+F349*G344</f>
        <v>6.6996177033630994E-5</v>
      </c>
      <c r="H349" s="299"/>
      <c r="I349" s="299"/>
      <c r="J349" s="299"/>
      <c r="K349" s="299"/>
      <c r="L349" s="299"/>
      <c r="M349" s="299"/>
      <c r="N349" s="272">
        <v>1</v>
      </c>
      <c r="O349" s="272">
        <v>1</v>
      </c>
      <c r="P349" s="272">
        <v>1</v>
      </c>
      <c r="Q349" s="272">
        <v>1</v>
      </c>
      <c r="R349" s="372">
        <v>1</v>
      </c>
      <c r="S349" s="395">
        <v>1</v>
      </c>
      <c r="T349" s="272">
        <v>1</v>
      </c>
      <c r="U349" s="272">
        <v>1</v>
      </c>
      <c r="V349" s="272">
        <v>1</v>
      </c>
      <c r="W349" s="272">
        <v>1</v>
      </c>
      <c r="X349" s="272">
        <v>1</v>
      </c>
      <c r="Y349" s="272">
        <v>1</v>
      </c>
      <c r="Z349" s="272">
        <v>1</v>
      </c>
      <c r="AA349" s="272">
        <v>1</v>
      </c>
      <c r="AB349" s="272">
        <v>1</v>
      </c>
      <c r="AC349" s="272">
        <v>1</v>
      </c>
      <c r="AD349" s="396">
        <v>1</v>
      </c>
      <c r="AE349" s="396">
        <v>1</v>
      </c>
      <c r="AF349" s="396">
        <v>1</v>
      </c>
      <c r="AG349" s="396">
        <v>1</v>
      </c>
      <c r="AH349" s="396">
        <v>1</v>
      </c>
      <c r="AI349" s="396">
        <v>1</v>
      </c>
      <c r="AJ349" s="396">
        <v>1</v>
      </c>
      <c r="AK349" s="396">
        <v>1</v>
      </c>
      <c r="AL349" s="396">
        <v>1</v>
      </c>
      <c r="AM349" s="396">
        <v>1</v>
      </c>
      <c r="AN349" s="396">
        <v>1</v>
      </c>
      <c r="AO349" s="396">
        <v>1</v>
      </c>
      <c r="AP349" s="396">
        <v>1</v>
      </c>
    </row>
    <row r="350" spans="1:42" s="140" customFormat="1" ht="13.5" hidden="1" customHeight="1" outlineLevel="3" thickBot="1">
      <c r="A350" s="216"/>
      <c r="B350" s="255" t="s">
        <v>535</v>
      </c>
      <c r="C350" s="290" t="s">
        <v>241</v>
      </c>
      <c r="D350" s="227" t="s">
        <v>231</v>
      </c>
      <c r="E350" s="241"/>
      <c r="F350" s="228">
        <f t="shared" si="838"/>
        <v>4.4581817293365446E-2</v>
      </c>
      <c r="G350" s="269">
        <f>+F350*G344</f>
        <v>6.6996177033630994E-5</v>
      </c>
      <c r="H350" s="299"/>
      <c r="I350" s="299"/>
      <c r="J350" s="299"/>
      <c r="K350" s="299"/>
      <c r="L350" s="299"/>
      <c r="M350" s="299"/>
      <c r="N350" s="272">
        <v>1</v>
      </c>
      <c r="O350" s="272">
        <v>1</v>
      </c>
      <c r="P350" s="272">
        <v>1</v>
      </c>
      <c r="Q350" s="272">
        <v>1</v>
      </c>
      <c r="R350" s="372">
        <v>1</v>
      </c>
      <c r="S350" s="395">
        <v>1</v>
      </c>
      <c r="T350" s="272">
        <v>1</v>
      </c>
      <c r="U350" s="272">
        <v>1</v>
      </c>
      <c r="V350" s="272">
        <v>1</v>
      </c>
      <c r="W350" s="272">
        <v>1</v>
      </c>
      <c r="X350" s="272">
        <v>1</v>
      </c>
      <c r="Y350" s="272">
        <v>1</v>
      </c>
      <c r="Z350" s="272">
        <v>1</v>
      </c>
      <c r="AA350" s="272">
        <v>1</v>
      </c>
      <c r="AB350" s="272">
        <v>1</v>
      </c>
      <c r="AC350" s="272">
        <v>1</v>
      </c>
      <c r="AD350" s="396">
        <v>1</v>
      </c>
      <c r="AE350" s="396">
        <v>1</v>
      </c>
      <c r="AF350" s="396">
        <v>1</v>
      </c>
      <c r="AG350" s="396">
        <v>1</v>
      </c>
      <c r="AH350" s="396">
        <v>1</v>
      </c>
      <c r="AI350" s="396">
        <v>1</v>
      </c>
      <c r="AJ350" s="396">
        <v>1</v>
      </c>
      <c r="AK350" s="396">
        <v>1</v>
      </c>
      <c r="AL350" s="396">
        <v>1</v>
      </c>
      <c r="AM350" s="396">
        <v>1</v>
      </c>
      <c r="AN350" s="396">
        <v>1</v>
      </c>
      <c r="AO350" s="396">
        <v>1</v>
      </c>
      <c r="AP350" s="396">
        <v>1</v>
      </c>
    </row>
    <row r="351" spans="1:42" s="140" customFormat="1" ht="13.5" hidden="1" customHeight="1" outlineLevel="3" thickBot="1">
      <c r="A351" s="216"/>
      <c r="B351" s="255" t="s">
        <v>536</v>
      </c>
      <c r="C351" s="290" t="s">
        <v>243</v>
      </c>
      <c r="D351" s="227" t="s">
        <v>231</v>
      </c>
      <c r="E351" s="241"/>
      <c r="F351" s="228">
        <f t="shared" si="838"/>
        <v>4.4581817293365446E-2</v>
      </c>
      <c r="G351" s="269">
        <f>+F351*G344</f>
        <v>6.6996177033630994E-5</v>
      </c>
      <c r="H351" s="299"/>
      <c r="I351" s="299"/>
      <c r="J351" s="299"/>
      <c r="K351" s="299"/>
      <c r="L351" s="299"/>
      <c r="M351" s="299"/>
      <c r="N351" s="272">
        <v>1</v>
      </c>
      <c r="O351" s="272">
        <v>1</v>
      </c>
      <c r="P351" s="272">
        <v>1</v>
      </c>
      <c r="Q351" s="272">
        <v>1</v>
      </c>
      <c r="R351" s="372">
        <v>1</v>
      </c>
      <c r="S351" s="395">
        <v>1</v>
      </c>
      <c r="T351" s="272">
        <v>1</v>
      </c>
      <c r="U351" s="272">
        <v>1</v>
      </c>
      <c r="V351" s="272">
        <v>1</v>
      </c>
      <c r="W351" s="272">
        <v>1</v>
      </c>
      <c r="X351" s="272">
        <v>1</v>
      </c>
      <c r="Y351" s="272">
        <v>1</v>
      </c>
      <c r="Z351" s="272">
        <v>1</v>
      </c>
      <c r="AA351" s="272">
        <v>1</v>
      </c>
      <c r="AB351" s="272">
        <v>1</v>
      </c>
      <c r="AC351" s="272">
        <v>1</v>
      </c>
      <c r="AD351" s="396">
        <v>1</v>
      </c>
      <c r="AE351" s="396">
        <v>1</v>
      </c>
      <c r="AF351" s="396">
        <v>1</v>
      </c>
      <c r="AG351" s="396">
        <v>1</v>
      </c>
      <c r="AH351" s="396">
        <v>1</v>
      </c>
      <c r="AI351" s="396">
        <v>1</v>
      </c>
      <c r="AJ351" s="396">
        <v>1</v>
      </c>
      <c r="AK351" s="396">
        <v>1</v>
      </c>
      <c r="AL351" s="396">
        <v>1</v>
      </c>
      <c r="AM351" s="396">
        <v>1</v>
      </c>
      <c r="AN351" s="396">
        <v>1</v>
      </c>
      <c r="AO351" s="396">
        <v>1</v>
      </c>
      <c r="AP351" s="396">
        <v>1</v>
      </c>
    </row>
    <row r="352" spans="1:42" s="140" customFormat="1" ht="13.5" hidden="1" customHeight="1" outlineLevel="3" thickBot="1">
      <c r="A352" s="216"/>
      <c r="B352" s="255" t="s">
        <v>537</v>
      </c>
      <c r="C352" s="290" t="s">
        <v>245</v>
      </c>
      <c r="D352" s="227" t="s">
        <v>231</v>
      </c>
      <c r="E352" s="241"/>
      <c r="F352" s="228">
        <f t="shared" si="838"/>
        <v>4.4581817293365446E-2</v>
      </c>
      <c r="G352" s="269">
        <f>+F352*G344</f>
        <v>6.6996177033630994E-5</v>
      </c>
      <c r="H352" s="299"/>
      <c r="I352" s="299"/>
      <c r="J352" s="299"/>
      <c r="K352" s="299"/>
      <c r="L352" s="299"/>
      <c r="M352" s="299"/>
      <c r="N352" s="272">
        <v>1</v>
      </c>
      <c r="O352" s="272">
        <v>1</v>
      </c>
      <c r="P352" s="272">
        <v>1</v>
      </c>
      <c r="Q352" s="272">
        <v>1</v>
      </c>
      <c r="R352" s="372">
        <v>1</v>
      </c>
      <c r="S352" s="395">
        <v>1</v>
      </c>
      <c r="T352" s="272">
        <v>1</v>
      </c>
      <c r="U352" s="272">
        <v>1</v>
      </c>
      <c r="V352" s="272">
        <v>1</v>
      </c>
      <c r="W352" s="272">
        <v>1</v>
      </c>
      <c r="X352" s="272">
        <v>1</v>
      </c>
      <c r="Y352" s="272">
        <v>1</v>
      </c>
      <c r="Z352" s="272">
        <v>1</v>
      </c>
      <c r="AA352" s="272">
        <v>1</v>
      </c>
      <c r="AB352" s="272">
        <v>1</v>
      </c>
      <c r="AC352" s="272">
        <v>1</v>
      </c>
      <c r="AD352" s="396">
        <v>1</v>
      </c>
      <c r="AE352" s="396">
        <v>1</v>
      </c>
      <c r="AF352" s="396">
        <v>1</v>
      </c>
      <c r="AG352" s="396">
        <v>1</v>
      </c>
      <c r="AH352" s="396">
        <v>1</v>
      </c>
      <c r="AI352" s="396">
        <v>1</v>
      </c>
      <c r="AJ352" s="396">
        <v>1</v>
      </c>
      <c r="AK352" s="396">
        <v>1</v>
      </c>
      <c r="AL352" s="396">
        <v>1</v>
      </c>
      <c r="AM352" s="396">
        <v>1</v>
      </c>
      <c r="AN352" s="396">
        <v>1</v>
      </c>
      <c r="AO352" s="396">
        <v>1</v>
      </c>
      <c r="AP352" s="396">
        <v>1</v>
      </c>
    </row>
    <row r="353" spans="1:42" s="140" customFormat="1" ht="13.5" hidden="1" customHeight="1" outlineLevel="3" thickBot="1">
      <c r="A353" s="216"/>
      <c r="B353" s="255" t="s">
        <v>538</v>
      </c>
      <c r="C353" s="290" t="s">
        <v>247</v>
      </c>
      <c r="D353" s="227" t="s">
        <v>231</v>
      </c>
      <c r="E353" s="241"/>
      <c r="F353" s="228">
        <f t="shared" si="838"/>
        <v>4.4581817293365446E-2</v>
      </c>
      <c r="G353" s="269">
        <f>+F353*G344</f>
        <v>6.6996177033630994E-5</v>
      </c>
      <c r="H353" s="299"/>
      <c r="I353" s="299"/>
      <c r="J353" s="299"/>
      <c r="K353" s="299"/>
      <c r="L353" s="299"/>
      <c r="M353" s="299"/>
      <c r="N353" s="272">
        <v>1</v>
      </c>
      <c r="O353" s="272">
        <v>1</v>
      </c>
      <c r="P353" s="272">
        <v>1</v>
      </c>
      <c r="Q353" s="272">
        <v>1</v>
      </c>
      <c r="R353" s="372">
        <v>1</v>
      </c>
      <c r="S353" s="395">
        <v>1</v>
      </c>
      <c r="T353" s="272">
        <v>1</v>
      </c>
      <c r="U353" s="272">
        <v>1</v>
      </c>
      <c r="V353" s="272">
        <v>1</v>
      </c>
      <c r="W353" s="272">
        <v>1</v>
      </c>
      <c r="X353" s="272">
        <v>1</v>
      </c>
      <c r="Y353" s="272">
        <v>1</v>
      </c>
      <c r="Z353" s="272">
        <v>1</v>
      </c>
      <c r="AA353" s="272">
        <v>1</v>
      </c>
      <c r="AB353" s="272">
        <v>1</v>
      </c>
      <c r="AC353" s="272">
        <v>1</v>
      </c>
      <c r="AD353" s="396">
        <v>1</v>
      </c>
      <c r="AE353" s="396">
        <v>1</v>
      </c>
      <c r="AF353" s="396">
        <v>1</v>
      </c>
      <c r="AG353" s="396">
        <v>1</v>
      </c>
      <c r="AH353" s="396">
        <v>1</v>
      </c>
      <c r="AI353" s="396">
        <v>1</v>
      </c>
      <c r="AJ353" s="396">
        <v>1</v>
      </c>
      <c r="AK353" s="396">
        <v>1</v>
      </c>
      <c r="AL353" s="396">
        <v>1</v>
      </c>
      <c r="AM353" s="396">
        <v>1</v>
      </c>
      <c r="AN353" s="396">
        <v>1</v>
      </c>
      <c r="AO353" s="396">
        <v>1</v>
      </c>
      <c r="AP353" s="396">
        <v>1</v>
      </c>
    </row>
    <row r="354" spans="1:42" s="140" customFormat="1" ht="13.5" hidden="1" customHeight="1" outlineLevel="3" thickBot="1">
      <c r="A354" s="216"/>
      <c r="B354" s="255" t="s">
        <v>539</v>
      </c>
      <c r="C354" s="290" t="s">
        <v>249</v>
      </c>
      <c r="D354" s="227" t="s">
        <v>231</v>
      </c>
      <c r="E354" s="241"/>
      <c r="F354" s="228">
        <f t="shared" si="838"/>
        <v>4.4581817293365446E-2</v>
      </c>
      <c r="G354" s="269">
        <f>+F354*G344</f>
        <v>6.6996177033630994E-5</v>
      </c>
      <c r="H354" s="299"/>
      <c r="I354" s="299"/>
      <c r="J354" s="299"/>
      <c r="K354" s="299"/>
      <c r="L354" s="299"/>
      <c r="M354" s="299"/>
      <c r="N354" s="272">
        <v>1</v>
      </c>
      <c r="O354" s="272">
        <v>1</v>
      </c>
      <c r="P354" s="272">
        <v>1</v>
      </c>
      <c r="Q354" s="272">
        <v>1</v>
      </c>
      <c r="R354" s="372">
        <v>1</v>
      </c>
      <c r="S354" s="395">
        <v>1</v>
      </c>
      <c r="T354" s="272">
        <v>1</v>
      </c>
      <c r="U354" s="272">
        <v>1</v>
      </c>
      <c r="V354" s="272">
        <v>1</v>
      </c>
      <c r="W354" s="272">
        <v>1</v>
      </c>
      <c r="X354" s="272">
        <v>1</v>
      </c>
      <c r="Y354" s="272">
        <v>1</v>
      </c>
      <c r="Z354" s="272">
        <v>1</v>
      </c>
      <c r="AA354" s="272">
        <v>1</v>
      </c>
      <c r="AB354" s="272">
        <v>1</v>
      </c>
      <c r="AC354" s="272">
        <v>1</v>
      </c>
      <c r="AD354" s="396">
        <v>1</v>
      </c>
      <c r="AE354" s="396">
        <v>1</v>
      </c>
      <c r="AF354" s="396">
        <v>1</v>
      </c>
      <c r="AG354" s="396">
        <v>1</v>
      </c>
      <c r="AH354" s="396">
        <v>1</v>
      </c>
      <c r="AI354" s="396">
        <v>1</v>
      </c>
      <c r="AJ354" s="396">
        <v>1</v>
      </c>
      <c r="AK354" s="396">
        <v>1</v>
      </c>
      <c r="AL354" s="396">
        <v>1</v>
      </c>
      <c r="AM354" s="396">
        <v>1</v>
      </c>
      <c r="AN354" s="396">
        <v>1</v>
      </c>
      <c r="AO354" s="396">
        <v>1</v>
      </c>
      <c r="AP354" s="396">
        <v>1</v>
      </c>
    </row>
    <row r="355" spans="1:42" s="140" customFormat="1" ht="13.5" hidden="1" customHeight="1" outlineLevel="3" thickBot="1">
      <c r="A355" s="216"/>
      <c r="B355" s="255" t="s">
        <v>540</v>
      </c>
      <c r="C355" s="290" t="s">
        <v>251</v>
      </c>
      <c r="D355" s="227" t="s">
        <v>231</v>
      </c>
      <c r="E355" s="241"/>
      <c r="F355" s="228">
        <f t="shared" si="838"/>
        <v>4.4581817293365446E-2</v>
      </c>
      <c r="G355" s="269">
        <f>+F355*G344</f>
        <v>6.6996177033630994E-5</v>
      </c>
      <c r="H355" s="299"/>
      <c r="I355" s="299"/>
      <c r="J355" s="299"/>
      <c r="K355" s="299"/>
      <c r="L355" s="299"/>
      <c r="M355" s="299"/>
      <c r="N355" s="272">
        <v>1</v>
      </c>
      <c r="O355" s="272">
        <v>1</v>
      </c>
      <c r="P355" s="272">
        <v>1</v>
      </c>
      <c r="Q355" s="272">
        <v>1</v>
      </c>
      <c r="R355" s="372">
        <v>1</v>
      </c>
      <c r="S355" s="395">
        <v>1</v>
      </c>
      <c r="T355" s="272">
        <v>1</v>
      </c>
      <c r="U355" s="272">
        <v>1</v>
      </c>
      <c r="V355" s="272">
        <v>1</v>
      </c>
      <c r="W355" s="272">
        <v>1</v>
      </c>
      <c r="X355" s="272">
        <v>1</v>
      </c>
      <c r="Y355" s="272">
        <v>1</v>
      </c>
      <c r="Z355" s="272">
        <v>1</v>
      </c>
      <c r="AA355" s="272">
        <v>1</v>
      </c>
      <c r="AB355" s="272">
        <v>1</v>
      </c>
      <c r="AC355" s="272">
        <v>1</v>
      </c>
      <c r="AD355" s="396">
        <v>1</v>
      </c>
      <c r="AE355" s="396">
        <v>1</v>
      </c>
      <c r="AF355" s="396">
        <v>1</v>
      </c>
      <c r="AG355" s="396">
        <v>1</v>
      </c>
      <c r="AH355" s="396">
        <v>1</v>
      </c>
      <c r="AI355" s="396">
        <v>1</v>
      </c>
      <c r="AJ355" s="396">
        <v>1</v>
      </c>
      <c r="AK355" s="396">
        <v>1</v>
      </c>
      <c r="AL355" s="396">
        <v>1</v>
      </c>
      <c r="AM355" s="396">
        <v>1</v>
      </c>
      <c r="AN355" s="396">
        <v>1</v>
      </c>
      <c r="AO355" s="396">
        <v>1</v>
      </c>
      <c r="AP355" s="396">
        <v>1</v>
      </c>
    </row>
    <row r="356" spans="1:42" s="140" customFormat="1" ht="13.5" hidden="1" customHeight="1" outlineLevel="3" thickBot="1">
      <c r="A356" s="216"/>
      <c r="B356" s="255" t="s">
        <v>541</v>
      </c>
      <c r="C356" s="290" t="s">
        <v>253</v>
      </c>
      <c r="D356" s="227" t="s">
        <v>231</v>
      </c>
      <c r="E356" s="241"/>
      <c r="F356" s="228">
        <f t="shared" si="838"/>
        <v>4.4581817293365446E-2</v>
      </c>
      <c r="G356" s="269">
        <f>+F356*G344</f>
        <v>6.6996177033630994E-5</v>
      </c>
      <c r="H356" s="299"/>
      <c r="I356" s="299"/>
      <c r="J356" s="299"/>
      <c r="K356" s="299"/>
      <c r="L356" s="299"/>
      <c r="M356" s="299"/>
      <c r="N356" s="272">
        <v>1</v>
      </c>
      <c r="O356" s="272">
        <v>1</v>
      </c>
      <c r="P356" s="272">
        <v>1</v>
      </c>
      <c r="Q356" s="272">
        <v>1</v>
      </c>
      <c r="R356" s="372">
        <v>1</v>
      </c>
      <c r="S356" s="395">
        <v>1</v>
      </c>
      <c r="T356" s="272">
        <v>1</v>
      </c>
      <c r="U356" s="272">
        <v>1</v>
      </c>
      <c r="V356" s="272">
        <v>1</v>
      </c>
      <c r="W356" s="272">
        <v>1</v>
      </c>
      <c r="X356" s="272">
        <v>1</v>
      </c>
      <c r="Y356" s="272">
        <v>1</v>
      </c>
      <c r="Z356" s="272">
        <v>1</v>
      </c>
      <c r="AA356" s="272">
        <v>1</v>
      </c>
      <c r="AB356" s="272">
        <v>1</v>
      </c>
      <c r="AC356" s="272">
        <v>1</v>
      </c>
      <c r="AD356" s="396">
        <v>1</v>
      </c>
      <c r="AE356" s="396">
        <v>1</v>
      </c>
      <c r="AF356" s="396">
        <v>1</v>
      </c>
      <c r="AG356" s="396">
        <v>1</v>
      </c>
      <c r="AH356" s="396">
        <v>1</v>
      </c>
      <c r="AI356" s="396">
        <v>1</v>
      </c>
      <c r="AJ356" s="396">
        <v>1</v>
      </c>
      <c r="AK356" s="396">
        <v>1</v>
      </c>
      <c r="AL356" s="396">
        <v>1</v>
      </c>
      <c r="AM356" s="396">
        <v>1</v>
      </c>
      <c r="AN356" s="396">
        <v>1</v>
      </c>
      <c r="AO356" s="396">
        <v>1</v>
      </c>
      <c r="AP356" s="396">
        <v>1</v>
      </c>
    </row>
    <row r="357" spans="1:42" s="140" customFormat="1" ht="26.25" hidden="1" customHeight="1" outlineLevel="3" thickBot="1">
      <c r="A357" s="216"/>
      <c r="B357" s="255" t="s">
        <v>542</v>
      </c>
      <c r="C357" s="290" t="s">
        <v>255</v>
      </c>
      <c r="D357" s="227" t="s">
        <v>256</v>
      </c>
      <c r="E357" s="241"/>
      <c r="F357" s="228">
        <f t="shared" si="838"/>
        <v>5.8127274059616978E-2</v>
      </c>
      <c r="G357" s="269">
        <f>+F357*G344</f>
        <v>8.7351870780737024E-5</v>
      </c>
      <c r="H357" s="299"/>
      <c r="I357" s="299"/>
      <c r="J357" s="299"/>
      <c r="K357" s="299"/>
      <c r="L357" s="299"/>
      <c r="M357" s="299"/>
      <c r="N357" s="272">
        <v>1</v>
      </c>
      <c r="O357" s="272">
        <v>1</v>
      </c>
      <c r="P357" s="272">
        <v>1</v>
      </c>
      <c r="Q357" s="272">
        <v>1</v>
      </c>
      <c r="R357" s="372">
        <v>1</v>
      </c>
      <c r="S357" s="395">
        <v>1</v>
      </c>
      <c r="T357" s="272">
        <v>1</v>
      </c>
      <c r="U357" s="272">
        <v>1</v>
      </c>
      <c r="V357" s="272">
        <v>1</v>
      </c>
      <c r="W357" s="272">
        <v>1</v>
      </c>
      <c r="X357" s="272">
        <v>1</v>
      </c>
      <c r="Y357" s="272">
        <v>1</v>
      </c>
      <c r="Z357" s="272">
        <v>1</v>
      </c>
      <c r="AA357" s="272">
        <v>1</v>
      </c>
      <c r="AB357" s="272">
        <v>1</v>
      </c>
      <c r="AC357" s="272">
        <v>1</v>
      </c>
      <c r="AD357" s="396">
        <v>1</v>
      </c>
      <c r="AE357" s="396">
        <v>1</v>
      </c>
      <c r="AF357" s="396">
        <v>1</v>
      </c>
      <c r="AG357" s="396">
        <v>1</v>
      </c>
      <c r="AH357" s="396">
        <v>1</v>
      </c>
      <c r="AI357" s="396">
        <v>1</v>
      </c>
      <c r="AJ357" s="396">
        <v>1</v>
      </c>
      <c r="AK357" s="396">
        <v>1</v>
      </c>
      <c r="AL357" s="396">
        <v>1</v>
      </c>
      <c r="AM357" s="396">
        <v>1</v>
      </c>
      <c r="AN357" s="396">
        <v>1</v>
      </c>
      <c r="AO357" s="396">
        <v>1</v>
      </c>
      <c r="AP357" s="396">
        <v>1</v>
      </c>
    </row>
    <row r="358" spans="1:42" s="140" customFormat="1" ht="26.25" hidden="1" customHeight="1" outlineLevel="3" thickBot="1">
      <c r="A358" s="216"/>
      <c r="B358" s="255" t="s">
        <v>543</v>
      </c>
      <c r="C358" s="290" t="s">
        <v>258</v>
      </c>
      <c r="D358" s="227" t="s">
        <v>256</v>
      </c>
      <c r="E358" s="241"/>
      <c r="F358" s="228">
        <f t="shared" si="838"/>
        <v>5.8127274059616978E-2</v>
      </c>
      <c r="G358" s="269">
        <f>+F358*G344</f>
        <v>8.7351870780737024E-5</v>
      </c>
      <c r="H358" s="299"/>
      <c r="I358" s="299"/>
      <c r="J358" s="299"/>
      <c r="K358" s="299"/>
      <c r="L358" s="299"/>
      <c r="M358" s="299"/>
      <c r="N358" s="272">
        <v>1</v>
      </c>
      <c r="O358" s="272">
        <v>1</v>
      </c>
      <c r="P358" s="272">
        <v>1</v>
      </c>
      <c r="Q358" s="272">
        <v>1</v>
      </c>
      <c r="R358" s="372">
        <v>1</v>
      </c>
      <c r="S358" s="395">
        <v>1</v>
      </c>
      <c r="T358" s="272">
        <v>1</v>
      </c>
      <c r="U358" s="272">
        <v>1</v>
      </c>
      <c r="V358" s="272">
        <v>1</v>
      </c>
      <c r="W358" s="272">
        <v>1</v>
      </c>
      <c r="X358" s="272">
        <v>1</v>
      </c>
      <c r="Y358" s="272">
        <v>1</v>
      </c>
      <c r="Z358" s="272">
        <v>1</v>
      </c>
      <c r="AA358" s="272">
        <v>1</v>
      </c>
      <c r="AB358" s="272">
        <v>1</v>
      </c>
      <c r="AC358" s="272">
        <v>1</v>
      </c>
      <c r="AD358" s="396">
        <v>1</v>
      </c>
      <c r="AE358" s="396">
        <v>1</v>
      </c>
      <c r="AF358" s="396">
        <v>1</v>
      </c>
      <c r="AG358" s="396">
        <v>1</v>
      </c>
      <c r="AH358" s="396">
        <v>1</v>
      </c>
      <c r="AI358" s="396">
        <v>1</v>
      </c>
      <c r="AJ358" s="396">
        <v>1</v>
      </c>
      <c r="AK358" s="396">
        <v>1</v>
      </c>
      <c r="AL358" s="396">
        <v>1</v>
      </c>
      <c r="AM358" s="396">
        <v>1</v>
      </c>
      <c r="AN358" s="396">
        <v>1</v>
      </c>
      <c r="AO358" s="396">
        <v>1</v>
      </c>
      <c r="AP358" s="396">
        <v>1</v>
      </c>
    </row>
    <row r="359" spans="1:42" s="140" customFormat="1" ht="26.25" hidden="1" customHeight="1" outlineLevel="3" thickBot="1">
      <c r="A359" s="216"/>
      <c r="B359" s="255" t="s">
        <v>544</v>
      </c>
      <c r="C359" s="290" t="s">
        <v>260</v>
      </c>
      <c r="D359" s="227" t="s">
        <v>256</v>
      </c>
      <c r="E359" s="241"/>
      <c r="F359" s="228">
        <f t="shared" si="838"/>
        <v>5.8127274059616978E-2</v>
      </c>
      <c r="G359" s="269">
        <f>+F359*G344</f>
        <v>8.7351870780737024E-5</v>
      </c>
      <c r="H359" s="299"/>
      <c r="I359" s="299"/>
      <c r="J359" s="299"/>
      <c r="K359" s="299"/>
      <c r="L359" s="299"/>
      <c r="M359" s="299"/>
      <c r="N359" s="272">
        <v>1</v>
      </c>
      <c r="O359" s="272">
        <v>1</v>
      </c>
      <c r="P359" s="272">
        <v>1</v>
      </c>
      <c r="Q359" s="272">
        <v>1</v>
      </c>
      <c r="R359" s="372">
        <v>1</v>
      </c>
      <c r="S359" s="395">
        <v>1</v>
      </c>
      <c r="T359" s="272">
        <v>1</v>
      </c>
      <c r="U359" s="272">
        <v>1</v>
      </c>
      <c r="V359" s="272">
        <v>1</v>
      </c>
      <c r="W359" s="272">
        <v>1</v>
      </c>
      <c r="X359" s="272">
        <v>1</v>
      </c>
      <c r="Y359" s="272">
        <v>1</v>
      </c>
      <c r="Z359" s="272">
        <v>1</v>
      </c>
      <c r="AA359" s="272">
        <v>1</v>
      </c>
      <c r="AB359" s="272">
        <v>1</v>
      </c>
      <c r="AC359" s="272">
        <v>1</v>
      </c>
      <c r="AD359" s="396">
        <v>1</v>
      </c>
      <c r="AE359" s="396">
        <v>1</v>
      </c>
      <c r="AF359" s="396">
        <v>1</v>
      </c>
      <c r="AG359" s="396">
        <v>1</v>
      </c>
      <c r="AH359" s="396">
        <v>1</v>
      </c>
      <c r="AI359" s="396">
        <v>1</v>
      </c>
      <c r="AJ359" s="396">
        <v>1</v>
      </c>
      <c r="AK359" s="396">
        <v>1</v>
      </c>
      <c r="AL359" s="396">
        <v>1</v>
      </c>
      <c r="AM359" s="396">
        <v>1</v>
      </c>
      <c r="AN359" s="396">
        <v>1</v>
      </c>
      <c r="AO359" s="396">
        <v>1</v>
      </c>
      <c r="AP359" s="396">
        <v>1</v>
      </c>
    </row>
    <row r="360" spans="1:42" s="140" customFormat="1" ht="26.25" hidden="1" customHeight="1" outlineLevel="3" thickBot="1">
      <c r="A360" s="216"/>
      <c r="B360" s="255" t="s">
        <v>545</v>
      </c>
      <c r="C360" s="290" t="s">
        <v>262</v>
      </c>
      <c r="D360" s="227" t="s">
        <v>256</v>
      </c>
      <c r="E360" s="241"/>
      <c r="F360" s="228">
        <f t="shared" si="838"/>
        <v>5.8127274059616978E-2</v>
      </c>
      <c r="G360" s="269">
        <f>+F360*G344</f>
        <v>8.7351870780737024E-5</v>
      </c>
      <c r="H360" s="299"/>
      <c r="I360" s="299"/>
      <c r="J360" s="299"/>
      <c r="K360" s="299"/>
      <c r="L360" s="299"/>
      <c r="M360" s="299"/>
      <c r="N360" s="272">
        <v>1</v>
      </c>
      <c r="O360" s="272">
        <v>1</v>
      </c>
      <c r="P360" s="272">
        <v>1</v>
      </c>
      <c r="Q360" s="272">
        <v>1</v>
      </c>
      <c r="R360" s="372">
        <v>1</v>
      </c>
      <c r="S360" s="395">
        <v>1</v>
      </c>
      <c r="T360" s="272">
        <v>1</v>
      </c>
      <c r="U360" s="272">
        <v>1</v>
      </c>
      <c r="V360" s="272">
        <v>1</v>
      </c>
      <c r="W360" s="272">
        <v>1</v>
      </c>
      <c r="X360" s="272">
        <v>1</v>
      </c>
      <c r="Y360" s="272">
        <v>1</v>
      </c>
      <c r="Z360" s="272">
        <v>1</v>
      </c>
      <c r="AA360" s="272">
        <v>1</v>
      </c>
      <c r="AB360" s="272">
        <v>1</v>
      </c>
      <c r="AC360" s="272">
        <v>1</v>
      </c>
      <c r="AD360" s="396">
        <v>1</v>
      </c>
      <c r="AE360" s="396">
        <v>1</v>
      </c>
      <c r="AF360" s="396">
        <v>1</v>
      </c>
      <c r="AG360" s="396">
        <v>1</v>
      </c>
      <c r="AH360" s="396">
        <v>1</v>
      </c>
      <c r="AI360" s="396">
        <v>1</v>
      </c>
      <c r="AJ360" s="396">
        <v>1</v>
      </c>
      <c r="AK360" s="396">
        <v>1</v>
      </c>
      <c r="AL360" s="396">
        <v>1</v>
      </c>
      <c r="AM360" s="396">
        <v>1</v>
      </c>
      <c r="AN360" s="396">
        <v>1</v>
      </c>
      <c r="AO360" s="396">
        <v>1</v>
      </c>
      <c r="AP360" s="396">
        <v>1</v>
      </c>
    </row>
    <row r="361" spans="1:42" s="140" customFormat="1" ht="26.25" hidden="1" customHeight="1" outlineLevel="3" thickBot="1">
      <c r="A361" s="216"/>
      <c r="B361" s="255" t="s">
        <v>546</v>
      </c>
      <c r="C361" s="290" t="s">
        <v>264</v>
      </c>
      <c r="D361" s="227" t="s">
        <v>256</v>
      </c>
      <c r="E361" s="241"/>
      <c r="F361" s="228">
        <f t="shared" si="838"/>
        <v>5.8127274059616978E-2</v>
      </c>
      <c r="G361" s="269">
        <f>+F361*G344</f>
        <v>8.7351870780737024E-5</v>
      </c>
      <c r="H361" s="299"/>
      <c r="I361" s="299"/>
      <c r="J361" s="299"/>
      <c r="K361" s="299"/>
      <c r="L361" s="299"/>
      <c r="M361" s="299"/>
      <c r="N361" s="272">
        <v>1</v>
      </c>
      <c r="O361" s="272">
        <v>1</v>
      </c>
      <c r="P361" s="272">
        <v>1</v>
      </c>
      <c r="Q361" s="272">
        <v>1</v>
      </c>
      <c r="R361" s="372">
        <v>1</v>
      </c>
      <c r="S361" s="395">
        <v>1</v>
      </c>
      <c r="T361" s="272">
        <v>1</v>
      </c>
      <c r="U361" s="272">
        <v>1</v>
      </c>
      <c r="V361" s="272">
        <v>1</v>
      </c>
      <c r="W361" s="272">
        <v>1</v>
      </c>
      <c r="X361" s="272">
        <v>1</v>
      </c>
      <c r="Y361" s="272">
        <v>1</v>
      </c>
      <c r="Z361" s="272">
        <v>1</v>
      </c>
      <c r="AA361" s="272">
        <v>1</v>
      </c>
      <c r="AB361" s="272">
        <v>1</v>
      </c>
      <c r="AC361" s="272">
        <v>1</v>
      </c>
      <c r="AD361" s="396">
        <v>1</v>
      </c>
      <c r="AE361" s="396">
        <v>1</v>
      </c>
      <c r="AF361" s="396">
        <v>1</v>
      </c>
      <c r="AG361" s="396">
        <v>1</v>
      </c>
      <c r="AH361" s="396">
        <v>1</v>
      </c>
      <c r="AI361" s="396">
        <v>1</v>
      </c>
      <c r="AJ361" s="396">
        <v>1</v>
      </c>
      <c r="AK361" s="396">
        <v>1</v>
      </c>
      <c r="AL361" s="396">
        <v>1</v>
      </c>
      <c r="AM361" s="396">
        <v>1</v>
      </c>
      <c r="AN361" s="396">
        <v>1</v>
      </c>
      <c r="AO361" s="396">
        <v>1</v>
      </c>
      <c r="AP361" s="396">
        <v>1</v>
      </c>
    </row>
    <row r="362" spans="1:42" s="140" customFormat="1" ht="26.25" hidden="1" customHeight="1" outlineLevel="3" thickBot="1">
      <c r="A362" s="216"/>
      <c r="B362" s="255" t="s">
        <v>547</v>
      </c>
      <c r="C362" s="290" t="s">
        <v>266</v>
      </c>
      <c r="D362" s="227" t="s">
        <v>256</v>
      </c>
      <c r="E362" s="241"/>
      <c r="F362" s="228">
        <f t="shared" si="838"/>
        <v>5.8127274059616978E-2</v>
      </c>
      <c r="G362" s="269">
        <f>+F362*G344</f>
        <v>8.7351870780737024E-5</v>
      </c>
      <c r="H362" s="299"/>
      <c r="I362" s="299"/>
      <c r="J362" s="299"/>
      <c r="K362" s="299"/>
      <c r="L362" s="299"/>
      <c r="M362" s="299"/>
      <c r="N362" s="272">
        <v>1</v>
      </c>
      <c r="O362" s="272">
        <v>1</v>
      </c>
      <c r="P362" s="272">
        <v>1</v>
      </c>
      <c r="Q362" s="272">
        <v>1</v>
      </c>
      <c r="R362" s="372">
        <v>1</v>
      </c>
      <c r="S362" s="395">
        <v>1</v>
      </c>
      <c r="T362" s="272">
        <v>1</v>
      </c>
      <c r="U362" s="272">
        <v>1</v>
      </c>
      <c r="V362" s="272">
        <v>1</v>
      </c>
      <c r="W362" s="272">
        <v>1</v>
      </c>
      <c r="X362" s="272">
        <v>1</v>
      </c>
      <c r="Y362" s="272">
        <v>1</v>
      </c>
      <c r="Z362" s="272">
        <v>1</v>
      </c>
      <c r="AA362" s="272">
        <v>1</v>
      </c>
      <c r="AB362" s="272">
        <v>1</v>
      </c>
      <c r="AC362" s="272">
        <v>1</v>
      </c>
      <c r="AD362" s="396">
        <v>1</v>
      </c>
      <c r="AE362" s="396">
        <v>1</v>
      </c>
      <c r="AF362" s="396">
        <v>1</v>
      </c>
      <c r="AG362" s="396">
        <v>1</v>
      </c>
      <c r="AH362" s="396">
        <v>1</v>
      </c>
      <c r="AI362" s="396">
        <v>1</v>
      </c>
      <c r="AJ362" s="396">
        <v>1</v>
      </c>
      <c r="AK362" s="396">
        <v>1</v>
      </c>
      <c r="AL362" s="396">
        <v>1</v>
      </c>
      <c r="AM362" s="396">
        <v>1</v>
      </c>
      <c r="AN362" s="396">
        <v>1</v>
      </c>
      <c r="AO362" s="396">
        <v>1</v>
      </c>
      <c r="AP362" s="396">
        <v>1</v>
      </c>
    </row>
    <row r="363" spans="1:42" s="140" customFormat="1" ht="26.25" hidden="1" customHeight="1" outlineLevel="3" thickBot="1">
      <c r="A363" s="216"/>
      <c r="B363" s="255" t="s">
        <v>548</v>
      </c>
      <c r="C363" s="290" t="s">
        <v>268</v>
      </c>
      <c r="D363" s="227" t="s">
        <v>256</v>
      </c>
      <c r="E363" s="241"/>
      <c r="F363" s="228">
        <f t="shared" si="838"/>
        <v>5.8127274059616978E-2</v>
      </c>
      <c r="G363" s="269">
        <f>+F363*G344</f>
        <v>8.7351870780737024E-5</v>
      </c>
      <c r="H363" s="299"/>
      <c r="I363" s="299"/>
      <c r="J363" s="299"/>
      <c r="K363" s="299"/>
      <c r="L363" s="299"/>
      <c r="M363" s="299"/>
      <c r="N363" s="272">
        <v>1</v>
      </c>
      <c r="O363" s="272">
        <v>1</v>
      </c>
      <c r="P363" s="272">
        <v>1</v>
      </c>
      <c r="Q363" s="272">
        <v>1</v>
      </c>
      <c r="R363" s="372">
        <v>1</v>
      </c>
      <c r="S363" s="395">
        <v>1</v>
      </c>
      <c r="T363" s="272">
        <v>1</v>
      </c>
      <c r="U363" s="272">
        <v>1</v>
      </c>
      <c r="V363" s="272">
        <v>1</v>
      </c>
      <c r="W363" s="272">
        <v>1</v>
      </c>
      <c r="X363" s="272">
        <v>1</v>
      </c>
      <c r="Y363" s="272">
        <v>1</v>
      </c>
      <c r="Z363" s="272">
        <v>1</v>
      </c>
      <c r="AA363" s="272">
        <v>1</v>
      </c>
      <c r="AB363" s="272">
        <v>1</v>
      </c>
      <c r="AC363" s="272">
        <v>1</v>
      </c>
      <c r="AD363" s="396">
        <v>1</v>
      </c>
      <c r="AE363" s="396">
        <v>1</v>
      </c>
      <c r="AF363" s="396">
        <v>1</v>
      </c>
      <c r="AG363" s="396">
        <v>1</v>
      </c>
      <c r="AH363" s="396">
        <v>1</v>
      </c>
      <c r="AI363" s="396">
        <v>1</v>
      </c>
      <c r="AJ363" s="396">
        <v>1</v>
      </c>
      <c r="AK363" s="396">
        <v>1</v>
      </c>
      <c r="AL363" s="396">
        <v>1</v>
      </c>
      <c r="AM363" s="396">
        <v>1</v>
      </c>
      <c r="AN363" s="396">
        <v>1</v>
      </c>
      <c r="AO363" s="396">
        <v>1</v>
      </c>
      <c r="AP363" s="396">
        <v>1</v>
      </c>
    </row>
    <row r="364" spans="1:42" s="140" customFormat="1" ht="26.25" hidden="1" customHeight="1" outlineLevel="3" thickBot="1">
      <c r="A364" s="216"/>
      <c r="B364" s="255" t="s">
        <v>549</v>
      </c>
      <c r="C364" s="290" t="s">
        <v>270</v>
      </c>
      <c r="D364" s="227" t="s">
        <v>256</v>
      </c>
      <c r="E364" s="241"/>
      <c r="F364" s="228">
        <f t="shared" si="838"/>
        <v>5.8127274062295807E-2</v>
      </c>
      <c r="G364" s="269">
        <f>+F364*G344</f>
        <v>8.7351870784762681E-5</v>
      </c>
      <c r="H364" s="299"/>
      <c r="I364" s="299"/>
      <c r="J364" s="299"/>
      <c r="K364" s="299"/>
      <c r="L364" s="299"/>
      <c r="M364" s="299"/>
      <c r="N364" s="272">
        <v>1</v>
      </c>
      <c r="O364" s="272">
        <v>1</v>
      </c>
      <c r="P364" s="272">
        <v>1</v>
      </c>
      <c r="Q364" s="272">
        <v>1</v>
      </c>
      <c r="R364" s="372">
        <v>1</v>
      </c>
      <c r="S364" s="395">
        <v>1</v>
      </c>
      <c r="T364" s="272">
        <v>1</v>
      </c>
      <c r="U364" s="272">
        <v>1</v>
      </c>
      <c r="V364" s="272">
        <v>1</v>
      </c>
      <c r="W364" s="272">
        <v>1</v>
      </c>
      <c r="X364" s="272">
        <v>1</v>
      </c>
      <c r="Y364" s="272">
        <v>1</v>
      </c>
      <c r="Z364" s="272">
        <v>1</v>
      </c>
      <c r="AA364" s="272">
        <v>1</v>
      </c>
      <c r="AB364" s="272">
        <v>1</v>
      </c>
      <c r="AC364" s="272">
        <v>1</v>
      </c>
      <c r="AD364" s="396">
        <v>1</v>
      </c>
      <c r="AE364" s="396">
        <v>1</v>
      </c>
      <c r="AF364" s="396">
        <v>1</v>
      </c>
      <c r="AG364" s="396">
        <v>1</v>
      </c>
      <c r="AH364" s="396">
        <v>1</v>
      </c>
      <c r="AI364" s="396">
        <v>1</v>
      </c>
      <c r="AJ364" s="396">
        <v>1</v>
      </c>
      <c r="AK364" s="396">
        <v>1</v>
      </c>
      <c r="AL364" s="396">
        <v>1</v>
      </c>
      <c r="AM364" s="396">
        <v>1</v>
      </c>
      <c r="AN364" s="396">
        <v>1</v>
      </c>
      <c r="AO364" s="396">
        <v>1</v>
      </c>
      <c r="AP364" s="396">
        <v>1</v>
      </c>
    </row>
    <row r="365" spans="1:42" s="140" customFormat="1" ht="13.5" hidden="1" customHeight="1" outlineLevel="2" thickBot="1">
      <c r="A365" s="216"/>
      <c r="B365" s="291" t="s">
        <v>550</v>
      </c>
      <c r="C365" s="292" t="s">
        <v>35</v>
      </c>
      <c r="D365" s="234" t="s">
        <v>33</v>
      </c>
      <c r="E365" s="240"/>
      <c r="F365" s="223">
        <f t="shared" si="838"/>
        <v>0.23125330456717236</v>
      </c>
      <c r="G365" s="293">
        <f>+F365*G343</f>
        <v>1.8062541542788891E-3</v>
      </c>
      <c r="H365" s="298"/>
      <c r="I365" s="298"/>
      <c r="J365" s="298"/>
      <c r="K365" s="298"/>
      <c r="L365" s="298"/>
      <c r="M365" s="298"/>
      <c r="N365" s="270">
        <f t="shared" ref="N365:R365" si="885">+SUMPRODUCT($F366:$F391,N366:N391)</f>
        <v>0.99999999999999956</v>
      </c>
      <c r="O365" s="270">
        <f t="shared" si="885"/>
        <v>0.99999999999999956</v>
      </c>
      <c r="P365" s="270">
        <f t="shared" si="885"/>
        <v>0.99999999999999956</v>
      </c>
      <c r="Q365" s="270">
        <f t="shared" si="885"/>
        <v>0.99999999999999956</v>
      </c>
      <c r="R365" s="370">
        <f t="shared" si="885"/>
        <v>0.99999999999999956</v>
      </c>
      <c r="S365" s="391">
        <f t="shared" ref="S365" si="886">+SUMPRODUCT($F366:$F391,S366:S391)</f>
        <v>0.99999999999999956</v>
      </c>
      <c r="T365" s="270">
        <f t="shared" ref="T365" si="887">+SUMPRODUCT($F366:$F391,T366:T391)</f>
        <v>0.99999999999999956</v>
      </c>
      <c r="U365" s="270">
        <f t="shared" ref="U365" si="888">+SUMPRODUCT($F366:$F391,U366:U391)</f>
        <v>0.99999999999999956</v>
      </c>
      <c r="V365" s="270">
        <f t="shared" ref="V365" si="889">+SUMPRODUCT($F366:$F391,V366:V391)</f>
        <v>0.99999999999999956</v>
      </c>
      <c r="W365" s="270">
        <f t="shared" ref="W365" si="890">+SUMPRODUCT($F366:$F391,W366:W391)</f>
        <v>0.99999999999999956</v>
      </c>
      <c r="X365" s="270">
        <f t="shared" ref="X365" si="891">+SUMPRODUCT($F366:$F391,X366:X391)</f>
        <v>0.99999999999999956</v>
      </c>
      <c r="Y365" s="270">
        <f t="shared" ref="Y365" si="892">+SUMPRODUCT($F366:$F391,Y366:Y391)</f>
        <v>0.99999999999999956</v>
      </c>
      <c r="Z365" s="270">
        <f t="shared" ref="Z365" si="893">+SUMPRODUCT($F366:$F391,Z366:Z391)</f>
        <v>0.99999999999999956</v>
      </c>
      <c r="AA365" s="270">
        <f t="shared" ref="AA365" si="894">+SUMPRODUCT($F366:$F391,AA366:AA391)</f>
        <v>0.99999999999999956</v>
      </c>
      <c r="AB365" s="270">
        <f t="shared" ref="AB365" si="895">+SUMPRODUCT($F366:$F391,AB366:AB391)</f>
        <v>0.99999999999999956</v>
      </c>
      <c r="AC365" s="270">
        <f t="shared" ref="AC365" si="896">+SUMPRODUCT($F366:$F391,AC366:AC391)</f>
        <v>0.99999999999999956</v>
      </c>
      <c r="AD365" s="392">
        <f t="shared" ref="AD365:AF365" si="897">+SUMPRODUCT($F366:$F391,AD366:AD391)</f>
        <v>0.99999999999999956</v>
      </c>
      <c r="AE365" s="392">
        <f t="shared" si="897"/>
        <v>0.99999999999999956</v>
      </c>
      <c r="AF365" s="392">
        <f t="shared" si="897"/>
        <v>0.99999999999999956</v>
      </c>
      <c r="AG365" s="392">
        <f t="shared" ref="AG365" si="898">+SUMPRODUCT($F366:$F391,AG366:AG391)</f>
        <v>0.99999999999999956</v>
      </c>
      <c r="AH365" s="392">
        <f t="shared" ref="AH365" si="899">+SUMPRODUCT($F366:$F391,AH366:AH391)</f>
        <v>0.99999999999999956</v>
      </c>
      <c r="AI365" s="392">
        <f t="shared" ref="AI365" si="900">+SUMPRODUCT($F366:$F391,AI366:AI391)</f>
        <v>0.99999999999999956</v>
      </c>
      <c r="AJ365" s="392">
        <f t="shared" ref="AJ365" si="901">+SUMPRODUCT($F366:$F391,AJ366:AJ391)</f>
        <v>0.99999999999999956</v>
      </c>
      <c r="AK365" s="392">
        <f t="shared" ref="AK365" si="902">+SUMPRODUCT($F366:$F391,AK366:AK391)</f>
        <v>0.99999999999999956</v>
      </c>
      <c r="AL365" s="392">
        <f t="shared" ref="AL365" si="903">+SUMPRODUCT($F366:$F391,AL366:AL391)</f>
        <v>0.99999999999999956</v>
      </c>
      <c r="AM365" s="392">
        <f t="shared" ref="AM365" si="904">+SUMPRODUCT($F366:$F391,AM366:AM391)</f>
        <v>0.99999999999999956</v>
      </c>
      <c r="AN365" s="392">
        <f t="shared" ref="AN365" si="905">+SUMPRODUCT($F366:$F391,AN366:AN391)</f>
        <v>0.99999999999999956</v>
      </c>
      <c r="AO365" s="392">
        <f t="shared" ref="AO365" si="906">+SUMPRODUCT($F366:$F391,AO366:AO391)</f>
        <v>0.99999999999999956</v>
      </c>
      <c r="AP365" s="392">
        <f t="shared" ref="AP365" si="907">+SUMPRODUCT($F366:$F391,AP366:AP391)</f>
        <v>0.99999999999999956</v>
      </c>
    </row>
    <row r="366" spans="1:42" s="140" customFormat="1" ht="13.5" hidden="1" customHeight="1" outlineLevel="3" thickBot="1">
      <c r="A366" s="216"/>
      <c r="B366" s="255" t="s">
        <v>551</v>
      </c>
      <c r="C366" s="290" t="s">
        <v>230</v>
      </c>
      <c r="D366" s="227" t="s">
        <v>231</v>
      </c>
      <c r="E366" s="241"/>
      <c r="F366" s="228">
        <f t="shared" si="838"/>
        <v>3.6801995565609057E-2</v>
      </c>
      <c r="G366" s="269">
        <f>+F366*G365</f>
        <v>6.6473757376134612E-5</v>
      </c>
      <c r="H366" s="299"/>
      <c r="I366" s="299"/>
      <c r="J366" s="299"/>
      <c r="K366" s="299"/>
      <c r="L366" s="299"/>
      <c r="M366" s="299"/>
      <c r="N366" s="272">
        <v>1</v>
      </c>
      <c r="O366" s="272">
        <v>1</v>
      </c>
      <c r="P366" s="272">
        <v>1</v>
      </c>
      <c r="Q366" s="272">
        <v>1</v>
      </c>
      <c r="R366" s="372">
        <v>1</v>
      </c>
      <c r="S366" s="395">
        <v>1</v>
      </c>
      <c r="T366" s="272">
        <v>1</v>
      </c>
      <c r="U366" s="272">
        <v>1</v>
      </c>
      <c r="V366" s="272">
        <v>1</v>
      </c>
      <c r="W366" s="272">
        <v>1</v>
      </c>
      <c r="X366" s="272">
        <v>1</v>
      </c>
      <c r="Y366" s="272">
        <v>1</v>
      </c>
      <c r="Z366" s="272">
        <v>1</v>
      </c>
      <c r="AA366" s="272">
        <v>1</v>
      </c>
      <c r="AB366" s="272">
        <v>1</v>
      </c>
      <c r="AC366" s="272">
        <v>1</v>
      </c>
      <c r="AD366" s="396">
        <v>1</v>
      </c>
      <c r="AE366" s="396">
        <v>1</v>
      </c>
      <c r="AF366" s="396">
        <v>1</v>
      </c>
      <c r="AG366" s="396">
        <v>1</v>
      </c>
      <c r="AH366" s="396">
        <v>1</v>
      </c>
      <c r="AI366" s="396">
        <v>1</v>
      </c>
      <c r="AJ366" s="396">
        <v>1</v>
      </c>
      <c r="AK366" s="396">
        <v>1</v>
      </c>
      <c r="AL366" s="396">
        <v>1</v>
      </c>
      <c r="AM366" s="396">
        <v>1</v>
      </c>
      <c r="AN366" s="396">
        <v>1</v>
      </c>
      <c r="AO366" s="396">
        <v>1</v>
      </c>
      <c r="AP366" s="396">
        <v>1</v>
      </c>
    </row>
    <row r="367" spans="1:42" s="140" customFormat="1" ht="13.5" hidden="1" customHeight="1" outlineLevel="3" thickBot="1">
      <c r="A367" s="216"/>
      <c r="B367" s="255" t="s">
        <v>552</v>
      </c>
      <c r="C367" s="290" t="s">
        <v>233</v>
      </c>
      <c r="D367" s="227" t="s">
        <v>231</v>
      </c>
      <c r="E367" s="241"/>
      <c r="F367" s="228">
        <f t="shared" si="838"/>
        <v>3.6801995565609057E-2</v>
      </c>
      <c r="G367" s="269">
        <f>+F367*G365</f>
        <v>6.6473757376134612E-5</v>
      </c>
      <c r="H367" s="299"/>
      <c r="I367" s="299"/>
      <c r="J367" s="299"/>
      <c r="K367" s="299"/>
      <c r="L367" s="299"/>
      <c r="M367" s="299"/>
      <c r="N367" s="272">
        <v>1</v>
      </c>
      <c r="O367" s="272">
        <v>1</v>
      </c>
      <c r="P367" s="272">
        <v>1</v>
      </c>
      <c r="Q367" s="272">
        <v>1</v>
      </c>
      <c r="R367" s="372">
        <v>1</v>
      </c>
      <c r="S367" s="395">
        <v>1</v>
      </c>
      <c r="T367" s="272">
        <v>1</v>
      </c>
      <c r="U367" s="272">
        <v>1</v>
      </c>
      <c r="V367" s="272">
        <v>1</v>
      </c>
      <c r="W367" s="272">
        <v>1</v>
      </c>
      <c r="X367" s="272">
        <v>1</v>
      </c>
      <c r="Y367" s="272">
        <v>1</v>
      </c>
      <c r="Z367" s="272">
        <v>1</v>
      </c>
      <c r="AA367" s="272">
        <v>1</v>
      </c>
      <c r="AB367" s="272">
        <v>1</v>
      </c>
      <c r="AC367" s="272">
        <v>1</v>
      </c>
      <c r="AD367" s="396">
        <v>1</v>
      </c>
      <c r="AE367" s="396">
        <v>1</v>
      </c>
      <c r="AF367" s="396">
        <v>1</v>
      </c>
      <c r="AG367" s="396">
        <v>1</v>
      </c>
      <c r="AH367" s="396">
        <v>1</v>
      </c>
      <c r="AI367" s="396">
        <v>1</v>
      </c>
      <c r="AJ367" s="396">
        <v>1</v>
      </c>
      <c r="AK367" s="396">
        <v>1</v>
      </c>
      <c r="AL367" s="396">
        <v>1</v>
      </c>
      <c r="AM367" s="396">
        <v>1</v>
      </c>
      <c r="AN367" s="396">
        <v>1</v>
      </c>
      <c r="AO367" s="396">
        <v>1</v>
      </c>
      <c r="AP367" s="396">
        <v>1</v>
      </c>
    </row>
    <row r="368" spans="1:42" s="140" customFormat="1" ht="13.5" hidden="1" customHeight="1" outlineLevel="3" thickBot="1">
      <c r="A368" s="216"/>
      <c r="B368" s="255" t="s">
        <v>553</v>
      </c>
      <c r="C368" s="290" t="s">
        <v>235</v>
      </c>
      <c r="D368" s="227" t="s">
        <v>231</v>
      </c>
      <c r="E368" s="241"/>
      <c r="F368" s="228">
        <f t="shared" si="838"/>
        <v>3.6801995565609057E-2</v>
      </c>
      <c r="G368" s="269">
        <f>+F368*G365</f>
        <v>6.6473757376134612E-5</v>
      </c>
      <c r="H368" s="299"/>
      <c r="I368" s="299"/>
      <c r="J368" s="299"/>
      <c r="K368" s="299"/>
      <c r="L368" s="299"/>
      <c r="M368" s="299"/>
      <c r="N368" s="272">
        <v>1</v>
      </c>
      <c r="O368" s="272">
        <v>1</v>
      </c>
      <c r="P368" s="272">
        <v>1</v>
      </c>
      <c r="Q368" s="272">
        <v>1</v>
      </c>
      <c r="R368" s="372">
        <v>1</v>
      </c>
      <c r="S368" s="395">
        <v>1</v>
      </c>
      <c r="T368" s="272">
        <v>1</v>
      </c>
      <c r="U368" s="272">
        <v>1</v>
      </c>
      <c r="V368" s="272">
        <v>1</v>
      </c>
      <c r="W368" s="272">
        <v>1</v>
      </c>
      <c r="X368" s="272">
        <v>1</v>
      </c>
      <c r="Y368" s="272">
        <v>1</v>
      </c>
      <c r="Z368" s="272">
        <v>1</v>
      </c>
      <c r="AA368" s="272">
        <v>1</v>
      </c>
      <c r="AB368" s="272">
        <v>1</v>
      </c>
      <c r="AC368" s="272">
        <v>1</v>
      </c>
      <c r="AD368" s="396">
        <v>1</v>
      </c>
      <c r="AE368" s="396">
        <v>1</v>
      </c>
      <c r="AF368" s="396">
        <v>1</v>
      </c>
      <c r="AG368" s="396">
        <v>1</v>
      </c>
      <c r="AH368" s="396">
        <v>1</v>
      </c>
      <c r="AI368" s="396">
        <v>1</v>
      </c>
      <c r="AJ368" s="396">
        <v>1</v>
      </c>
      <c r="AK368" s="396">
        <v>1</v>
      </c>
      <c r="AL368" s="396">
        <v>1</v>
      </c>
      <c r="AM368" s="396">
        <v>1</v>
      </c>
      <c r="AN368" s="396">
        <v>1</v>
      </c>
      <c r="AO368" s="396">
        <v>1</v>
      </c>
      <c r="AP368" s="396">
        <v>1</v>
      </c>
    </row>
    <row r="369" spans="1:42" s="140" customFormat="1" ht="13.5" hidden="1" customHeight="1" outlineLevel="3" thickBot="1">
      <c r="A369" s="216"/>
      <c r="B369" s="255" t="s">
        <v>554</v>
      </c>
      <c r="C369" s="290" t="s">
        <v>237</v>
      </c>
      <c r="D369" s="227" t="s">
        <v>231</v>
      </c>
      <c r="E369" s="241"/>
      <c r="F369" s="228">
        <f t="shared" si="838"/>
        <v>3.6801995565609057E-2</v>
      </c>
      <c r="G369" s="269">
        <f>+F369*G365</f>
        <v>6.6473757376134612E-5</v>
      </c>
      <c r="H369" s="299"/>
      <c r="I369" s="299"/>
      <c r="J369" s="299"/>
      <c r="K369" s="299"/>
      <c r="L369" s="299"/>
      <c r="M369" s="299"/>
      <c r="N369" s="272">
        <v>1</v>
      </c>
      <c r="O369" s="272">
        <v>1</v>
      </c>
      <c r="P369" s="272">
        <v>1</v>
      </c>
      <c r="Q369" s="272">
        <v>1</v>
      </c>
      <c r="R369" s="372">
        <v>1</v>
      </c>
      <c r="S369" s="395">
        <v>1</v>
      </c>
      <c r="T369" s="272">
        <v>1</v>
      </c>
      <c r="U369" s="272">
        <v>1</v>
      </c>
      <c r="V369" s="272">
        <v>1</v>
      </c>
      <c r="W369" s="272">
        <v>1</v>
      </c>
      <c r="X369" s="272">
        <v>1</v>
      </c>
      <c r="Y369" s="272">
        <v>1</v>
      </c>
      <c r="Z369" s="272">
        <v>1</v>
      </c>
      <c r="AA369" s="272">
        <v>1</v>
      </c>
      <c r="AB369" s="272">
        <v>1</v>
      </c>
      <c r="AC369" s="272">
        <v>1</v>
      </c>
      <c r="AD369" s="396">
        <v>1</v>
      </c>
      <c r="AE369" s="396">
        <v>1</v>
      </c>
      <c r="AF369" s="396">
        <v>1</v>
      </c>
      <c r="AG369" s="396">
        <v>1</v>
      </c>
      <c r="AH369" s="396">
        <v>1</v>
      </c>
      <c r="AI369" s="396">
        <v>1</v>
      </c>
      <c r="AJ369" s="396">
        <v>1</v>
      </c>
      <c r="AK369" s="396">
        <v>1</v>
      </c>
      <c r="AL369" s="396">
        <v>1</v>
      </c>
      <c r="AM369" s="396">
        <v>1</v>
      </c>
      <c r="AN369" s="396">
        <v>1</v>
      </c>
      <c r="AO369" s="396">
        <v>1</v>
      </c>
      <c r="AP369" s="396">
        <v>1</v>
      </c>
    </row>
    <row r="370" spans="1:42" s="140" customFormat="1" ht="13.5" hidden="1" customHeight="1" outlineLevel="3" thickBot="1">
      <c r="A370" s="216"/>
      <c r="B370" s="255" t="s">
        <v>555</v>
      </c>
      <c r="C370" s="290" t="s">
        <v>239</v>
      </c>
      <c r="D370" s="227" t="s">
        <v>231</v>
      </c>
      <c r="E370" s="241"/>
      <c r="F370" s="228">
        <f t="shared" si="838"/>
        <v>3.6801995565609057E-2</v>
      </c>
      <c r="G370" s="269">
        <f>+F370*G365</f>
        <v>6.6473757376134612E-5</v>
      </c>
      <c r="H370" s="299"/>
      <c r="I370" s="299"/>
      <c r="J370" s="299"/>
      <c r="K370" s="299"/>
      <c r="L370" s="299"/>
      <c r="M370" s="299"/>
      <c r="N370" s="272">
        <v>1</v>
      </c>
      <c r="O370" s="272">
        <v>1</v>
      </c>
      <c r="P370" s="272">
        <v>1</v>
      </c>
      <c r="Q370" s="272">
        <v>1</v>
      </c>
      <c r="R370" s="372">
        <v>1</v>
      </c>
      <c r="S370" s="395">
        <v>1</v>
      </c>
      <c r="T370" s="272">
        <v>1</v>
      </c>
      <c r="U370" s="272">
        <v>1</v>
      </c>
      <c r="V370" s="272">
        <v>1</v>
      </c>
      <c r="W370" s="272">
        <v>1</v>
      </c>
      <c r="X370" s="272">
        <v>1</v>
      </c>
      <c r="Y370" s="272">
        <v>1</v>
      </c>
      <c r="Z370" s="272">
        <v>1</v>
      </c>
      <c r="AA370" s="272">
        <v>1</v>
      </c>
      <c r="AB370" s="272">
        <v>1</v>
      </c>
      <c r="AC370" s="272">
        <v>1</v>
      </c>
      <c r="AD370" s="396">
        <v>1</v>
      </c>
      <c r="AE370" s="396">
        <v>1</v>
      </c>
      <c r="AF370" s="396">
        <v>1</v>
      </c>
      <c r="AG370" s="396">
        <v>1</v>
      </c>
      <c r="AH370" s="396">
        <v>1</v>
      </c>
      <c r="AI370" s="396">
        <v>1</v>
      </c>
      <c r="AJ370" s="396">
        <v>1</v>
      </c>
      <c r="AK370" s="396">
        <v>1</v>
      </c>
      <c r="AL370" s="396">
        <v>1</v>
      </c>
      <c r="AM370" s="396">
        <v>1</v>
      </c>
      <c r="AN370" s="396">
        <v>1</v>
      </c>
      <c r="AO370" s="396">
        <v>1</v>
      </c>
      <c r="AP370" s="396">
        <v>1</v>
      </c>
    </row>
    <row r="371" spans="1:42" s="140" customFormat="1" ht="13.5" hidden="1" customHeight="1" outlineLevel="3" thickBot="1">
      <c r="A371" s="216"/>
      <c r="B371" s="255" t="s">
        <v>556</v>
      </c>
      <c r="C371" s="290" t="s">
        <v>241</v>
      </c>
      <c r="D371" s="227" t="s">
        <v>231</v>
      </c>
      <c r="E371" s="241"/>
      <c r="F371" s="228">
        <f t="shared" si="838"/>
        <v>3.6801995565609057E-2</v>
      </c>
      <c r="G371" s="269">
        <f>+F371*G365</f>
        <v>6.6473757376134612E-5</v>
      </c>
      <c r="H371" s="299"/>
      <c r="I371" s="299"/>
      <c r="J371" s="299"/>
      <c r="K371" s="299"/>
      <c r="L371" s="299"/>
      <c r="M371" s="299"/>
      <c r="N371" s="272">
        <v>1</v>
      </c>
      <c r="O371" s="272">
        <v>1</v>
      </c>
      <c r="P371" s="272">
        <v>1</v>
      </c>
      <c r="Q371" s="272">
        <v>1</v>
      </c>
      <c r="R371" s="372">
        <v>1</v>
      </c>
      <c r="S371" s="395">
        <v>1</v>
      </c>
      <c r="T371" s="272">
        <v>1</v>
      </c>
      <c r="U371" s="272">
        <v>1</v>
      </c>
      <c r="V371" s="272">
        <v>1</v>
      </c>
      <c r="W371" s="272">
        <v>1</v>
      </c>
      <c r="X371" s="272">
        <v>1</v>
      </c>
      <c r="Y371" s="272">
        <v>1</v>
      </c>
      <c r="Z371" s="272">
        <v>1</v>
      </c>
      <c r="AA371" s="272">
        <v>1</v>
      </c>
      <c r="AB371" s="272">
        <v>1</v>
      </c>
      <c r="AC371" s="272">
        <v>1</v>
      </c>
      <c r="AD371" s="396">
        <v>1</v>
      </c>
      <c r="AE371" s="396">
        <v>1</v>
      </c>
      <c r="AF371" s="396">
        <v>1</v>
      </c>
      <c r="AG371" s="396">
        <v>1</v>
      </c>
      <c r="AH371" s="396">
        <v>1</v>
      </c>
      <c r="AI371" s="396">
        <v>1</v>
      </c>
      <c r="AJ371" s="396">
        <v>1</v>
      </c>
      <c r="AK371" s="396">
        <v>1</v>
      </c>
      <c r="AL371" s="396">
        <v>1</v>
      </c>
      <c r="AM371" s="396">
        <v>1</v>
      </c>
      <c r="AN371" s="396">
        <v>1</v>
      </c>
      <c r="AO371" s="396">
        <v>1</v>
      </c>
      <c r="AP371" s="396">
        <v>1</v>
      </c>
    </row>
    <row r="372" spans="1:42" s="140" customFormat="1" ht="13.5" hidden="1" customHeight="1" outlineLevel="3" thickBot="1">
      <c r="A372" s="216"/>
      <c r="B372" s="255" t="s">
        <v>557</v>
      </c>
      <c r="C372" s="290" t="s">
        <v>243</v>
      </c>
      <c r="D372" s="227" t="s">
        <v>231</v>
      </c>
      <c r="E372" s="241"/>
      <c r="F372" s="228">
        <f t="shared" si="838"/>
        <v>3.6801995565609057E-2</v>
      </c>
      <c r="G372" s="269">
        <f>+F372*G365</f>
        <v>6.6473757376134612E-5</v>
      </c>
      <c r="H372" s="299"/>
      <c r="I372" s="299"/>
      <c r="J372" s="299"/>
      <c r="K372" s="299"/>
      <c r="L372" s="299"/>
      <c r="M372" s="299"/>
      <c r="N372" s="272">
        <v>1</v>
      </c>
      <c r="O372" s="272">
        <v>1</v>
      </c>
      <c r="P372" s="272">
        <v>1</v>
      </c>
      <c r="Q372" s="272">
        <v>1</v>
      </c>
      <c r="R372" s="372">
        <v>1</v>
      </c>
      <c r="S372" s="395">
        <v>1</v>
      </c>
      <c r="T372" s="272">
        <v>1</v>
      </c>
      <c r="U372" s="272">
        <v>1</v>
      </c>
      <c r="V372" s="272">
        <v>1</v>
      </c>
      <c r="W372" s="272">
        <v>1</v>
      </c>
      <c r="X372" s="272">
        <v>1</v>
      </c>
      <c r="Y372" s="272">
        <v>1</v>
      </c>
      <c r="Z372" s="272">
        <v>1</v>
      </c>
      <c r="AA372" s="272">
        <v>1</v>
      </c>
      <c r="AB372" s="272">
        <v>1</v>
      </c>
      <c r="AC372" s="272">
        <v>1</v>
      </c>
      <c r="AD372" s="396">
        <v>1</v>
      </c>
      <c r="AE372" s="396">
        <v>1</v>
      </c>
      <c r="AF372" s="396">
        <v>1</v>
      </c>
      <c r="AG372" s="396">
        <v>1</v>
      </c>
      <c r="AH372" s="396">
        <v>1</v>
      </c>
      <c r="AI372" s="396">
        <v>1</v>
      </c>
      <c r="AJ372" s="396">
        <v>1</v>
      </c>
      <c r="AK372" s="396">
        <v>1</v>
      </c>
      <c r="AL372" s="396">
        <v>1</v>
      </c>
      <c r="AM372" s="396">
        <v>1</v>
      </c>
      <c r="AN372" s="396">
        <v>1</v>
      </c>
      <c r="AO372" s="396">
        <v>1</v>
      </c>
      <c r="AP372" s="396">
        <v>1</v>
      </c>
    </row>
    <row r="373" spans="1:42" s="140" customFormat="1" ht="13.5" hidden="1" customHeight="1" outlineLevel="3" thickBot="1">
      <c r="A373" s="216"/>
      <c r="B373" s="255" t="s">
        <v>558</v>
      </c>
      <c r="C373" s="290" t="s">
        <v>245</v>
      </c>
      <c r="D373" s="227" t="s">
        <v>231</v>
      </c>
      <c r="E373" s="241"/>
      <c r="F373" s="228">
        <f t="shared" si="838"/>
        <v>3.6801995565609057E-2</v>
      </c>
      <c r="G373" s="269">
        <f>+F373*G365</f>
        <v>6.6473757376134612E-5</v>
      </c>
      <c r="H373" s="299"/>
      <c r="I373" s="299"/>
      <c r="J373" s="299"/>
      <c r="K373" s="299"/>
      <c r="L373" s="299"/>
      <c r="M373" s="299"/>
      <c r="N373" s="272">
        <v>1</v>
      </c>
      <c r="O373" s="272">
        <v>1</v>
      </c>
      <c r="P373" s="272">
        <v>1</v>
      </c>
      <c r="Q373" s="272">
        <v>1</v>
      </c>
      <c r="R373" s="372">
        <v>1</v>
      </c>
      <c r="S373" s="395">
        <v>1</v>
      </c>
      <c r="T373" s="272">
        <v>1</v>
      </c>
      <c r="U373" s="272">
        <v>1</v>
      </c>
      <c r="V373" s="272">
        <v>1</v>
      </c>
      <c r="W373" s="272">
        <v>1</v>
      </c>
      <c r="X373" s="272">
        <v>1</v>
      </c>
      <c r="Y373" s="272">
        <v>1</v>
      </c>
      <c r="Z373" s="272">
        <v>1</v>
      </c>
      <c r="AA373" s="272">
        <v>1</v>
      </c>
      <c r="AB373" s="272">
        <v>1</v>
      </c>
      <c r="AC373" s="272">
        <v>1</v>
      </c>
      <c r="AD373" s="396">
        <v>1</v>
      </c>
      <c r="AE373" s="396">
        <v>1</v>
      </c>
      <c r="AF373" s="396">
        <v>1</v>
      </c>
      <c r="AG373" s="396">
        <v>1</v>
      </c>
      <c r="AH373" s="396">
        <v>1</v>
      </c>
      <c r="AI373" s="396">
        <v>1</v>
      </c>
      <c r="AJ373" s="396">
        <v>1</v>
      </c>
      <c r="AK373" s="396">
        <v>1</v>
      </c>
      <c r="AL373" s="396">
        <v>1</v>
      </c>
      <c r="AM373" s="396">
        <v>1</v>
      </c>
      <c r="AN373" s="396">
        <v>1</v>
      </c>
      <c r="AO373" s="396">
        <v>1</v>
      </c>
      <c r="AP373" s="396">
        <v>1</v>
      </c>
    </row>
    <row r="374" spans="1:42" s="140" customFormat="1" ht="13.5" hidden="1" customHeight="1" outlineLevel="3" thickBot="1">
      <c r="A374" s="216"/>
      <c r="B374" s="255" t="s">
        <v>559</v>
      </c>
      <c r="C374" s="290" t="s">
        <v>247</v>
      </c>
      <c r="D374" s="227" t="s">
        <v>231</v>
      </c>
      <c r="E374" s="241"/>
      <c r="F374" s="228">
        <f t="shared" si="838"/>
        <v>3.6801995565609057E-2</v>
      </c>
      <c r="G374" s="269">
        <f>+F374*G365</f>
        <v>6.6473757376134612E-5</v>
      </c>
      <c r="H374" s="299"/>
      <c r="I374" s="299"/>
      <c r="J374" s="299"/>
      <c r="K374" s="299"/>
      <c r="L374" s="299"/>
      <c r="M374" s="299"/>
      <c r="N374" s="272">
        <v>1</v>
      </c>
      <c r="O374" s="272">
        <v>1</v>
      </c>
      <c r="P374" s="272">
        <v>1</v>
      </c>
      <c r="Q374" s="272">
        <v>1</v>
      </c>
      <c r="R374" s="372">
        <v>1</v>
      </c>
      <c r="S374" s="395">
        <v>1</v>
      </c>
      <c r="T374" s="272">
        <v>1</v>
      </c>
      <c r="U374" s="272">
        <v>1</v>
      </c>
      <c r="V374" s="272">
        <v>1</v>
      </c>
      <c r="W374" s="272">
        <v>1</v>
      </c>
      <c r="X374" s="272">
        <v>1</v>
      </c>
      <c r="Y374" s="272">
        <v>1</v>
      </c>
      <c r="Z374" s="272">
        <v>1</v>
      </c>
      <c r="AA374" s="272">
        <v>1</v>
      </c>
      <c r="AB374" s="272">
        <v>1</v>
      </c>
      <c r="AC374" s="272">
        <v>1</v>
      </c>
      <c r="AD374" s="396">
        <v>1</v>
      </c>
      <c r="AE374" s="396">
        <v>1</v>
      </c>
      <c r="AF374" s="396">
        <v>1</v>
      </c>
      <c r="AG374" s="396">
        <v>1</v>
      </c>
      <c r="AH374" s="396">
        <v>1</v>
      </c>
      <c r="AI374" s="396">
        <v>1</v>
      </c>
      <c r="AJ374" s="396">
        <v>1</v>
      </c>
      <c r="AK374" s="396">
        <v>1</v>
      </c>
      <c r="AL374" s="396">
        <v>1</v>
      </c>
      <c r="AM374" s="396">
        <v>1</v>
      </c>
      <c r="AN374" s="396">
        <v>1</v>
      </c>
      <c r="AO374" s="396">
        <v>1</v>
      </c>
      <c r="AP374" s="396">
        <v>1</v>
      </c>
    </row>
    <row r="375" spans="1:42" s="140" customFormat="1" ht="13.5" hidden="1" customHeight="1" outlineLevel="3" thickBot="1">
      <c r="A375" s="216"/>
      <c r="B375" s="255" t="s">
        <v>560</v>
      </c>
      <c r="C375" s="290" t="s">
        <v>249</v>
      </c>
      <c r="D375" s="227" t="s">
        <v>231</v>
      </c>
      <c r="E375" s="241"/>
      <c r="F375" s="228">
        <f t="shared" si="838"/>
        <v>3.6801995565609057E-2</v>
      </c>
      <c r="G375" s="269">
        <f>+F375*G365</f>
        <v>6.6473757376134612E-5</v>
      </c>
      <c r="H375" s="299"/>
      <c r="I375" s="299"/>
      <c r="J375" s="299"/>
      <c r="K375" s="299"/>
      <c r="L375" s="299"/>
      <c r="M375" s="299"/>
      <c r="N375" s="272">
        <v>1</v>
      </c>
      <c r="O375" s="272">
        <v>1</v>
      </c>
      <c r="P375" s="272">
        <v>1</v>
      </c>
      <c r="Q375" s="272">
        <v>1</v>
      </c>
      <c r="R375" s="372">
        <v>1</v>
      </c>
      <c r="S375" s="395">
        <v>1</v>
      </c>
      <c r="T375" s="272">
        <v>1</v>
      </c>
      <c r="U375" s="272">
        <v>1</v>
      </c>
      <c r="V375" s="272">
        <v>1</v>
      </c>
      <c r="W375" s="272">
        <v>1</v>
      </c>
      <c r="X375" s="272">
        <v>1</v>
      </c>
      <c r="Y375" s="272">
        <v>1</v>
      </c>
      <c r="Z375" s="272">
        <v>1</v>
      </c>
      <c r="AA375" s="272">
        <v>1</v>
      </c>
      <c r="AB375" s="272">
        <v>1</v>
      </c>
      <c r="AC375" s="272">
        <v>1</v>
      </c>
      <c r="AD375" s="396">
        <v>1</v>
      </c>
      <c r="AE375" s="396">
        <v>1</v>
      </c>
      <c r="AF375" s="396">
        <v>1</v>
      </c>
      <c r="AG375" s="396">
        <v>1</v>
      </c>
      <c r="AH375" s="396">
        <v>1</v>
      </c>
      <c r="AI375" s="396">
        <v>1</v>
      </c>
      <c r="AJ375" s="396">
        <v>1</v>
      </c>
      <c r="AK375" s="396">
        <v>1</v>
      </c>
      <c r="AL375" s="396">
        <v>1</v>
      </c>
      <c r="AM375" s="396">
        <v>1</v>
      </c>
      <c r="AN375" s="396">
        <v>1</v>
      </c>
      <c r="AO375" s="396">
        <v>1</v>
      </c>
      <c r="AP375" s="396">
        <v>1</v>
      </c>
    </row>
    <row r="376" spans="1:42" s="140" customFormat="1" ht="13.5" hidden="1" customHeight="1" outlineLevel="3" thickBot="1">
      <c r="A376" s="216"/>
      <c r="B376" s="255" t="s">
        <v>561</v>
      </c>
      <c r="C376" s="290" t="s">
        <v>251</v>
      </c>
      <c r="D376" s="227" t="s">
        <v>231</v>
      </c>
      <c r="E376" s="241"/>
      <c r="F376" s="228">
        <f t="shared" si="838"/>
        <v>3.6801995565609057E-2</v>
      </c>
      <c r="G376" s="269">
        <f>+F376*G365</f>
        <v>6.6473757376134612E-5</v>
      </c>
      <c r="H376" s="299"/>
      <c r="I376" s="299"/>
      <c r="J376" s="299"/>
      <c r="K376" s="299"/>
      <c r="L376" s="299"/>
      <c r="M376" s="299"/>
      <c r="N376" s="272">
        <v>1</v>
      </c>
      <c r="O376" s="272">
        <v>1</v>
      </c>
      <c r="P376" s="272">
        <v>1</v>
      </c>
      <c r="Q376" s="272">
        <v>1</v>
      </c>
      <c r="R376" s="372">
        <v>1</v>
      </c>
      <c r="S376" s="395">
        <v>1</v>
      </c>
      <c r="T376" s="272">
        <v>1</v>
      </c>
      <c r="U376" s="272">
        <v>1</v>
      </c>
      <c r="V376" s="272">
        <v>1</v>
      </c>
      <c r="W376" s="272">
        <v>1</v>
      </c>
      <c r="X376" s="272">
        <v>1</v>
      </c>
      <c r="Y376" s="272">
        <v>1</v>
      </c>
      <c r="Z376" s="272">
        <v>1</v>
      </c>
      <c r="AA376" s="272">
        <v>1</v>
      </c>
      <c r="AB376" s="272">
        <v>1</v>
      </c>
      <c r="AC376" s="272">
        <v>1</v>
      </c>
      <c r="AD376" s="396">
        <v>1</v>
      </c>
      <c r="AE376" s="396">
        <v>1</v>
      </c>
      <c r="AF376" s="396">
        <v>1</v>
      </c>
      <c r="AG376" s="396">
        <v>1</v>
      </c>
      <c r="AH376" s="396">
        <v>1</v>
      </c>
      <c r="AI376" s="396">
        <v>1</v>
      </c>
      <c r="AJ376" s="396">
        <v>1</v>
      </c>
      <c r="AK376" s="396">
        <v>1</v>
      </c>
      <c r="AL376" s="396">
        <v>1</v>
      </c>
      <c r="AM376" s="396">
        <v>1</v>
      </c>
      <c r="AN376" s="396">
        <v>1</v>
      </c>
      <c r="AO376" s="396">
        <v>1</v>
      </c>
      <c r="AP376" s="396">
        <v>1</v>
      </c>
    </row>
    <row r="377" spans="1:42" s="140" customFormat="1" ht="13.5" hidden="1" customHeight="1" outlineLevel="3" thickBot="1">
      <c r="A377" s="216"/>
      <c r="B377" s="255" t="s">
        <v>562</v>
      </c>
      <c r="C377" s="290" t="s">
        <v>253</v>
      </c>
      <c r="D377" s="227" t="s">
        <v>231</v>
      </c>
      <c r="E377" s="241"/>
      <c r="F377" s="228">
        <f t="shared" si="838"/>
        <v>3.6801995565609057E-2</v>
      </c>
      <c r="G377" s="269">
        <f>+F377*G365</f>
        <v>6.6473757376134612E-5</v>
      </c>
      <c r="H377" s="299"/>
      <c r="I377" s="299"/>
      <c r="J377" s="299"/>
      <c r="K377" s="299"/>
      <c r="L377" s="299"/>
      <c r="M377" s="299"/>
      <c r="N377" s="272">
        <v>1</v>
      </c>
      <c r="O377" s="272">
        <v>1</v>
      </c>
      <c r="P377" s="272">
        <v>1</v>
      </c>
      <c r="Q377" s="272">
        <v>1</v>
      </c>
      <c r="R377" s="372">
        <v>1</v>
      </c>
      <c r="S377" s="395">
        <v>1</v>
      </c>
      <c r="T377" s="272">
        <v>1</v>
      </c>
      <c r="U377" s="272">
        <v>1</v>
      </c>
      <c r="V377" s="272">
        <v>1</v>
      </c>
      <c r="W377" s="272">
        <v>1</v>
      </c>
      <c r="X377" s="272">
        <v>1</v>
      </c>
      <c r="Y377" s="272">
        <v>1</v>
      </c>
      <c r="Z377" s="272">
        <v>1</v>
      </c>
      <c r="AA377" s="272">
        <v>1</v>
      </c>
      <c r="AB377" s="272">
        <v>1</v>
      </c>
      <c r="AC377" s="272">
        <v>1</v>
      </c>
      <c r="AD377" s="396">
        <v>1</v>
      </c>
      <c r="AE377" s="396">
        <v>1</v>
      </c>
      <c r="AF377" s="396">
        <v>1</v>
      </c>
      <c r="AG377" s="396">
        <v>1</v>
      </c>
      <c r="AH377" s="396">
        <v>1</v>
      </c>
      <c r="AI377" s="396">
        <v>1</v>
      </c>
      <c r="AJ377" s="396">
        <v>1</v>
      </c>
      <c r="AK377" s="396">
        <v>1</v>
      </c>
      <c r="AL377" s="396">
        <v>1</v>
      </c>
      <c r="AM377" s="396">
        <v>1</v>
      </c>
      <c r="AN377" s="396">
        <v>1</v>
      </c>
      <c r="AO377" s="396">
        <v>1</v>
      </c>
      <c r="AP377" s="396">
        <v>1</v>
      </c>
    </row>
    <row r="378" spans="1:42" s="140" customFormat="1" ht="13.5" hidden="1" customHeight="1" outlineLevel="3" thickBot="1">
      <c r="A378" s="216"/>
      <c r="B378" s="255" t="s">
        <v>563</v>
      </c>
      <c r="C378" s="290" t="s">
        <v>285</v>
      </c>
      <c r="D378" s="227" t="s">
        <v>231</v>
      </c>
      <c r="E378" s="241"/>
      <c r="F378" s="228">
        <f t="shared" si="838"/>
        <v>3.6801995565609057E-2</v>
      </c>
      <c r="G378" s="269">
        <f>+F378*G365</f>
        <v>6.6473757376134612E-5</v>
      </c>
      <c r="H378" s="299"/>
      <c r="I378" s="299"/>
      <c r="J378" s="299"/>
      <c r="K378" s="299"/>
      <c r="L378" s="299"/>
      <c r="M378" s="299"/>
      <c r="N378" s="272">
        <v>1</v>
      </c>
      <c r="O378" s="272">
        <v>1</v>
      </c>
      <c r="P378" s="272">
        <v>1</v>
      </c>
      <c r="Q378" s="272">
        <v>1</v>
      </c>
      <c r="R378" s="372">
        <v>1</v>
      </c>
      <c r="S378" s="395">
        <v>1</v>
      </c>
      <c r="T378" s="272">
        <v>1</v>
      </c>
      <c r="U378" s="272">
        <v>1</v>
      </c>
      <c r="V378" s="272">
        <v>1</v>
      </c>
      <c r="W378" s="272">
        <v>1</v>
      </c>
      <c r="X378" s="272">
        <v>1</v>
      </c>
      <c r="Y378" s="272">
        <v>1</v>
      </c>
      <c r="Z378" s="272">
        <v>1</v>
      </c>
      <c r="AA378" s="272">
        <v>1</v>
      </c>
      <c r="AB378" s="272">
        <v>1</v>
      </c>
      <c r="AC378" s="272">
        <v>1</v>
      </c>
      <c r="AD378" s="396">
        <v>1</v>
      </c>
      <c r="AE378" s="396">
        <v>1</v>
      </c>
      <c r="AF378" s="396">
        <v>1</v>
      </c>
      <c r="AG378" s="396">
        <v>1</v>
      </c>
      <c r="AH378" s="396">
        <v>1</v>
      </c>
      <c r="AI378" s="396">
        <v>1</v>
      </c>
      <c r="AJ378" s="396">
        <v>1</v>
      </c>
      <c r="AK378" s="396">
        <v>1</v>
      </c>
      <c r="AL378" s="396">
        <v>1</v>
      </c>
      <c r="AM378" s="396">
        <v>1</v>
      </c>
      <c r="AN378" s="396">
        <v>1</v>
      </c>
      <c r="AO378" s="396">
        <v>1</v>
      </c>
      <c r="AP378" s="396">
        <v>1</v>
      </c>
    </row>
    <row r="379" spans="1:42" s="140" customFormat="1" ht="13.5" hidden="1" customHeight="1" outlineLevel="3" thickBot="1">
      <c r="A379" s="216"/>
      <c r="B379" s="255" t="s">
        <v>564</v>
      </c>
      <c r="C379" s="290" t="s">
        <v>287</v>
      </c>
      <c r="D379" s="227" t="s">
        <v>231</v>
      </c>
      <c r="E379" s="241"/>
      <c r="F379" s="228">
        <f t="shared" si="838"/>
        <v>3.6801995565609057E-2</v>
      </c>
      <c r="G379" s="269">
        <f>+F379*G365</f>
        <v>6.6473757376134612E-5</v>
      </c>
      <c r="H379" s="299"/>
      <c r="I379" s="299"/>
      <c r="J379" s="299"/>
      <c r="K379" s="299"/>
      <c r="L379" s="299"/>
      <c r="M379" s="299"/>
      <c r="N379" s="272">
        <v>1</v>
      </c>
      <c r="O379" s="272">
        <v>1</v>
      </c>
      <c r="P379" s="272">
        <v>1</v>
      </c>
      <c r="Q379" s="272">
        <v>1</v>
      </c>
      <c r="R379" s="372">
        <v>1</v>
      </c>
      <c r="S379" s="395">
        <v>1</v>
      </c>
      <c r="T379" s="272">
        <v>1</v>
      </c>
      <c r="U379" s="272">
        <v>1</v>
      </c>
      <c r="V379" s="272">
        <v>1</v>
      </c>
      <c r="W379" s="272">
        <v>1</v>
      </c>
      <c r="X379" s="272">
        <v>1</v>
      </c>
      <c r="Y379" s="272">
        <v>1</v>
      </c>
      <c r="Z379" s="272">
        <v>1</v>
      </c>
      <c r="AA379" s="272">
        <v>1</v>
      </c>
      <c r="AB379" s="272">
        <v>1</v>
      </c>
      <c r="AC379" s="272">
        <v>1</v>
      </c>
      <c r="AD379" s="396">
        <v>1</v>
      </c>
      <c r="AE379" s="396">
        <v>1</v>
      </c>
      <c r="AF379" s="396">
        <v>1</v>
      </c>
      <c r="AG379" s="396">
        <v>1</v>
      </c>
      <c r="AH379" s="396">
        <v>1</v>
      </c>
      <c r="AI379" s="396">
        <v>1</v>
      </c>
      <c r="AJ379" s="396">
        <v>1</v>
      </c>
      <c r="AK379" s="396">
        <v>1</v>
      </c>
      <c r="AL379" s="396">
        <v>1</v>
      </c>
      <c r="AM379" s="396">
        <v>1</v>
      </c>
      <c r="AN379" s="396">
        <v>1</v>
      </c>
      <c r="AO379" s="396">
        <v>1</v>
      </c>
      <c r="AP379" s="396">
        <v>1</v>
      </c>
    </row>
    <row r="380" spans="1:42" s="140" customFormat="1" ht="13.5" hidden="1" customHeight="1" outlineLevel="3" thickBot="1">
      <c r="A380" s="216"/>
      <c r="B380" s="255" t="s">
        <v>565</v>
      </c>
      <c r="C380" s="290" t="s">
        <v>289</v>
      </c>
      <c r="D380" s="227" t="s">
        <v>231</v>
      </c>
      <c r="E380" s="241"/>
      <c r="F380" s="228">
        <f t="shared" si="838"/>
        <v>3.6801995565609057E-2</v>
      </c>
      <c r="G380" s="269">
        <f>+F380*G365</f>
        <v>6.6473757376134612E-5</v>
      </c>
      <c r="H380" s="299"/>
      <c r="I380" s="299"/>
      <c r="J380" s="299"/>
      <c r="K380" s="299"/>
      <c r="L380" s="299"/>
      <c r="M380" s="299"/>
      <c r="N380" s="272">
        <v>1</v>
      </c>
      <c r="O380" s="272">
        <v>1</v>
      </c>
      <c r="P380" s="272">
        <v>1</v>
      </c>
      <c r="Q380" s="272">
        <v>1</v>
      </c>
      <c r="R380" s="372">
        <v>1</v>
      </c>
      <c r="S380" s="395">
        <v>1</v>
      </c>
      <c r="T380" s="272">
        <v>1</v>
      </c>
      <c r="U380" s="272">
        <v>1</v>
      </c>
      <c r="V380" s="272">
        <v>1</v>
      </c>
      <c r="W380" s="272">
        <v>1</v>
      </c>
      <c r="X380" s="272">
        <v>1</v>
      </c>
      <c r="Y380" s="272">
        <v>1</v>
      </c>
      <c r="Z380" s="272">
        <v>1</v>
      </c>
      <c r="AA380" s="272">
        <v>1</v>
      </c>
      <c r="AB380" s="272">
        <v>1</v>
      </c>
      <c r="AC380" s="272">
        <v>1</v>
      </c>
      <c r="AD380" s="396">
        <v>1</v>
      </c>
      <c r="AE380" s="396">
        <v>1</v>
      </c>
      <c r="AF380" s="396">
        <v>1</v>
      </c>
      <c r="AG380" s="396">
        <v>1</v>
      </c>
      <c r="AH380" s="396">
        <v>1</v>
      </c>
      <c r="AI380" s="396">
        <v>1</v>
      </c>
      <c r="AJ380" s="396">
        <v>1</v>
      </c>
      <c r="AK380" s="396">
        <v>1</v>
      </c>
      <c r="AL380" s="396">
        <v>1</v>
      </c>
      <c r="AM380" s="396">
        <v>1</v>
      </c>
      <c r="AN380" s="396">
        <v>1</v>
      </c>
      <c r="AO380" s="396">
        <v>1</v>
      </c>
      <c r="AP380" s="396">
        <v>1</v>
      </c>
    </row>
    <row r="381" spans="1:42" s="140" customFormat="1" ht="13.5" hidden="1" customHeight="1" outlineLevel="3" thickBot="1">
      <c r="A381" s="216"/>
      <c r="B381" s="255" t="s">
        <v>566</v>
      </c>
      <c r="C381" s="290" t="s">
        <v>291</v>
      </c>
      <c r="D381" s="227" t="s">
        <v>231</v>
      </c>
      <c r="E381" s="241"/>
      <c r="F381" s="228">
        <f t="shared" si="838"/>
        <v>3.6801995565609057E-2</v>
      </c>
      <c r="G381" s="269">
        <f>+F381*G365</f>
        <v>6.6473757376134612E-5</v>
      </c>
      <c r="H381" s="299"/>
      <c r="I381" s="299"/>
      <c r="J381" s="299"/>
      <c r="K381" s="299"/>
      <c r="L381" s="299"/>
      <c r="M381" s="299"/>
      <c r="N381" s="272">
        <v>1</v>
      </c>
      <c r="O381" s="272">
        <v>1</v>
      </c>
      <c r="P381" s="272">
        <v>1</v>
      </c>
      <c r="Q381" s="272">
        <v>1</v>
      </c>
      <c r="R381" s="372">
        <v>1</v>
      </c>
      <c r="S381" s="395">
        <v>1</v>
      </c>
      <c r="T381" s="272">
        <v>1</v>
      </c>
      <c r="U381" s="272">
        <v>1</v>
      </c>
      <c r="V381" s="272">
        <v>1</v>
      </c>
      <c r="W381" s="272">
        <v>1</v>
      </c>
      <c r="X381" s="272">
        <v>1</v>
      </c>
      <c r="Y381" s="272">
        <v>1</v>
      </c>
      <c r="Z381" s="272">
        <v>1</v>
      </c>
      <c r="AA381" s="272">
        <v>1</v>
      </c>
      <c r="AB381" s="272">
        <v>1</v>
      </c>
      <c r="AC381" s="272">
        <v>1</v>
      </c>
      <c r="AD381" s="396">
        <v>1</v>
      </c>
      <c r="AE381" s="396">
        <v>1</v>
      </c>
      <c r="AF381" s="396">
        <v>1</v>
      </c>
      <c r="AG381" s="396">
        <v>1</v>
      </c>
      <c r="AH381" s="396">
        <v>1</v>
      </c>
      <c r="AI381" s="396">
        <v>1</v>
      </c>
      <c r="AJ381" s="396">
        <v>1</v>
      </c>
      <c r="AK381" s="396">
        <v>1</v>
      </c>
      <c r="AL381" s="396">
        <v>1</v>
      </c>
      <c r="AM381" s="396">
        <v>1</v>
      </c>
      <c r="AN381" s="396">
        <v>1</v>
      </c>
      <c r="AO381" s="396">
        <v>1</v>
      </c>
      <c r="AP381" s="396">
        <v>1</v>
      </c>
    </row>
    <row r="382" spans="1:42" s="140" customFormat="1" ht="13.5" hidden="1" customHeight="1" outlineLevel="3" thickBot="1">
      <c r="A382" s="216"/>
      <c r="B382" s="255" t="s">
        <v>567</v>
      </c>
      <c r="C382" s="290" t="s">
        <v>293</v>
      </c>
      <c r="D382" s="227" t="s">
        <v>231</v>
      </c>
      <c r="E382" s="241"/>
      <c r="F382" s="228">
        <f t="shared" si="838"/>
        <v>3.6801995565609057E-2</v>
      </c>
      <c r="G382" s="269">
        <f>+F382*G365</f>
        <v>6.6473757376134612E-5</v>
      </c>
      <c r="H382" s="299"/>
      <c r="I382" s="299"/>
      <c r="J382" s="299"/>
      <c r="K382" s="299"/>
      <c r="L382" s="299"/>
      <c r="M382" s="299"/>
      <c r="N382" s="272">
        <v>1</v>
      </c>
      <c r="O382" s="272">
        <v>1</v>
      </c>
      <c r="P382" s="272">
        <v>1</v>
      </c>
      <c r="Q382" s="272">
        <v>1</v>
      </c>
      <c r="R382" s="372">
        <v>1</v>
      </c>
      <c r="S382" s="395">
        <v>1</v>
      </c>
      <c r="T382" s="272">
        <v>1</v>
      </c>
      <c r="U382" s="272">
        <v>1</v>
      </c>
      <c r="V382" s="272">
        <v>1</v>
      </c>
      <c r="W382" s="272">
        <v>1</v>
      </c>
      <c r="X382" s="272">
        <v>1</v>
      </c>
      <c r="Y382" s="272">
        <v>1</v>
      </c>
      <c r="Z382" s="272">
        <v>1</v>
      </c>
      <c r="AA382" s="272">
        <v>1</v>
      </c>
      <c r="AB382" s="272">
        <v>1</v>
      </c>
      <c r="AC382" s="272">
        <v>1</v>
      </c>
      <c r="AD382" s="396">
        <v>1</v>
      </c>
      <c r="AE382" s="396">
        <v>1</v>
      </c>
      <c r="AF382" s="396">
        <v>1</v>
      </c>
      <c r="AG382" s="396">
        <v>1</v>
      </c>
      <c r="AH382" s="396">
        <v>1</v>
      </c>
      <c r="AI382" s="396">
        <v>1</v>
      </c>
      <c r="AJ382" s="396">
        <v>1</v>
      </c>
      <c r="AK382" s="396">
        <v>1</v>
      </c>
      <c r="AL382" s="396">
        <v>1</v>
      </c>
      <c r="AM382" s="396">
        <v>1</v>
      </c>
      <c r="AN382" s="396">
        <v>1</v>
      </c>
      <c r="AO382" s="396">
        <v>1</v>
      </c>
      <c r="AP382" s="396">
        <v>1</v>
      </c>
    </row>
    <row r="383" spans="1:42" s="140" customFormat="1" ht="13.5" hidden="1" customHeight="1" outlineLevel="3" thickBot="1">
      <c r="A383" s="216"/>
      <c r="B383" s="255" t="s">
        <v>568</v>
      </c>
      <c r="C383" s="290" t="s">
        <v>295</v>
      </c>
      <c r="D383" s="227" t="s">
        <v>231</v>
      </c>
      <c r="E383" s="241"/>
      <c r="F383" s="228">
        <f t="shared" si="838"/>
        <v>3.6801995565609057E-2</v>
      </c>
      <c r="G383" s="269">
        <f>+F383*G365</f>
        <v>6.6473757376134612E-5</v>
      </c>
      <c r="H383" s="299"/>
      <c r="I383" s="299"/>
      <c r="J383" s="299"/>
      <c r="K383" s="299"/>
      <c r="L383" s="299"/>
      <c r="M383" s="299"/>
      <c r="N383" s="272">
        <v>1</v>
      </c>
      <c r="O383" s="272">
        <v>1</v>
      </c>
      <c r="P383" s="272">
        <v>1</v>
      </c>
      <c r="Q383" s="272">
        <v>1</v>
      </c>
      <c r="R383" s="372">
        <v>1</v>
      </c>
      <c r="S383" s="395">
        <v>1</v>
      </c>
      <c r="T383" s="272">
        <v>1</v>
      </c>
      <c r="U383" s="272">
        <v>1</v>
      </c>
      <c r="V383" s="272">
        <v>1</v>
      </c>
      <c r="W383" s="272">
        <v>1</v>
      </c>
      <c r="X383" s="272">
        <v>1</v>
      </c>
      <c r="Y383" s="272">
        <v>1</v>
      </c>
      <c r="Z383" s="272">
        <v>1</v>
      </c>
      <c r="AA383" s="272">
        <v>1</v>
      </c>
      <c r="AB383" s="272">
        <v>1</v>
      </c>
      <c r="AC383" s="272">
        <v>1</v>
      </c>
      <c r="AD383" s="396">
        <v>1</v>
      </c>
      <c r="AE383" s="396">
        <v>1</v>
      </c>
      <c r="AF383" s="396">
        <v>1</v>
      </c>
      <c r="AG383" s="396">
        <v>1</v>
      </c>
      <c r="AH383" s="396">
        <v>1</v>
      </c>
      <c r="AI383" s="396">
        <v>1</v>
      </c>
      <c r="AJ383" s="396">
        <v>1</v>
      </c>
      <c r="AK383" s="396">
        <v>1</v>
      </c>
      <c r="AL383" s="396">
        <v>1</v>
      </c>
      <c r="AM383" s="396">
        <v>1</v>
      </c>
      <c r="AN383" s="396">
        <v>1</v>
      </c>
      <c r="AO383" s="396">
        <v>1</v>
      </c>
      <c r="AP383" s="396">
        <v>1</v>
      </c>
    </row>
    <row r="384" spans="1:42" s="140" customFormat="1" ht="13.5" hidden="1" customHeight="1" outlineLevel="3" thickBot="1">
      <c r="A384" s="216"/>
      <c r="B384" s="255" t="s">
        <v>569</v>
      </c>
      <c r="C384" s="290" t="s">
        <v>297</v>
      </c>
      <c r="D384" s="227" t="s">
        <v>231</v>
      </c>
      <c r="E384" s="241"/>
      <c r="F384" s="228">
        <f t="shared" si="838"/>
        <v>3.6801995565609057E-2</v>
      </c>
      <c r="G384" s="269">
        <f>+F384*G365</f>
        <v>6.6473757376134612E-5</v>
      </c>
      <c r="H384" s="299"/>
      <c r="I384" s="299"/>
      <c r="J384" s="299"/>
      <c r="K384" s="299"/>
      <c r="L384" s="299"/>
      <c r="M384" s="299"/>
      <c r="N384" s="272">
        <v>1</v>
      </c>
      <c r="O384" s="272">
        <v>1</v>
      </c>
      <c r="P384" s="272">
        <v>1</v>
      </c>
      <c r="Q384" s="272">
        <v>1</v>
      </c>
      <c r="R384" s="372">
        <v>1</v>
      </c>
      <c r="S384" s="395">
        <v>1</v>
      </c>
      <c r="T384" s="272">
        <v>1</v>
      </c>
      <c r="U384" s="272">
        <v>1</v>
      </c>
      <c r="V384" s="272">
        <v>1</v>
      </c>
      <c r="W384" s="272">
        <v>1</v>
      </c>
      <c r="X384" s="272">
        <v>1</v>
      </c>
      <c r="Y384" s="272">
        <v>1</v>
      </c>
      <c r="Z384" s="272">
        <v>1</v>
      </c>
      <c r="AA384" s="272">
        <v>1</v>
      </c>
      <c r="AB384" s="272">
        <v>1</v>
      </c>
      <c r="AC384" s="272">
        <v>1</v>
      </c>
      <c r="AD384" s="396">
        <v>1</v>
      </c>
      <c r="AE384" s="396">
        <v>1</v>
      </c>
      <c r="AF384" s="396">
        <v>1</v>
      </c>
      <c r="AG384" s="396">
        <v>1</v>
      </c>
      <c r="AH384" s="396">
        <v>1</v>
      </c>
      <c r="AI384" s="396">
        <v>1</v>
      </c>
      <c r="AJ384" s="396">
        <v>1</v>
      </c>
      <c r="AK384" s="396">
        <v>1</v>
      </c>
      <c r="AL384" s="396">
        <v>1</v>
      </c>
      <c r="AM384" s="396">
        <v>1</v>
      </c>
      <c r="AN384" s="396">
        <v>1</v>
      </c>
      <c r="AO384" s="396">
        <v>1</v>
      </c>
      <c r="AP384" s="396">
        <v>1</v>
      </c>
    </row>
    <row r="385" spans="1:42" s="140" customFormat="1" ht="13.5" hidden="1" customHeight="1" outlineLevel="3" thickBot="1">
      <c r="A385" s="216"/>
      <c r="B385" s="255" t="s">
        <v>570</v>
      </c>
      <c r="C385" s="290" t="s">
        <v>299</v>
      </c>
      <c r="D385" s="227" t="s">
        <v>231</v>
      </c>
      <c r="E385" s="241"/>
      <c r="F385" s="228">
        <f t="shared" si="838"/>
        <v>3.6801995565609057E-2</v>
      </c>
      <c r="G385" s="269">
        <f>+F385*G365</f>
        <v>6.6473757376134612E-5</v>
      </c>
      <c r="H385" s="299"/>
      <c r="I385" s="299"/>
      <c r="J385" s="299"/>
      <c r="K385" s="299"/>
      <c r="L385" s="299"/>
      <c r="M385" s="299"/>
      <c r="N385" s="272">
        <v>1</v>
      </c>
      <c r="O385" s="272">
        <v>1</v>
      </c>
      <c r="P385" s="272">
        <v>1</v>
      </c>
      <c r="Q385" s="272">
        <v>1</v>
      </c>
      <c r="R385" s="372">
        <v>1</v>
      </c>
      <c r="S385" s="395">
        <v>1</v>
      </c>
      <c r="T385" s="272">
        <v>1</v>
      </c>
      <c r="U385" s="272">
        <v>1</v>
      </c>
      <c r="V385" s="272">
        <v>1</v>
      </c>
      <c r="W385" s="272">
        <v>1</v>
      </c>
      <c r="X385" s="272">
        <v>1</v>
      </c>
      <c r="Y385" s="272">
        <v>1</v>
      </c>
      <c r="Z385" s="272">
        <v>1</v>
      </c>
      <c r="AA385" s="272">
        <v>1</v>
      </c>
      <c r="AB385" s="272">
        <v>1</v>
      </c>
      <c r="AC385" s="272">
        <v>1</v>
      </c>
      <c r="AD385" s="396">
        <v>1</v>
      </c>
      <c r="AE385" s="396">
        <v>1</v>
      </c>
      <c r="AF385" s="396">
        <v>1</v>
      </c>
      <c r="AG385" s="396">
        <v>1</v>
      </c>
      <c r="AH385" s="396">
        <v>1</v>
      </c>
      <c r="AI385" s="396">
        <v>1</v>
      </c>
      <c r="AJ385" s="396">
        <v>1</v>
      </c>
      <c r="AK385" s="396">
        <v>1</v>
      </c>
      <c r="AL385" s="396">
        <v>1</v>
      </c>
      <c r="AM385" s="396">
        <v>1</v>
      </c>
      <c r="AN385" s="396">
        <v>1</v>
      </c>
      <c r="AO385" s="396">
        <v>1</v>
      </c>
      <c r="AP385" s="396">
        <v>1</v>
      </c>
    </row>
    <row r="386" spans="1:42" s="140" customFormat="1" ht="13.5" hidden="1" customHeight="1" outlineLevel="3" thickBot="1">
      <c r="A386" s="216"/>
      <c r="B386" s="255" t="s">
        <v>571</v>
      </c>
      <c r="C386" s="290" t="s">
        <v>301</v>
      </c>
      <c r="D386" s="227" t="s">
        <v>231</v>
      </c>
      <c r="E386" s="241"/>
      <c r="F386" s="228">
        <f t="shared" si="838"/>
        <v>3.6801995565609057E-2</v>
      </c>
      <c r="G386" s="269">
        <f>+F386*G365</f>
        <v>6.6473757376134612E-5</v>
      </c>
      <c r="H386" s="299"/>
      <c r="I386" s="299"/>
      <c r="J386" s="299"/>
      <c r="K386" s="299"/>
      <c r="L386" s="299"/>
      <c r="M386" s="299"/>
      <c r="N386" s="272">
        <v>1</v>
      </c>
      <c r="O386" s="272">
        <v>1</v>
      </c>
      <c r="P386" s="272">
        <v>1</v>
      </c>
      <c r="Q386" s="272">
        <v>1</v>
      </c>
      <c r="R386" s="372">
        <v>1</v>
      </c>
      <c r="S386" s="395">
        <v>1</v>
      </c>
      <c r="T386" s="272">
        <v>1</v>
      </c>
      <c r="U386" s="272">
        <v>1</v>
      </c>
      <c r="V386" s="272">
        <v>1</v>
      </c>
      <c r="W386" s="272">
        <v>1</v>
      </c>
      <c r="X386" s="272">
        <v>1</v>
      </c>
      <c r="Y386" s="272">
        <v>1</v>
      </c>
      <c r="Z386" s="272">
        <v>1</v>
      </c>
      <c r="AA386" s="272">
        <v>1</v>
      </c>
      <c r="AB386" s="272">
        <v>1</v>
      </c>
      <c r="AC386" s="272">
        <v>1</v>
      </c>
      <c r="AD386" s="396">
        <v>1</v>
      </c>
      <c r="AE386" s="396">
        <v>1</v>
      </c>
      <c r="AF386" s="396">
        <v>1</v>
      </c>
      <c r="AG386" s="396">
        <v>1</v>
      </c>
      <c r="AH386" s="396">
        <v>1</v>
      </c>
      <c r="AI386" s="396">
        <v>1</v>
      </c>
      <c r="AJ386" s="396">
        <v>1</v>
      </c>
      <c r="AK386" s="396">
        <v>1</v>
      </c>
      <c r="AL386" s="396">
        <v>1</v>
      </c>
      <c r="AM386" s="396">
        <v>1</v>
      </c>
      <c r="AN386" s="396">
        <v>1</v>
      </c>
      <c r="AO386" s="396">
        <v>1</v>
      </c>
      <c r="AP386" s="396">
        <v>1</v>
      </c>
    </row>
    <row r="387" spans="1:42" s="140" customFormat="1" ht="13.5" hidden="1" customHeight="1" outlineLevel="3" thickBot="1">
      <c r="A387" s="216"/>
      <c r="B387" s="255" t="s">
        <v>572</v>
      </c>
      <c r="C387" s="290" t="s">
        <v>303</v>
      </c>
      <c r="D387" s="227" t="s">
        <v>231</v>
      </c>
      <c r="E387" s="241"/>
      <c r="F387" s="228">
        <f t="shared" si="838"/>
        <v>3.6801995565609057E-2</v>
      </c>
      <c r="G387" s="269">
        <f>+F387*G365</f>
        <v>6.6473757376134612E-5</v>
      </c>
      <c r="H387" s="299"/>
      <c r="I387" s="299"/>
      <c r="J387" s="299"/>
      <c r="K387" s="299"/>
      <c r="L387" s="299"/>
      <c r="M387" s="299"/>
      <c r="N387" s="272">
        <v>1</v>
      </c>
      <c r="O387" s="272">
        <v>1</v>
      </c>
      <c r="P387" s="272">
        <v>1</v>
      </c>
      <c r="Q387" s="272">
        <v>1</v>
      </c>
      <c r="R387" s="372">
        <v>1</v>
      </c>
      <c r="S387" s="395">
        <v>1</v>
      </c>
      <c r="T387" s="272">
        <v>1</v>
      </c>
      <c r="U387" s="272">
        <v>1</v>
      </c>
      <c r="V387" s="272">
        <v>1</v>
      </c>
      <c r="W387" s="272">
        <v>1</v>
      </c>
      <c r="X387" s="272">
        <v>1</v>
      </c>
      <c r="Y387" s="272">
        <v>1</v>
      </c>
      <c r="Z387" s="272">
        <v>1</v>
      </c>
      <c r="AA387" s="272">
        <v>1</v>
      </c>
      <c r="AB387" s="272">
        <v>1</v>
      </c>
      <c r="AC387" s="272">
        <v>1</v>
      </c>
      <c r="AD387" s="396">
        <v>1</v>
      </c>
      <c r="AE387" s="396">
        <v>1</v>
      </c>
      <c r="AF387" s="396">
        <v>1</v>
      </c>
      <c r="AG387" s="396">
        <v>1</v>
      </c>
      <c r="AH387" s="396">
        <v>1</v>
      </c>
      <c r="AI387" s="396">
        <v>1</v>
      </c>
      <c r="AJ387" s="396">
        <v>1</v>
      </c>
      <c r="AK387" s="396">
        <v>1</v>
      </c>
      <c r="AL387" s="396">
        <v>1</v>
      </c>
      <c r="AM387" s="396">
        <v>1</v>
      </c>
      <c r="AN387" s="396">
        <v>1</v>
      </c>
      <c r="AO387" s="396">
        <v>1</v>
      </c>
      <c r="AP387" s="396">
        <v>1</v>
      </c>
    </row>
    <row r="388" spans="1:42" s="140" customFormat="1" ht="26.25" hidden="1" customHeight="1" outlineLevel="3" thickBot="1">
      <c r="A388" s="216"/>
      <c r="B388" s="255" t="s">
        <v>573</v>
      </c>
      <c r="C388" s="290" t="s">
        <v>255</v>
      </c>
      <c r="D388" s="227" t="s">
        <v>256</v>
      </c>
      <c r="E388" s="241"/>
      <c r="F388" s="228">
        <f t="shared" si="838"/>
        <v>4.7589024389150178E-2</v>
      </c>
      <c r="G388" s="269">
        <f>+F388*G365</f>
        <v>8.5957873000981879E-5</v>
      </c>
      <c r="H388" s="299"/>
      <c r="I388" s="299"/>
      <c r="J388" s="299"/>
      <c r="K388" s="299"/>
      <c r="L388" s="299"/>
      <c r="M388" s="299"/>
      <c r="N388" s="272">
        <v>1</v>
      </c>
      <c r="O388" s="272">
        <v>1</v>
      </c>
      <c r="P388" s="272">
        <v>1</v>
      </c>
      <c r="Q388" s="272">
        <v>1</v>
      </c>
      <c r="R388" s="372">
        <v>1</v>
      </c>
      <c r="S388" s="395">
        <v>1</v>
      </c>
      <c r="T388" s="272">
        <v>1</v>
      </c>
      <c r="U388" s="272">
        <v>1</v>
      </c>
      <c r="V388" s="272">
        <v>1</v>
      </c>
      <c r="W388" s="272">
        <v>1</v>
      </c>
      <c r="X388" s="272">
        <v>1</v>
      </c>
      <c r="Y388" s="272">
        <v>1</v>
      </c>
      <c r="Z388" s="272">
        <v>1</v>
      </c>
      <c r="AA388" s="272">
        <v>1</v>
      </c>
      <c r="AB388" s="272">
        <v>1</v>
      </c>
      <c r="AC388" s="272">
        <v>1</v>
      </c>
      <c r="AD388" s="396">
        <v>1</v>
      </c>
      <c r="AE388" s="396">
        <v>1</v>
      </c>
      <c r="AF388" s="396">
        <v>1</v>
      </c>
      <c r="AG388" s="396">
        <v>1</v>
      </c>
      <c r="AH388" s="396">
        <v>1</v>
      </c>
      <c r="AI388" s="396">
        <v>1</v>
      </c>
      <c r="AJ388" s="396">
        <v>1</v>
      </c>
      <c r="AK388" s="396">
        <v>1</v>
      </c>
      <c r="AL388" s="396">
        <v>1</v>
      </c>
      <c r="AM388" s="396">
        <v>1</v>
      </c>
      <c r="AN388" s="396">
        <v>1</v>
      </c>
      <c r="AO388" s="396">
        <v>1</v>
      </c>
      <c r="AP388" s="396">
        <v>1</v>
      </c>
    </row>
    <row r="389" spans="1:42" s="140" customFormat="1" ht="26.25" hidden="1" customHeight="1" outlineLevel="3" thickBot="1">
      <c r="A389" s="216"/>
      <c r="B389" s="255" t="s">
        <v>574</v>
      </c>
      <c r="C389" s="290" t="s">
        <v>258</v>
      </c>
      <c r="D389" s="227" t="s">
        <v>256</v>
      </c>
      <c r="E389" s="241"/>
      <c r="F389" s="228">
        <f t="shared" si="838"/>
        <v>4.7589024389150178E-2</v>
      </c>
      <c r="G389" s="269">
        <f>+F389*G365</f>
        <v>8.5957873000981879E-5</v>
      </c>
      <c r="H389" s="299"/>
      <c r="I389" s="299"/>
      <c r="J389" s="299"/>
      <c r="K389" s="299"/>
      <c r="L389" s="299"/>
      <c r="M389" s="299"/>
      <c r="N389" s="272">
        <v>1</v>
      </c>
      <c r="O389" s="272">
        <v>1</v>
      </c>
      <c r="P389" s="272">
        <v>1</v>
      </c>
      <c r="Q389" s="272">
        <v>1</v>
      </c>
      <c r="R389" s="372">
        <v>1</v>
      </c>
      <c r="S389" s="395">
        <v>1</v>
      </c>
      <c r="T389" s="272">
        <v>1</v>
      </c>
      <c r="U389" s="272">
        <v>1</v>
      </c>
      <c r="V389" s="272">
        <v>1</v>
      </c>
      <c r="W389" s="272">
        <v>1</v>
      </c>
      <c r="X389" s="272">
        <v>1</v>
      </c>
      <c r="Y389" s="272">
        <v>1</v>
      </c>
      <c r="Z389" s="272">
        <v>1</v>
      </c>
      <c r="AA389" s="272">
        <v>1</v>
      </c>
      <c r="AB389" s="272">
        <v>1</v>
      </c>
      <c r="AC389" s="272">
        <v>1</v>
      </c>
      <c r="AD389" s="396">
        <v>1</v>
      </c>
      <c r="AE389" s="396">
        <v>1</v>
      </c>
      <c r="AF389" s="396">
        <v>1</v>
      </c>
      <c r="AG389" s="396">
        <v>1</v>
      </c>
      <c r="AH389" s="396">
        <v>1</v>
      </c>
      <c r="AI389" s="396">
        <v>1</v>
      </c>
      <c r="AJ389" s="396">
        <v>1</v>
      </c>
      <c r="AK389" s="396">
        <v>1</v>
      </c>
      <c r="AL389" s="396">
        <v>1</v>
      </c>
      <c r="AM389" s="396">
        <v>1</v>
      </c>
      <c r="AN389" s="396">
        <v>1</v>
      </c>
      <c r="AO389" s="396">
        <v>1</v>
      </c>
      <c r="AP389" s="396">
        <v>1</v>
      </c>
    </row>
    <row r="390" spans="1:42" s="140" customFormat="1" ht="26.25" hidden="1" customHeight="1" outlineLevel="3" thickBot="1">
      <c r="A390" s="216"/>
      <c r="B390" s="255" t="s">
        <v>575</v>
      </c>
      <c r="C390" s="290" t="s">
        <v>260</v>
      </c>
      <c r="D390" s="227" t="s">
        <v>256</v>
      </c>
      <c r="E390" s="241"/>
      <c r="F390" s="228">
        <f t="shared" si="838"/>
        <v>4.7589024389150178E-2</v>
      </c>
      <c r="G390" s="269">
        <f>+F390*G365</f>
        <v>8.5957873000981879E-5</v>
      </c>
      <c r="H390" s="299"/>
      <c r="I390" s="299"/>
      <c r="J390" s="299"/>
      <c r="K390" s="299"/>
      <c r="L390" s="299"/>
      <c r="M390" s="299"/>
      <c r="N390" s="272">
        <v>1</v>
      </c>
      <c r="O390" s="272">
        <v>1</v>
      </c>
      <c r="P390" s="272">
        <v>1</v>
      </c>
      <c r="Q390" s="272">
        <v>1</v>
      </c>
      <c r="R390" s="372">
        <v>1</v>
      </c>
      <c r="S390" s="395">
        <v>1</v>
      </c>
      <c r="T390" s="272">
        <v>1</v>
      </c>
      <c r="U390" s="272">
        <v>1</v>
      </c>
      <c r="V390" s="272">
        <v>1</v>
      </c>
      <c r="W390" s="272">
        <v>1</v>
      </c>
      <c r="X390" s="272">
        <v>1</v>
      </c>
      <c r="Y390" s="272">
        <v>1</v>
      </c>
      <c r="Z390" s="272">
        <v>1</v>
      </c>
      <c r="AA390" s="272">
        <v>1</v>
      </c>
      <c r="AB390" s="272">
        <v>1</v>
      </c>
      <c r="AC390" s="272">
        <v>1</v>
      </c>
      <c r="AD390" s="396">
        <v>1</v>
      </c>
      <c r="AE390" s="396">
        <v>1</v>
      </c>
      <c r="AF390" s="396">
        <v>1</v>
      </c>
      <c r="AG390" s="396">
        <v>1</v>
      </c>
      <c r="AH390" s="396">
        <v>1</v>
      </c>
      <c r="AI390" s="396">
        <v>1</v>
      </c>
      <c r="AJ390" s="396">
        <v>1</v>
      </c>
      <c r="AK390" s="396">
        <v>1</v>
      </c>
      <c r="AL390" s="396">
        <v>1</v>
      </c>
      <c r="AM390" s="396">
        <v>1</v>
      </c>
      <c r="AN390" s="396">
        <v>1</v>
      </c>
      <c r="AO390" s="396">
        <v>1</v>
      </c>
      <c r="AP390" s="396">
        <v>1</v>
      </c>
    </row>
    <row r="391" spans="1:42" s="140" customFormat="1" ht="26.25" hidden="1" customHeight="1" outlineLevel="3" thickBot="1">
      <c r="A391" s="216"/>
      <c r="B391" s="255" t="s">
        <v>576</v>
      </c>
      <c r="C391" s="290" t="s">
        <v>262</v>
      </c>
      <c r="D391" s="227" t="s">
        <v>256</v>
      </c>
      <c r="E391" s="241"/>
      <c r="F391" s="228">
        <f t="shared" si="838"/>
        <v>4.7589024389150178E-2</v>
      </c>
      <c r="G391" s="269">
        <f>+F391*G365</f>
        <v>8.5957873000981879E-5</v>
      </c>
      <c r="H391" s="299"/>
      <c r="I391" s="299"/>
      <c r="J391" s="299"/>
      <c r="K391" s="299"/>
      <c r="L391" s="299"/>
      <c r="M391" s="299"/>
      <c r="N391" s="272">
        <v>1</v>
      </c>
      <c r="O391" s="272">
        <v>1</v>
      </c>
      <c r="P391" s="272">
        <v>1</v>
      </c>
      <c r="Q391" s="272">
        <v>1</v>
      </c>
      <c r="R391" s="372">
        <v>1</v>
      </c>
      <c r="S391" s="395">
        <v>1</v>
      </c>
      <c r="T391" s="272">
        <v>1</v>
      </c>
      <c r="U391" s="272">
        <v>1</v>
      </c>
      <c r="V391" s="272">
        <v>1</v>
      </c>
      <c r="W391" s="272">
        <v>1</v>
      </c>
      <c r="X391" s="272">
        <v>1</v>
      </c>
      <c r="Y391" s="272">
        <v>1</v>
      </c>
      <c r="Z391" s="272">
        <v>1</v>
      </c>
      <c r="AA391" s="272">
        <v>1</v>
      </c>
      <c r="AB391" s="272">
        <v>1</v>
      </c>
      <c r="AC391" s="272">
        <v>1</v>
      </c>
      <c r="AD391" s="396">
        <v>1</v>
      </c>
      <c r="AE391" s="396">
        <v>1</v>
      </c>
      <c r="AF391" s="396">
        <v>1</v>
      </c>
      <c r="AG391" s="396">
        <v>1</v>
      </c>
      <c r="AH391" s="396">
        <v>1</v>
      </c>
      <c r="AI391" s="396">
        <v>1</v>
      </c>
      <c r="AJ391" s="396">
        <v>1</v>
      </c>
      <c r="AK391" s="396">
        <v>1</v>
      </c>
      <c r="AL391" s="396">
        <v>1</v>
      </c>
      <c r="AM391" s="396">
        <v>1</v>
      </c>
      <c r="AN391" s="396">
        <v>1</v>
      </c>
      <c r="AO391" s="396">
        <v>1</v>
      </c>
      <c r="AP391" s="396">
        <v>1</v>
      </c>
    </row>
    <row r="392" spans="1:42" s="140" customFormat="1" ht="13.5" hidden="1" customHeight="1" outlineLevel="2" thickBot="1">
      <c r="A392" s="216"/>
      <c r="B392" s="291" t="s">
        <v>577</v>
      </c>
      <c r="C392" s="292" t="s">
        <v>37</v>
      </c>
      <c r="D392" s="234" t="s">
        <v>33</v>
      </c>
      <c r="E392" s="240"/>
      <c r="F392" s="223">
        <f t="shared" si="838"/>
        <v>9.0647549000068411E-2</v>
      </c>
      <c r="G392" s="293">
        <f>+F392*G343</f>
        <v>7.0802236648260825E-4</v>
      </c>
      <c r="H392" s="298"/>
      <c r="I392" s="298"/>
      <c r="J392" s="298"/>
      <c r="K392" s="298"/>
      <c r="L392" s="298"/>
      <c r="M392" s="298"/>
      <c r="N392" s="270">
        <f t="shared" ref="N392:R392" si="908">+SUMPRODUCT($F393:$F403,N393:N403)</f>
        <v>1.0000000000000002</v>
      </c>
      <c r="O392" s="270">
        <f t="shared" si="908"/>
        <v>1.0000000000000002</v>
      </c>
      <c r="P392" s="270">
        <f t="shared" si="908"/>
        <v>1.0000000000000002</v>
      </c>
      <c r="Q392" s="270">
        <f t="shared" si="908"/>
        <v>1.0000000000000002</v>
      </c>
      <c r="R392" s="370">
        <f t="shared" si="908"/>
        <v>1.0000000000000002</v>
      </c>
      <c r="S392" s="391">
        <f t="shared" ref="S392" si="909">+SUMPRODUCT($F393:$F403,S393:S403)</f>
        <v>1.0000000000000002</v>
      </c>
      <c r="T392" s="270">
        <f t="shared" ref="T392" si="910">+SUMPRODUCT($F393:$F403,T393:T403)</f>
        <v>1.0000000000000002</v>
      </c>
      <c r="U392" s="270">
        <f t="shared" ref="U392" si="911">+SUMPRODUCT($F393:$F403,U393:U403)</f>
        <v>1.0000000000000002</v>
      </c>
      <c r="V392" s="270">
        <f t="shared" ref="V392" si="912">+SUMPRODUCT($F393:$F403,V393:V403)</f>
        <v>1.0000000000000002</v>
      </c>
      <c r="W392" s="270">
        <f t="shared" ref="W392" si="913">+SUMPRODUCT($F393:$F403,W393:W403)</f>
        <v>1.0000000000000002</v>
      </c>
      <c r="X392" s="270">
        <f t="shared" ref="X392" si="914">+SUMPRODUCT($F393:$F403,X393:X403)</f>
        <v>1.0000000000000002</v>
      </c>
      <c r="Y392" s="270">
        <f t="shared" ref="Y392" si="915">+SUMPRODUCT($F393:$F403,Y393:Y403)</f>
        <v>1.0000000000000002</v>
      </c>
      <c r="Z392" s="270">
        <f t="shared" ref="Z392" si="916">+SUMPRODUCT($F393:$F403,Z393:Z403)</f>
        <v>1.0000000000000002</v>
      </c>
      <c r="AA392" s="270">
        <f t="shared" ref="AA392" si="917">+SUMPRODUCT($F393:$F403,AA393:AA403)</f>
        <v>1.0000000000000002</v>
      </c>
      <c r="AB392" s="270">
        <f t="shared" ref="AB392" si="918">+SUMPRODUCT($F393:$F403,AB393:AB403)</f>
        <v>1.0000000000000002</v>
      </c>
      <c r="AC392" s="270">
        <f t="shared" ref="AC392" si="919">+SUMPRODUCT($F393:$F403,AC393:AC403)</f>
        <v>1.0000000000000002</v>
      </c>
      <c r="AD392" s="392">
        <f t="shared" ref="AD392:AF392" si="920">+SUMPRODUCT($F393:$F403,AD393:AD403)</f>
        <v>1.0000000000000002</v>
      </c>
      <c r="AE392" s="392">
        <f t="shared" si="920"/>
        <v>1.0000000000000002</v>
      </c>
      <c r="AF392" s="392">
        <f t="shared" si="920"/>
        <v>1.0000000000000002</v>
      </c>
      <c r="AG392" s="392">
        <f t="shared" ref="AG392" si="921">+SUMPRODUCT($F393:$F403,AG393:AG403)</f>
        <v>1.0000000000000002</v>
      </c>
      <c r="AH392" s="392">
        <f t="shared" ref="AH392" si="922">+SUMPRODUCT($F393:$F403,AH393:AH403)</f>
        <v>1.0000000000000002</v>
      </c>
      <c r="AI392" s="392">
        <f t="shared" ref="AI392" si="923">+SUMPRODUCT($F393:$F403,AI393:AI403)</f>
        <v>1.0000000000000002</v>
      </c>
      <c r="AJ392" s="392">
        <f t="shared" ref="AJ392" si="924">+SUMPRODUCT($F393:$F403,AJ393:AJ403)</f>
        <v>1.0000000000000002</v>
      </c>
      <c r="AK392" s="392">
        <f t="shared" ref="AK392" si="925">+SUMPRODUCT($F393:$F403,AK393:AK403)</f>
        <v>1.0000000000000002</v>
      </c>
      <c r="AL392" s="392">
        <f t="shared" ref="AL392" si="926">+SUMPRODUCT($F393:$F403,AL393:AL403)</f>
        <v>1.0000000000000002</v>
      </c>
      <c r="AM392" s="392">
        <f t="shared" ref="AM392" si="927">+SUMPRODUCT($F393:$F403,AM393:AM403)</f>
        <v>1.0000000000000002</v>
      </c>
      <c r="AN392" s="392">
        <f t="shared" ref="AN392" si="928">+SUMPRODUCT($F393:$F403,AN393:AN403)</f>
        <v>1.0000000000000002</v>
      </c>
      <c r="AO392" s="392">
        <f t="shared" ref="AO392" si="929">+SUMPRODUCT($F393:$F403,AO393:AO403)</f>
        <v>1.0000000000000002</v>
      </c>
      <c r="AP392" s="392">
        <f t="shared" ref="AP392" si="930">+SUMPRODUCT($F393:$F403,AP393:AP403)</f>
        <v>1.0000000000000002</v>
      </c>
    </row>
    <row r="393" spans="1:42" s="140" customFormat="1" ht="13.5" hidden="1" customHeight="1" outlineLevel="3" thickBot="1">
      <c r="A393" s="216"/>
      <c r="B393" s="255" t="s">
        <v>578</v>
      </c>
      <c r="C393" s="290" t="s">
        <v>230</v>
      </c>
      <c r="D393" s="227" t="s">
        <v>231</v>
      </c>
      <c r="E393" s="241"/>
      <c r="F393" s="228">
        <f t="shared" si="838"/>
        <v>9.0909090909090912E-2</v>
      </c>
      <c r="G393" s="269">
        <f>+F393*G392</f>
        <v>6.4365669680237111E-5</v>
      </c>
      <c r="H393" s="299"/>
      <c r="I393" s="299"/>
      <c r="J393" s="299"/>
      <c r="K393" s="299"/>
      <c r="L393" s="299"/>
      <c r="M393" s="299"/>
      <c r="N393" s="272">
        <v>1</v>
      </c>
      <c r="O393" s="272">
        <v>1</v>
      </c>
      <c r="P393" s="272">
        <v>1</v>
      </c>
      <c r="Q393" s="272">
        <v>1</v>
      </c>
      <c r="R393" s="372">
        <v>1</v>
      </c>
      <c r="S393" s="395">
        <v>1</v>
      </c>
      <c r="T393" s="272">
        <v>1</v>
      </c>
      <c r="U393" s="272">
        <v>1</v>
      </c>
      <c r="V393" s="272">
        <v>1</v>
      </c>
      <c r="W393" s="272">
        <v>1</v>
      </c>
      <c r="X393" s="272">
        <v>1</v>
      </c>
      <c r="Y393" s="272">
        <v>1</v>
      </c>
      <c r="Z393" s="272">
        <v>1</v>
      </c>
      <c r="AA393" s="272">
        <v>1</v>
      </c>
      <c r="AB393" s="272">
        <v>1</v>
      </c>
      <c r="AC393" s="272">
        <v>1</v>
      </c>
      <c r="AD393" s="396">
        <v>1</v>
      </c>
      <c r="AE393" s="396">
        <v>1</v>
      </c>
      <c r="AF393" s="396">
        <v>1</v>
      </c>
      <c r="AG393" s="396">
        <v>1</v>
      </c>
      <c r="AH393" s="396">
        <v>1</v>
      </c>
      <c r="AI393" s="396">
        <v>1</v>
      </c>
      <c r="AJ393" s="396">
        <v>1</v>
      </c>
      <c r="AK393" s="396">
        <v>1</v>
      </c>
      <c r="AL393" s="396">
        <v>1</v>
      </c>
      <c r="AM393" s="396">
        <v>1</v>
      </c>
      <c r="AN393" s="396">
        <v>1</v>
      </c>
      <c r="AO393" s="396">
        <v>1</v>
      </c>
      <c r="AP393" s="396">
        <v>1</v>
      </c>
    </row>
    <row r="394" spans="1:42" s="140" customFormat="1" ht="13.5" hidden="1" customHeight="1" outlineLevel="3" thickBot="1">
      <c r="A394" s="216"/>
      <c r="B394" s="255" t="s">
        <v>579</v>
      </c>
      <c r="C394" s="290" t="s">
        <v>233</v>
      </c>
      <c r="D394" s="227" t="s">
        <v>231</v>
      </c>
      <c r="E394" s="241"/>
      <c r="F394" s="228">
        <f t="shared" si="838"/>
        <v>9.0909090909090912E-2</v>
      </c>
      <c r="G394" s="269">
        <f>+F394*G392</f>
        <v>6.4365669680237111E-5</v>
      </c>
      <c r="H394" s="299"/>
      <c r="I394" s="299"/>
      <c r="J394" s="299"/>
      <c r="K394" s="299"/>
      <c r="L394" s="299"/>
      <c r="M394" s="299"/>
      <c r="N394" s="272">
        <v>1</v>
      </c>
      <c r="O394" s="272">
        <v>1</v>
      </c>
      <c r="P394" s="272">
        <v>1</v>
      </c>
      <c r="Q394" s="272">
        <v>1</v>
      </c>
      <c r="R394" s="372">
        <v>1</v>
      </c>
      <c r="S394" s="395">
        <v>1</v>
      </c>
      <c r="T394" s="272">
        <v>1</v>
      </c>
      <c r="U394" s="272">
        <v>1</v>
      </c>
      <c r="V394" s="272">
        <v>1</v>
      </c>
      <c r="W394" s="272">
        <v>1</v>
      </c>
      <c r="X394" s="272">
        <v>1</v>
      </c>
      <c r="Y394" s="272">
        <v>1</v>
      </c>
      <c r="Z394" s="272">
        <v>1</v>
      </c>
      <c r="AA394" s="272">
        <v>1</v>
      </c>
      <c r="AB394" s="272">
        <v>1</v>
      </c>
      <c r="AC394" s="272">
        <v>1</v>
      </c>
      <c r="AD394" s="396">
        <v>1</v>
      </c>
      <c r="AE394" s="396">
        <v>1</v>
      </c>
      <c r="AF394" s="396">
        <v>1</v>
      </c>
      <c r="AG394" s="396">
        <v>1</v>
      </c>
      <c r="AH394" s="396">
        <v>1</v>
      </c>
      <c r="AI394" s="396">
        <v>1</v>
      </c>
      <c r="AJ394" s="396">
        <v>1</v>
      </c>
      <c r="AK394" s="396">
        <v>1</v>
      </c>
      <c r="AL394" s="396">
        <v>1</v>
      </c>
      <c r="AM394" s="396">
        <v>1</v>
      </c>
      <c r="AN394" s="396">
        <v>1</v>
      </c>
      <c r="AO394" s="396">
        <v>1</v>
      </c>
      <c r="AP394" s="396">
        <v>1</v>
      </c>
    </row>
    <row r="395" spans="1:42" s="140" customFormat="1" ht="13.5" hidden="1" customHeight="1" outlineLevel="3" thickBot="1">
      <c r="A395" s="216"/>
      <c r="B395" s="255" t="s">
        <v>580</v>
      </c>
      <c r="C395" s="290" t="s">
        <v>235</v>
      </c>
      <c r="D395" s="227" t="s">
        <v>231</v>
      </c>
      <c r="E395" s="241"/>
      <c r="F395" s="228">
        <f t="shared" si="838"/>
        <v>9.0909090909090912E-2</v>
      </c>
      <c r="G395" s="269">
        <f>+F395*G392</f>
        <v>6.4365669680237111E-5</v>
      </c>
      <c r="H395" s="299"/>
      <c r="I395" s="299"/>
      <c r="J395" s="299"/>
      <c r="K395" s="299"/>
      <c r="L395" s="299"/>
      <c r="M395" s="299"/>
      <c r="N395" s="272">
        <v>1</v>
      </c>
      <c r="O395" s="272">
        <v>1</v>
      </c>
      <c r="P395" s="272">
        <v>1</v>
      </c>
      <c r="Q395" s="272">
        <v>1</v>
      </c>
      <c r="R395" s="372">
        <v>1</v>
      </c>
      <c r="S395" s="395">
        <v>1</v>
      </c>
      <c r="T395" s="272">
        <v>1</v>
      </c>
      <c r="U395" s="272">
        <v>1</v>
      </c>
      <c r="V395" s="272">
        <v>1</v>
      </c>
      <c r="W395" s="272">
        <v>1</v>
      </c>
      <c r="X395" s="272">
        <v>1</v>
      </c>
      <c r="Y395" s="272">
        <v>1</v>
      </c>
      <c r="Z395" s="272">
        <v>1</v>
      </c>
      <c r="AA395" s="272">
        <v>1</v>
      </c>
      <c r="AB395" s="272">
        <v>1</v>
      </c>
      <c r="AC395" s="272">
        <v>1</v>
      </c>
      <c r="AD395" s="396">
        <v>1</v>
      </c>
      <c r="AE395" s="396">
        <v>1</v>
      </c>
      <c r="AF395" s="396">
        <v>1</v>
      </c>
      <c r="AG395" s="396">
        <v>1</v>
      </c>
      <c r="AH395" s="396">
        <v>1</v>
      </c>
      <c r="AI395" s="396">
        <v>1</v>
      </c>
      <c r="AJ395" s="396">
        <v>1</v>
      </c>
      <c r="AK395" s="396">
        <v>1</v>
      </c>
      <c r="AL395" s="396">
        <v>1</v>
      </c>
      <c r="AM395" s="396">
        <v>1</v>
      </c>
      <c r="AN395" s="396">
        <v>1</v>
      </c>
      <c r="AO395" s="396">
        <v>1</v>
      </c>
      <c r="AP395" s="396">
        <v>1</v>
      </c>
    </row>
    <row r="396" spans="1:42" s="140" customFormat="1" ht="13.5" hidden="1" customHeight="1" outlineLevel="3" thickBot="1">
      <c r="A396" s="216"/>
      <c r="B396" s="255" t="s">
        <v>581</v>
      </c>
      <c r="C396" s="290" t="s">
        <v>237</v>
      </c>
      <c r="D396" s="227" t="s">
        <v>231</v>
      </c>
      <c r="E396" s="241"/>
      <c r="F396" s="228">
        <f t="shared" si="838"/>
        <v>9.0909090909090912E-2</v>
      </c>
      <c r="G396" s="269">
        <f>+F396*G392</f>
        <v>6.4365669680237111E-5</v>
      </c>
      <c r="H396" s="299"/>
      <c r="I396" s="299"/>
      <c r="J396" s="299"/>
      <c r="K396" s="299"/>
      <c r="L396" s="299"/>
      <c r="M396" s="299"/>
      <c r="N396" s="272">
        <v>1</v>
      </c>
      <c r="O396" s="272">
        <v>1</v>
      </c>
      <c r="P396" s="272">
        <v>1</v>
      </c>
      <c r="Q396" s="272">
        <v>1</v>
      </c>
      <c r="R396" s="372">
        <v>1</v>
      </c>
      <c r="S396" s="395">
        <v>1</v>
      </c>
      <c r="T396" s="272">
        <v>1</v>
      </c>
      <c r="U396" s="272">
        <v>1</v>
      </c>
      <c r="V396" s="272">
        <v>1</v>
      </c>
      <c r="W396" s="272">
        <v>1</v>
      </c>
      <c r="X396" s="272">
        <v>1</v>
      </c>
      <c r="Y396" s="272">
        <v>1</v>
      </c>
      <c r="Z396" s="272">
        <v>1</v>
      </c>
      <c r="AA396" s="272">
        <v>1</v>
      </c>
      <c r="AB396" s="272">
        <v>1</v>
      </c>
      <c r="AC396" s="272">
        <v>1</v>
      </c>
      <c r="AD396" s="396">
        <v>1</v>
      </c>
      <c r="AE396" s="396">
        <v>1</v>
      </c>
      <c r="AF396" s="396">
        <v>1</v>
      </c>
      <c r="AG396" s="396">
        <v>1</v>
      </c>
      <c r="AH396" s="396">
        <v>1</v>
      </c>
      <c r="AI396" s="396">
        <v>1</v>
      </c>
      <c r="AJ396" s="396">
        <v>1</v>
      </c>
      <c r="AK396" s="396">
        <v>1</v>
      </c>
      <c r="AL396" s="396">
        <v>1</v>
      </c>
      <c r="AM396" s="396">
        <v>1</v>
      </c>
      <c r="AN396" s="396">
        <v>1</v>
      </c>
      <c r="AO396" s="396">
        <v>1</v>
      </c>
      <c r="AP396" s="396">
        <v>1</v>
      </c>
    </row>
    <row r="397" spans="1:42" s="140" customFormat="1" ht="13.5" hidden="1" customHeight="1" outlineLevel="3" thickBot="1">
      <c r="A397" s="216"/>
      <c r="B397" s="255" t="s">
        <v>582</v>
      </c>
      <c r="C397" s="290" t="s">
        <v>239</v>
      </c>
      <c r="D397" s="227" t="s">
        <v>231</v>
      </c>
      <c r="E397" s="241"/>
      <c r="F397" s="228">
        <f t="shared" si="838"/>
        <v>9.0909090909090912E-2</v>
      </c>
      <c r="G397" s="269">
        <f>+F397*G392</f>
        <v>6.4365669680237111E-5</v>
      </c>
      <c r="H397" s="299"/>
      <c r="I397" s="299"/>
      <c r="J397" s="299"/>
      <c r="K397" s="299"/>
      <c r="L397" s="299"/>
      <c r="M397" s="299"/>
      <c r="N397" s="272">
        <v>1</v>
      </c>
      <c r="O397" s="272">
        <v>1</v>
      </c>
      <c r="P397" s="272">
        <v>1</v>
      </c>
      <c r="Q397" s="272">
        <v>1</v>
      </c>
      <c r="R397" s="372">
        <v>1</v>
      </c>
      <c r="S397" s="395">
        <v>1</v>
      </c>
      <c r="T397" s="272">
        <v>1</v>
      </c>
      <c r="U397" s="272">
        <v>1</v>
      </c>
      <c r="V397" s="272">
        <v>1</v>
      </c>
      <c r="W397" s="272">
        <v>1</v>
      </c>
      <c r="X397" s="272">
        <v>1</v>
      </c>
      <c r="Y397" s="272">
        <v>1</v>
      </c>
      <c r="Z397" s="272">
        <v>1</v>
      </c>
      <c r="AA397" s="272">
        <v>1</v>
      </c>
      <c r="AB397" s="272">
        <v>1</v>
      </c>
      <c r="AC397" s="272">
        <v>1</v>
      </c>
      <c r="AD397" s="396">
        <v>1</v>
      </c>
      <c r="AE397" s="396">
        <v>1</v>
      </c>
      <c r="AF397" s="396">
        <v>1</v>
      </c>
      <c r="AG397" s="396">
        <v>1</v>
      </c>
      <c r="AH397" s="396">
        <v>1</v>
      </c>
      <c r="AI397" s="396">
        <v>1</v>
      </c>
      <c r="AJ397" s="396">
        <v>1</v>
      </c>
      <c r="AK397" s="396">
        <v>1</v>
      </c>
      <c r="AL397" s="396">
        <v>1</v>
      </c>
      <c r="AM397" s="396">
        <v>1</v>
      </c>
      <c r="AN397" s="396">
        <v>1</v>
      </c>
      <c r="AO397" s="396">
        <v>1</v>
      </c>
      <c r="AP397" s="396">
        <v>1</v>
      </c>
    </row>
    <row r="398" spans="1:42" s="140" customFormat="1" ht="13.5" hidden="1" customHeight="1" outlineLevel="3" thickBot="1">
      <c r="A398" s="216"/>
      <c r="B398" s="255" t="s">
        <v>583</v>
      </c>
      <c r="C398" s="290" t="s">
        <v>241</v>
      </c>
      <c r="D398" s="227" t="s">
        <v>231</v>
      </c>
      <c r="E398" s="241"/>
      <c r="F398" s="228">
        <f t="shared" si="838"/>
        <v>9.0909090909090912E-2</v>
      </c>
      <c r="G398" s="269">
        <f>+F398*G392</f>
        <v>6.4365669680237111E-5</v>
      </c>
      <c r="H398" s="299"/>
      <c r="I398" s="299"/>
      <c r="J398" s="299"/>
      <c r="K398" s="299"/>
      <c r="L398" s="299"/>
      <c r="M398" s="299"/>
      <c r="N398" s="272">
        <v>1</v>
      </c>
      <c r="O398" s="272">
        <v>1</v>
      </c>
      <c r="P398" s="272">
        <v>1</v>
      </c>
      <c r="Q398" s="272">
        <v>1</v>
      </c>
      <c r="R398" s="372">
        <v>1</v>
      </c>
      <c r="S398" s="395">
        <v>1</v>
      </c>
      <c r="T398" s="272">
        <v>1</v>
      </c>
      <c r="U398" s="272">
        <v>1</v>
      </c>
      <c r="V398" s="272">
        <v>1</v>
      </c>
      <c r="W398" s="272">
        <v>1</v>
      </c>
      <c r="X398" s="272">
        <v>1</v>
      </c>
      <c r="Y398" s="272">
        <v>1</v>
      </c>
      <c r="Z398" s="272">
        <v>1</v>
      </c>
      <c r="AA398" s="272">
        <v>1</v>
      </c>
      <c r="AB398" s="272">
        <v>1</v>
      </c>
      <c r="AC398" s="272">
        <v>1</v>
      </c>
      <c r="AD398" s="396">
        <v>1</v>
      </c>
      <c r="AE398" s="396">
        <v>1</v>
      </c>
      <c r="AF398" s="396">
        <v>1</v>
      </c>
      <c r="AG398" s="396">
        <v>1</v>
      </c>
      <c r="AH398" s="396">
        <v>1</v>
      </c>
      <c r="AI398" s="396">
        <v>1</v>
      </c>
      <c r="AJ398" s="396">
        <v>1</v>
      </c>
      <c r="AK398" s="396">
        <v>1</v>
      </c>
      <c r="AL398" s="396">
        <v>1</v>
      </c>
      <c r="AM398" s="396">
        <v>1</v>
      </c>
      <c r="AN398" s="396">
        <v>1</v>
      </c>
      <c r="AO398" s="396">
        <v>1</v>
      </c>
      <c r="AP398" s="396">
        <v>1</v>
      </c>
    </row>
    <row r="399" spans="1:42" s="140" customFormat="1" ht="13.5" hidden="1" customHeight="1" outlineLevel="3" thickBot="1">
      <c r="A399" s="216"/>
      <c r="B399" s="255" t="s">
        <v>584</v>
      </c>
      <c r="C399" s="290" t="s">
        <v>243</v>
      </c>
      <c r="D399" s="227" t="s">
        <v>231</v>
      </c>
      <c r="E399" s="241"/>
      <c r="F399" s="228">
        <f t="shared" si="838"/>
        <v>9.0909090909090912E-2</v>
      </c>
      <c r="G399" s="269">
        <f>+F399*G392</f>
        <v>6.4365669680237111E-5</v>
      </c>
      <c r="H399" s="299"/>
      <c r="I399" s="299"/>
      <c r="J399" s="299"/>
      <c r="K399" s="299"/>
      <c r="L399" s="299"/>
      <c r="M399" s="299"/>
      <c r="N399" s="272">
        <v>1</v>
      </c>
      <c r="O399" s="272">
        <v>1</v>
      </c>
      <c r="P399" s="272">
        <v>1</v>
      </c>
      <c r="Q399" s="272">
        <v>1</v>
      </c>
      <c r="R399" s="372">
        <v>1</v>
      </c>
      <c r="S399" s="395">
        <v>1</v>
      </c>
      <c r="T399" s="272">
        <v>1</v>
      </c>
      <c r="U399" s="272">
        <v>1</v>
      </c>
      <c r="V399" s="272">
        <v>1</v>
      </c>
      <c r="W399" s="272">
        <v>1</v>
      </c>
      <c r="X399" s="272">
        <v>1</v>
      </c>
      <c r="Y399" s="272">
        <v>1</v>
      </c>
      <c r="Z399" s="272">
        <v>1</v>
      </c>
      <c r="AA399" s="272">
        <v>1</v>
      </c>
      <c r="AB399" s="272">
        <v>1</v>
      </c>
      <c r="AC399" s="272">
        <v>1</v>
      </c>
      <c r="AD399" s="396">
        <v>1</v>
      </c>
      <c r="AE399" s="396">
        <v>1</v>
      </c>
      <c r="AF399" s="396">
        <v>1</v>
      </c>
      <c r="AG399" s="396">
        <v>1</v>
      </c>
      <c r="AH399" s="396">
        <v>1</v>
      </c>
      <c r="AI399" s="396">
        <v>1</v>
      </c>
      <c r="AJ399" s="396">
        <v>1</v>
      </c>
      <c r="AK399" s="396">
        <v>1</v>
      </c>
      <c r="AL399" s="396">
        <v>1</v>
      </c>
      <c r="AM399" s="396">
        <v>1</v>
      </c>
      <c r="AN399" s="396">
        <v>1</v>
      </c>
      <c r="AO399" s="396">
        <v>1</v>
      </c>
      <c r="AP399" s="396">
        <v>1</v>
      </c>
    </row>
    <row r="400" spans="1:42" s="140" customFormat="1" ht="13.5" hidden="1" customHeight="1" outlineLevel="3" thickBot="1">
      <c r="A400" s="216"/>
      <c r="B400" s="255" t="s">
        <v>585</v>
      </c>
      <c r="C400" s="290" t="s">
        <v>245</v>
      </c>
      <c r="D400" s="227" t="s">
        <v>231</v>
      </c>
      <c r="E400" s="241"/>
      <c r="F400" s="228">
        <f t="shared" si="838"/>
        <v>9.0909090909090912E-2</v>
      </c>
      <c r="G400" s="269">
        <f>+F400*G392</f>
        <v>6.4365669680237111E-5</v>
      </c>
      <c r="H400" s="299"/>
      <c r="I400" s="299"/>
      <c r="J400" s="299"/>
      <c r="K400" s="299"/>
      <c r="L400" s="299"/>
      <c r="M400" s="299"/>
      <c r="N400" s="272">
        <v>1</v>
      </c>
      <c r="O400" s="272">
        <v>1</v>
      </c>
      <c r="P400" s="272">
        <v>1</v>
      </c>
      <c r="Q400" s="272">
        <v>1</v>
      </c>
      <c r="R400" s="372">
        <v>1</v>
      </c>
      <c r="S400" s="395">
        <v>1</v>
      </c>
      <c r="T400" s="272">
        <v>1</v>
      </c>
      <c r="U400" s="272">
        <v>1</v>
      </c>
      <c r="V400" s="272">
        <v>1</v>
      </c>
      <c r="W400" s="272">
        <v>1</v>
      </c>
      <c r="X400" s="272">
        <v>1</v>
      </c>
      <c r="Y400" s="272">
        <v>1</v>
      </c>
      <c r="Z400" s="272">
        <v>1</v>
      </c>
      <c r="AA400" s="272">
        <v>1</v>
      </c>
      <c r="AB400" s="272">
        <v>1</v>
      </c>
      <c r="AC400" s="272">
        <v>1</v>
      </c>
      <c r="AD400" s="396">
        <v>1</v>
      </c>
      <c r="AE400" s="396">
        <v>1</v>
      </c>
      <c r="AF400" s="396">
        <v>1</v>
      </c>
      <c r="AG400" s="396">
        <v>1</v>
      </c>
      <c r="AH400" s="396">
        <v>1</v>
      </c>
      <c r="AI400" s="396">
        <v>1</v>
      </c>
      <c r="AJ400" s="396">
        <v>1</v>
      </c>
      <c r="AK400" s="396">
        <v>1</v>
      </c>
      <c r="AL400" s="396">
        <v>1</v>
      </c>
      <c r="AM400" s="396">
        <v>1</v>
      </c>
      <c r="AN400" s="396">
        <v>1</v>
      </c>
      <c r="AO400" s="396">
        <v>1</v>
      </c>
      <c r="AP400" s="396">
        <v>1</v>
      </c>
    </row>
    <row r="401" spans="1:42" s="140" customFormat="1" ht="13.5" hidden="1" customHeight="1" outlineLevel="3" thickBot="1">
      <c r="A401" s="216"/>
      <c r="B401" s="255" t="s">
        <v>586</v>
      </c>
      <c r="C401" s="290" t="s">
        <v>247</v>
      </c>
      <c r="D401" s="227" t="s">
        <v>231</v>
      </c>
      <c r="E401" s="241"/>
      <c r="F401" s="228">
        <f t="shared" si="838"/>
        <v>9.0909090909090912E-2</v>
      </c>
      <c r="G401" s="269">
        <f>+F401*G392</f>
        <v>6.4365669680237111E-5</v>
      </c>
      <c r="H401" s="299"/>
      <c r="I401" s="299"/>
      <c r="J401" s="299"/>
      <c r="K401" s="299"/>
      <c r="L401" s="299"/>
      <c r="M401" s="299"/>
      <c r="N401" s="272">
        <v>1</v>
      </c>
      <c r="O401" s="272">
        <v>1</v>
      </c>
      <c r="P401" s="272">
        <v>1</v>
      </c>
      <c r="Q401" s="272">
        <v>1</v>
      </c>
      <c r="R401" s="372">
        <v>1</v>
      </c>
      <c r="S401" s="395">
        <v>1</v>
      </c>
      <c r="T401" s="272">
        <v>1</v>
      </c>
      <c r="U401" s="272">
        <v>1</v>
      </c>
      <c r="V401" s="272">
        <v>1</v>
      </c>
      <c r="W401" s="272">
        <v>1</v>
      </c>
      <c r="X401" s="272">
        <v>1</v>
      </c>
      <c r="Y401" s="272">
        <v>1</v>
      </c>
      <c r="Z401" s="272">
        <v>1</v>
      </c>
      <c r="AA401" s="272">
        <v>1</v>
      </c>
      <c r="AB401" s="272">
        <v>1</v>
      </c>
      <c r="AC401" s="272">
        <v>1</v>
      </c>
      <c r="AD401" s="396">
        <v>1</v>
      </c>
      <c r="AE401" s="396">
        <v>1</v>
      </c>
      <c r="AF401" s="396">
        <v>1</v>
      </c>
      <c r="AG401" s="396">
        <v>1</v>
      </c>
      <c r="AH401" s="396">
        <v>1</v>
      </c>
      <c r="AI401" s="396">
        <v>1</v>
      </c>
      <c r="AJ401" s="396">
        <v>1</v>
      </c>
      <c r="AK401" s="396">
        <v>1</v>
      </c>
      <c r="AL401" s="396">
        <v>1</v>
      </c>
      <c r="AM401" s="396">
        <v>1</v>
      </c>
      <c r="AN401" s="396">
        <v>1</v>
      </c>
      <c r="AO401" s="396">
        <v>1</v>
      </c>
      <c r="AP401" s="396">
        <v>1</v>
      </c>
    </row>
    <row r="402" spans="1:42" s="140" customFormat="1" ht="13.5" hidden="1" customHeight="1" outlineLevel="3" thickBot="1">
      <c r="A402" s="216"/>
      <c r="B402" s="255" t="s">
        <v>587</v>
      </c>
      <c r="C402" s="290" t="s">
        <v>249</v>
      </c>
      <c r="D402" s="227" t="s">
        <v>231</v>
      </c>
      <c r="E402" s="241"/>
      <c r="F402" s="228">
        <f t="shared" si="838"/>
        <v>9.0909090909090912E-2</v>
      </c>
      <c r="G402" s="269">
        <f>+F402*G392</f>
        <v>6.4365669680237111E-5</v>
      </c>
      <c r="H402" s="299"/>
      <c r="I402" s="299"/>
      <c r="J402" s="299"/>
      <c r="K402" s="299"/>
      <c r="L402" s="299"/>
      <c r="M402" s="299"/>
      <c r="N402" s="272">
        <v>1</v>
      </c>
      <c r="O402" s="272">
        <v>1</v>
      </c>
      <c r="P402" s="272">
        <v>1</v>
      </c>
      <c r="Q402" s="272">
        <v>1</v>
      </c>
      <c r="R402" s="372">
        <v>1</v>
      </c>
      <c r="S402" s="395">
        <v>1</v>
      </c>
      <c r="T402" s="272">
        <v>1</v>
      </c>
      <c r="U402" s="272">
        <v>1</v>
      </c>
      <c r="V402" s="272">
        <v>1</v>
      </c>
      <c r="W402" s="272">
        <v>1</v>
      </c>
      <c r="X402" s="272">
        <v>1</v>
      </c>
      <c r="Y402" s="272">
        <v>1</v>
      </c>
      <c r="Z402" s="272">
        <v>1</v>
      </c>
      <c r="AA402" s="272">
        <v>1</v>
      </c>
      <c r="AB402" s="272">
        <v>1</v>
      </c>
      <c r="AC402" s="272">
        <v>1</v>
      </c>
      <c r="AD402" s="396">
        <v>1</v>
      </c>
      <c r="AE402" s="396">
        <v>1</v>
      </c>
      <c r="AF402" s="396">
        <v>1</v>
      </c>
      <c r="AG402" s="396">
        <v>1</v>
      </c>
      <c r="AH402" s="396">
        <v>1</v>
      </c>
      <c r="AI402" s="396">
        <v>1</v>
      </c>
      <c r="AJ402" s="396">
        <v>1</v>
      </c>
      <c r="AK402" s="396">
        <v>1</v>
      </c>
      <c r="AL402" s="396">
        <v>1</v>
      </c>
      <c r="AM402" s="396">
        <v>1</v>
      </c>
      <c r="AN402" s="396">
        <v>1</v>
      </c>
      <c r="AO402" s="396">
        <v>1</v>
      </c>
      <c r="AP402" s="396">
        <v>1</v>
      </c>
    </row>
    <row r="403" spans="1:42" s="140" customFormat="1" ht="13.5" hidden="1" customHeight="1" outlineLevel="3" thickBot="1">
      <c r="A403" s="216"/>
      <c r="B403" s="255" t="s">
        <v>588</v>
      </c>
      <c r="C403" s="290" t="s">
        <v>251</v>
      </c>
      <c r="D403" s="227" t="s">
        <v>231</v>
      </c>
      <c r="E403" s="241"/>
      <c r="F403" s="228">
        <f t="shared" si="838"/>
        <v>9.0909090909090912E-2</v>
      </c>
      <c r="G403" s="269">
        <f>+F403*G392</f>
        <v>6.4365669680237111E-5</v>
      </c>
      <c r="H403" s="299"/>
      <c r="I403" s="299"/>
      <c r="J403" s="299"/>
      <c r="K403" s="299"/>
      <c r="L403" s="299"/>
      <c r="M403" s="299"/>
      <c r="N403" s="272">
        <v>1</v>
      </c>
      <c r="O403" s="272">
        <v>1</v>
      </c>
      <c r="P403" s="272">
        <v>1</v>
      </c>
      <c r="Q403" s="272">
        <v>1</v>
      </c>
      <c r="R403" s="372">
        <v>1</v>
      </c>
      <c r="S403" s="395">
        <v>1</v>
      </c>
      <c r="T403" s="272">
        <v>1</v>
      </c>
      <c r="U403" s="272">
        <v>1</v>
      </c>
      <c r="V403" s="272">
        <v>1</v>
      </c>
      <c r="W403" s="272">
        <v>1</v>
      </c>
      <c r="X403" s="272">
        <v>1</v>
      </c>
      <c r="Y403" s="272">
        <v>1</v>
      </c>
      <c r="Z403" s="272">
        <v>1</v>
      </c>
      <c r="AA403" s="272">
        <v>1</v>
      </c>
      <c r="AB403" s="272">
        <v>1</v>
      </c>
      <c r="AC403" s="272">
        <v>1</v>
      </c>
      <c r="AD403" s="396">
        <v>1</v>
      </c>
      <c r="AE403" s="396">
        <v>1</v>
      </c>
      <c r="AF403" s="396">
        <v>1</v>
      </c>
      <c r="AG403" s="396">
        <v>1</v>
      </c>
      <c r="AH403" s="396">
        <v>1</v>
      </c>
      <c r="AI403" s="396">
        <v>1</v>
      </c>
      <c r="AJ403" s="396">
        <v>1</v>
      </c>
      <c r="AK403" s="396">
        <v>1</v>
      </c>
      <c r="AL403" s="396">
        <v>1</v>
      </c>
      <c r="AM403" s="396">
        <v>1</v>
      </c>
      <c r="AN403" s="396">
        <v>1</v>
      </c>
      <c r="AO403" s="396">
        <v>1</v>
      </c>
      <c r="AP403" s="396">
        <v>1</v>
      </c>
    </row>
    <row r="404" spans="1:42" s="140" customFormat="1" ht="13.5" hidden="1" customHeight="1" outlineLevel="2" thickBot="1">
      <c r="A404" s="216"/>
      <c r="B404" s="291" t="s">
        <v>589</v>
      </c>
      <c r="C404" s="292" t="s">
        <v>39</v>
      </c>
      <c r="D404" s="234" t="s">
        <v>33</v>
      </c>
      <c r="E404" s="240"/>
      <c r="F404" s="223">
        <f t="shared" si="838"/>
        <v>9.6849312518274097E-2</v>
      </c>
      <c r="G404" s="293">
        <f>+F404*G343</f>
        <v>7.5646258721623436E-4</v>
      </c>
      <c r="H404" s="298"/>
      <c r="I404" s="298"/>
      <c r="J404" s="298"/>
      <c r="K404" s="298"/>
      <c r="L404" s="298"/>
      <c r="M404" s="298"/>
      <c r="N404" s="270">
        <f t="shared" ref="N404:R404" si="931">+SUMPRODUCT($F405:$F416,N405:N416)</f>
        <v>1</v>
      </c>
      <c r="O404" s="270">
        <f t="shared" si="931"/>
        <v>1</v>
      </c>
      <c r="P404" s="270">
        <f t="shared" si="931"/>
        <v>1</v>
      </c>
      <c r="Q404" s="270">
        <f t="shared" si="931"/>
        <v>1</v>
      </c>
      <c r="R404" s="370">
        <f t="shared" si="931"/>
        <v>1</v>
      </c>
      <c r="S404" s="391">
        <f t="shared" ref="S404" si="932">+SUMPRODUCT($F405:$F416,S405:S416)</f>
        <v>1</v>
      </c>
      <c r="T404" s="270">
        <f t="shared" ref="T404" si="933">+SUMPRODUCT($F405:$F416,T405:T416)</f>
        <v>1</v>
      </c>
      <c r="U404" s="270">
        <f t="shared" ref="U404" si="934">+SUMPRODUCT($F405:$F416,U405:U416)</f>
        <v>1</v>
      </c>
      <c r="V404" s="270">
        <f t="shared" ref="V404" si="935">+SUMPRODUCT($F405:$F416,V405:V416)</f>
        <v>1</v>
      </c>
      <c r="W404" s="270">
        <f t="shared" ref="W404" si="936">+SUMPRODUCT($F405:$F416,W405:W416)</f>
        <v>1</v>
      </c>
      <c r="X404" s="270">
        <f t="shared" ref="X404" si="937">+SUMPRODUCT($F405:$F416,X405:X416)</f>
        <v>1</v>
      </c>
      <c r="Y404" s="270">
        <f t="shared" ref="Y404" si="938">+SUMPRODUCT($F405:$F416,Y405:Y416)</f>
        <v>1</v>
      </c>
      <c r="Z404" s="270">
        <f t="shared" ref="Z404" si="939">+SUMPRODUCT($F405:$F416,Z405:Z416)</f>
        <v>1</v>
      </c>
      <c r="AA404" s="270">
        <f t="shared" ref="AA404" si="940">+SUMPRODUCT($F405:$F416,AA405:AA416)</f>
        <v>1</v>
      </c>
      <c r="AB404" s="270">
        <f t="shared" ref="AB404" si="941">+SUMPRODUCT($F405:$F416,AB405:AB416)</f>
        <v>1</v>
      </c>
      <c r="AC404" s="270">
        <f t="shared" ref="AC404" si="942">+SUMPRODUCT($F405:$F416,AC405:AC416)</f>
        <v>1</v>
      </c>
      <c r="AD404" s="392">
        <f t="shared" ref="AD404:AF404" si="943">+SUMPRODUCT($F405:$F416,AD405:AD416)</f>
        <v>1</v>
      </c>
      <c r="AE404" s="392">
        <f t="shared" si="943"/>
        <v>1</v>
      </c>
      <c r="AF404" s="392">
        <f t="shared" si="943"/>
        <v>1</v>
      </c>
      <c r="AG404" s="392">
        <f t="shared" ref="AG404" si="944">+SUMPRODUCT($F405:$F416,AG405:AG416)</f>
        <v>1</v>
      </c>
      <c r="AH404" s="392">
        <f t="shared" ref="AH404" si="945">+SUMPRODUCT($F405:$F416,AH405:AH416)</f>
        <v>1</v>
      </c>
      <c r="AI404" s="392">
        <f t="shared" ref="AI404" si="946">+SUMPRODUCT($F405:$F416,AI405:AI416)</f>
        <v>1</v>
      </c>
      <c r="AJ404" s="392">
        <f t="shared" ref="AJ404" si="947">+SUMPRODUCT($F405:$F416,AJ405:AJ416)</f>
        <v>1</v>
      </c>
      <c r="AK404" s="392">
        <f t="shared" ref="AK404" si="948">+SUMPRODUCT($F405:$F416,AK405:AK416)</f>
        <v>1</v>
      </c>
      <c r="AL404" s="392">
        <f t="shared" ref="AL404" si="949">+SUMPRODUCT($F405:$F416,AL405:AL416)</f>
        <v>1</v>
      </c>
      <c r="AM404" s="392">
        <f t="shared" ref="AM404" si="950">+SUMPRODUCT($F405:$F416,AM405:AM416)</f>
        <v>1</v>
      </c>
      <c r="AN404" s="392">
        <f t="shared" ref="AN404" si="951">+SUMPRODUCT($F405:$F416,AN405:AN416)</f>
        <v>1</v>
      </c>
      <c r="AO404" s="392">
        <f t="shared" ref="AO404" si="952">+SUMPRODUCT($F405:$F416,AO405:AO416)</f>
        <v>1</v>
      </c>
      <c r="AP404" s="392">
        <f t="shared" ref="AP404" si="953">+SUMPRODUCT($F405:$F416,AP405:AP416)</f>
        <v>1</v>
      </c>
    </row>
    <row r="405" spans="1:42" s="140" customFormat="1" ht="13.5" hidden="1" customHeight="1" outlineLevel="3" thickBot="1">
      <c r="A405" s="216"/>
      <c r="B405" s="255" t="s">
        <v>590</v>
      </c>
      <c r="C405" s="290" t="s">
        <v>230</v>
      </c>
      <c r="D405" s="227" t="s">
        <v>231</v>
      </c>
      <c r="E405" s="241"/>
      <c r="F405" s="228">
        <f t="shared" si="838"/>
        <v>8.3333333333333329E-2</v>
      </c>
      <c r="G405" s="269">
        <f>+F405*G404</f>
        <v>6.3038548934686188E-5</v>
      </c>
      <c r="H405" s="299"/>
      <c r="I405" s="299"/>
      <c r="J405" s="299"/>
      <c r="K405" s="299"/>
      <c r="L405" s="299"/>
      <c r="M405" s="299"/>
      <c r="N405" s="272">
        <v>1</v>
      </c>
      <c r="O405" s="272">
        <v>1</v>
      </c>
      <c r="P405" s="272">
        <v>1</v>
      </c>
      <c r="Q405" s="272">
        <v>1</v>
      </c>
      <c r="R405" s="372">
        <v>1</v>
      </c>
      <c r="S405" s="395">
        <v>1</v>
      </c>
      <c r="T405" s="272">
        <v>1</v>
      </c>
      <c r="U405" s="272">
        <v>1</v>
      </c>
      <c r="V405" s="272">
        <v>1</v>
      </c>
      <c r="W405" s="272">
        <v>1</v>
      </c>
      <c r="X405" s="272">
        <v>1</v>
      </c>
      <c r="Y405" s="272">
        <v>1</v>
      </c>
      <c r="Z405" s="272">
        <v>1</v>
      </c>
      <c r="AA405" s="272">
        <v>1</v>
      </c>
      <c r="AB405" s="272">
        <v>1</v>
      </c>
      <c r="AC405" s="272">
        <v>1</v>
      </c>
      <c r="AD405" s="396">
        <v>1</v>
      </c>
      <c r="AE405" s="396">
        <v>1</v>
      </c>
      <c r="AF405" s="396">
        <v>1</v>
      </c>
      <c r="AG405" s="396">
        <v>1</v>
      </c>
      <c r="AH405" s="396">
        <v>1</v>
      </c>
      <c r="AI405" s="396">
        <v>1</v>
      </c>
      <c r="AJ405" s="396">
        <v>1</v>
      </c>
      <c r="AK405" s="396">
        <v>1</v>
      </c>
      <c r="AL405" s="396">
        <v>1</v>
      </c>
      <c r="AM405" s="396">
        <v>1</v>
      </c>
      <c r="AN405" s="396">
        <v>1</v>
      </c>
      <c r="AO405" s="396">
        <v>1</v>
      </c>
      <c r="AP405" s="396">
        <v>1</v>
      </c>
    </row>
    <row r="406" spans="1:42" s="140" customFormat="1" ht="13.5" hidden="1" customHeight="1" outlineLevel="3" thickBot="1">
      <c r="A406" s="216"/>
      <c r="B406" s="255" t="s">
        <v>591</v>
      </c>
      <c r="C406" s="290" t="s">
        <v>233</v>
      </c>
      <c r="D406" s="227" t="s">
        <v>231</v>
      </c>
      <c r="E406" s="241"/>
      <c r="F406" s="228">
        <f t="shared" si="838"/>
        <v>8.3333333333333329E-2</v>
      </c>
      <c r="G406" s="269">
        <f>+F406*G404</f>
        <v>6.3038548934686188E-5</v>
      </c>
      <c r="H406" s="299"/>
      <c r="I406" s="299"/>
      <c r="J406" s="299"/>
      <c r="K406" s="299"/>
      <c r="L406" s="299"/>
      <c r="M406" s="299"/>
      <c r="N406" s="272">
        <v>1</v>
      </c>
      <c r="O406" s="272">
        <v>1</v>
      </c>
      <c r="P406" s="272">
        <v>1</v>
      </c>
      <c r="Q406" s="272">
        <v>1</v>
      </c>
      <c r="R406" s="372">
        <v>1</v>
      </c>
      <c r="S406" s="395">
        <v>1</v>
      </c>
      <c r="T406" s="272">
        <v>1</v>
      </c>
      <c r="U406" s="272">
        <v>1</v>
      </c>
      <c r="V406" s="272">
        <v>1</v>
      </c>
      <c r="W406" s="272">
        <v>1</v>
      </c>
      <c r="X406" s="272">
        <v>1</v>
      </c>
      <c r="Y406" s="272">
        <v>1</v>
      </c>
      <c r="Z406" s="272">
        <v>1</v>
      </c>
      <c r="AA406" s="272">
        <v>1</v>
      </c>
      <c r="AB406" s="272">
        <v>1</v>
      </c>
      <c r="AC406" s="272">
        <v>1</v>
      </c>
      <c r="AD406" s="396">
        <v>1</v>
      </c>
      <c r="AE406" s="396">
        <v>1</v>
      </c>
      <c r="AF406" s="396">
        <v>1</v>
      </c>
      <c r="AG406" s="396">
        <v>1</v>
      </c>
      <c r="AH406" s="396">
        <v>1</v>
      </c>
      <c r="AI406" s="396">
        <v>1</v>
      </c>
      <c r="AJ406" s="396">
        <v>1</v>
      </c>
      <c r="AK406" s="396">
        <v>1</v>
      </c>
      <c r="AL406" s="396">
        <v>1</v>
      </c>
      <c r="AM406" s="396">
        <v>1</v>
      </c>
      <c r="AN406" s="396">
        <v>1</v>
      </c>
      <c r="AO406" s="396">
        <v>1</v>
      </c>
      <c r="AP406" s="396">
        <v>1</v>
      </c>
    </row>
    <row r="407" spans="1:42" s="140" customFormat="1" ht="13.5" hidden="1" customHeight="1" outlineLevel="3" thickBot="1">
      <c r="A407" s="216"/>
      <c r="B407" s="255" t="s">
        <v>592</v>
      </c>
      <c r="C407" s="290" t="s">
        <v>235</v>
      </c>
      <c r="D407" s="227" t="s">
        <v>231</v>
      </c>
      <c r="E407" s="241"/>
      <c r="F407" s="228">
        <f t="shared" ref="F407:F470" si="954">F783</f>
        <v>8.3333333333333329E-2</v>
      </c>
      <c r="G407" s="269">
        <f>+F407*G404</f>
        <v>6.3038548934686188E-5</v>
      </c>
      <c r="H407" s="299"/>
      <c r="I407" s="299"/>
      <c r="J407" s="299"/>
      <c r="K407" s="299"/>
      <c r="L407" s="299"/>
      <c r="M407" s="299"/>
      <c r="N407" s="272">
        <v>1</v>
      </c>
      <c r="O407" s="272">
        <v>1</v>
      </c>
      <c r="P407" s="272">
        <v>1</v>
      </c>
      <c r="Q407" s="272">
        <v>1</v>
      </c>
      <c r="R407" s="372">
        <v>1</v>
      </c>
      <c r="S407" s="395">
        <v>1</v>
      </c>
      <c r="T407" s="272">
        <v>1</v>
      </c>
      <c r="U407" s="272">
        <v>1</v>
      </c>
      <c r="V407" s="272">
        <v>1</v>
      </c>
      <c r="W407" s="272">
        <v>1</v>
      </c>
      <c r="X407" s="272">
        <v>1</v>
      </c>
      <c r="Y407" s="272">
        <v>1</v>
      </c>
      <c r="Z407" s="272">
        <v>1</v>
      </c>
      <c r="AA407" s="272">
        <v>1</v>
      </c>
      <c r="AB407" s="272">
        <v>1</v>
      </c>
      <c r="AC407" s="272">
        <v>1</v>
      </c>
      <c r="AD407" s="396">
        <v>1</v>
      </c>
      <c r="AE407" s="396">
        <v>1</v>
      </c>
      <c r="AF407" s="396">
        <v>1</v>
      </c>
      <c r="AG407" s="396">
        <v>1</v>
      </c>
      <c r="AH407" s="396">
        <v>1</v>
      </c>
      <c r="AI407" s="396">
        <v>1</v>
      </c>
      <c r="AJ407" s="396">
        <v>1</v>
      </c>
      <c r="AK407" s="396">
        <v>1</v>
      </c>
      <c r="AL407" s="396">
        <v>1</v>
      </c>
      <c r="AM407" s="396">
        <v>1</v>
      </c>
      <c r="AN407" s="396">
        <v>1</v>
      </c>
      <c r="AO407" s="396">
        <v>1</v>
      </c>
      <c r="AP407" s="396">
        <v>1</v>
      </c>
    </row>
    <row r="408" spans="1:42" s="140" customFormat="1" ht="13.5" hidden="1" customHeight="1" outlineLevel="3" thickBot="1">
      <c r="A408" s="216"/>
      <c r="B408" s="255" t="s">
        <v>593</v>
      </c>
      <c r="C408" s="290" t="s">
        <v>237</v>
      </c>
      <c r="D408" s="227" t="s">
        <v>231</v>
      </c>
      <c r="E408" s="241"/>
      <c r="F408" s="228">
        <f t="shared" si="954"/>
        <v>8.3333333333333329E-2</v>
      </c>
      <c r="G408" s="269">
        <f>+F408*G404</f>
        <v>6.3038548934686188E-5</v>
      </c>
      <c r="H408" s="299"/>
      <c r="I408" s="299"/>
      <c r="J408" s="299"/>
      <c r="K408" s="299"/>
      <c r="L408" s="299"/>
      <c r="M408" s="299"/>
      <c r="N408" s="272">
        <v>1</v>
      </c>
      <c r="O408" s="272">
        <v>1</v>
      </c>
      <c r="P408" s="272">
        <v>1</v>
      </c>
      <c r="Q408" s="272">
        <v>1</v>
      </c>
      <c r="R408" s="372">
        <v>1</v>
      </c>
      <c r="S408" s="395">
        <v>1</v>
      </c>
      <c r="T408" s="272">
        <v>1</v>
      </c>
      <c r="U408" s="272">
        <v>1</v>
      </c>
      <c r="V408" s="272">
        <v>1</v>
      </c>
      <c r="W408" s="272">
        <v>1</v>
      </c>
      <c r="X408" s="272">
        <v>1</v>
      </c>
      <c r="Y408" s="272">
        <v>1</v>
      </c>
      <c r="Z408" s="272">
        <v>1</v>
      </c>
      <c r="AA408" s="272">
        <v>1</v>
      </c>
      <c r="AB408" s="272">
        <v>1</v>
      </c>
      <c r="AC408" s="272">
        <v>1</v>
      </c>
      <c r="AD408" s="396">
        <v>1</v>
      </c>
      <c r="AE408" s="396">
        <v>1</v>
      </c>
      <c r="AF408" s="396">
        <v>1</v>
      </c>
      <c r="AG408" s="396">
        <v>1</v>
      </c>
      <c r="AH408" s="396">
        <v>1</v>
      </c>
      <c r="AI408" s="396">
        <v>1</v>
      </c>
      <c r="AJ408" s="396">
        <v>1</v>
      </c>
      <c r="AK408" s="396">
        <v>1</v>
      </c>
      <c r="AL408" s="396">
        <v>1</v>
      </c>
      <c r="AM408" s="396">
        <v>1</v>
      </c>
      <c r="AN408" s="396">
        <v>1</v>
      </c>
      <c r="AO408" s="396">
        <v>1</v>
      </c>
      <c r="AP408" s="396">
        <v>1</v>
      </c>
    </row>
    <row r="409" spans="1:42" s="140" customFormat="1" ht="13.5" hidden="1" customHeight="1" outlineLevel="3" thickBot="1">
      <c r="A409" s="216"/>
      <c r="B409" s="255" t="s">
        <v>594</v>
      </c>
      <c r="C409" s="290" t="s">
        <v>239</v>
      </c>
      <c r="D409" s="227" t="s">
        <v>231</v>
      </c>
      <c r="E409" s="241"/>
      <c r="F409" s="228">
        <f t="shared" si="954"/>
        <v>8.3333333333333329E-2</v>
      </c>
      <c r="G409" s="269">
        <f>+F409*G404</f>
        <v>6.3038548934686188E-5</v>
      </c>
      <c r="H409" s="299"/>
      <c r="I409" s="299"/>
      <c r="J409" s="299"/>
      <c r="K409" s="299"/>
      <c r="L409" s="299"/>
      <c r="M409" s="299"/>
      <c r="N409" s="272">
        <v>1</v>
      </c>
      <c r="O409" s="272">
        <v>1</v>
      </c>
      <c r="P409" s="272">
        <v>1</v>
      </c>
      <c r="Q409" s="272">
        <v>1</v>
      </c>
      <c r="R409" s="372">
        <v>1</v>
      </c>
      <c r="S409" s="395">
        <v>1</v>
      </c>
      <c r="T409" s="272">
        <v>1</v>
      </c>
      <c r="U409" s="272">
        <v>1</v>
      </c>
      <c r="V409" s="272">
        <v>1</v>
      </c>
      <c r="W409" s="272">
        <v>1</v>
      </c>
      <c r="X409" s="272">
        <v>1</v>
      </c>
      <c r="Y409" s="272">
        <v>1</v>
      </c>
      <c r="Z409" s="272">
        <v>1</v>
      </c>
      <c r="AA409" s="272">
        <v>1</v>
      </c>
      <c r="AB409" s="272">
        <v>1</v>
      </c>
      <c r="AC409" s="272">
        <v>1</v>
      </c>
      <c r="AD409" s="396">
        <v>1</v>
      </c>
      <c r="AE409" s="396">
        <v>1</v>
      </c>
      <c r="AF409" s="396">
        <v>1</v>
      </c>
      <c r="AG409" s="396">
        <v>1</v>
      </c>
      <c r="AH409" s="396">
        <v>1</v>
      </c>
      <c r="AI409" s="396">
        <v>1</v>
      </c>
      <c r="AJ409" s="396">
        <v>1</v>
      </c>
      <c r="AK409" s="396">
        <v>1</v>
      </c>
      <c r="AL409" s="396">
        <v>1</v>
      </c>
      <c r="AM409" s="396">
        <v>1</v>
      </c>
      <c r="AN409" s="396">
        <v>1</v>
      </c>
      <c r="AO409" s="396">
        <v>1</v>
      </c>
      <c r="AP409" s="396">
        <v>1</v>
      </c>
    </row>
    <row r="410" spans="1:42" s="140" customFormat="1" ht="13.5" hidden="1" customHeight="1" outlineLevel="3" thickBot="1">
      <c r="A410" s="216"/>
      <c r="B410" s="255" t="s">
        <v>595</v>
      </c>
      <c r="C410" s="290" t="s">
        <v>241</v>
      </c>
      <c r="D410" s="227" t="s">
        <v>231</v>
      </c>
      <c r="E410" s="241"/>
      <c r="F410" s="228">
        <f t="shared" si="954"/>
        <v>8.3333333333333329E-2</v>
      </c>
      <c r="G410" s="269">
        <f>+F410*G404</f>
        <v>6.3038548934686188E-5</v>
      </c>
      <c r="H410" s="299"/>
      <c r="I410" s="299"/>
      <c r="J410" s="299"/>
      <c r="K410" s="299"/>
      <c r="L410" s="299"/>
      <c r="M410" s="299"/>
      <c r="N410" s="272">
        <v>1</v>
      </c>
      <c r="O410" s="272">
        <v>1</v>
      </c>
      <c r="P410" s="272">
        <v>1</v>
      </c>
      <c r="Q410" s="272">
        <v>1</v>
      </c>
      <c r="R410" s="372">
        <v>1</v>
      </c>
      <c r="S410" s="395">
        <v>1</v>
      </c>
      <c r="T410" s="272">
        <v>1</v>
      </c>
      <c r="U410" s="272">
        <v>1</v>
      </c>
      <c r="V410" s="272">
        <v>1</v>
      </c>
      <c r="W410" s="272">
        <v>1</v>
      </c>
      <c r="X410" s="272">
        <v>1</v>
      </c>
      <c r="Y410" s="272">
        <v>1</v>
      </c>
      <c r="Z410" s="272">
        <v>1</v>
      </c>
      <c r="AA410" s="272">
        <v>1</v>
      </c>
      <c r="AB410" s="272">
        <v>1</v>
      </c>
      <c r="AC410" s="272">
        <v>1</v>
      </c>
      <c r="AD410" s="396">
        <v>1</v>
      </c>
      <c r="AE410" s="396">
        <v>1</v>
      </c>
      <c r="AF410" s="396">
        <v>1</v>
      </c>
      <c r="AG410" s="396">
        <v>1</v>
      </c>
      <c r="AH410" s="396">
        <v>1</v>
      </c>
      <c r="AI410" s="396">
        <v>1</v>
      </c>
      <c r="AJ410" s="396">
        <v>1</v>
      </c>
      <c r="AK410" s="396">
        <v>1</v>
      </c>
      <c r="AL410" s="396">
        <v>1</v>
      </c>
      <c r="AM410" s="396">
        <v>1</v>
      </c>
      <c r="AN410" s="396">
        <v>1</v>
      </c>
      <c r="AO410" s="396">
        <v>1</v>
      </c>
      <c r="AP410" s="396">
        <v>1</v>
      </c>
    </row>
    <row r="411" spans="1:42" s="140" customFormat="1" ht="13.5" hidden="1" customHeight="1" outlineLevel="3" thickBot="1">
      <c r="A411" s="216"/>
      <c r="B411" s="255" t="s">
        <v>596</v>
      </c>
      <c r="C411" s="290" t="s">
        <v>243</v>
      </c>
      <c r="D411" s="227" t="s">
        <v>231</v>
      </c>
      <c r="E411" s="241"/>
      <c r="F411" s="228">
        <f t="shared" si="954"/>
        <v>8.3333333333333329E-2</v>
      </c>
      <c r="G411" s="269">
        <f>+F411*G404</f>
        <v>6.3038548934686188E-5</v>
      </c>
      <c r="H411" s="299"/>
      <c r="I411" s="299"/>
      <c r="J411" s="299"/>
      <c r="K411" s="299"/>
      <c r="L411" s="299"/>
      <c r="M411" s="299"/>
      <c r="N411" s="272">
        <v>1</v>
      </c>
      <c r="O411" s="272">
        <v>1</v>
      </c>
      <c r="P411" s="272">
        <v>1</v>
      </c>
      <c r="Q411" s="272">
        <v>1</v>
      </c>
      <c r="R411" s="372">
        <v>1</v>
      </c>
      <c r="S411" s="395">
        <v>1</v>
      </c>
      <c r="T411" s="272">
        <v>1</v>
      </c>
      <c r="U411" s="272">
        <v>1</v>
      </c>
      <c r="V411" s="272">
        <v>1</v>
      </c>
      <c r="W411" s="272">
        <v>1</v>
      </c>
      <c r="X411" s="272">
        <v>1</v>
      </c>
      <c r="Y411" s="272">
        <v>1</v>
      </c>
      <c r="Z411" s="272">
        <v>1</v>
      </c>
      <c r="AA411" s="272">
        <v>1</v>
      </c>
      <c r="AB411" s="272">
        <v>1</v>
      </c>
      <c r="AC411" s="272">
        <v>1</v>
      </c>
      <c r="AD411" s="396">
        <v>1</v>
      </c>
      <c r="AE411" s="396">
        <v>1</v>
      </c>
      <c r="AF411" s="396">
        <v>1</v>
      </c>
      <c r="AG411" s="396">
        <v>1</v>
      </c>
      <c r="AH411" s="396">
        <v>1</v>
      </c>
      <c r="AI411" s="396">
        <v>1</v>
      </c>
      <c r="AJ411" s="396">
        <v>1</v>
      </c>
      <c r="AK411" s="396">
        <v>1</v>
      </c>
      <c r="AL411" s="396">
        <v>1</v>
      </c>
      <c r="AM411" s="396">
        <v>1</v>
      </c>
      <c r="AN411" s="396">
        <v>1</v>
      </c>
      <c r="AO411" s="396">
        <v>1</v>
      </c>
      <c r="AP411" s="396">
        <v>1</v>
      </c>
    </row>
    <row r="412" spans="1:42" s="140" customFormat="1" ht="13.5" hidden="1" customHeight="1" outlineLevel="3" thickBot="1">
      <c r="A412" s="216"/>
      <c r="B412" s="255" t="s">
        <v>597</v>
      </c>
      <c r="C412" s="290" t="s">
        <v>245</v>
      </c>
      <c r="D412" s="227" t="s">
        <v>231</v>
      </c>
      <c r="E412" s="241"/>
      <c r="F412" s="228">
        <f t="shared" si="954"/>
        <v>8.3333333333333329E-2</v>
      </c>
      <c r="G412" s="269">
        <f>+F412*G404</f>
        <v>6.3038548934686188E-5</v>
      </c>
      <c r="H412" s="299"/>
      <c r="I412" s="299"/>
      <c r="J412" s="299"/>
      <c r="K412" s="299"/>
      <c r="L412" s="299"/>
      <c r="M412" s="299"/>
      <c r="N412" s="272">
        <v>1</v>
      </c>
      <c r="O412" s="272">
        <v>1</v>
      </c>
      <c r="P412" s="272">
        <v>1</v>
      </c>
      <c r="Q412" s="272">
        <v>1</v>
      </c>
      <c r="R412" s="372">
        <v>1</v>
      </c>
      <c r="S412" s="395">
        <v>1</v>
      </c>
      <c r="T412" s="272">
        <v>1</v>
      </c>
      <c r="U412" s="272">
        <v>1</v>
      </c>
      <c r="V412" s="272">
        <v>1</v>
      </c>
      <c r="W412" s="272">
        <v>1</v>
      </c>
      <c r="X412" s="272">
        <v>1</v>
      </c>
      <c r="Y412" s="272">
        <v>1</v>
      </c>
      <c r="Z412" s="272">
        <v>1</v>
      </c>
      <c r="AA412" s="272">
        <v>1</v>
      </c>
      <c r="AB412" s="272">
        <v>1</v>
      </c>
      <c r="AC412" s="272">
        <v>1</v>
      </c>
      <c r="AD412" s="396">
        <v>1</v>
      </c>
      <c r="AE412" s="396">
        <v>1</v>
      </c>
      <c r="AF412" s="396">
        <v>1</v>
      </c>
      <c r="AG412" s="396">
        <v>1</v>
      </c>
      <c r="AH412" s="396">
        <v>1</v>
      </c>
      <c r="AI412" s="396">
        <v>1</v>
      </c>
      <c r="AJ412" s="396">
        <v>1</v>
      </c>
      <c r="AK412" s="396">
        <v>1</v>
      </c>
      <c r="AL412" s="396">
        <v>1</v>
      </c>
      <c r="AM412" s="396">
        <v>1</v>
      </c>
      <c r="AN412" s="396">
        <v>1</v>
      </c>
      <c r="AO412" s="396">
        <v>1</v>
      </c>
      <c r="AP412" s="396">
        <v>1</v>
      </c>
    </row>
    <row r="413" spans="1:42" s="140" customFormat="1" ht="13.5" hidden="1" customHeight="1" outlineLevel="3" thickBot="1">
      <c r="A413" s="216"/>
      <c r="B413" s="255" t="s">
        <v>598</v>
      </c>
      <c r="C413" s="290" t="s">
        <v>247</v>
      </c>
      <c r="D413" s="227" t="s">
        <v>231</v>
      </c>
      <c r="E413" s="241"/>
      <c r="F413" s="228">
        <f t="shared" si="954"/>
        <v>8.3333333333333329E-2</v>
      </c>
      <c r="G413" s="269">
        <f>+F413*G404</f>
        <v>6.3038548934686188E-5</v>
      </c>
      <c r="H413" s="299"/>
      <c r="I413" s="299"/>
      <c r="J413" s="299"/>
      <c r="K413" s="299"/>
      <c r="L413" s="299"/>
      <c r="M413" s="299"/>
      <c r="N413" s="272">
        <v>1</v>
      </c>
      <c r="O413" s="272">
        <v>1</v>
      </c>
      <c r="P413" s="272">
        <v>1</v>
      </c>
      <c r="Q413" s="272">
        <v>1</v>
      </c>
      <c r="R413" s="372">
        <v>1</v>
      </c>
      <c r="S413" s="395">
        <v>1</v>
      </c>
      <c r="T413" s="272">
        <v>1</v>
      </c>
      <c r="U413" s="272">
        <v>1</v>
      </c>
      <c r="V413" s="272">
        <v>1</v>
      </c>
      <c r="W413" s="272">
        <v>1</v>
      </c>
      <c r="X413" s="272">
        <v>1</v>
      </c>
      <c r="Y413" s="272">
        <v>1</v>
      </c>
      <c r="Z413" s="272">
        <v>1</v>
      </c>
      <c r="AA413" s="272">
        <v>1</v>
      </c>
      <c r="AB413" s="272">
        <v>1</v>
      </c>
      <c r="AC413" s="272">
        <v>1</v>
      </c>
      <c r="AD413" s="396">
        <v>1</v>
      </c>
      <c r="AE413" s="396">
        <v>1</v>
      </c>
      <c r="AF413" s="396">
        <v>1</v>
      </c>
      <c r="AG413" s="396">
        <v>1</v>
      </c>
      <c r="AH413" s="396">
        <v>1</v>
      </c>
      <c r="AI413" s="396">
        <v>1</v>
      </c>
      <c r="AJ413" s="396">
        <v>1</v>
      </c>
      <c r="AK413" s="396">
        <v>1</v>
      </c>
      <c r="AL413" s="396">
        <v>1</v>
      </c>
      <c r="AM413" s="396">
        <v>1</v>
      </c>
      <c r="AN413" s="396">
        <v>1</v>
      </c>
      <c r="AO413" s="396">
        <v>1</v>
      </c>
      <c r="AP413" s="396">
        <v>1</v>
      </c>
    </row>
    <row r="414" spans="1:42" s="140" customFormat="1" ht="13.5" hidden="1" customHeight="1" outlineLevel="3" thickBot="1">
      <c r="A414" s="216"/>
      <c r="B414" s="255" t="s">
        <v>599</v>
      </c>
      <c r="C414" s="290" t="s">
        <v>249</v>
      </c>
      <c r="D414" s="227" t="s">
        <v>231</v>
      </c>
      <c r="E414" s="241"/>
      <c r="F414" s="228">
        <f t="shared" si="954"/>
        <v>8.3333333333333329E-2</v>
      </c>
      <c r="G414" s="269">
        <f>+F414*G404</f>
        <v>6.3038548934686188E-5</v>
      </c>
      <c r="H414" s="299"/>
      <c r="I414" s="299"/>
      <c r="J414" s="299"/>
      <c r="K414" s="299"/>
      <c r="L414" s="299"/>
      <c r="M414" s="299"/>
      <c r="N414" s="272">
        <v>1</v>
      </c>
      <c r="O414" s="272">
        <v>1</v>
      </c>
      <c r="P414" s="272">
        <v>1</v>
      </c>
      <c r="Q414" s="272">
        <v>1</v>
      </c>
      <c r="R414" s="372">
        <v>1</v>
      </c>
      <c r="S414" s="395">
        <v>1</v>
      </c>
      <c r="T414" s="272">
        <v>1</v>
      </c>
      <c r="U414" s="272">
        <v>1</v>
      </c>
      <c r="V414" s="272">
        <v>1</v>
      </c>
      <c r="W414" s="272">
        <v>1</v>
      </c>
      <c r="X414" s="272">
        <v>1</v>
      </c>
      <c r="Y414" s="272">
        <v>1</v>
      </c>
      <c r="Z414" s="272">
        <v>1</v>
      </c>
      <c r="AA414" s="272">
        <v>1</v>
      </c>
      <c r="AB414" s="272">
        <v>1</v>
      </c>
      <c r="AC414" s="272">
        <v>1</v>
      </c>
      <c r="AD414" s="396">
        <v>1</v>
      </c>
      <c r="AE414" s="396">
        <v>1</v>
      </c>
      <c r="AF414" s="396">
        <v>1</v>
      </c>
      <c r="AG414" s="396">
        <v>1</v>
      </c>
      <c r="AH414" s="396">
        <v>1</v>
      </c>
      <c r="AI414" s="396">
        <v>1</v>
      </c>
      <c r="AJ414" s="396">
        <v>1</v>
      </c>
      <c r="AK414" s="396">
        <v>1</v>
      </c>
      <c r="AL414" s="396">
        <v>1</v>
      </c>
      <c r="AM414" s="396">
        <v>1</v>
      </c>
      <c r="AN414" s="396">
        <v>1</v>
      </c>
      <c r="AO414" s="396">
        <v>1</v>
      </c>
      <c r="AP414" s="396">
        <v>1</v>
      </c>
    </row>
    <row r="415" spans="1:42" s="140" customFormat="1" ht="13.5" hidden="1" customHeight="1" outlineLevel="3" thickBot="1">
      <c r="A415" s="216"/>
      <c r="B415" s="255" t="s">
        <v>600</v>
      </c>
      <c r="C415" s="290" t="s">
        <v>251</v>
      </c>
      <c r="D415" s="227" t="s">
        <v>231</v>
      </c>
      <c r="E415" s="241"/>
      <c r="F415" s="228">
        <f t="shared" si="954"/>
        <v>8.3333333333333329E-2</v>
      </c>
      <c r="G415" s="269">
        <f>+F415*G404</f>
        <v>6.3038548934686188E-5</v>
      </c>
      <c r="H415" s="299"/>
      <c r="I415" s="299"/>
      <c r="J415" s="299"/>
      <c r="K415" s="299"/>
      <c r="L415" s="299"/>
      <c r="M415" s="299"/>
      <c r="N415" s="272">
        <v>1</v>
      </c>
      <c r="O415" s="272">
        <v>1</v>
      </c>
      <c r="P415" s="272">
        <v>1</v>
      </c>
      <c r="Q415" s="272">
        <v>1</v>
      </c>
      <c r="R415" s="372">
        <v>1</v>
      </c>
      <c r="S415" s="395">
        <v>1</v>
      </c>
      <c r="T415" s="272">
        <v>1</v>
      </c>
      <c r="U415" s="272">
        <v>1</v>
      </c>
      <c r="V415" s="272">
        <v>1</v>
      </c>
      <c r="W415" s="272">
        <v>1</v>
      </c>
      <c r="X415" s="272">
        <v>1</v>
      </c>
      <c r="Y415" s="272">
        <v>1</v>
      </c>
      <c r="Z415" s="272">
        <v>1</v>
      </c>
      <c r="AA415" s="272">
        <v>1</v>
      </c>
      <c r="AB415" s="272">
        <v>1</v>
      </c>
      <c r="AC415" s="272">
        <v>1</v>
      </c>
      <c r="AD415" s="396">
        <v>1</v>
      </c>
      <c r="AE415" s="396">
        <v>1</v>
      </c>
      <c r="AF415" s="396">
        <v>1</v>
      </c>
      <c r="AG415" s="396">
        <v>1</v>
      </c>
      <c r="AH415" s="396">
        <v>1</v>
      </c>
      <c r="AI415" s="396">
        <v>1</v>
      </c>
      <c r="AJ415" s="396">
        <v>1</v>
      </c>
      <c r="AK415" s="396">
        <v>1</v>
      </c>
      <c r="AL415" s="396">
        <v>1</v>
      </c>
      <c r="AM415" s="396">
        <v>1</v>
      </c>
      <c r="AN415" s="396">
        <v>1</v>
      </c>
      <c r="AO415" s="396">
        <v>1</v>
      </c>
      <c r="AP415" s="396">
        <v>1</v>
      </c>
    </row>
    <row r="416" spans="1:42" s="140" customFormat="1" ht="13.5" hidden="1" customHeight="1" outlineLevel="3" thickBot="1">
      <c r="A416" s="216"/>
      <c r="B416" s="255" t="s">
        <v>601</v>
      </c>
      <c r="C416" s="290" t="s">
        <v>253</v>
      </c>
      <c r="D416" s="227" t="s">
        <v>231</v>
      </c>
      <c r="E416" s="241"/>
      <c r="F416" s="228">
        <f t="shared" si="954"/>
        <v>8.3333333333333329E-2</v>
      </c>
      <c r="G416" s="269">
        <f>+F416*G404</f>
        <v>6.3038548934686188E-5</v>
      </c>
      <c r="H416" s="299"/>
      <c r="I416" s="299"/>
      <c r="J416" s="299"/>
      <c r="K416" s="299"/>
      <c r="L416" s="299"/>
      <c r="M416" s="299"/>
      <c r="N416" s="272">
        <v>1</v>
      </c>
      <c r="O416" s="272">
        <v>1</v>
      </c>
      <c r="P416" s="272">
        <v>1</v>
      </c>
      <c r="Q416" s="272">
        <v>1</v>
      </c>
      <c r="R416" s="372">
        <v>1</v>
      </c>
      <c r="S416" s="395">
        <v>1</v>
      </c>
      <c r="T416" s="272">
        <v>1</v>
      </c>
      <c r="U416" s="272">
        <v>1</v>
      </c>
      <c r="V416" s="272">
        <v>1</v>
      </c>
      <c r="W416" s="272">
        <v>1</v>
      </c>
      <c r="X416" s="272">
        <v>1</v>
      </c>
      <c r="Y416" s="272">
        <v>1</v>
      </c>
      <c r="Z416" s="272">
        <v>1</v>
      </c>
      <c r="AA416" s="272">
        <v>1</v>
      </c>
      <c r="AB416" s="272">
        <v>1</v>
      </c>
      <c r="AC416" s="272">
        <v>1</v>
      </c>
      <c r="AD416" s="396">
        <v>1</v>
      </c>
      <c r="AE416" s="396">
        <v>1</v>
      </c>
      <c r="AF416" s="396">
        <v>1</v>
      </c>
      <c r="AG416" s="396">
        <v>1</v>
      </c>
      <c r="AH416" s="396">
        <v>1</v>
      </c>
      <c r="AI416" s="396">
        <v>1</v>
      </c>
      <c r="AJ416" s="396">
        <v>1</v>
      </c>
      <c r="AK416" s="396">
        <v>1</v>
      </c>
      <c r="AL416" s="396">
        <v>1</v>
      </c>
      <c r="AM416" s="396">
        <v>1</v>
      </c>
      <c r="AN416" s="396">
        <v>1</v>
      </c>
      <c r="AO416" s="396">
        <v>1</v>
      </c>
      <c r="AP416" s="396">
        <v>1</v>
      </c>
    </row>
    <row r="417" spans="1:42" s="140" customFormat="1" ht="13.5" hidden="1" customHeight="1" outlineLevel="2" thickBot="1">
      <c r="A417" s="216"/>
      <c r="B417" s="291" t="s">
        <v>602</v>
      </c>
      <c r="C417" s="292" t="s">
        <v>41</v>
      </c>
      <c r="D417" s="234" t="s">
        <v>33</v>
      </c>
      <c r="E417" s="240"/>
      <c r="F417" s="223">
        <f t="shared" si="954"/>
        <v>0.11049772843953055</v>
      </c>
      <c r="G417" s="293">
        <f>+F417*G343</f>
        <v>8.6306650365858197E-4</v>
      </c>
      <c r="H417" s="298"/>
      <c r="I417" s="298"/>
      <c r="J417" s="298"/>
      <c r="K417" s="298"/>
      <c r="L417" s="298"/>
      <c r="M417" s="298"/>
      <c r="N417" s="270">
        <f t="shared" ref="N417:R417" si="955">+SUMPRODUCT($F418:$F431,N418:N431)</f>
        <v>0.99999999999999967</v>
      </c>
      <c r="O417" s="270">
        <f t="shared" si="955"/>
        <v>0.99999999999999967</v>
      </c>
      <c r="P417" s="270">
        <f t="shared" si="955"/>
        <v>0.99999999999999967</v>
      </c>
      <c r="Q417" s="270">
        <f t="shared" si="955"/>
        <v>0.99999999999999967</v>
      </c>
      <c r="R417" s="370">
        <f t="shared" si="955"/>
        <v>0.99999999999999967</v>
      </c>
      <c r="S417" s="391">
        <f t="shared" ref="S417" si="956">+SUMPRODUCT($F418:$F431,S418:S431)</f>
        <v>0.99999999999999967</v>
      </c>
      <c r="T417" s="270">
        <f t="shared" ref="T417" si="957">+SUMPRODUCT($F418:$F431,T418:T431)</f>
        <v>0.99999999999999967</v>
      </c>
      <c r="U417" s="270">
        <f t="shared" ref="U417" si="958">+SUMPRODUCT($F418:$F431,U418:U431)</f>
        <v>0.99999999999999967</v>
      </c>
      <c r="V417" s="270">
        <f t="shared" ref="V417" si="959">+SUMPRODUCT($F418:$F431,V418:V431)</f>
        <v>0.99999999999999967</v>
      </c>
      <c r="W417" s="270">
        <f t="shared" ref="W417" si="960">+SUMPRODUCT($F418:$F431,W418:W431)</f>
        <v>0.99999999999999967</v>
      </c>
      <c r="X417" s="270">
        <f t="shared" ref="X417" si="961">+SUMPRODUCT($F418:$F431,X418:X431)</f>
        <v>0.99999999999999967</v>
      </c>
      <c r="Y417" s="270">
        <f t="shared" ref="Y417" si="962">+SUMPRODUCT($F418:$F431,Y418:Y431)</f>
        <v>0.99999999999999967</v>
      </c>
      <c r="Z417" s="270">
        <f t="shared" ref="Z417" si="963">+SUMPRODUCT($F418:$F431,Z418:Z431)</f>
        <v>0.99999999999999967</v>
      </c>
      <c r="AA417" s="270">
        <f t="shared" ref="AA417" si="964">+SUMPRODUCT($F418:$F431,AA418:AA431)</f>
        <v>0.99999999999999967</v>
      </c>
      <c r="AB417" s="270">
        <f t="shared" ref="AB417" si="965">+SUMPRODUCT($F418:$F431,AB418:AB431)</f>
        <v>0.99999999999999967</v>
      </c>
      <c r="AC417" s="270">
        <f t="shared" ref="AC417" si="966">+SUMPRODUCT($F418:$F431,AC418:AC431)</f>
        <v>0.99999999999999967</v>
      </c>
      <c r="AD417" s="392">
        <f t="shared" ref="AD417:AF417" si="967">+SUMPRODUCT($F418:$F431,AD418:AD431)</f>
        <v>0.99999999999999967</v>
      </c>
      <c r="AE417" s="392">
        <f t="shared" si="967"/>
        <v>0.99999999999999967</v>
      </c>
      <c r="AF417" s="392">
        <f t="shared" si="967"/>
        <v>0.99999999999999967</v>
      </c>
      <c r="AG417" s="392">
        <f t="shared" ref="AG417" si="968">+SUMPRODUCT($F418:$F431,AG418:AG431)</f>
        <v>0.99999999999999967</v>
      </c>
      <c r="AH417" s="392">
        <f t="shared" ref="AH417" si="969">+SUMPRODUCT($F418:$F431,AH418:AH431)</f>
        <v>0.99999999999999967</v>
      </c>
      <c r="AI417" s="392">
        <f t="shared" ref="AI417" si="970">+SUMPRODUCT($F418:$F431,AI418:AI431)</f>
        <v>0.99999999999999967</v>
      </c>
      <c r="AJ417" s="392">
        <f t="shared" ref="AJ417" si="971">+SUMPRODUCT($F418:$F431,AJ418:AJ431)</f>
        <v>0.99999999999999967</v>
      </c>
      <c r="AK417" s="392">
        <f t="shared" ref="AK417" si="972">+SUMPRODUCT($F418:$F431,AK418:AK431)</f>
        <v>0.99999999999999967</v>
      </c>
      <c r="AL417" s="392">
        <f t="shared" ref="AL417" si="973">+SUMPRODUCT($F418:$F431,AL418:AL431)</f>
        <v>0.99999999999999967</v>
      </c>
      <c r="AM417" s="392">
        <f t="shared" ref="AM417" si="974">+SUMPRODUCT($F418:$F431,AM418:AM431)</f>
        <v>0.99999999999999967</v>
      </c>
      <c r="AN417" s="392">
        <f t="shared" ref="AN417" si="975">+SUMPRODUCT($F418:$F431,AN418:AN431)</f>
        <v>0.99999999999999967</v>
      </c>
      <c r="AO417" s="392">
        <f t="shared" ref="AO417" si="976">+SUMPRODUCT($F418:$F431,AO418:AO431)</f>
        <v>0.99999999999999967</v>
      </c>
      <c r="AP417" s="392">
        <f t="shared" ref="AP417" si="977">+SUMPRODUCT($F418:$F431,AP418:AP431)</f>
        <v>0.99999999999999967</v>
      </c>
    </row>
    <row r="418" spans="1:42" s="140" customFormat="1" ht="13.5" hidden="1" customHeight="1" outlineLevel="3" thickBot="1">
      <c r="A418" s="216"/>
      <c r="B418" s="255" t="s">
        <v>603</v>
      </c>
      <c r="C418" s="290" t="s">
        <v>230</v>
      </c>
      <c r="D418" s="227" t="s">
        <v>231</v>
      </c>
      <c r="E418" s="241"/>
      <c r="F418" s="228">
        <f t="shared" si="954"/>
        <v>7.1428571428571411E-2</v>
      </c>
      <c r="G418" s="269">
        <f>+F418*G417</f>
        <v>6.1647607404184405E-5</v>
      </c>
      <c r="H418" s="299"/>
      <c r="I418" s="299"/>
      <c r="J418" s="299"/>
      <c r="K418" s="299"/>
      <c r="L418" s="299"/>
      <c r="M418" s="299"/>
      <c r="N418" s="272">
        <v>1</v>
      </c>
      <c r="O418" s="272">
        <v>1</v>
      </c>
      <c r="P418" s="272">
        <v>1</v>
      </c>
      <c r="Q418" s="272">
        <v>1</v>
      </c>
      <c r="R418" s="372">
        <v>1</v>
      </c>
      <c r="S418" s="395">
        <v>1</v>
      </c>
      <c r="T418" s="272">
        <v>1</v>
      </c>
      <c r="U418" s="272">
        <v>1</v>
      </c>
      <c r="V418" s="272">
        <v>1</v>
      </c>
      <c r="W418" s="272">
        <v>1</v>
      </c>
      <c r="X418" s="272">
        <v>1</v>
      </c>
      <c r="Y418" s="272">
        <v>1</v>
      </c>
      <c r="Z418" s="272">
        <v>1</v>
      </c>
      <c r="AA418" s="272">
        <v>1</v>
      </c>
      <c r="AB418" s="272">
        <v>1</v>
      </c>
      <c r="AC418" s="272">
        <v>1</v>
      </c>
      <c r="AD418" s="396">
        <v>1</v>
      </c>
      <c r="AE418" s="396">
        <v>1</v>
      </c>
      <c r="AF418" s="396">
        <v>1</v>
      </c>
      <c r="AG418" s="396">
        <v>1</v>
      </c>
      <c r="AH418" s="396">
        <v>1</v>
      </c>
      <c r="AI418" s="396">
        <v>1</v>
      </c>
      <c r="AJ418" s="396">
        <v>1</v>
      </c>
      <c r="AK418" s="396">
        <v>1</v>
      </c>
      <c r="AL418" s="396">
        <v>1</v>
      </c>
      <c r="AM418" s="396">
        <v>1</v>
      </c>
      <c r="AN418" s="396">
        <v>1</v>
      </c>
      <c r="AO418" s="396">
        <v>1</v>
      </c>
      <c r="AP418" s="396">
        <v>1</v>
      </c>
    </row>
    <row r="419" spans="1:42" s="140" customFormat="1" ht="13.5" hidden="1" customHeight="1" outlineLevel="3" thickBot="1">
      <c r="A419" s="216"/>
      <c r="B419" s="255" t="s">
        <v>604</v>
      </c>
      <c r="C419" s="290" t="s">
        <v>233</v>
      </c>
      <c r="D419" s="227" t="s">
        <v>231</v>
      </c>
      <c r="E419" s="241"/>
      <c r="F419" s="228">
        <f t="shared" si="954"/>
        <v>7.1428571428571411E-2</v>
      </c>
      <c r="G419" s="269">
        <f>+F419*G417</f>
        <v>6.1647607404184405E-5</v>
      </c>
      <c r="H419" s="299"/>
      <c r="I419" s="299"/>
      <c r="J419" s="299"/>
      <c r="K419" s="299"/>
      <c r="L419" s="299"/>
      <c r="M419" s="299"/>
      <c r="N419" s="272">
        <v>1</v>
      </c>
      <c r="O419" s="272">
        <v>1</v>
      </c>
      <c r="P419" s="272">
        <v>1</v>
      </c>
      <c r="Q419" s="272">
        <v>1</v>
      </c>
      <c r="R419" s="372">
        <v>1</v>
      </c>
      <c r="S419" s="395">
        <v>1</v>
      </c>
      <c r="T419" s="272">
        <v>1</v>
      </c>
      <c r="U419" s="272">
        <v>1</v>
      </c>
      <c r="V419" s="272">
        <v>1</v>
      </c>
      <c r="W419" s="272">
        <v>1</v>
      </c>
      <c r="X419" s="272">
        <v>1</v>
      </c>
      <c r="Y419" s="272">
        <v>1</v>
      </c>
      <c r="Z419" s="272">
        <v>1</v>
      </c>
      <c r="AA419" s="272">
        <v>1</v>
      </c>
      <c r="AB419" s="272">
        <v>1</v>
      </c>
      <c r="AC419" s="272">
        <v>1</v>
      </c>
      <c r="AD419" s="396">
        <v>1</v>
      </c>
      <c r="AE419" s="396">
        <v>1</v>
      </c>
      <c r="AF419" s="396">
        <v>1</v>
      </c>
      <c r="AG419" s="396">
        <v>1</v>
      </c>
      <c r="AH419" s="396">
        <v>1</v>
      </c>
      <c r="AI419" s="396">
        <v>1</v>
      </c>
      <c r="AJ419" s="396">
        <v>1</v>
      </c>
      <c r="AK419" s="396">
        <v>1</v>
      </c>
      <c r="AL419" s="396">
        <v>1</v>
      </c>
      <c r="AM419" s="396">
        <v>1</v>
      </c>
      <c r="AN419" s="396">
        <v>1</v>
      </c>
      <c r="AO419" s="396">
        <v>1</v>
      </c>
      <c r="AP419" s="396">
        <v>1</v>
      </c>
    </row>
    <row r="420" spans="1:42" s="140" customFormat="1" ht="13.5" hidden="1" customHeight="1" outlineLevel="3" thickBot="1">
      <c r="A420" s="216"/>
      <c r="B420" s="255" t="s">
        <v>605</v>
      </c>
      <c r="C420" s="290" t="s">
        <v>235</v>
      </c>
      <c r="D420" s="227" t="s">
        <v>231</v>
      </c>
      <c r="E420" s="241"/>
      <c r="F420" s="228">
        <f t="shared" si="954"/>
        <v>7.1428571428571411E-2</v>
      </c>
      <c r="G420" s="269">
        <f>+F420*G417</f>
        <v>6.1647607404184405E-5</v>
      </c>
      <c r="H420" s="299"/>
      <c r="I420" s="299"/>
      <c r="J420" s="299"/>
      <c r="K420" s="299"/>
      <c r="L420" s="299"/>
      <c r="M420" s="299"/>
      <c r="N420" s="272">
        <v>1</v>
      </c>
      <c r="O420" s="272">
        <v>1</v>
      </c>
      <c r="P420" s="272">
        <v>1</v>
      </c>
      <c r="Q420" s="272">
        <v>1</v>
      </c>
      <c r="R420" s="372">
        <v>1</v>
      </c>
      <c r="S420" s="395">
        <v>1</v>
      </c>
      <c r="T420" s="272">
        <v>1</v>
      </c>
      <c r="U420" s="272">
        <v>1</v>
      </c>
      <c r="V420" s="272">
        <v>1</v>
      </c>
      <c r="W420" s="272">
        <v>1</v>
      </c>
      <c r="X420" s="272">
        <v>1</v>
      </c>
      <c r="Y420" s="272">
        <v>1</v>
      </c>
      <c r="Z420" s="272">
        <v>1</v>
      </c>
      <c r="AA420" s="272">
        <v>1</v>
      </c>
      <c r="AB420" s="272">
        <v>1</v>
      </c>
      <c r="AC420" s="272">
        <v>1</v>
      </c>
      <c r="AD420" s="396">
        <v>1</v>
      </c>
      <c r="AE420" s="396">
        <v>1</v>
      </c>
      <c r="AF420" s="396">
        <v>1</v>
      </c>
      <c r="AG420" s="396">
        <v>1</v>
      </c>
      <c r="AH420" s="396">
        <v>1</v>
      </c>
      <c r="AI420" s="396">
        <v>1</v>
      </c>
      <c r="AJ420" s="396">
        <v>1</v>
      </c>
      <c r="AK420" s="396">
        <v>1</v>
      </c>
      <c r="AL420" s="396">
        <v>1</v>
      </c>
      <c r="AM420" s="396">
        <v>1</v>
      </c>
      <c r="AN420" s="396">
        <v>1</v>
      </c>
      <c r="AO420" s="396">
        <v>1</v>
      </c>
      <c r="AP420" s="396">
        <v>1</v>
      </c>
    </row>
    <row r="421" spans="1:42" s="140" customFormat="1" ht="13.5" hidden="1" customHeight="1" outlineLevel="3" thickBot="1">
      <c r="A421" s="216"/>
      <c r="B421" s="255" t="s">
        <v>606</v>
      </c>
      <c r="C421" s="290" t="s">
        <v>237</v>
      </c>
      <c r="D421" s="227" t="s">
        <v>231</v>
      </c>
      <c r="E421" s="241"/>
      <c r="F421" s="228">
        <f t="shared" si="954"/>
        <v>7.1428571428571411E-2</v>
      </c>
      <c r="G421" s="269">
        <f>+F421*G417</f>
        <v>6.1647607404184405E-5</v>
      </c>
      <c r="H421" s="299"/>
      <c r="I421" s="299"/>
      <c r="J421" s="299"/>
      <c r="K421" s="299"/>
      <c r="L421" s="299"/>
      <c r="M421" s="299"/>
      <c r="N421" s="272">
        <v>1</v>
      </c>
      <c r="O421" s="272">
        <v>1</v>
      </c>
      <c r="P421" s="272">
        <v>1</v>
      </c>
      <c r="Q421" s="272">
        <v>1</v>
      </c>
      <c r="R421" s="372">
        <v>1</v>
      </c>
      <c r="S421" s="395">
        <v>1</v>
      </c>
      <c r="T421" s="272">
        <v>1</v>
      </c>
      <c r="U421" s="272">
        <v>1</v>
      </c>
      <c r="V421" s="272">
        <v>1</v>
      </c>
      <c r="W421" s="272">
        <v>1</v>
      </c>
      <c r="X421" s="272">
        <v>1</v>
      </c>
      <c r="Y421" s="272">
        <v>1</v>
      </c>
      <c r="Z421" s="272">
        <v>1</v>
      </c>
      <c r="AA421" s="272">
        <v>1</v>
      </c>
      <c r="AB421" s="272">
        <v>1</v>
      </c>
      <c r="AC421" s="272">
        <v>1</v>
      </c>
      <c r="AD421" s="396">
        <v>1</v>
      </c>
      <c r="AE421" s="396">
        <v>1</v>
      </c>
      <c r="AF421" s="396">
        <v>1</v>
      </c>
      <c r="AG421" s="396">
        <v>1</v>
      </c>
      <c r="AH421" s="396">
        <v>1</v>
      </c>
      <c r="AI421" s="396">
        <v>1</v>
      </c>
      <c r="AJ421" s="396">
        <v>1</v>
      </c>
      <c r="AK421" s="396">
        <v>1</v>
      </c>
      <c r="AL421" s="396">
        <v>1</v>
      </c>
      <c r="AM421" s="396">
        <v>1</v>
      </c>
      <c r="AN421" s="396">
        <v>1</v>
      </c>
      <c r="AO421" s="396">
        <v>1</v>
      </c>
      <c r="AP421" s="396">
        <v>1</v>
      </c>
    </row>
    <row r="422" spans="1:42" s="140" customFormat="1" ht="13.5" hidden="1" customHeight="1" outlineLevel="3" thickBot="1">
      <c r="A422" s="216"/>
      <c r="B422" s="255" t="s">
        <v>607</v>
      </c>
      <c r="C422" s="290" t="s">
        <v>239</v>
      </c>
      <c r="D422" s="227" t="s">
        <v>231</v>
      </c>
      <c r="E422" s="241"/>
      <c r="F422" s="228">
        <f t="shared" si="954"/>
        <v>7.1428571428571411E-2</v>
      </c>
      <c r="G422" s="269">
        <f>+F422*G417</f>
        <v>6.1647607404184405E-5</v>
      </c>
      <c r="H422" s="299"/>
      <c r="I422" s="299"/>
      <c r="J422" s="299"/>
      <c r="K422" s="299"/>
      <c r="L422" s="299"/>
      <c r="M422" s="299"/>
      <c r="N422" s="272">
        <v>1</v>
      </c>
      <c r="O422" s="272">
        <v>1</v>
      </c>
      <c r="P422" s="272">
        <v>1</v>
      </c>
      <c r="Q422" s="272">
        <v>1</v>
      </c>
      <c r="R422" s="372">
        <v>1</v>
      </c>
      <c r="S422" s="395">
        <v>1</v>
      </c>
      <c r="T422" s="272">
        <v>1</v>
      </c>
      <c r="U422" s="272">
        <v>1</v>
      </c>
      <c r="V422" s="272">
        <v>1</v>
      </c>
      <c r="W422" s="272">
        <v>1</v>
      </c>
      <c r="X422" s="272">
        <v>1</v>
      </c>
      <c r="Y422" s="272">
        <v>1</v>
      </c>
      <c r="Z422" s="272">
        <v>1</v>
      </c>
      <c r="AA422" s="272">
        <v>1</v>
      </c>
      <c r="AB422" s="272">
        <v>1</v>
      </c>
      <c r="AC422" s="272">
        <v>1</v>
      </c>
      <c r="AD422" s="396">
        <v>1</v>
      </c>
      <c r="AE422" s="396">
        <v>1</v>
      </c>
      <c r="AF422" s="396">
        <v>1</v>
      </c>
      <c r="AG422" s="396">
        <v>1</v>
      </c>
      <c r="AH422" s="396">
        <v>1</v>
      </c>
      <c r="AI422" s="396">
        <v>1</v>
      </c>
      <c r="AJ422" s="396">
        <v>1</v>
      </c>
      <c r="AK422" s="396">
        <v>1</v>
      </c>
      <c r="AL422" s="396">
        <v>1</v>
      </c>
      <c r="AM422" s="396">
        <v>1</v>
      </c>
      <c r="AN422" s="396">
        <v>1</v>
      </c>
      <c r="AO422" s="396">
        <v>1</v>
      </c>
      <c r="AP422" s="396">
        <v>1</v>
      </c>
    </row>
    <row r="423" spans="1:42" s="140" customFormat="1" ht="13.5" hidden="1" customHeight="1" outlineLevel="3" thickBot="1">
      <c r="A423" s="216"/>
      <c r="B423" s="255" t="s">
        <v>608</v>
      </c>
      <c r="C423" s="290" t="s">
        <v>241</v>
      </c>
      <c r="D423" s="227" t="s">
        <v>231</v>
      </c>
      <c r="E423" s="241"/>
      <c r="F423" s="228">
        <f t="shared" si="954"/>
        <v>7.1428571428571411E-2</v>
      </c>
      <c r="G423" s="269">
        <f>+F423*G417</f>
        <v>6.1647607404184405E-5</v>
      </c>
      <c r="H423" s="299"/>
      <c r="I423" s="299"/>
      <c r="J423" s="299"/>
      <c r="K423" s="299"/>
      <c r="L423" s="299"/>
      <c r="M423" s="299"/>
      <c r="N423" s="272">
        <v>1</v>
      </c>
      <c r="O423" s="272">
        <v>1</v>
      </c>
      <c r="P423" s="272">
        <v>1</v>
      </c>
      <c r="Q423" s="272">
        <v>1</v>
      </c>
      <c r="R423" s="372">
        <v>1</v>
      </c>
      <c r="S423" s="395">
        <v>1</v>
      </c>
      <c r="T423" s="272">
        <v>1</v>
      </c>
      <c r="U423" s="272">
        <v>1</v>
      </c>
      <c r="V423" s="272">
        <v>1</v>
      </c>
      <c r="W423" s="272">
        <v>1</v>
      </c>
      <c r="X423" s="272">
        <v>1</v>
      </c>
      <c r="Y423" s="272">
        <v>1</v>
      </c>
      <c r="Z423" s="272">
        <v>1</v>
      </c>
      <c r="AA423" s="272">
        <v>1</v>
      </c>
      <c r="AB423" s="272">
        <v>1</v>
      </c>
      <c r="AC423" s="272">
        <v>1</v>
      </c>
      <c r="AD423" s="396">
        <v>1</v>
      </c>
      <c r="AE423" s="396">
        <v>1</v>
      </c>
      <c r="AF423" s="396">
        <v>1</v>
      </c>
      <c r="AG423" s="396">
        <v>1</v>
      </c>
      <c r="AH423" s="396">
        <v>1</v>
      </c>
      <c r="AI423" s="396">
        <v>1</v>
      </c>
      <c r="AJ423" s="396">
        <v>1</v>
      </c>
      <c r="AK423" s="396">
        <v>1</v>
      </c>
      <c r="AL423" s="396">
        <v>1</v>
      </c>
      <c r="AM423" s="396">
        <v>1</v>
      </c>
      <c r="AN423" s="396">
        <v>1</v>
      </c>
      <c r="AO423" s="396">
        <v>1</v>
      </c>
      <c r="AP423" s="396">
        <v>1</v>
      </c>
    </row>
    <row r="424" spans="1:42" s="140" customFormat="1" ht="13.5" hidden="1" customHeight="1" outlineLevel="3" thickBot="1">
      <c r="A424" s="216"/>
      <c r="B424" s="255" t="s">
        <v>609</v>
      </c>
      <c r="C424" s="290" t="s">
        <v>243</v>
      </c>
      <c r="D424" s="227" t="s">
        <v>231</v>
      </c>
      <c r="E424" s="241"/>
      <c r="F424" s="228">
        <f t="shared" si="954"/>
        <v>7.1428571428571411E-2</v>
      </c>
      <c r="G424" s="269">
        <f>+F424*G417</f>
        <v>6.1647607404184405E-5</v>
      </c>
      <c r="H424" s="299"/>
      <c r="I424" s="299"/>
      <c r="J424" s="299"/>
      <c r="K424" s="299"/>
      <c r="L424" s="299"/>
      <c r="M424" s="299"/>
      <c r="N424" s="272">
        <v>1</v>
      </c>
      <c r="O424" s="272">
        <v>1</v>
      </c>
      <c r="P424" s="272">
        <v>1</v>
      </c>
      <c r="Q424" s="272">
        <v>1</v>
      </c>
      <c r="R424" s="372">
        <v>1</v>
      </c>
      <c r="S424" s="395">
        <v>1</v>
      </c>
      <c r="T424" s="272">
        <v>1</v>
      </c>
      <c r="U424" s="272">
        <v>1</v>
      </c>
      <c r="V424" s="272">
        <v>1</v>
      </c>
      <c r="W424" s="272">
        <v>1</v>
      </c>
      <c r="X424" s="272">
        <v>1</v>
      </c>
      <c r="Y424" s="272">
        <v>1</v>
      </c>
      <c r="Z424" s="272">
        <v>1</v>
      </c>
      <c r="AA424" s="272">
        <v>1</v>
      </c>
      <c r="AB424" s="272">
        <v>1</v>
      </c>
      <c r="AC424" s="272">
        <v>1</v>
      </c>
      <c r="AD424" s="396">
        <v>1</v>
      </c>
      <c r="AE424" s="396">
        <v>1</v>
      </c>
      <c r="AF424" s="396">
        <v>1</v>
      </c>
      <c r="AG424" s="396">
        <v>1</v>
      </c>
      <c r="AH424" s="396">
        <v>1</v>
      </c>
      <c r="AI424" s="396">
        <v>1</v>
      </c>
      <c r="AJ424" s="396">
        <v>1</v>
      </c>
      <c r="AK424" s="396">
        <v>1</v>
      </c>
      <c r="AL424" s="396">
        <v>1</v>
      </c>
      <c r="AM424" s="396">
        <v>1</v>
      </c>
      <c r="AN424" s="396">
        <v>1</v>
      </c>
      <c r="AO424" s="396">
        <v>1</v>
      </c>
      <c r="AP424" s="396">
        <v>1</v>
      </c>
    </row>
    <row r="425" spans="1:42" s="140" customFormat="1" ht="13.5" hidden="1" customHeight="1" outlineLevel="3" thickBot="1">
      <c r="A425" s="216"/>
      <c r="B425" s="255" t="s">
        <v>610</v>
      </c>
      <c r="C425" s="290" t="s">
        <v>245</v>
      </c>
      <c r="D425" s="227" t="s">
        <v>231</v>
      </c>
      <c r="E425" s="241"/>
      <c r="F425" s="228">
        <f t="shared" si="954"/>
        <v>7.1428571428571411E-2</v>
      </c>
      <c r="G425" s="269">
        <f>+F425*G417</f>
        <v>6.1647607404184405E-5</v>
      </c>
      <c r="H425" s="299"/>
      <c r="I425" s="299"/>
      <c r="J425" s="299"/>
      <c r="K425" s="299"/>
      <c r="L425" s="299"/>
      <c r="M425" s="299"/>
      <c r="N425" s="272">
        <v>1</v>
      </c>
      <c r="O425" s="272">
        <v>1</v>
      </c>
      <c r="P425" s="272">
        <v>1</v>
      </c>
      <c r="Q425" s="272">
        <v>1</v>
      </c>
      <c r="R425" s="372">
        <v>1</v>
      </c>
      <c r="S425" s="395">
        <v>1</v>
      </c>
      <c r="T425" s="272">
        <v>1</v>
      </c>
      <c r="U425" s="272">
        <v>1</v>
      </c>
      <c r="V425" s="272">
        <v>1</v>
      </c>
      <c r="W425" s="272">
        <v>1</v>
      </c>
      <c r="X425" s="272">
        <v>1</v>
      </c>
      <c r="Y425" s="272">
        <v>1</v>
      </c>
      <c r="Z425" s="272">
        <v>1</v>
      </c>
      <c r="AA425" s="272">
        <v>1</v>
      </c>
      <c r="AB425" s="272">
        <v>1</v>
      </c>
      <c r="AC425" s="272">
        <v>1</v>
      </c>
      <c r="AD425" s="396">
        <v>1</v>
      </c>
      <c r="AE425" s="396">
        <v>1</v>
      </c>
      <c r="AF425" s="396">
        <v>1</v>
      </c>
      <c r="AG425" s="396">
        <v>1</v>
      </c>
      <c r="AH425" s="396">
        <v>1</v>
      </c>
      <c r="AI425" s="396">
        <v>1</v>
      </c>
      <c r="AJ425" s="396">
        <v>1</v>
      </c>
      <c r="AK425" s="396">
        <v>1</v>
      </c>
      <c r="AL425" s="396">
        <v>1</v>
      </c>
      <c r="AM425" s="396">
        <v>1</v>
      </c>
      <c r="AN425" s="396">
        <v>1</v>
      </c>
      <c r="AO425" s="396">
        <v>1</v>
      </c>
      <c r="AP425" s="396">
        <v>1</v>
      </c>
    </row>
    <row r="426" spans="1:42" s="140" customFormat="1" ht="13.5" hidden="1" customHeight="1" outlineLevel="3" thickBot="1">
      <c r="A426" s="216"/>
      <c r="B426" s="255" t="s">
        <v>611</v>
      </c>
      <c r="C426" s="290" t="s">
        <v>247</v>
      </c>
      <c r="D426" s="227" t="s">
        <v>231</v>
      </c>
      <c r="E426" s="241"/>
      <c r="F426" s="228">
        <f t="shared" si="954"/>
        <v>7.1428571428571411E-2</v>
      </c>
      <c r="G426" s="269">
        <f>+F426*G417</f>
        <v>6.1647607404184405E-5</v>
      </c>
      <c r="H426" s="299"/>
      <c r="I426" s="299"/>
      <c r="J426" s="299"/>
      <c r="K426" s="299"/>
      <c r="L426" s="299"/>
      <c r="M426" s="299"/>
      <c r="N426" s="272">
        <v>1</v>
      </c>
      <c r="O426" s="272">
        <v>1</v>
      </c>
      <c r="P426" s="272">
        <v>1</v>
      </c>
      <c r="Q426" s="272">
        <v>1</v>
      </c>
      <c r="R426" s="372">
        <v>1</v>
      </c>
      <c r="S426" s="395">
        <v>1</v>
      </c>
      <c r="T426" s="272">
        <v>1</v>
      </c>
      <c r="U426" s="272">
        <v>1</v>
      </c>
      <c r="V426" s="272">
        <v>1</v>
      </c>
      <c r="W426" s="272">
        <v>1</v>
      </c>
      <c r="X426" s="272">
        <v>1</v>
      </c>
      <c r="Y426" s="272">
        <v>1</v>
      </c>
      <c r="Z426" s="272">
        <v>1</v>
      </c>
      <c r="AA426" s="272">
        <v>1</v>
      </c>
      <c r="AB426" s="272">
        <v>1</v>
      </c>
      <c r="AC426" s="272">
        <v>1</v>
      </c>
      <c r="AD426" s="396">
        <v>1</v>
      </c>
      <c r="AE426" s="396">
        <v>1</v>
      </c>
      <c r="AF426" s="396">
        <v>1</v>
      </c>
      <c r="AG426" s="396">
        <v>1</v>
      </c>
      <c r="AH426" s="396">
        <v>1</v>
      </c>
      <c r="AI426" s="396">
        <v>1</v>
      </c>
      <c r="AJ426" s="396">
        <v>1</v>
      </c>
      <c r="AK426" s="396">
        <v>1</v>
      </c>
      <c r="AL426" s="396">
        <v>1</v>
      </c>
      <c r="AM426" s="396">
        <v>1</v>
      </c>
      <c r="AN426" s="396">
        <v>1</v>
      </c>
      <c r="AO426" s="396">
        <v>1</v>
      </c>
      <c r="AP426" s="396">
        <v>1</v>
      </c>
    </row>
    <row r="427" spans="1:42" s="140" customFormat="1" ht="13.5" hidden="1" customHeight="1" outlineLevel="3" thickBot="1">
      <c r="A427" s="216"/>
      <c r="B427" s="255" t="s">
        <v>612</v>
      </c>
      <c r="C427" s="290" t="s">
        <v>249</v>
      </c>
      <c r="D427" s="227" t="s">
        <v>231</v>
      </c>
      <c r="E427" s="241"/>
      <c r="F427" s="228">
        <f t="shared" si="954"/>
        <v>7.1428571428571411E-2</v>
      </c>
      <c r="G427" s="269">
        <f>+F427*G417</f>
        <v>6.1647607404184405E-5</v>
      </c>
      <c r="H427" s="299"/>
      <c r="I427" s="299"/>
      <c r="J427" s="299"/>
      <c r="K427" s="299"/>
      <c r="L427" s="299"/>
      <c r="M427" s="299"/>
      <c r="N427" s="272">
        <v>1</v>
      </c>
      <c r="O427" s="272">
        <v>1</v>
      </c>
      <c r="P427" s="272">
        <v>1</v>
      </c>
      <c r="Q427" s="272">
        <v>1</v>
      </c>
      <c r="R427" s="372">
        <v>1</v>
      </c>
      <c r="S427" s="395">
        <v>1</v>
      </c>
      <c r="T427" s="272">
        <v>1</v>
      </c>
      <c r="U427" s="272">
        <v>1</v>
      </c>
      <c r="V427" s="272">
        <v>1</v>
      </c>
      <c r="W427" s="272">
        <v>1</v>
      </c>
      <c r="X427" s="272">
        <v>1</v>
      </c>
      <c r="Y427" s="272">
        <v>1</v>
      </c>
      <c r="Z427" s="272">
        <v>1</v>
      </c>
      <c r="AA427" s="272">
        <v>1</v>
      </c>
      <c r="AB427" s="272">
        <v>1</v>
      </c>
      <c r="AC427" s="272">
        <v>1</v>
      </c>
      <c r="AD427" s="396">
        <v>1</v>
      </c>
      <c r="AE427" s="396">
        <v>1</v>
      </c>
      <c r="AF427" s="396">
        <v>1</v>
      </c>
      <c r="AG427" s="396">
        <v>1</v>
      </c>
      <c r="AH427" s="396">
        <v>1</v>
      </c>
      <c r="AI427" s="396">
        <v>1</v>
      </c>
      <c r="AJ427" s="396">
        <v>1</v>
      </c>
      <c r="AK427" s="396">
        <v>1</v>
      </c>
      <c r="AL427" s="396">
        <v>1</v>
      </c>
      <c r="AM427" s="396">
        <v>1</v>
      </c>
      <c r="AN427" s="396">
        <v>1</v>
      </c>
      <c r="AO427" s="396">
        <v>1</v>
      </c>
      <c r="AP427" s="396">
        <v>1</v>
      </c>
    </row>
    <row r="428" spans="1:42" s="140" customFormat="1" ht="13.5" hidden="1" customHeight="1" outlineLevel="3" thickBot="1">
      <c r="A428" s="216"/>
      <c r="B428" s="255" t="s">
        <v>613</v>
      </c>
      <c r="C428" s="290" t="s">
        <v>251</v>
      </c>
      <c r="D428" s="227" t="s">
        <v>231</v>
      </c>
      <c r="E428" s="241"/>
      <c r="F428" s="228">
        <f t="shared" si="954"/>
        <v>7.1428571428571411E-2</v>
      </c>
      <c r="G428" s="269">
        <f>+F428*G417</f>
        <v>6.1647607404184405E-5</v>
      </c>
      <c r="H428" s="299"/>
      <c r="I428" s="299"/>
      <c r="J428" s="299"/>
      <c r="K428" s="299"/>
      <c r="L428" s="299"/>
      <c r="M428" s="299"/>
      <c r="N428" s="272">
        <v>1</v>
      </c>
      <c r="O428" s="272">
        <v>1</v>
      </c>
      <c r="P428" s="272">
        <v>1</v>
      </c>
      <c r="Q428" s="272">
        <v>1</v>
      </c>
      <c r="R428" s="372">
        <v>1</v>
      </c>
      <c r="S428" s="395">
        <v>1</v>
      </c>
      <c r="T428" s="272">
        <v>1</v>
      </c>
      <c r="U428" s="272">
        <v>1</v>
      </c>
      <c r="V428" s="272">
        <v>1</v>
      </c>
      <c r="W428" s="272">
        <v>1</v>
      </c>
      <c r="X428" s="272">
        <v>1</v>
      </c>
      <c r="Y428" s="272">
        <v>1</v>
      </c>
      <c r="Z428" s="272">
        <v>1</v>
      </c>
      <c r="AA428" s="272">
        <v>1</v>
      </c>
      <c r="AB428" s="272">
        <v>1</v>
      </c>
      <c r="AC428" s="272">
        <v>1</v>
      </c>
      <c r="AD428" s="396">
        <v>1</v>
      </c>
      <c r="AE428" s="396">
        <v>1</v>
      </c>
      <c r="AF428" s="396">
        <v>1</v>
      </c>
      <c r="AG428" s="396">
        <v>1</v>
      </c>
      <c r="AH428" s="396">
        <v>1</v>
      </c>
      <c r="AI428" s="396">
        <v>1</v>
      </c>
      <c r="AJ428" s="396">
        <v>1</v>
      </c>
      <c r="AK428" s="396">
        <v>1</v>
      </c>
      <c r="AL428" s="396">
        <v>1</v>
      </c>
      <c r="AM428" s="396">
        <v>1</v>
      </c>
      <c r="AN428" s="396">
        <v>1</v>
      </c>
      <c r="AO428" s="396">
        <v>1</v>
      </c>
      <c r="AP428" s="396">
        <v>1</v>
      </c>
    </row>
    <row r="429" spans="1:42" s="140" customFormat="1" ht="13.5" hidden="1" customHeight="1" outlineLevel="3" thickBot="1">
      <c r="A429" s="216"/>
      <c r="B429" s="255" t="s">
        <v>614</v>
      </c>
      <c r="C429" s="290" t="s">
        <v>253</v>
      </c>
      <c r="D429" s="227" t="s">
        <v>231</v>
      </c>
      <c r="E429" s="241"/>
      <c r="F429" s="228">
        <f t="shared" si="954"/>
        <v>7.1428571428571411E-2</v>
      </c>
      <c r="G429" s="269">
        <f>+F429*G417</f>
        <v>6.1647607404184405E-5</v>
      </c>
      <c r="H429" s="299"/>
      <c r="I429" s="299"/>
      <c r="J429" s="299"/>
      <c r="K429" s="299"/>
      <c r="L429" s="299"/>
      <c r="M429" s="299"/>
      <c r="N429" s="272">
        <v>1</v>
      </c>
      <c r="O429" s="272">
        <v>1</v>
      </c>
      <c r="P429" s="272">
        <v>1</v>
      </c>
      <c r="Q429" s="272">
        <v>1</v>
      </c>
      <c r="R429" s="372">
        <v>1</v>
      </c>
      <c r="S429" s="395">
        <v>1</v>
      </c>
      <c r="T429" s="272">
        <v>1</v>
      </c>
      <c r="U429" s="272">
        <v>1</v>
      </c>
      <c r="V429" s="272">
        <v>1</v>
      </c>
      <c r="W429" s="272">
        <v>1</v>
      </c>
      <c r="X429" s="272">
        <v>1</v>
      </c>
      <c r="Y429" s="272">
        <v>1</v>
      </c>
      <c r="Z429" s="272">
        <v>1</v>
      </c>
      <c r="AA429" s="272">
        <v>1</v>
      </c>
      <c r="AB429" s="272">
        <v>1</v>
      </c>
      <c r="AC429" s="272">
        <v>1</v>
      </c>
      <c r="AD429" s="396">
        <v>1</v>
      </c>
      <c r="AE429" s="396">
        <v>1</v>
      </c>
      <c r="AF429" s="396">
        <v>1</v>
      </c>
      <c r="AG429" s="396">
        <v>1</v>
      </c>
      <c r="AH429" s="396">
        <v>1</v>
      </c>
      <c r="AI429" s="396">
        <v>1</v>
      </c>
      <c r="AJ429" s="396">
        <v>1</v>
      </c>
      <c r="AK429" s="396">
        <v>1</v>
      </c>
      <c r="AL429" s="396">
        <v>1</v>
      </c>
      <c r="AM429" s="396">
        <v>1</v>
      </c>
      <c r="AN429" s="396">
        <v>1</v>
      </c>
      <c r="AO429" s="396">
        <v>1</v>
      </c>
      <c r="AP429" s="396">
        <v>1</v>
      </c>
    </row>
    <row r="430" spans="1:42" s="140" customFormat="1" ht="13.5" hidden="1" customHeight="1" outlineLevel="3" thickBot="1">
      <c r="A430" s="216"/>
      <c r="B430" s="255" t="s">
        <v>615</v>
      </c>
      <c r="C430" s="290" t="s">
        <v>285</v>
      </c>
      <c r="D430" s="227" t="s">
        <v>231</v>
      </c>
      <c r="E430" s="241"/>
      <c r="F430" s="228">
        <f t="shared" si="954"/>
        <v>7.1428571428571411E-2</v>
      </c>
      <c r="G430" s="269">
        <f>+F430*G417</f>
        <v>6.1647607404184405E-5</v>
      </c>
      <c r="H430" s="299"/>
      <c r="I430" s="299"/>
      <c r="J430" s="299"/>
      <c r="K430" s="299"/>
      <c r="L430" s="299"/>
      <c r="M430" s="299"/>
      <c r="N430" s="272">
        <v>1</v>
      </c>
      <c r="O430" s="272">
        <v>1</v>
      </c>
      <c r="P430" s="272">
        <v>1</v>
      </c>
      <c r="Q430" s="272">
        <v>1</v>
      </c>
      <c r="R430" s="372">
        <v>1</v>
      </c>
      <c r="S430" s="395">
        <v>1</v>
      </c>
      <c r="T430" s="272">
        <v>1</v>
      </c>
      <c r="U430" s="272">
        <v>1</v>
      </c>
      <c r="V430" s="272">
        <v>1</v>
      </c>
      <c r="W430" s="272">
        <v>1</v>
      </c>
      <c r="X430" s="272">
        <v>1</v>
      </c>
      <c r="Y430" s="272">
        <v>1</v>
      </c>
      <c r="Z430" s="272">
        <v>1</v>
      </c>
      <c r="AA430" s="272">
        <v>1</v>
      </c>
      <c r="AB430" s="272">
        <v>1</v>
      </c>
      <c r="AC430" s="272">
        <v>1</v>
      </c>
      <c r="AD430" s="396">
        <v>1</v>
      </c>
      <c r="AE430" s="396">
        <v>1</v>
      </c>
      <c r="AF430" s="396">
        <v>1</v>
      </c>
      <c r="AG430" s="396">
        <v>1</v>
      </c>
      <c r="AH430" s="396">
        <v>1</v>
      </c>
      <c r="AI430" s="396">
        <v>1</v>
      </c>
      <c r="AJ430" s="396">
        <v>1</v>
      </c>
      <c r="AK430" s="396">
        <v>1</v>
      </c>
      <c r="AL430" s="396">
        <v>1</v>
      </c>
      <c r="AM430" s="396">
        <v>1</v>
      </c>
      <c r="AN430" s="396">
        <v>1</v>
      </c>
      <c r="AO430" s="396">
        <v>1</v>
      </c>
      <c r="AP430" s="396">
        <v>1</v>
      </c>
    </row>
    <row r="431" spans="1:42" s="140" customFormat="1" ht="13.5" hidden="1" customHeight="1" outlineLevel="3" thickBot="1">
      <c r="A431" s="216"/>
      <c r="B431" s="255" t="s">
        <v>616</v>
      </c>
      <c r="C431" s="290" t="s">
        <v>287</v>
      </c>
      <c r="D431" s="227" t="s">
        <v>231</v>
      </c>
      <c r="E431" s="241"/>
      <c r="F431" s="228">
        <f t="shared" si="954"/>
        <v>7.1428571428571411E-2</v>
      </c>
      <c r="G431" s="269">
        <f>+F431*G417</f>
        <v>6.1647607404184405E-5</v>
      </c>
      <c r="H431" s="299"/>
      <c r="I431" s="299"/>
      <c r="J431" s="299"/>
      <c r="K431" s="299"/>
      <c r="L431" s="299"/>
      <c r="M431" s="299"/>
      <c r="N431" s="272">
        <v>1</v>
      </c>
      <c r="O431" s="272">
        <v>1</v>
      </c>
      <c r="P431" s="272">
        <v>1</v>
      </c>
      <c r="Q431" s="272">
        <v>1</v>
      </c>
      <c r="R431" s="372">
        <v>1</v>
      </c>
      <c r="S431" s="395">
        <v>1</v>
      </c>
      <c r="T431" s="272">
        <v>1</v>
      </c>
      <c r="U431" s="272">
        <v>1</v>
      </c>
      <c r="V431" s="272">
        <v>1</v>
      </c>
      <c r="W431" s="272">
        <v>1</v>
      </c>
      <c r="X431" s="272">
        <v>1</v>
      </c>
      <c r="Y431" s="272">
        <v>1</v>
      </c>
      <c r="Z431" s="272">
        <v>1</v>
      </c>
      <c r="AA431" s="272">
        <v>1</v>
      </c>
      <c r="AB431" s="272">
        <v>1</v>
      </c>
      <c r="AC431" s="272">
        <v>1</v>
      </c>
      <c r="AD431" s="396">
        <v>1</v>
      </c>
      <c r="AE431" s="396">
        <v>1</v>
      </c>
      <c r="AF431" s="396">
        <v>1</v>
      </c>
      <c r="AG431" s="396">
        <v>1</v>
      </c>
      <c r="AH431" s="396">
        <v>1</v>
      </c>
      <c r="AI431" s="396">
        <v>1</v>
      </c>
      <c r="AJ431" s="396">
        <v>1</v>
      </c>
      <c r="AK431" s="396">
        <v>1</v>
      </c>
      <c r="AL431" s="396">
        <v>1</v>
      </c>
      <c r="AM431" s="396">
        <v>1</v>
      </c>
      <c r="AN431" s="396">
        <v>1</v>
      </c>
      <c r="AO431" s="396">
        <v>1</v>
      </c>
      <c r="AP431" s="396">
        <v>1</v>
      </c>
    </row>
    <row r="432" spans="1:42" s="140" customFormat="1" ht="13.5" hidden="1" customHeight="1" outlineLevel="2" thickBot="1">
      <c r="A432" s="216"/>
      <c r="B432" s="291" t="s">
        <v>617</v>
      </c>
      <c r="C432" s="292" t="s">
        <v>43</v>
      </c>
      <c r="D432" s="234" t="s">
        <v>33</v>
      </c>
      <c r="E432" s="240"/>
      <c r="F432" s="223">
        <f t="shared" si="954"/>
        <v>0.13388996515868054</v>
      </c>
      <c r="G432" s="293">
        <f>+F432*G343</f>
        <v>1.0457766484105535E-3</v>
      </c>
      <c r="H432" s="298"/>
      <c r="I432" s="298"/>
      <c r="J432" s="298"/>
      <c r="K432" s="298"/>
      <c r="L432" s="298"/>
      <c r="M432" s="298"/>
      <c r="N432" s="270">
        <f t="shared" ref="N432:R432" si="978">+SUMPRODUCT($F433:$F449,N433:N449)</f>
        <v>1.0000000000000002</v>
      </c>
      <c r="O432" s="270">
        <f t="shared" si="978"/>
        <v>1.0000000000000002</v>
      </c>
      <c r="P432" s="270">
        <f t="shared" si="978"/>
        <v>1.0000000000000002</v>
      </c>
      <c r="Q432" s="270">
        <f t="shared" si="978"/>
        <v>1.0000000000000002</v>
      </c>
      <c r="R432" s="370">
        <f t="shared" si="978"/>
        <v>1.0000000000000002</v>
      </c>
      <c r="S432" s="391">
        <f t="shared" ref="S432" si="979">+SUMPRODUCT($F433:$F449,S433:S449)</f>
        <v>1.0000000000000002</v>
      </c>
      <c r="T432" s="270">
        <f t="shared" ref="T432" si="980">+SUMPRODUCT($F433:$F449,T433:T449)</f>
        <v>1.0000000000000002</v>
      </c>
      <c r="U432" s="270">
        <f t="shared" ref="U432" si="981">+SUMPRODUCT($F433:$F449,U433:U449)</f>
        <v>1.0000000000000002</v>
      </c>
      <c r="V432" s="270">
        <f t="shared" ref="V432" si="982">+SUMPRODUCT($F433:$F449,V433:V449)</f>
        <v>1.0000000000000002</v>
      </c>
      <c r="W432" s="270">
        <f t="shared" ref="W432" si="983">+SUMPRODUCT($F433:$F449,W433:W449)</f>
        <v>1.0000000000000002</v>
      </c>
      <c r="X432" s="270">
        <f t="shared" ref="X432" si="984">+SUMPRODUCT($F433:$F449,X433:X449)</f>
        <v>1.0000000000000002</v>
      </c>
      <c r="Y432" s="270">
        <f t="shared" ref="Y432" si="985">+SUMPRODUCT($F433:$F449,Y433:Y449)</f>
        <v>1.0000000000000002</v>
      </c>
      <c r="Z432" s="270">
        <f t="shared" ref="Z432" si="986">+SUMPRODUCT($F433:$F449,Z433:Z449)</f>
        <v>1.0000000000000002</v>
      </c>
      <c r="AA432" s="270">
        <f t="shared" ref="AA432" si="987">+SUMPRODUCT($F433:$F449,AA433:AA449)</f>
        <v>1.0000000000000002</v>
      </c>
      <c r="AB432" s="270">
        <f t="shared" ref="AB432" si="988">+SUMPRODUCT($F433:$F449,AB433:AB449)</f>
        <v>1.0000000000000002</v>
      </c>
      <c r="AC432" s="270">
        <f t="shared" ref="AC432" si="989">+SUMPRODUCT($F433:$F449,AC433:AC449)</f>
        <v>1.0000000000000002</v>
      </c>
      <c r="AD432" s="392">
        <f t="shared" ref="AD432:AF432" si="990">+SUMPRODUCT($F433:$F449,AD433:AD449)</f>
        <v>1.0000000000000002</v>
      </c>
      <c r="AE432" s="392">
        <f t="shared" si="990"/>
        <v>1.0000000000000002</v>
      </c>
      <c r="AF432" s="392">
        <f t="shared" si="990"/>
        <v>1.0000000000000002</v>
      </c>
      <c r="AG432" s="392">
        <f t="shared" ref="AG432" si="991">+SUMPRODUCT($F433:$F449,AG433:AG449)</f>
        <v>1.0000000000000002</v>
      </c>
      <c r="AH432" s="392">
        <f t="shared" ref="AH432" si="992">+SUMPRODUCT($F433:$F449,AH433:AH449)</f>
        <v>1.0000000000000002</v>
      </c>
      <c r="AI432" s="392">
        <f t="shared" ref="AI432" si="993">+SUMPRODUCT($F433:$F449,AI433:AI449)</f>
        <v>1.0000000000000002</v>
      </c>
      <c r="AJ432" s="392">
        <f t="shared" ref="AJ432" si="994">+SUMPRODUCT($F433:$F449,AJ433:AJ449)</f>
        <v>1.0000000000000002</v>
      </c>
      <c r="AK432" s="392">
        <f t="shared" ref="AK432" si="995">+SUMPRODUCT($F433:$F449,AK433:AK449)</f>
        <v>1.0000000000000002</v>
      </c>
      <c r="AL432" s="392">
        <f t="shared" ref="AL432" si="996">+SUMPRODUCT($F433:$F449,AL433:AL449)</f>
        <v>1.0000000000000002</v>
      </c>
      <c r="AM432" s="392">
        <f t="shared" ref="AM432" si="997">+SUMPRODUCT($F433:$F449,AM433:AM449)</f>
        <v>1.0000000000000002</v>
      </c>
      <c r="AN432" s="392">
        <f t="shared" ref="AN432" si="998">+SUMPRODUCT($F433:$F449,AN433:AN449)</f>
        <v>1.0000000000000002</v>
      </c>
      <c r="AO432" s="392">
        <f t="shared" ref="AO432" si="999">+SUMPRODUCT($F433:$F449,AO433:AO449)</f>
        <v>1.0000000000000002</v>
      </c>
      <c r="AP432" s="392">
        <f t="shared" ref="AP432" si="1000">+SUMPRODUCT($F433:$F449,AP433:AP449)</f>
        <v>1.0000000000000002</v>
      </c>
    </row>
    <row r="433" spans="1:42" s="140" customFormat="1" ht="13.5" hidden="1" customHeight="1" outlineLevel="3" thickBot="1">
      <c r="A433" s="216"/>
      <c r="B433" s="255" t="s">
        <v>618</v>
      </c>
      <c r="C433" s="290" t="s">
        <v>230</v>
      </c>
      <c r="D433" s="227" t="s">
        <v>231</v>
      </c>
      <c r="E433" s="241"/>
      <c r="F433" s="228">
        <f t="shared" si="954"/>
        <v>6.2251019714089834E-2</v>
      </c>
      <c r="G433" s="269">
        <f>+F433*G432</f>
        <v>6.5100662756740164E-5</v>
      </c>
      <c r="H433" s="299"/>
      <c r="I433" s="299"/>
      <c r="J433" s="299"/>
      <c r="K433" s="299"/>
      <c r="L433" s="299"/>
      <c r="M433" s="299"/>
      <c r="N433" s="272">
        <v>1</v>
      </c>
      <c r="O433" s="272">
        <v>1</v>
      </c>
      <c r="P433" s="272">
        <v>1</v>
      </c>
      <c r="Q433" s="272">
        <v>1</v>
      </c>
      <c r="R433" s="372">
        <v>1</v>
      </c>
      <c r="S433" s="395">
        <v>1</v>
      </c>
      <c r="T433" s="272">
        <v>1</v>
      </c>
      <c r="U433" s="272">
        <v>1</v>
      </c>
      <c r="V433" s="272">
        <v>1</v>
      </c>
      <c r="W433" s="272">
        <v>1</v>
      </c>
      <c r="X433" s="272">
        <v>1</v>
      </c>
      <c r="Y433" s="272">
        <v>1</v>
      </c>
      <c r="Z433" s="272">
        <v>1</v>
      </c>
      <c r="AA433" s="272">
        <v>1</v>
      </c>
      <c r="AB433" s="272">
        <v>1</v>
      </c>
      <c r="AC433" s="272">
        <v>1</v>
      </c>
      <c r="AD433" s="396">
        <v>1</v>
      </c>
      <c r="AE433" s="396">
        <v>1</v>
      </c>
      <c r="AF433" s="396">
        <v>1</v>
      </c>
      <c r="AG433" s="396">
        <v>1</v>
      </c>
      <c r="AH433" s="396">
        <v>1</v>
      </c>
      <c r="AI433" s="396">
        <v>1</v>
      </c>
      <c r="AJ433" s="396">
        <v>1</v>
      </c>
      <c r="AK433" s="396">
        <v>1</v>
      </c>
      <c r="AL433" s="396">
        <v>1</v>
      </c>
      <c r="AM433" s="396">
        <v>1</v>
      </c>
      <c r="AN433" s="396">
        <v>1</v>
      </c>
      <c r="AO433" s="396">
        <v>1</v>
      </c>
      <c r="AP433" s="396">
        <v>1</v>
      </c>
    </row>
    <row r="434" spans="1:42" s="140" customFormat="1" ht="13.5" hidden="1" customHeight="1" outlineLevel="3" thickBot="1">
      <c r="A434" s="216"/>
      <c r="B434" s="255" t="s">
        <v>619</v>
      </c>
      <c r="C434" s="290" t="s">
        <v>233</v>
      </c>
      <c r="D434" s="227" t="s">
        <v>231</v>
      </c>
      <c r="E434" s="241"/>
      <c r="F434" s="228">
        <f t="shared" si="954"/>
        <v>6.2251019714089834E-2</v>
      </c>
      <c r="G434" s="269">
        <f>+F434*G432</f>
        <v>6.5100662756740164E-5</v>
      </c>
      <c r="H434" s="299"/>
      <c r="I434" s="299"/>
      <c r="J434" s="299"/>
      <c r="K434" s="299"/>
      <c r="L434" s="299"/>
      <c r="M434" s="299"/>
      <c r="N434" s="272">
        <v>1</v>
      </c>
      <c r="O434" s="272">
        <v>1</v>
      </c>
      <c r="P434" s="272">
        <v>1</v>
      </c>
      <c r="Q434" s="272">
        <v>1</v>
      </c>
      <c r="R434" s="372">
        <v>1</v>
      </c>
      <c r="S434" s="395">
        <v>1</v>
      </c>
      <c r="T434" s="272">
        <v>1</v>
      </c>
      <c r="U434" s="272">
        <v>1</v>
      </c>
      <c r="V434" s="272">
        <v>1</v>
      </c>
      <c r="W434" s="272">
        <v>1</v>
      </c>
      <c r="X434" s="272">
        <v>1</v>
      </c>
      <c r="Y434" s="272">
        <v>1</v>
      </c>
      <c r="Z434" s="272">
        <v>1</v>
      </c>
      <c r="AA434" s="272">
        <v>1</v>
      </c>
      <c r="AB434" s="272">
        <v>1</v>
      </c>
      <c r="AC434" s="272">
        <v>1</v>
      </c>
      <c r="AD434" s="396">
        <v>1</v>
      </c>
      <c r="AE434" s="396">
        <v>1</v>
      </c>
      <c r="AF434" s="396">
        <v>1</v>
      </c>
      <c r="AG434" s="396">
        <v>1</v>
      </c>
      <c r="AH434" s="396">
        <v>1</v>
      </c>
      <c r="AI434" s="396">
        <v>1</v>
      </c>
      <c r="AJ434" s="396">
        <v>1</v>
      </c>
      <c r="AK434" s="396">
        <v>1</v>
      </c>
      <c r="AL434" s="396">
        <v>1</v>
      </c>
      <c r="AM434" s="396">
        <v>1</v>
      </c>
      <c r="AN434" s="396">
        <v>1</v>
      </c>
      <c r="AO434" s="396">
        <v>1</v>
      </c>
      <c r="AP434" s="396">
        <v>1</v>
      </c>
    </row>
    <row r="435" spans="1:42" s="140" customFormat="1" ht="13.5" hidden="1" customHeight="1" outlineLevel="3" thickBot="1">
      <c r="A435" s="216"/>
      <c r="B435" s="255" t="s">
        <v>620</v>
      </c>
      <c r="C435" s="290" t="s">
        <v>235</v>
      </c>
      <c r="D435" s="227" t="s">
        <v>231</v>
      </c>
      <c r="E435" s="241"/>
      <c r="F435" s="228">
        <f t="shared" si="954"/>
        <v>6.2251019714089834E-2</v>
      </c>
      <c r="G435" s="269">
        <f>+F435*G432</f>
        <v>6.5100662756740164E-5</v>
      </c>
      <c r="H435" s="299"/>
      <c r="I435" s="299"/>
      <c r="J435" s="299"/>
      <c r="K435" s="299"/>
      <c r="L435" s="299"/>
      <c r="M435" s="299"/>
      <c r="N435" s="272">
        <v>1</v>
      </c>
      <c r="O435" s="272">
        <v>1</v>
      </c>
      <c r="P435" s="272">
        <v>1</v>
      </c>
      <c r="Q435" s="272">
        <v>1</v>
      </c>
      <c r="R435" s="372">
        <v>1</v>
      </c>
      <c r="S435" s="395">
        <v>1</v>
      </c>
      <c r="T435" s="272">
        <v>1</v>
      </c>
      <c r="U435" s="272">
        <v>1</v>
      </c>
      <c r="V435" s="272">
        <v>1</v>
      </c>
      <c r="W435" s="272">
        <v>1</v>
      </c>
      <c r="X435" s="272">
        <v>1</v>
      </c>
      <c r="Y435" s="272">
        <v>1</v>
      </c>
      <c r="Z435" s="272">
        <v>1</v>
      </c>
      <c r="AA435" s="272">
        <v>1</v>
      </c>
      <c r="AB435" s="272">
        <v>1</v>
      </c>
      <c r="AC435" s="272">
        <v>1</v>
      </c>
      <c r="AD435" s="396">
        <v>1</v>
      </c>
      <c r="AE435" s="396">
        <v>1</v>
      </c>
      <c r="AF435" s="396">
        <v>1</v>
      </c>
      <c r="AG435" s="396">
        <v>1</v>
      </c>
      <c r="AH435" s="396">
        <v>1</v>
      </c>
      <c r="AI435" s="396">
        <v>1</v>
      </c>
      <c r="AJ435" s="396">
        <v>1</v>
      </c>
      <c r="AK435" s="396">
        <v>1</v>
      </c>
      <c r="AL435" s="396">
        <v>1</v>
      </c>
      <c r="AM435" s="396">
        <v>1</v>
      </c>
      <c r="AN435" s="396">
        <v>1</v>
      </c>
      <c r="AO435" s="396">
        <v>1</v>
      </c>
      <c r="AP435" s="396">
        <v>1</v>
      </c>
    </row>
    <row r="436" spans="1:42" s="140" customFormat="1" ht="13.5" hidden="1" customHeight="1" outlineLevel="3" thickBot="1">
      <c r="A436" s="216"/>
      <c r="B436" s="255" t="s">
        <v>621</v>
      </c>
      <c r="C436" s="290" t="s">
        <v>237</v>
      </c>
      <c r="D436" s="227" t="s">
        <v>231</v>
      </c>
      <c r="E436" s="241"/>
      <c r="F436" s="228">
        <f t="shared" si="954"/>
        <v>6.2251019714089834E-2</v>
      </c>
      <c r="G436" s="269">
        <f>+F436*G432</f>
        <v>6.5100662756740164E-5</v>
      </c>
      <c r="H436" s="299"/>
      <c r="I436" s="299"/>
      <c r="J436" s="299"/>
      <c r="K436" s="299"/>
      <c r="L436" s="299"/>
      <c r="M436" s="299"/>
      <c r="N436" s="272">
        <v>1</v>
      </c>
      <c r="O436" s="272">
        <v>1</v>
      </c>
      <c r="P436" s="272">
        <v>1</v>
      </c>
      <c r="Q436" s="272">
        <v>1</v>
      </c>
      <c r="R436" s="372">
        <v>1</v>
      </c>
      <c r="S436" s="395">
        <v>1</v>
      </c>
      <c r="T436" s="272">
        <v>1</v>
      </c>
      <c r="U436" s="272">
        <v>1</v>
      </c>
      <c r="V436" s="272">
        <v>1</v>
      </c>
      <c r="W436" s="272">
        <v>1</v>
      </c>
      <c r="X436" s="272">
        <v>1</v>
      </c>
      <c r="Y436" s="272">
        <v>1</v>
      </c>
      <c r="Z436" s="272">
        <v>1</v>
      </c>
      <c r="AA436" s="272">
        <v>1</v>
      </c>
      <c r="AB436" s="272">
        <v>1</v>
      </c>
      <c r="AC436" s="272">
        <v>1</v>
      </c>
      <c r="AD436" s="396">
        <v>1</v>
      </c>
      <c r="AE436" s="396">
        <v>1</v>
      </c>
      <c r="AF436" s="396">
        <v>1</v>
      </c>
      <c r="AG436" s="396">
        <v>1</v>
      </c>
      <c r="AH436" s="396">
        <v>1</v>
      </c>
      <c r="AI436" s="396">
        <v>1</v>
      </c>
      <c r="AJ436" s="396">
        <v>1</v>
      </c>
      <c r="AK436" s="396">
        <v>1</v>
      </c>
      <c r="AL436" s="396">
        <v>1</v>
      </c>
      <c r="AM436" s="396">
        <v>1</v>
      </c>
      <c r="AN436" s="396">
        <v>1</v>
      </c>
      <c r="AO436" s="396">
        <v>1</v>
      </c>
      <c r="AP436" s="396">
        <v>1</v>
      </c>
    </row>
    <row r="437" spans="1:42" s="140" customFormat="1" ht="13.5" hidden="1" customHeight="1" outlineLevel="3" thickBot="1">
      <c r="A437" s="216"/>
      <c r="B437" s="255" t="s">
        <v>622</v>
      </c>
      <c r="C437" s="290" t="s">
        <v>239</v>
      </c>
      <c r="D437" s="227" t="s">
        <v>231</v>
      </c>
      <c r="E437" s="241"/>
      <c r="F437" s="228">
        <f t="shared" si="954"/>
        <v>6.2251019714089834E-2</v>
      </c>
      <c r="G437" s="269">
        <f>+F437*G432</f>
        <v>6.5100662756740164E-5</v>
      </c>
      <c r="H437" s="299"/>
      <c r="I437" s="299"/>
      <c r="J437" s="299"/>
      <c r="K437" s="299"/>
      <c r="L437" s="299"/>
      <c r="M437" s="299"/>
      <c r="N437" s="272">
        <v>1</v>
      </c>
      <c r="O437" s="272">
        <v>1</v>
      </c>
      <c r="P437" s="272">
        <v>1</v>
      </c>
      <c r="Q437" s="272">
        <v>1</v>
      </c>
      <c r="R437" s="372">
        <v>1</v>
      </c>
      <c r="S437" s="395">
        <v>1</v>
      </c>
      <c r="T437" s="272">
        <v>1</v>
      </c>
      <c r="U437" s="272">
        <v>1</v>
      </c>
      <c r="V437" s="272">
        <v>1</v>
      </c>
      <c r="W437" s="272">
        <v>1</v>
      </c>
      <c r="X437" s="272">
        <v>1</v>
      </c>
      <c r="Y437" s="272">
        <v>1</v>
      </c>
      <c r="Z437" s="272">
        <v>1</v>
      </c>
      <c r="AA437" s="272">
        <v>1</v>
      </c>
      <c r="AB437" s="272">
        <v>1</v>
      </c>
      <c r="AC437" s="272">
        <v>1</v>
      </c>
      <c r="AD437" s="396">
        <v>1</v>
      </c>
      <c r="AE437" s="396">
        <v>1</v>
      </c>
      <c r="AF437" s="396">
        <v>1</v>
      </c>
      <c r="AG437" s="396">
        <v>1</v>
      </c>
      <c r="AH437" s="396">
        <v>1</v>
      </c>
      <c r="AI437" s="396">
        <v>1</v>
      </c>
      <c r="AJ437" s="396">
        <v>1</v>
      </c>
      <c r="AK437" s="396">
        <v>1</v>
      </c>
      <c r="AL437" s="396">
        <v>1</v>
      </c>
      <c r="AM437" s="396">
        <v>1</v>
      </c>
      <c r="AN437" s="396">
        <v>1</v>
      </c>
      <c r="AO437" s="396">
        <v>1</v>
      </c>
      <c r="AP437" s="396">
        <v>1</v>
      </c>
    </row>
    <row r="438" spans="1:42" s="140" customFormat="1" ht="13.5" hidden="1" customHeight="1" outlineLevel="3" thickBot="1">
      <c r="A438" s="216"/>
      <c r="B438" s="255" t="s">
        <v>623</v>
      </c>
      <c r="C438" s="290" t="s">
        <v>241</v>
      </c>
      <c r="D438" s="227" t="s">
        <v>231</v>
      </c>
      <c r="E438" s="241"/>
      <c r="F438" s="228">
        <f t="shared" si="954"/>
        <v>6.2251019714089834E-2</v>
      </c>
      <c r="G438" s="269">
        <f>+F438*G432</f>
        <v>6.5100662756740164E-5</v>
      </c>
      <c r="H438" s="299"/>
      <c r="I438" s="299"/>
      <c r="J438" s="299"/>
      <c r="K438" s="299"/>
      <c r="L438" s="299"/>
      <c r="M438" s="299"/>
      <c r="N438" s="272">
        <v>1</v>
      </c>
      <c r="O438" s="272">
        <v>1</v>
      </c>
      <c r="P438" s="272">
        <v>1</v>
      </c>
      <c r="Q438" s="272">
        <v>1</v>
      </c>
      <c r="R438" s="372">
        <v>1</v>
      </c>
      <c r="S438" s="395">
        <v>1</v>
      </c>
      <c r="T438" s="272">
        <v>1</v>
      </c>
      <c r="U438" s="272">
        <v>1</v>
      </c>
      <c r="V438" s="272">
        <v>1</v>
      </c>
      <c r="W438" s="272">
        <v>1</v>
      </c>
      <c r="X438" s="272">
        <v>1</v>
      </c>
      <c r="Y438" s="272">
        <v>1</v>
      </c>
      <c r="Z438" s="272">
        <v>1</v>
      </c>
      <c r="AA438" s="272">
        <v>1</v>
      </c>
      <c r="AB438" s="272">
        <v>1</v>
      </c>
      <c r="AC438" s="272">
        <v>1</v>
      </c>
      <c r="AD438" s="396">
        <v>1</v>
      </c>
      <c r="AE438" s="396">
        <v>1</v>
      </c>
      <c r="AF438" s="396">
        <v>1</v>
      </c>
      <c r="AG438" s="396">
        <v>1</v>
      </c>
      <c r="AH438" s="396">
        <v>1</v>
      </c>
      <c r="AI438" s="396">
        <v>1</v>
      </c>
      <c r="AJ438" s="396">
        <v>1</v>
      </c>
      <c r="AK438" s="396">
        <v>1</v>
      </c>
      <c r="AL438" s="396">
        <v>1</v>
      </c>
      <c r="AM438" s="396">
        <v>1</v>
      </c>
      <c r="AN438" s="396">
        <v>1</v>
      </c>
      <c r="AO438" s="396">
        <v>1</v>
      </c>
      <c r="AP438" s="396">
        <v>1</v>
      </c>
    </row>
    <row r="439" spans="1:42" s="140" customFormat="1" ht="13.5" hidden="1" customHeight="1" outlineLevel="3" thickBot="1">
      <c r="A439" s="216"/>
      <c r="B439" s="255" t="s">
        <v>624</v>
      </c>
      <c r="C439" s="290" t="s">
        <v>243</v>
      </c>
      <c r="D439" s="227" t="s">
        <v>231</v>
      </c>
      <c r="E439" s="241"/>
      <c r="F439" s="228">
        <f t="shared" si="954"/>
        <v>6.2251019714089834E-2</v>
      </c>
      <c r="G439" s="269">
        <f>+F439*G432</f>
        <v>6.5100662756740164E-5</v>
      </c>
      <c r="H439" s="299"/>
      <c r="I439" s="299"/>
      <c r="J439" s="299"/>
      <c r="K439" s="299"/>
      <c r="L439" s="299"/>
      <c r="M439" s="299"/>
      <c r="N439" s="272">
        <v>1</v>
      </c>
      <c r="O439" s="272">
        <v>1</v>
      </c>
      <c r="P439" s="272">
        <v>1</v>
      </c>
      <c r="Q439" s="272">
        <v>1</v>
      </c>
      <c r="R439" s="372">
        <v>1</v>
      </c>
      <c r="S439" s="395">
        <v>1</v>
      </c>
      <c r="T439" s="272">
        <v>1</v>
      </c>
      <c r="U439" s="272">
        <v>1</v>
      </c>
      <c r="V439" s="272">
        <v>1</v>
      </c>
      <c r="W439" s="272">
        <v>1</v>
      </c>
      <c r="X439" s="272">
        <v>1</v>
      </c>
      <c r="Y439" s="272">
        <v>1</v>
      </c>
      <c r="Z439" s="272">
        <v>1</v>
      </c>
      <c r="AA439" s="272">
        <v>1</v>
      </c>
      <c r="AB439" s="272">
        <v>1</v>
      </c>
      <c r="AC439" s="272">
        <v>1</v>
      </c>
      <c r="AD439" s="396">
        <v>1</v>
      </c>
      <c r="AE439" s="396">
        <v>1</v>
      </c>
      <c r="AF439" s="396">
        <v>1</v>
      </c>
      <c r="AG439" s="396">
        <v>1</v>
      </c>
      <c r="AH439" s="396">
        <v>1</v>
      </c>
      <c r="AI439" s="396">
        <v>1</v>
      </c>
      <c r="AJ439" s="396">
        <v>1</v>
      </c>
      <c r="AK439" s="396">
        <v>1</v>
      </c>
      <c r="AL439" s="396">
        <v>1</v>
      </c>
      <c r="AM439" s="396">
        <v>1</v>
      </c>
      <c r="AN439" s="396">
        <v>1</v>
      </c>
      <c r="AO439" s="396">
        <v>1</v>
      </c>
      <c r="AP439" s="396">
        <v>1</v>
      </c>
    </row>
    <row r="440" spans="1:42" s="140" customFormat="1" ht="13.5" hidden="1" customHeight="1" outlineLevel="3" thickBot="1">
      <c r="A440" s="216"/>
      <c r="B440" s="255" t="s">
        <v>625</v>
      </c>
      <c r="C440" s="290" t="s">
        <v>245</v>
      </c>
      <c r="D440" s="227" t="s">
        <v>231</v>
      </c>
      <c r="E440" s="241"/>
      <c r="F440" s="228">
        <f t="shared" si="954"/>
        <v>6.2251019714089834E-2</v>
      </c>
      <c r="G440" s="269">
        <f>+F440*G432</f>
        <v>6.5100662756740164E-5</v>
      </c>
      <c r="H440" s="299"/>
      <c r="I440" s="299"/>
      <c r="J440" s="299"/>
      <c r="K440" s="299"/>
      <c r="L440" s="299"/>
      <c r="M440" s="299"/>
      <c r="N440" s="272">
        <v>1</v>
      </c>
      <c r="O440" s="272">
        <v>1</v>
      </c>
      <c r="P440" s="272">
        <v>1</v>
      </c>
      <c r="Q440" s="272">
        <v>1</v>
      </c>
      <c r="R440" s="372">
        <v>1</v>
      </c>
      <c r="S440" s="395">
        <v>1</v>
      </c>
      <c r="T440" s="272">
        <v>1</v>
      </c>
      <c r="U440" s="272">
        <v>1</v>
      </c>
      <c r="V440" s="272">
        <v>1</v>
      </c>
      <c r="W440" s="272">
        <v>1</v>
      </c>
      <c r="X440" s="272">
        <v>1</v>
      </c>
      <c r="Y440" s="272">
        <v>1</v>
      </c>
      <c r="Z440" s="272">
        <v>1</v>
      </c>
      <c r="AA440" s="272">
        <v>1</v>
      </c>
      <c r="AB440" s="272">
        <v>1</v>
      </c>
      <c r="AC440" s="272">
        <v>1</v>
      </c>
      <c r="AD440" s="396">
        <v>1</v>
      </c>
      <c r="AE440" s="396">
        <v>1</v>
      </c>
      <c r="AF440" s="396">
        <v>1</v>
      </c>
      <c r="AG440" s="396">
        <v>1</v>
      </c>
      <c r="AH440" s="396">
        <v>1</v>
      </c>
      <c r="AI440" s="396">
        <v>1</v>
      </c>
      <c r="AJ440" s="396">
        <v>1</v>
      </c>
      <c r="AK440" s="396">
        <v>1</v>
      </c>
      <c r="AL440" s="396">
        <v>1</v>
      </c>
      <c r="AM440" s="396">
        <v>1</v>
      </c>
      <c r="AN440" s="396">
        <v>1</v>
      </c>
      <c r="AO440" s="396">
        <v>1</v>
      </c>
      <c r="AP440" s="396">
        <v>1</v>
      </c>
    </row>
    <row r="441" spans="1:42" s="140" customFormat="1" ht="13.5" hidden="1" customHeight="1" outlineLevel="3" thickBot="1">
      <c r="A441" s="216"/>
      <c r="B441" s="255" t="s">
        <v>626</v>
      </c>
      <c r="C441" s="290" t="s">
        <v>247</v>
      </c>
      <c r="D441" s="227" t="s">
        <v>231</v>
      </c>
      <c r="E441" s="241"/>
      <c r="F441" s="228">
        <f t="shared" si="954"/>
        <v>6.2251019714089834E-2</v>
      </c>
      <c r="G441" s="269">
        <f>+F441*G432</f>
        <v>6.5100662756740164E-5</v>
      </c>
      <c r="H441" s="299"/>
      <c r="I441" s="299"/>
      <c r="J441" s="299"/>
      <c r="K441" s="299"/>
      <c r="L441" s="299"/>
      <c r="M441" s="299"/>
      <c r="N441" s="272">
        <v>1</v>
      </c>
      <c r="O441" s="272">
        <v>1</v>
      </c>
      <c r="P441" s="272">
        <v>1</v>
      </c>
      <c r="Q441" s="272">
        <v>1</v>
      </c>
      <c r="R441" s="372">
        <v>1</v>
      </c>
      <c r="S441" s="395">
        <v>1</v>
      </c>
      <c r="T441" s="272">
        <v>1</v>
      </c>
      <c r="U441" s="272">
        <v>1</v>
      </c>
      <c r="V441" s="272">
        <v>1</v>
      </c>
      <c r="W441" s="272">
        <v>1</v>
      </c>
      <c r="X441" s="272">
        <v>1</v>
      </c>
      <c r="Y441" s="272">
        <v>1</v>
      </c>
      <c r="Z441" s="272">
        <v>1</v>
      </c>
      <c r="AA441" s="272">
        <v>1</v>
      </c>
      <c r="AB441" s="272">
        <v>1</v>
      </c>
      <c r="AC441" s="272">
        <v>1</v>
      </c>
      <c r="AD441" s="396">
        <v>1</v>
      </c>
      <c r="AE441" s="396">
        <v>1</v>
      </c>
      <c r="AF441" s="396">
        <v>1</v>
      </c>
      <c r="AG441" s="396">
        <v>1</v>
      </c>
      <c r="AH441" s="396">
        <v>1</v>
      </c>
      <c r="AI441" s="396">
        <v>1</v>
      </c>
      <c r="AJ441" s="396">
        <v>1</v>
      </c>
      <c r="AK441" s="396">
        <v>1</v>
      </c>
      <c r="AL441" s="396">
        <v>1</v>
      </c>
      <c r="AM441" s="396">
        <v>1</v>
      </c>
      <c r="AN441" s="396">
        <v>1</v>
      </c>
      <c r="AO441" s="396">
        <v>1</v>
      </c>
      <c r="AP441" s="396">
        <v>1</v>
      </c>
    </row>
    <row r="442" spans="1:42" s="140" customFormat="1" ht="13.5" hidden="1" customHeight="1" outlineLevel="3" thickBot="1">
      <c r="A442" s="216"/>
      <c r="B442" s="255" t="s">
        <v>627</v>
      </c>
      <c r="C442" s="290" t="s">
        <v>249</v>
      </c>
      <c r="D442" s="227" t="s">
        <v>231</v>
      </c>
      <c r="E442" s="241"/>
      <c r="F442" s="228">
        <f t="shared" si="954"/>
        <v>6.2251019714089834E-2</v>
      </c>
      <c r="G442" s="269">
        <f>+F442*G432</f>
        <v>6.5100662756740164E-5</v>
      </c>
      <c r="H442" s="299"/>
      <c r="I442" s="299"/>
      <c r="J442" s="299"/>
      <c r="K442" s="299"/>
      <c r="L442" s="299"/>
      <c r="M442" s="299"/>
      <c r="N442" s="272">
        <v>1</v>
      </c>
      <c r="O442" s="272">
        <v>1</v>
      </c>
      <c r="P442" s="272">
        <v>1</v>
      </c>
      <c r="Q442" s="272">
        <v>1</v>
      </c>
      <c r="R442" s="372">
        <v>1</v>
      </c>
      <c r="S442" s="395">
        <v>1</v>
      </c>
      <c r="T442" s="272">
        <v>1</v>
      </c>
      <c r="U442" s="272">
        <v>1</v>
      </c>
      <c r="V442" s="272">
        <v>1</v>
      </c>
      <c r="W442" s="272">
        <v>1</v>
      </c>
      <c r="X442" s="272">
        <v>1</v>
      </c>
      <c r="Y442" s="272">
        <v>1</v>
      </c>
      <c r="Z442" s="272">
        <v>1</v>
      </c>
      <c r="AA442" s="272">
        <v>1</v>
      </c>
      <c r="AB442" s="272">
        <v>1</v>
      </c>
      <c r="AC442" s="272">
        <v>1</v>
      </c>
      <c r="AD442" s="396">
        <v>1</v>
      </c>
      <c r="AE442" s="396">
        <v>1</v>
      </c>
      <c r="AF442" s="396">
        <v>1</v>
      </c>
      <c r="AG442" s="396">
        <v>1</v>
      </c>
      <c r="AH442" s="396">
        <v>1</v>
      </c>
      <c r="AI442" s="396">
        <v>1</v>
      </c>
      <c r="AJ442" s="396">
        <v>1</v>
      </c>
      <c r="AK442" s="396">
        <v>1</v>
      </c>
      <c r="AL442" s="396">
        <v>1</v>
      </c>
      <c r="AM442" s="396">
        <v>1</v>
      </c>
      <c r="AN442" s="396">
        <v>1</v>
      </c>
      <c r="AO442" s="396">
        <v>1</v>
      </c>
      <c r="AP442" s="396">
        <v>1</v>
      </c>
    </row>
    <row r="443" spans="1:42" s="140" customFormat="1" ht="13.5" hidden="1" customHeight="1" outlineLevel="3" thickBot="1">
      <c r="A443" s="216"/>
      <c r="B443" s="255" t="s">
        <v>628</v>
      </c>
      <c r="C443" s="290" t="s">
        <v>251</v>
      </c>
      <c r="D443" s="227" t="s">
        <v>231</v>
      </c>
      <c r="E443" s="241"/>
      <c r="F443" s="228">
        <f t="shared" si="954"/>
        <v>6.2251019714089834E-2</v>
      </c>
      <c r="G443" s="269">
        <f>+F443*G432</f>
        <v>6.5100662756740164E-5</v>
      </c>
      <c r="H443" s="299"/>
      <c r="I443" s="299"/>
      <c r="J443" s="299"/>
      <c r="K443" s="299"/>
      <c r="L443" s="299"/>
      <c r="M443" s="299"/>
      <c r="N443" s="272">
        <v>1</v>
      </c>
      <c r="O443" s="272">
        <v>1</v>
      </c>
      <c r="P443" s="272">
        <v>1</v>
      </c>
      <c r="Q443" s="272">
        <v>1</v>
      </c>
      <c r="R443" s="372">
        <v>1</v>
      </c>
      <c r="S443" s="395">
        <v>1</v>
      </c>
      <c r="T443" s="272">
        <v>1</v>
      </c>
      <c r="U443" s="272">
        <v>1</v>
      </c>
      <c r="V443" s="272">
        <v>1</v>
      </c>
      <c r="W443" s="272">
        <v>1</v>
      </c>
      <c r="X443" s="272">
        <v>1</v>
      </c>
      <c r="Y443" s="272">
        <v>1</v>
      </c>
      <c r="Z443" s="272">
        <v>1</v>
      </c>
      <c r="AA443" s="272">
        <v>1</v>
      </c>
      <c r="AB443" s="272">
        <v>1</v>
      </c>
      <c r="AC443" s="272">
        <v>1</v>
      </c>
      <c r="AD443" s="396">
        <v>1</v>
      </c>
      <c r="AE443" s="396">
        <v>1</v>
      </c>
      <c r="AF443" s="396">
        <v>1</v>
      </c>
      <c r="AG443" s="396">
        <v>1</v>
      </c>
      <c r="AH443" s="396">
        <v>1</v>
      </c>
      <c r="AI443" s="396">
        <v>1</v>
      </c>
      <c r="AJ443" s="396">
        <v>1</v>
      </c>
      <c r="AK443" s="396">
        <v>1</v>
      </c>
      <c r="AL443" s="396">
        <v>1</v>
      </c>
      <c r="AM443" s="396">
        <v>1</v>
      </c>
      <c r="AN443" s="396">
        <v>1</v>
      </c>
      <c r="AO443" s="396">
        <v>1</v>
      </c>
      <c r="AP443" s="396">
        <v>1</v>
      </c>
    </row>
    <row r="444" spans="1:42" s="140" customFormat="1" ht="13.5" hidden="1" customHeight="1" outlineLevel="3" thickBot="1">
      <c r="A444" s="216"/>
      <c r="B444" s="255" t="s">
        <v>629</v>
      </c>
      <c r="C444" s="290" t="s">
        <v>253</v>
      </c>
      <c r="D444" s="227" t="s">
        <v>231</v>
      </c>
      <c r="E444" s="241"/>
      <c r="F444" s="228">
        <f t="shared" si="954"/>
        <v>6.2251019714089834E-2</v>
      </c>
      <c r="G444" s="269">
        <f>+F444*G432</f>
        <v>6.5100662756740164E-5</v>
      </c>
      <c r="H444" s="299"/>
      <c r="I444" s="299"/>
      <c r="J444" s="299"/>
      <c r="K444" s="299"/>
      <c r="L444" s="299"/>
      <c r="M444" s="299"/>
      <c r="N444" s="272">
        <v>1</v>
      </c>
      <c r="O444" s="272">
        <v>1</v>
      </c>
      <c r="P444" s="272">
        <v>1</v>
      </c>
      <c r="Q444" s="272">
        <v>1</v>
      </c>
      <c r="R444" s="372">
        <v>1</v>
      </c>
      <c r="S444" s="395">
        <v>1</v>
      </c>
      <c r="T444" s="272">
        <v>1</v>
      </c>
      <c r="U444" s="272">
        <v>1</v>
      </c>
      <c r="V444" s="272">
        <v>1</v>
      </c>
      <c r="W444" s="272">
        <v>1</v>
      </c>
      <c r="X444" s="272">
        <v>1</v>
      </c>
      <c r="Y444" s="272">
        <v>1</v>
      </c>
      <c r="Z444" s="272">
        <v>1</v>
      </c>
      <c r="AA444" s="272">
        <v>1</v>
      </c>
      <c r="AB444" s="272">
        <v>1</v>
      </c>
      <c r="AC444" s="272">
        <v>1</v>
      </c>
      <c r="AD444" s="396">
        <v>1</v>
      </c>
      <c r="AE444" s="396">
        <v>1</v>
      </c>
      <c r="AF444" s="396">
        <v>1</v>
      </c>
      <c r="AG444" s="396">
        <v>1</v>
      </c>
      <c r="AH444" s="396">
        <v>1</v>
      </c>
      <c r="AI444" s="396">
        <v>1</v>
      </c>
      <c r="AJ444" s="396">
        <v>1</v>
      </c>
      <c r="AK444" s="396">
        <v>1</v>
      </c>
      <c r="AL444" s="396">
        <v>1</v>
      </c>
      <c r="AM444" s="396">
        <v>1</v>
      </c>
      <c r="AN444" s="396">
        <v>1</v>
      </c>
      <c r="AO444" s="396">
        <v>1</v>
      </c>
      <c r="AP444" s="396">
        <v>1</v>
      </c>
    </row>
    <row r="445" spans="1:42" s="140" customFormat="1" ht="13.5" hidden="1" customHeight="1" outlineLevel="3" thickBot="1">
      <c r="A445" s="216"/>
      <c r="B445" s="255" t="s">
        <v>630</v>
      </c>
      <c r="C445" s="290" t="s">
        <v>285</v>
      </c>
      <c r="D445" s="227" t="s">
        <v>231</v>
      </c>
      <c r="E445" s="241"/>
      <c r="F445" s="228">
        <f t="shared" si="954"/>
        <v>6.2251019714089834E-2</v>
      </c>
      <c r="G445" s="269">
        <f>+F445*G432</f>
        <v>6.5100662756740164E-5</v>
      </c>
      <c r="H445" s="299"/>
      <c r="I445" s="299"/>
      <c r="J445" s="299"/>
      <c r="K445" s="299"/>
      <c r="L445" s="299"/>
      <c r="M445" s="299"/>
      <c r="N445" s="272">
        <v>1</v>
      </c>
      <c r="O445" s="272">
        <v>1</v>
      </c>
      <c r="P445" s="272">
        <v>1</v>
      </c>
      <c r="Q445" s="272">
        <v>1</v>
      </c>
      <c r="R445" s="372">
        <v>1</v>
      </c>
      <c r="S445" s="395">
        <v>1</v>
      </c>
      <c r="T445" s="272">
        <v>1</v>
      </c>
      <c r="U445" s="272">
        <v>1</v>
      </c>
      <c r="V445" s="272">
        <v>1</v>
      </c>
      <c r="W445" s="272">
        <v>1</v>
      </c>
      <c r="X445" s="272">
        <v>1</v>
      </c>
      <c r="Y445" s="272">
        <v>1</v>
      </c>
      <c r="Z445" s="272">
        <v>1</v>
      </c>
      <c r="AA445" s="272">
        <v>1</v>
      </c>
      <c r="AB445" s="272">
        <v>1</v>
      </c>
      <c r="AC445" s="272">
        <v>1</v>
      </c>
      <c r="AD445" s="396">
        <v>1</v>
      </c>
      <c r="AE445" s="396">
        <v>1</v>
      </c>
      <c r="AF445" s="396">
        <v>1</v>
      </c>
      <c r="AG445" s="396">
        <v>1</v>
      </c>
      <c r="AH445" s="396">
        <v>1</v>
      </c>
      <c r="AI445" s="396">
        <v>1</v>
      </c>
      <c r="AJ445" s="396">
        <v>1</v>
      </c>
      <c r="AK445" s="396">
        <v>1</v>
      </c>
      <c r="AL445" s="396">
        <v>1</v>
      </c>
      <c r="AM445" s="396">
        <v>1</v>
      </c>
      <c r="AN445" s="396">
        <v>1</v>
      </c>
      <c r="AO445" s="396">
        <v>1</v>
      </c>
      <c r="AP445" s="396">
        <v>1</v>
      </c>
    </row>
    <row r="446" spans="1:42" s="140" customFormat="1" ht="13.5" hidden="1" customHeight="1" outlineLevel="3" thickBot="1">
      <c r="A446" s="216"/>
      <c r="B446" s="255" t="s">
        <v>631</v>
      </c>
      <c r="C446" s="290" t="s">
        <v>287</v>
      </c>
      <c r="D446" s="227" t="s">
        <v>231</v>
      </c>
      <c r="E446" s="241"/>
      <c r="F446" s="228">
        <f t="shared" si="954"/>
        <v>6.2251019714089834E-2</v>
      </c>
      <c r="G446" s="269">
        <f>+F446*G432</f>
        <v>6.5100662756740164E-5</v>
      </c>
      <c r="H446" s="299"/>
      <c r="I446" s="299"/>
      <c r="J446" s="299"/>
      <c r="K446" s="299"/>
      <c r="L446" s="299"/>
      <c r="M446" s="299"/>
      <c r="N446" s="272">
        <v>1</v>
      </c>
      <c r="O446" s="272">
        <v>1</v>
      </c>
      <c r="P446" s="272">
        <v>1</v>
      </c>
      <c r="Q446" s="272">
        <v>1</v>
      </c>
      <c r="R446" s="372">
        <v>1</v>
      </c>
      <c r="S446" s="395">
        <v>1</v>
      </c>
      <c r="T446" s="272">
        <v>1</v>
      </c>
      <c r="U446" s="272">
        <v>1</v>
      </c>
      <c r="V446" s="272">
        <v>1</v>
      </c>
      <c r="W446" s="272">
        <v>1</v>
      </c>
      <c r="X446" s="272">
        <v>1</v>
      </c>
      <c r="Y446" s="272">
        <v>1</v>
      </c>
      <c r="Z446" s="272">
        <v>1</v>
      </c>
      <c r="AA446" s="272">
        <v>1</v>
      </c>
      <c r="AB446" s="272">
        <v>1</v>
      </c>
      <c r="AC446" s="272">
        <v>1</v>
      </c>
      <c r="AD446" s="396">
        <v>1</v>
      </c>
      <c r="AE446" s="396">
        <v>1</v>
      </c>
      <c r="AF446" s="396">
        <v>1</v>
      </c>
      <c r="AG446" s="396">
        <v>1</v>
      </c>
      <c r="AH446" s="396">
        <v>1</v>
      </c>
      <c r="AI446" s="396">
        <v>1</v>
      </c>
      <c r="AJ446" s="396">
        <v>1</v>
      </c>
      <c r="AK446" s="396">
        <v>1</v>
      </c>
      <c r="AL446" s="396">
        <v>1</v>
      </c>
      <c r="AM446" s="396">
        <v>1</v>
      </c>
      <c r="AN446" s="396">
        <v>1</v>
      </c>
      <c r="AO446" s="396">
        <v>1</v>
      </c>
      <c r="AP446" s="396">
        <v>1</v>
      </c>
    </row>
    <row r="447" spans="1:42" s="140" customFormat="1" ht="13.5" hidden="1" customHeight="1" outlineLevel="3" thickBot="1">
      <c r="A447" s="216"/>
      <c r="B447" s="255" t="s">
        <v>632</v>
      </c>
      <c r="C447" s="290" t="s">
        <v>289</v>
      </c>
      <c r="D447" s="227" t="s">
        <v>231</v>
      </c>
      <c r="E447" s="241"/>
      <c r="F447" s="228">
        <f t="shared" si="954"/>
        <v>6.2251019714089834E-2</v>
      </c>
      <c r="G447" s="269">
        <f>+F447*G432</f>
        <v>6.5100662756740164E-5</v>
      </c>
      <c r="H447" s="299"/>
      <c r="I447" s="299"/>
      <c r="J447" s="299"/>
      <c r="K447" s="299"/>
      <c r="L447" s="299"/>
      <c r="M447" s="299"/>
      <c r="N447" s="272">
        <v>1</v>
      </c>
      <c r="O447" s="272">
        <v>1</v>
      </c>
      <c r="P447" s="272">
        <v>1</v>
      </c>
      <c r="Q447" s="272">
        <v>1</v>
      </c>
      <c r="R447" s="372">
        <v>1</v>
      </c>
      <c r="S447" s="395">
        <v>1</v>
      </c>
      <c r="T447" s="272">
        <v>1</v>
      </c>
      <c r="U447" s="272">
        <v>1</v>
      </c>
      <c r="V447" s="272">
        <v>1</v>
      </c>
      <c r="W447" s="272">
        <v>1</v>
      </c>
      <c r="X447" s="272">
        <v>1</v>
      </c>
      <c r="Y447" s="272">
        <v>1</v>
      </c>
      <c r="Z447" s="272">
        <v>1</v>
      </c>
      <c r="AA447" s="272">
        <v>1</v>
      </c>
      <c r="AB447" s="272">
        <v>1</v>
      </c>
      <c r="AC447" s="272">
        <v>1</v>
      </c>
      <c r="AD447" s="396">
        <v>1</v>
      </c>
      <c r="AE447" s="396">
        <v>1</v>
      </c>
      <c r="AF447" s="396">
        <v>1</v>
      </c>
      <c r="AG447" s="396">
        <v>1</v>
      </c>
      <c r="AH447" s="396">
        <v>1</v>
      </c>
      <c r="AI447" s="396">
        <v>1</v>
      </c>
      <c r="AJ447" s="396">
        <v>1</v>
      </c>
      <c r="AK447" s="396">
        <v>1</v>
      </c>
      <c r="AL447" s="396">
        <v>1</v>
      </c>
      <c r="AM447" s="396">
        <v>1</v>
      </c>
      <c r="AN447" s="396">
        <v>1</v>
      </c>
      <c r="AO447" s="396">
        <v>1</v>
      </c>
      <c r="AP447" s="396">
        <v>1</v>
      </c>
    </row>
    <row r="448" spans="1:42" s="140" customFormat="1" ht="13.5" hidden="1" customHeight="1" outlineLevel="3" thickBot="1">
      <c r="A448" s="216"/>
      <c r="B448" s="255" t="s">
        <v>633</v>
      </c>
      <c r="C448" s="290" t="s">
        <v>291</v>
      </c>
      <c r="D448" s="227" t="s">
        <v>231</v>
      </c>
      <c r="E448" s="241"/>
      <c r="F448" s="228">
        <f t="shared" si="954"/>
        <v>6.2251019714089834E-2</v>
      </c>
      <c r="G448" s="269">
        <f>+F448*G432</f>
        <v>6.5100662756740164E-5</v>
      </c>
      <c r="H448" s="299"/>
      <c r="I448" s="299"/>
      <c r="J448" s="299"/>
      <c r="K448" s="299"/>
      <c r="L448" s="299"/>
      <c r="M448" s="299"/>
      <c r="N448" s="272">
        <v>1</v>
      </c>
      <c r="O448" s="272">
        <v>1</v>
      </c>
      <c r="P448" s="272">
        <v>1</v>
      </c>
      <c r="Q448" s="272">
        <v>1</v>
      </c>
      <c r="R448" s="372">
        <v>1</v>
      </c>
      <c r="S448" s="395">
        <v>1</v>
      </c>
      <c r="T448" s="272">
        <v>1</v>
      </c>
      <c r="U448" s="272">
        <v>1</v>
      </c>
      <c r="V448" s="272">
        <v>1</v>
      </c>
      <c r="W448" s="272">
        <v>1</v>
      </c>
      <c r="X448" s="272">
        <v>1</v>
      </c>
      <c r="Y448" s="272">
        <v>1</v>
      </c>
      <c r="Z448" s="272">
        <v>1</v>
      </c>
      <c r="AA448" s="272">
        <v>1</v>
      </c>
      <c r="AB448" s="272">
        <v>1</v>
      </c>
      <c r="AC448" s="272">
        <v>1</v>
      </c>
      <c r="AD448" s="396">
        <v>1</v>
      </c>
      <c r="AE448" s="396">
        <v>1</v>
      </c>
      <c r="AF448" s="396">
        <v>1</v>
      </c>
      <c r="AG448" s="396">
        <v>1</v>
      </c>
      <c r="AH448" s="396">
        <v>1</v>
      </c>
      <c r="AI448" s="396">
        <v>1</v>
      </c>
      <c r="AJ448" s="396">
        <v>1</v>
      </c>
      <c r="AK448" s="396">
        <v>1</v>
      </c>
      <c r="AL448" s="396">
        <v>1</v>
      </c>
      <c r="AM448" s="396">
        <v>1</v>
      </c>
      <c r="AN448" s="396">
        <v>1</v>
      </c>
      <c r="AO448" s="396">
        <v>1</v>
      </c>
      <c r="AP448" s="396">
        <v>1</v>
      </c>
    </row>
    <row r="449" spans="1:42" s="140" customFormat="1" ht="26.25" hidden="1" customHeight="1" outlineLevel="3" thickBot="1">
      <c r="A449" s="216"/>
      <c r="B449" s="255" t="s">
        <v>634</v>
      </c>
      <c r="C449" s="290" t="s">
        <v>366</v>
      </c>
      <c r="D449" s="227" t="s">
        <v>367</v>
      </c>
      <c r="E449" s="241"/>
      <c r="F449" s="228">
        <f t="shared" si="954"/>
        <v>3.9836845745626157E-3</v>
      </c>
      <c r="G449" s="269">
        <f>+F449*G432</f>
        <v>4.1660443027109143E-6</v>
      </c>
      <c r="H449" s="299"/>
      <c r="I449" s="299"/>
      <c r="J449" s="299"/>
      <c r="K449" s="299"/>
      <c r="L449" s="299"/>
      <c r="M449" s="299"/>
      <c r="N449" s="272">
        <v>1</v>
      </c>
      <c r="O449" s="272">
        <v>1</v>
      </c>
      <c r="P449" s="272">
        <v>1</v>
      </c>
      <c r="Q449" s="272">
        <v>1</v>
      </c>
      <c r="R449" s="372">
        <v>1</v>
      </c>
      <c r="S449" s="395">
        <v>1</v>
      </c>
      <c r="T449" s="272">
        <v>1</v>
      </c>
      <c r="U449" s="272">
        <v>1</v>
      </c>
      <c r="V449" s="272">
        <v>1</v>
      </c>
      <c r="W449" s="272">
        <v>1</v>
      </c>
      <c r="X449" s="272">
        <v>1</v>
      </c>
      <c r="Y449" s="272">
        <v>1</v>
      </c>
      <c r="Z449" s="272">
        <v>1</v>
      </c>
      <c r="AA449" s="272">
        <v>1</v>
      </c>
      <c r="AB449" s="272">
        <v>1</v>
      </c>
      <c r="AC449" s="272">
        <v>1</v>
      </c>
      <c r="AD449" s="396">
        <v>1</v>
      </c>
      <c r="AE449" s="396">
        <v>1</v>
      </c>
      <c r="AF449" s="396">
        <v>1</v>
      </c>
      <c r="AG449" s="396">
        <v>1</v>
      </c>
      <c r="AH449" s="396">
        <v>1</v>
      </c>
      <c r="AI449" s="396">
        <v>1</v>
      </c>
      <c r="AJ449" s="396">
        <v>1</v>
      </c>
      <c r="AK449" s="396">
        <v>1</v>
      </c>
      <c r="AL449" s="396">
        <v>1</v>
      </c>
      <c r="AM449" s="396">
        <v>1</v>
      </c>
      <c r="AN449" s="396">
        <v>1</v>
      </c>
      <c r="AO449" s="396">
        <v>1</v>
      </c>
      <c r="AP449" s="396">
        <v>1</v>
      </c>
    </row>
    <row r="450" spans="1:42" s="140" customFormat="1" ht="13.5" hidden="1" customHeight="1" outlineLevel="2" thickBot="1">
      <c r="A450" s="216"/>
      <c r="B450" s="291" t="s">
        <v>635</v>
      </c>
      <c r="C450" s="292" t="s">
        <v>45</v>
      </c>
      <c r="D450" s="234" t="s">
        <v>33</v>
      </c>
      <c r="E450" s="240"/>
      <c r="F450" s="223">
        <f t="shared" si="954"/>
        <v>0.10189354851165684</v>
      </c>
      <c r="G450" s="293">
        <f>+F450*G343</f>
        <v>7.9586168784860666E-4</v>
      </c>
      <c r="H450" s="298"/>
      <c r="I450" s="298"/>
      <c r="J450" s="298"/>
      <c r="K450" s="298"/>
      <c r="L450" s="298"/>
      <c r="M450" s="298"/>
      <c r="N450" s="270">
        <f t="shared" ref="N450:R450" si="1001">+SUMPRODUCT($F451:$F464,N451:N464)</f>
        <v>1.0000000000000002</v>
      </c>
      <c r="O450" s="270">
        <f t="shared" si="1001"/>
        <v>1.0000000000000002</v>
      </c>
      <c r="P450" s="270">
        <f t="shared" si="1001"/>
        <v>1.0000000000000002</v>
      </c>
      <c r="Q450" s="270">
        <f t="shared" si="1001"/>
        <v>1.0000000000000002</v>
      </c>
      <c r="R450" s="370">
        <f t="shared" si="1001"/>
        <v>1.0000000000000002</v>
      </c>
      <c r="S450" s="391">
        <f t="shared" ref="S450" si="1002">+SUMPRODUCT($F451:$F464,S451:S464)</f>
        <v>1.0000000000000002</v>
      </c>
      <c r="T450" s="270">
        <f t="shared" ref="T450" si="1003">+SUMPRODUCT($F451:$F464,T451:T464)</f>
        <v>1.0000000000000002</v>
      </c>
      <c r="U450" s="270">
        <f t="shared" ref="U450" si="1004">+SUMPRODUCT($F451:$F464,U451:U464)</f>
        <v>1.0000000000000002</v>
      </c>
      <c r="V450" s="270">
        <f t="shared" ref="V450" si="1005">+SUMPRODUCT($F451:$F464,V451:V464)</f>
        <v>1.0000000000000002</v>
      </c>
      <c r="W450" s="270">
        <f t="shared" ref="W450" si="1006">+SUMPRODUCT($F451:$F464,W451:W464)</f>
        <v>1.0000000000000002</v>
      </c>
      <c r="X450" s="270">
        <f t="shared" ref="X450" si="1007">+SUMPRODUCT($F451:$F464,X451:X464)</f>
        <v>1.0000000000000002</v>
      </c>
      <c r="Y450" s="270">
        <f t="shared" ref="Y450" si="1008">+SUMPRODUCT($F451:$F464,Y451:Y464)</f>
        <v>1.0000000000000002</v>
      </c>
      <c r="Z450" s="270">
        <f t="shared" ref="Z450" si="1009">+SUMPRODUCT($F451:$F464,Z451:Z464)</f>
        <v>1.0000000000000002</v>
      </c>
      <c r="AA450" s="270">
        <f t="shared" ref="AA450" si="1010">+SUMPRODUCT($F451:$F464,AA451:AA464)</f>
        <v>1.0000000000000002</v>
      </c>
      <c r="AB450" s="270">
        <f t="shared" ref="AB450" si="1011">+SUMPRODUCT($F451:$F464,AB451:AB464)</f>
        <v>1.0000000000000002</v>
      </c>
      <c r="AC450" s="270">
        <f t="shared" ref="AC450" si="1012">+SUMPRODUCT($F451:$F464,AC451:AC464)</f>
        <v>1.0000000000000002</v>
      </c>
      <c r="AD450" s="392">
        <f t="shared" ref="AD450:AF450" si="1013">+SUMPRODUCT($F451:$F464,AD451:AD464)</f>
        <v>1.0000000000000002</v>
      </c>
      <c r="AE450" s="392">
        <f t="shared" si="1013"/>
        <v>1.0000000000000002</v>
      </c>
      <c r="AF450" s="392">
        <f t="shared" si="1013"/>
        <v>1.0000000000000002</v>
      </c>
      <c r="AG450" s="392">
        <f t="shared" ref="AG450" si="1014">+SUMPRODUCT($F451:$F464,AG451:AG464)</f>
        <v>1.0000000000000002</v>
      </c>
      <c r="AH450" s="392">
        <f t="shared" ref="AH450" si="1015">+SUMPRODUCT($F451:$F464,AH451:AH464)</f>
        <v>1.0000000000000002</v>
      </c>
      <c r="AI450" s="392">
        <f t="shared" ref="AI450" si="1016">+SUMPRODUCT($F451:$F464,AI451:AI464)</f>
        <v>1.0000000000000002</v>
      </c>
      <c r="AJ450" s="392">
        <f t="shared" ref="AJ450" si="1017">+SUMPRODUCT($F451:$F464,AJ451:AJ464)</f>
        <v>1.0000000000000002</v>
      </c>
      <c r="AK450" s="392">
        <f t="shared" ref="AK450" si="1018">+SUMPRODUCT($F451:$F464,AK451:AK464)</f>
        <v>1.0000000000000002</v>
      </c>
      <c r="AL450" s="392">
        <f t="shared" ref="AL450" si="1019">+SUMPRODUCT($F451:$F464,AL451:AL464)</f>
        <v>1.0000000000000002</v>
      </c>
      <c r="AM450" s="392">
        <f t="shared" ref="AM450" si="1020">+SUMPRODUCT($F451:$F464,AM451:AM464)</f>
        <v>1.0000000000000002</v>
      </c>
      <c r="AN450" s="392">
        <f t="shared" ref="AN450" si="1021">+SUMPRODUCT($F451:$F464,AN451:AN464)</f>
        <v>1.0000000000000002</v>
      </c>
      <c r="AO450" s="392">
        <f t="shared" ref="AO450" si="1022">+SUMPRODUCT($F451:$F464,AO451:AO464)</f>
        <v>1.0000000000000002</v>
      </c>
      <c r="AP450" s="392">
        <f t="shared" ref="AP450" si="1023">+SUMPRODUCT($F451:$F464,AP451:AP464)</f>
        <v>1.0000000000000002</v>
      </c>
    </row>
    <row r="451" spans="1:42" s="140" customFormat="1" ht="13.5" hidden="1" customHeight="1" outlineLevel="3" thickBot="1">
      <c r="A451" s="216"/>
      <c r="B451" s="255" t="s">
        <v>636</v>
      </c>
      <c r="C451" s="290" t="s">
        <v>230</v>
      </c>
      <c r="D451" s="227" t="s">
        <v>231</v>
      </c>
      <c r="E451" s="241"/>
      <c r="F451" s="228">
        <f t="shared" si="954"/>
        <v>7.4469037330616245E-2</v>
      </c>
      <c r="G451" s="269">
        <f>+F451*G450</f>
        <v>5.9267053742405139E-5</v>
      </c>
      <c r="H451" s="299"/>
      <c r="I451" s="299"/>
      <c r="J451" s="299"/>
      <c r="K451" s="299"/>
      <c r="L451" s="299"/>
      <c r="M451" s="299"/>
      <c r="N451" s="272">
        <v>1</v>
      </c>
      <c r="O451" s="272">
        <v>1</v>
      </c>
      <c r="P451" s="272">
        <v>1</v>
      </c>
      <c r="Q451" s="272">
        <v>1</v>
      </c>
      <c r="R451" s="372">
        <v>1</v>
      </c>
      <c r="S451" s="395">
        <v>1</v>
      </c>
      <c r="T451" s="272">
        <v>1</v>
      </c>
      <c r="U451" s="272">
        <v>1</v>
      </c>
      <c r="V451" s="272">
        <v>1</v>
      </c>
      <c r="W451" s="272">
        <v>1</v>
      </c>
      <c r="X451" s="272">
        <v>1</v>
      </c>
      <c r="Y451" s="272">
        <v>1</v>
      </c>
      <c r="Z451" s="272">
        <v>1</v>
      </c>
      <c r="AA451" s="272">
        <v>1</v>
      </c>
      <c r="AB451" s="272">
        <v>1</v>
      </c>
      <c r="AC451" s="272">
        <v>1</v>
      </c>
      <c r="AD451" s="396">
        <v>1</v>
      </c>
      <c r="AE451" s="396">
        <v>1</v>
      </c>
      <c r="AF451" s="396">
        <v>1</v>
      </c>
      <c r="AG451" s="396">
        <v>1</v>
      </c>
      <c r="AH451" s="396">
        <v>1</v>
      </c>
      <c r="AI451" s="396">
        <v>1</v>
      </c>
      <c r="AJ451" s="396">
        <v>1</v>
      </c>
      <c r="AK451" s="396">
        <v>1</v>
      </c>
      <c r="AL451" s="396">
        <v>1</v>
      </c>
      <c r="AM451" s="396">
        <v>1</v>
      </c>
      <c r="AN451" s="396">
        <v>1</v>
      </c>
      <c r="AO451" s="396">
        <v>1</v>
      </c>
      <c r="AP451" s="396">
        <v>1</v>
      </c>
    </row>
    <row r="452" spans="1:42" s="140" customFormat="1" ht="13.5" hidden="1" customHeight="1" outlineLevel="3" thickBot="1">
      <c r="A452" s="216"/>
      <c r="B452" s="255" t="s">
        <v>637</v>
      </c>
      <c r="C452" s="290" t="s">
        <v>233</v>
      </c>
      <c r="D452" s="227" t="s">
        <v>231</v>
      </c>
      <c r="E452" s="241"/>
      <c r="F452" s="228">
        <f t="shared" si="954"/>
        <v>7.4469037330616245E-2</v>
      </c>
      <c r="G452" s="269">
        <f>+F452*G450</f>
        <v>5.9267053742405139E-5</v>
      </c>
      <c r="H452" s="299"/>
      <c r="I452" s="299"/>
      <c r="J452" s="299"/>
      <c r="K452" s="299"/>
      <c r="L452" s="299"/>
      <c r="M452" s="299"/>
      <c r="N452" s="272">
        <v>1</v>
      </c>
      <c r="O452" s="272">
        <v>1</v>
      </c>
      <c r="P452" s="272">
        <v>1</v>
      </c>
      <c r="Q452" s="272">
        <v>1</v>
      </c>
      <c r="R452" s="372">
        <v>1</v>
      </c>
      <c r="S452" s="395">
        <v>1</v>
      </c>
      <c r="T452" s="272">
        <v>1</v>
      </c>
      <c r="U452" s="272">
        <v>1</v>
      </c>
      <c r="V452" s="272">
        <v>1</v>
      </c>
      <c r="W452" s="272">
        <v>1</v>
      </c>
      <c r="X452" s="272">
        <v>1</v>
      </c>
      <c r="Y452" s="272">
        <v>1</v>
      </c>
      <c r="Z452" s="272">
        <v>1</v>
      </c>
      <c r="AA452" s="272">
        <v>1</v>
      </c>
      <c r="AB452" s="272">
        <v>1</v>
      </c>
      <c r="AC452" s="272">
        <v>1</v>
      </c>
      <c r="AD452" s="396">
        <v>1</v>
      </c>
      <c r="AE452" s="396">
        <v>1</v>
      </c>
      <c r="AF452" s="396">
        <v>1</v>
      </c>
      <c r="AG452" s="396">
        <v>1</v>
      </c>
      <c r="AH452" s="396">
        <v>1</v>
      </c>
      <c r="AI452" s="396">
        <v>1</v>
      </c>
      <c r="AJ452" s="396">
        <v>1</v>
      </c>
      <c r="AK452" s="396">
        <v>1</v>
      </c>
      <c r="AL452" s="396">
        <v>1</v>
      </c>
      <c r="AM452" s="396">
        <v>1</v>
      </c>
      <c r="AN452" s="396">
        <v>1</v>
      </c>
      <c r="AO452" s="396">
        <v>1</v>
      </c>
      <c r="AP452" s="396">
        <v>1</v>
      </c>
    </row>
    <row r="453" spans="1:42" s="140" customFormat="1" ht="13.5" hidden="1" customHeight="1" outlineLevel="3" thickBot="1">
      <c r="A453" s="216"/>
      <c r="B453" s="255" t="s">
        <v>638</v>
      </c>
      <c r="C453" s="290" t="s">
        <v>235</v>
      </c>
      <c r="D453" s="227" t="s">
        <v>231</v>
      </c>
      <c r="E453" s="241"/>
      <c r="F453" s="228">
        <f t="shared" si="954"/>
        <v>7.4469037330616245E-2</v>
      </c>
      <c r="G453" s="269">
        <f>+F453*G450</f>
        <v>5.9267053742405139E-5</v>
      </c>
      <c r="H453" s="299"/>
      <c r="I453" s="299"/>
      <c r="J453" s="299"/>
      <c r="K453" s="299"/>
      <c r="L453" s="299"/>
      <c r="M453" s="299"/>
      <c r="N453" s="272">
        <v>1</v>
      </c>
      <c r="O453" s="272">
        <v>1</v>
      </c>
      <c r="P453" s="272">
        <v>1</v>
      </c>
      <c r="Q453" s="272">
        <v>1</v>
      </c>
      <c r="R453" s="372">
        <v>1</v>
      </c>
      <c r="S453" s="395">
        <v>1</v>
      </c>
      <c r="T453" s="272">
        <v>1</v>
      </c>
      <c r="U453" s="272">
        <v>1</v>
      </c>
      <c r="V453" s="272">
        <v>1</v>
      </c>
      <c r="W453" s="272">
        <v>1</v>
      </c>
      <c r="X453" s="272">
        <v>1</v>
      </c>
      <c r="Y453" s="272">
        <v>1</v>
      </c>
      <c r="Z453" s="272">
        <v>1</v>
      </c>
      <c r="AA453" s="272">
        <v>1</v>
      </c>
      <c r="AB453" s="272">
        <v>1</v>
      </c>
      <c r="AC453" s="272">
        <v>1</v>
      </c>
      <c r="AD453" s="396">
        <v>1</v>
      </c>
      <c r="AE453" s="396">
        <v>1</v>
      </c>
      <c r="AF453" s="396">
        <v>1</v>
      </c>
      <c r="AG453" s="396">
        <v>1</v>
      </c>
      <c r="AH453" s="396">
        <v>1</v>
      </c>
      <c r="AI453" s="396">
        <v>1</v>
      </c>
      <c r="AJ453" s="396">
        <v>1</v>
      </c>
      <c r="AK453" s="396">
        <v>1</v>
      </c>
      <c r="AL453" s="396">
        <v>1</v>
      </c>
      <c r="AM453" s="396">
        <v>1</v>
      </c>
      <c r="AN453" s="396">
        <v>1</v>
      </c>
      <c r="AO453" s="396">
        <v>1</v>
      </c>
      <c r="AP453" s="396">
        <v>1</v>
      </c>
    </row>
    <row r="454" spans="1:42" s="140" customFormat="1" ht="13.5" hidden="1" customHeight="1" outlineLevel="3" thickBot="1">
      <c r="A454" s="216"/>
      <c r="B454" s="255" t="s">
        <v>639</v>
      </c>
      <c r="C454" s="290" t="s">
        <v>237</v>
      </c>
      <c r="D454" s="227" t="s">
        <v>231</v>
      </c>
      <c r="E454" s="241"/>
      <c r="F454" s="228">
        <f t="shared" si="954"/>
        <v>7.4469037330616245E-2</v>
      </c>
      <c r="G454" s="269">
        <f>+F454*G450</f>
        <v>5.9267053742405139E-5</v>
      </c>
      <c r="H454" s="299"/>
      <c r="I454" s="299"/>
      <c r="J454" s="299"/>
      <c r="K454" s="299"/>
      <c r="L454" s="299"/>
      <c r="M454" s="299"/>
      <c r="N454" s="272">
        <v>1</v>
      </c>
      <c r="O454" s="272">
        <v>1</v>
      </c>
      <c r="P454" s="272">
        <v>1</v>
      </c>
      <c r="Q454" s="272">
        <v>1</v>
      </c>
      <c r="R454" s="372">
        <v>1</v>
      </c>
      <c r="S454" s="395">
        <v>1</v>
      </c>
      <c r="T454" s="272">
        <v>1</v>
      </c>
      <c r="U454" s="272">
        <v>1</v>
      </c>
      <c r="V454" s="272">
        <v>1</v>
      </c>
      <c r="W454" s="272">
        <v>1</v>
      </c>
      <c r="X454" s="272">
        <v>1</v>
      </c>
      <c r="Y454" s="272">
        <v>1</v>
      </c>
      <c r="Z454" s="272">
        <v>1</v>
      </c>
      <c r="AA454" s="272">
        <v>1</v>
      </c>
      <c r="AB454" s="272">
        <v>1</v>
      </c>
      <c r="AC454" s="272">
        <v>1</v>
      </c>
      <c r="AD454" s="396">
        <v>1</v>
      </c>
      <c r="AE454" s="396">
        <v>1</v>
      </c>
      <c r="AF454" s="396">
        <v>1</v>
      </c>
      <c r="AG454" s="396">
        <v>1</v>
      </c>
      <c r="AH454" s="396">
        <v>1</v>
      </c>
      <c r="AI454" s="396">
        <v>1</v>
      </c>
      <c r="AJ454" s="396">
        <v>1</v>
      </c>
      <c r="AK454" s="396">
        <v>1</v>
      </c>
      <c r="AL454" s="396">
        <v>1</v>
      </c>
      <c r="AM454" s="396">
        <v>1</v>
      </c>
      <c r="AN454" s="396">
        <v>1</v>
      </c>
      <c r="AO454" s="396">
        <v>1</v>
      </c>
      <c r="AP454" s="396">
        <v>1</v>
      </c>
    </row>
    <row r="455" spans="1:42" s="140" customFormat="1" ht="13.5" hidden="1" customHeight="1" outlineLevel="3" thickBot="1">
      <c r="A455" s="216"/>
      <c r="B455" s="255" t="s">
        <v>640</v>
      </c>
      <c r="C455" s="290" t="s">
        <v>239</v>
      </c>
      <c r="D455" s="227" t="s">
        <v>231</v>
      </c>
      <c r="E455" s="241"/>
      <c r="F455" s="228">
        <f t="shared" si="954"/>
        <v>7.4469037330616245E-2</v>
      </c>
      <c r="G455" s="269">
        <f>+F455*G450</f>
        <v>5.9267053742405139E-5</v>
      </c>
      <c r="H455" s="299"/>
      <c r="I455" s="299"/>
      <c r="J455" s="299"/>
      <c r="K455" s="299"/>
      <c r="L455" s="299"/>
      <c r="M455" s="299"/>
      <c r="N455" s="272">
        <v>1</v>
      </c>
      <c r="O455" s="272">
        <v>1</v>
      </c>
      <c r="P455" s="272">
        <v>1</v>
      </c>
      <c r="Q455" s="272">
        <v>1</v>
      </c>
      <c r="R455" s="372">
        <v>1</v>
      </c>
      <c r="S455" s="395">
        <v>1</v>
      </c>
      <c r="T455" s="272">
        <v>1</v>
      </c>
      <c r="U455" s="272">
        <v>1</v>
      </c>
      <c r="V455" s="272">
        <v>1</v>
      </c>
      <c r="W455" s="272">
        <v>1</v>
      </c>
      <c r="X455" s="272">
        <v>1</v>
      </c>
      <c r="Y455" s="272">
        <v>1</v>
      </c>
      <c r="Z455" s="272">
        <v>1</v>
      </c>
      <c r="AA455" s="272">
        <v>1</v>
      </c>
      <c r="AB455" s="272">
        <v>1</v>
      </c>
      <c r="AC455" s="272">
        <v>1</v>
      </c>
      <c r="AD455" s="396">
        <v>1</v>
      </c>
      <c r="AE455" s="396">
        <v>1</v>
      </c>
      <c r="AF455" s="396">
        <v>1</v>
      </c>
      <c r="AG455" s="396">
        <v>1</v>
      </c>
      <c r="AH455" s="396">
        <v>1</v>
      </c>
      <c r="AI455" s="396">
        <v>1</v>
      </c>
      <c r="AJ455" s="396">
        <v>1</v>
      </c>
      <c r="AK455" s="396">
        <v>1</v>
      </c>
      <c r="AL455" s="396">
        <v>1</v>
      </c>
      <c r="AM455" s="396">
        <v>1</v>
      </c>
      <c r="AN455" s="396">
        <v>1</v>
      </c>
      <c r="AO455" s="396">
        <v>1</v>
      </c>
      <c r="AP455" s="396">
        <v>1</v>
      </c>
    </row>
    <row r="456" spans="1:42" s="140" customFormat="1" ht="13.5" hidden="1" customHeight="1" outlineLevel="3" thickBot="1">
      <c r="A456" s="216"/>
      <c r="B456" s="255" t="s">
        <v>641</v>
      </c>
      <c r="C456" s="290" t="s">
        <v>241</v>
      </c>
      <c r="D456" s="227" t="s">
        <v>231</v>
      </c>
      <c r="E456" s="241"/>
      <c r="F456" s="228">
        <f t="shared" si="954"/>
        <v>7.4469037330616245E-2</v>
      </c>
      <c r="G456" s="269">
        <f>+F456*G450</f>
        <v>5.9267053742405139E-5</v>
      </c>
      <c r="H456" s="299"/>
      <c r="I456" s="299"/>
      <c r="J456" s="299"/>
      <c r="K456" s="299"/>
      <c r="L456" s="299"/>
      <c r="M456" s="299"/>
      <c r="N456" s="272">
        <v>1</v>
      </c>
      <c r="O456" s="272">
        <v>1</v>
      </c>
      <c r="P456" s="272">
        <v>1</v>
      </c>
      <c r="Q456" s="272">
        <v>1</v>
      </c>
      <c r="R456" s="372">
        <v>1</v>
      </c>
      <c r="S456" s="395">
        <v>1</v>
      </c>
      <c r="T456" s="272">
        <v>1</v>
      </c>
      <c r="U456" s="272">
        <v>1</v>
      </c>
      <c r="V456" s="272">
        <v>1</v>
      </c>
      <c r="W456" s="272">
        <v>1</v>
      </c>
      <c r="X456" s="272">
        <v>1</v>
      </c>
      <c r="Y456" s="272">
        <v>1</v>
      </c>
      <c r="Z456" s="272">
        <v>1</v>
      </c>
      <c r="AA456" s="272">
        <v>1</v>
      </c>
      <c r="AB456" s="272">
        <v>1</v>
      </c>
      <c r="AC456" s="272">
        <v>1</v>
      </c>
      <c r="AD456" s="396">
        <v>1</v>
      </c>
      <c r="AE456" s="396">
        <v>1</v>
      </c>
      <c r="AF456" s="396">
        <v>1</v>
      </c>
      <c r="AG456" s="396">
        <v>1</v>
      </c>
      <c r="AH456" s="396">
        <v>1</v>
      </c>
      <c r="AI456" s="396">
        <v>1</v>
      </c>
      <c r="AJ456" s="396">
        <v>1</v>
      </c>
      <c r="AK456" s="396">
        <v>1</v>
      </c>
      <c r="AL456" s="396">
        <v>1</v>
      </c>
      <c r="AM456" s="396">
        <v>1</v>
      </c>
      <c r="AN456" s="396">
        <v>1</v>
      </c>
      <c r="AO456" s="396">
        <v>1</v>
      </c>
      <c r="AP456" s="396">
        <v>1</v>
      </c>
    </row>
    <row r="457" spans="1:42" s="140" customFormat="1" ht="26.25" hidden="1" customHeight="1" outlineLevel="3" thickBot="1">
      <c r="A457" s="216"/>
      <c r="B457" s="255" t="s">
        <v>642</v>
      </c>
      <c r="C457" s="290" t="s">
        <v>376</v>
      </c>
      <c r="D457" s="227" t="s">
        <v>256</v>
      </c>
      <c r="E457" s="241"/>
      <c r="F457" s="228">
        <f t="shared" si="954"/>
        <v>6.9148222002037796E-2</v>
      </c>
      <c r="G457" s="269">
        <f>+F457*G450</f>
        <v>5.5032420674271958E-5</v>
      </c>
      <c r="H457" s="299"/>
      <c r="I457" s="299"/>
      <c r="J457" s="299"/>
      <c r="K457" s="299"/>
      <c r="L457" s="299"/>
      <c r="M457" s="299"/>
      <c r="N457" s="272">
        <v>1</v>
      </c>
      <c r="O457" s="272">
        <v>1</v>
      </c>
      <c r="P457" s="272">
        <v>1</v>
      </c>
      <c r="Q457" s="272">
        <v>1</v>
      </c>
      <c r="R457" s="372">
        <v>1</v>
      </c>
      <c r="S457" s="395">
        <v>1</v>
      </c>
      <c r="T457" s="272">
        <v>1</v>
      </c>
      <c r="U457" s="272">
        <v>1</v>
      </c>
      <c r="V457" s="272">
        <v>1</v>
      </c>
      <c r="W457" s="272">
        <v>1</v>
      </c>
      <c r="X457" s="272">
        <v>1</v>
      </c>
      <c r="Y457" s="272">
        <v>1</v>
      </c>
      <c r="Z457" s="272">
        <v>1</v>
      </c>
      <c r="AA457" s="272">
        <v>1</v>
      </c>
      <c r="AB457" s="272">
        <v>1</v>
      </c>
      <c r="AC457" s="272">
        <v>1</v>
      </c>
      <c r="AD457" s="396">
        <v>1</v>
      </c>
      <c r="AE457" s="396">
        <v>1</v>
      </c>
      <c r="AF457" s="396">
        <v>1</v>
      </c>
      <c r="AG457" s="396">
        <v>1</v>
      </c>
      <c r="AH457" s="396">
        <v>1</v>
      </c>
      <c r="AI457" s="396">
        <v>1</v>
      </c>
      <c r="AJ457" s="396">
        <v>1</v>
      </c>
      <c r="AK457" s="396">
        <v>1</v>
      </c>
      <c r="AL457" s="396">
        <v>1</v>
      </c>
      <c r="AM457" s="396">
        <v>1</v>
      </c>
      <c r="AN457" s="396">
        <v>1</v>
      </c>
      <c r="AO457" s="396">
        <v>1</v>
      </c>
      <c r="AP457" s="396">
        <v>1</v>
      </c>
    </row>
    <row r="458" spans="1:42" s="140" customFormat="1" ht="26.25" hidden="1" customHeight="1" outlineLevel="3" thickBot="1">
      <c r="A458" s="216"/>
      <c r="B458" s="255" t="s">
        <v>643</v>
      </c>
      <c r="C458" s="290" t="s">
        <v>378</v>
      </c>
      <c r="D458" s="227" t="s">
        <v>256</v>
      </c>
      <c r="E458" s="241"/>
      <c r="F458" s="228">
        <f t="shared" si="954"/>
        <v>6.9148222002037796E-2</v>
      </c>
      <c r="G458" s="269">
        <f>+F458*G450</f>
        <v>5.5032420674271958E-5</v>
      </c>
      <c r="H458" s="299"/>
      <c r="I458" s="299"/>
      <c r="J458" s="299"/>
      <c r="K458" s="299"/>
      <c r="L458" s="299"/>
      <c r="M458" s="299"/>
      <c r="N458" s="272">
        <v>1</v>
      </c>
      <c r="O458" s="272">
        <v>1</v>
      </c>
      <c r="P458" s="272">
        <v>1</v>
      </c>
      <c r="Q458" s="272">
        <v>1</v>
      </c>
      <c r="R458" s="372">
        <v>1</v>
      </c>
      <c r="S458" s="395">
        <v>1</v>
      </c>
      <c r="T458" s="272">
        <v>1</v>
      </c>
      <c r="U458" s="272">
        <v>1</v>
      </c>
      <c r="V458" s="272">
        <v>1</v>
      </c>
      <c r="W458" s="272">
        <v>1</v>
      </c>
      <c r="X458" s="272">
        <v>1</v>
      </c>
      <c r="Y458" s="272">
        <v>1</v>
      </c>
      <c r="Z458" s="272">
        <v>1</v>
      </c>
      <c r="AA458" s="272">
        <v>1</v>
      </c>
      <c r="AB458" s="272">
        <v>1</v>
      </c>
      <c r="AC458" s="272">
        <v>1</v>
      </c>
      <c r="AD458" s="396">
        <v>1</v>
      </c>
      <c r="AE458" s="396">
        <v>1</v>
      </c>
      <c r="AF458" s="396">
        <v>1</v>
      </c>
      <c r="AG458" s="396">
        <v>1</v>
      </c>
      <c r="AH458" s="396">
        <v>1</v>
      </c>
      <c r="AI458" s="396">
        <v>1</v>
      </c>
      <c r="AJ458" s="396">
        <v>1</v>
      </c>
      <c r="AK458" s="396">
        <v>1</v>
      </c>
      <c r="AL458" s="396">
        <v>1</v>
      </c>
      <c r="AM458" s="396">
        <v>1</v>
      </c>
      <c r="AN458" s="396">
        <v>1</v>
      </c>
      <c r="AO458" s="396">
        <v>1</v>
      </c>
      <c r="AP458" s="396">
        <v>1</v>
      </c>
    </row>
    <row r="459" spans="1:42" s="140" customFormat="1" ht="26.25" hidden="1" customHeight="1" outlineLevel="3" thickBot="1">
      <c r="A459" s="216"/>
      <c r="B459" s="255" t="s">
        <v>644</v>
      </c>
      <c r="C459" s="290" t="s">
        <v>380</v>
      </c>
      <c r="D459" s="227" t="s">
        <v>256</v>
      </c>
      <c r="E459" s="241"/>
      <c r="F459" s="228">
        <f t="shared" si="954"/>
        <v>6.9148222002037796E-2</v>
      </c>
      <c r="G459" s="269">
        <f>+F459*G450</f>
        <v>5.5032420674271958E-5</v>
      </c>
      <c r="H459" s="299"/>
      <c r="I459" s="299"/>
      <c r="J459" s="299"/>
      <c r="K459" s="299"/>
      <c r="L459" s="299"/>
      <c r="M459" s="299"/>
      <c r="N459" s="272">
        <v>1</v>
      </c>
      <c r="O459" s="272">
        <v>1</v>
      </c>
      <c r="P459" s="272">
        <v>1</v>
      </c>
      <c r="Q459" s="272">
        <v>1</v>
      </c>
      <c r="R459" s="372">
        <v>1</v>
      </c>
      <c r="S459" s="395">
        <v>1</v>
      </c>
      <c r="T459" s="272">
        <v>1</v>
      </c>
      <c r="U459" s="272">
        <v>1</v>
      </c>
      <c r="V459" s="272">
        <v>1</v>
      </c>
      <c r="W459" s="272">
        <v>1</v>
      </c>
      <c r="X459" s="272">
        <v>1</v>
      </c>
      <c r="Y459" s="272">
        <v>1</v>
      </c>
      <c r="Z459" s="272">
        <v>1</v>
      </c>
      <c r="AA459" s="272">
        <v>1</v>
      </c>
      <c r="AB459" s="272">
        <v>1</v>
      </c>
      <c r="AC459" s="272">
        <v>1</v>
      </c>
      <c r="AD459" s="396">
        <v>1</v>
      </c>
      <c r="AE459" s="396">
        <v>1</v>
      </c>
      <c r="AF459" s="396">
        <v>1</v>
      </c>
      <c r="AG459" s="396">
        <v>1</v>
      </c>
      <c r="AH459" s="396">
        <v>1</v>
      </c>
      <c r="AI459" s="396">
        <v>1</v>
      </c>
      <c r="AJ459" s="396">
        <v>1</v>
      </c>
      <c r="AK459" s="396">
        <v>1</v>
      </c>
      <c r="AL459" s="396">
        <v>1</v>
      </c>
      <c r="AM459" s="396">
        <v>1</v>
      </c>
      <c r="AN459" s="396">
        <v>1</v>
      </c>
      <c r="AO459" s="396">
        <v>1</v>
      </c>
      <c r="AP459" s="396">
        <v>1</v>
      </c>
    </row>
    <row r="460" spans="1:42" s="140" customFormat="1" ht="26.25" hidden="1" customHeight="1" outlineLevel="3" thickBot="1">
      <c r="A460" s="216"/>
      <c r="B460" s="255" t="s">
        <v>645</v>
      </c>
      <c r="C460" s="290" t="s">
        <v>382</v>
      </c>
      <c r="D460" s="227" t="s">
        <v>256</v>
      </c>
      <c r="E460" s="241"/>
      <c r="F460" s="228">
        <f t="shared" si="954"/>
        <v>6.9148222002037796E-2</v>
      </c>
      <c r="G460" s="269">
        <f>+F460*G450</f>
        <v>5.5032420674271958E-5</v>
      </c>
      <c r="H460" s="299"/>
      <c r="I460" s="299"/>
      <c r="J460" s="299"/>
      <c r="K460" s="299"/>
      <c r="L460" s="299"/>
      <c r="M460" s="299"/>
      <c r="N460" s="272">
        <v>1</v>
      </c>
      <c r="O460" s="272">
        <v>1</v>
      </c>
      <c r="P460" s="272">
        <v>1</v>
      </c>
      <c r="Q460" s="272">
        <v>1</v>
      </c>
      <c r="R460" s="372">
        <v>1</v>
      </c>
      <c r="S460" s="395">
        <v>1</v>
      </c>
      <c r="T460" s="272">
        <v>1</v>
      </c>
      <c r="U460" s="272">
        <v>1</v>
      </c>
      <c r="V460" s="272">
        <v>1</v>
      </c>
      <c r="W460" s="272">
        <v>1</v>
      </c>
      <c r="X460" s="272">
        <v>1</v>
      </c>
      <c r="Y460" s="272">
        <v>1</v>
      </c>
      <c r="Z460" s="272">
        <v>1</v>
      </c>
      <c r="AA460" s="272">
        <v>1</v>
      </c>
      <c r="AB460" s="272">
        <v>1</v>
      </c>
      <c r="AC460" s="272">
        <v>1</v>
      </c>
      <c r="AD460" s="396">
        <v>1</v>
      </c>
      <c r="AE460" s="396">
        <v>1</v>
      </c>
      <c r="AF460" s="396">
        <v>1</v>
      </c>
      <c r="AG460" s="396">
        <v>1</v>
      </c>
      <c r="AH460" s="396">
        <v>1</v>
      </c>
      <c r="AI460" s="396">
        <v>1</v>
      </c>
      <c r="AJ460" s="396">
        <v>1</v>
      </c>
      <c r="AK460" s="396">
        <v>1</v>
      </c>
      <c r="AL460" s="396">
        <v>1</v>
      </c>
      <c r="AM460" s="396">
        <v>1</v>
      </c>
      <c r="AN460" s="396">
        <v>1</v>
      </c>
      <c r="AO460" s="396">
        <v>1</v>
      </c>
      <c r="AP460" s="396">
        <v>1</v>
      </c>
    </row>
    <row r="461" spans="1:42" s="140" customFormat="1" ht="26.25" hidden="1" customHeight="1" outlineLevel="3" thickBot="1">
      <c r="A461" s="216"/>
      <c r="B461" s="255" t="s">
        <v>646</v>
      </c>
      <c r="C461" s="290" t="s">
        <v>384</v>
      </c>
      <c r="D461" s="227" t="s">
        <v>256</v>
      </c>
      <c r="E461" s="241"/>
      <c r="F461" s="228">
        <f t="shared" si="954"/>
        <v>6.9148222002037796E-2</v>
      </c>
      <c r="G461" s="269">
        <f>+F461*G450</f>
        <v>5.5032420674271958E-5</v>
      </c>
      <c r="H461" s="299"/>
      <c r="I461" s="299"/>
      <c r="J461" s="299"/>
      <c r="K461" s="299"/>
      <c r="L461" s="299"/>
      <c r="M461" s="299"/>
      <c r="N461" s="272">
        <v>1</v>
      </c>
      <c r="O461" s="272">
        <v>1</v>
      </c>
      <c r="P461" s="272">
        <v>1</v>
      </c>
      <c r="Q461" s="272">
        <v>1</v>
      </c>
      <c r="R461" s="372">
        <v>1</v>
      </c>
      <c r="S461" s="395">
        <v>1</v>
      </c>
      <c r="T461" s="272">
        <v>1</v>
      </c>
      <c r="U461" s="272">
        <v>1</v>
      </c>
      <c r="V461" s="272">
        <v>1</v>
      </c>
      <c r="W461" s="272">
        <v>1</v>
      </c>
      <c r="X461" s="272">
        <v>1</v>
      </c>
      <c r="Y461" s="272">
        <v>1</v>
      </c>
      <c r="Z461" s="272">
        <v>1</v>
      </c>
      <c r="AA461" s="272">
        <v>1</v>
      </c>
      <c r="AB461" s="272">
        <v>1</v>
      </c>
      <c r="AC461" s="272">
        <v>1</v>
      </c>
      <c r="AD461" s="396">
        <v>1</v>
      </c>
      <c r="AE461" s="396">
        <v>1</v>
      </c>
      <c r="AF461" s="396">
        <v>1</v>
      </c>
      <c r="AG461" s="396">
        <v>1</v>
      </c>
      <c r="AH461" s="396">
        <v>1</v>
      </c>
      <c r="AI461" s="396">
        <v>1</v>
      </c>
      <c r="AJ461" s="396">
        <v>1</v>
      </c>
      <c r="AK461" s="396">
        <v>1</v>
      </c>
      <c r="AL461" s="396">
        <v>1</v>
      </c>
      <c r="AM461" s="396">
        <v>1</v>
      </c>
      <c r="AN461" s="396">
        <v>1</v>
      </c>
      <c r="AO461" s="396">
        <v>1</v>
      </c>
      <c r="AP461" s="396">
        <v>1</v>
      </c>
    </row>
    <row r="462" spans="1:42" s="140" customFormat="1" ht="26.25" hidden="1" customHeight="1" outlineLevel="3" thickBot="1">
      <c r="A462" s="216"/>
      <c r="B462" s="255" t="s">
        <v>647</v>
      </c>
      <c r="C462" s="290" t="s">
        <v>386</v>
      </c>
      <c r="D462" s="227" t="s">
        <v>256</v>
      </c>
      <c r="E462" s="241"/>
      <c r="F462" s="228">
        <f t="shared" si="954"/>
        <v>6.9148222002037796E-2</v>
      </c>
      <c r="G462" s="269">
        <f>+F462*G450</f>
        <v>5.5032420674271958E-5</v>
      </c>
      <c r="H462" s="299"/>
      <c r="I462" s="299"/>
      <c r="J462" s="299"/>
      <c r="K462" s="299"/>
      <c r="L462" s="299"/>
      <c r="M462" s="299"/>
      <c r="N462" s="272">
        <v>1</v>
      </c>
      <c r="O462" s="272">
        <v>1</v>
      </c>
      <c r="P462" s="272">
        <v>1</v>
      </c>
      <c r="Q462" s="272">
        <v>1</v>
      </c>
      <c r="R462" s="372">
        <v>1</v>
      </c>
      <c r="S462" s="395">
        <v>1</v>
      </c>
      <c r="T462" s="272">
        <v>1</v>
      </c>
      <c r="U462" s="272">
        <v>1</v>
      </c>
      <c r="V462" s="272">
        <v>1</v>
      </c>
      <c r="W462" s="272">
        <v>1</v>
      </c>
      <c r="X462" s="272">
        <v>1</v>
      </c>
      <c r="Y462" s="272">
        <v>1</v>
      </c>
      <c r="Z462" s="272">
        <v>1</v>
      </c>
      <c r="AA462" s="272">
        <v>1</v>
      </c>
      <c r="AB462" s="272">
        <v>1</v>
      </c>
      <c r="AC462" s="272">
        <v>1</v>
      </c>
      <c r="AD462" s="396">
        <v>1</v>
      </c>
      <c r="AE462" s="396">
        <v>1</v>
      </c>
      <c r="AF462" s="396">
        <v>1</v>
      </c>
      <c r="AG462" s="396">
        <v>1</v>
      </c>
      <c r="AH462" s="396">
        <v>1</v>
      </c>
      <c r="AI462" s="396">
        <v>1</v>
      </c>
      <c r="AJ462" s="396">
        <v>1</v>
      </c>
      <c r="AK462" s="396">
        <v>1</v>
      </c>
      <c r="AL462" s="396">
        <v>1</v>
      </c>
      <c r="AM462" s="396">
        <v>1</v>
      </c>
      <c r="AN462" s="396">
        <v>1</v>
      </c>
      <c r="AO462" s="396">
        <v>1</v>
      </c>
      <c r="AP462" s="396">
        <v>1</v>
      </c>
    </row>
    <row r="463" spans="1:42" s="140" customFormat="1" ht="26.25" hidden="1" customHeight="1" outlineLevel="3" thickBot="1">
      <c r="A463" s="216"/>
      <c r="B463" s="255" t="s">
        <v>648</v>
      </c>
      <c r="C463" s="290" t="s">
        <v>388</v>
      </c>
      <c r="D463" s="227" t="s">
        <v>256</v>
      </c>
      <c r="E463" s="241"/>
      <c r="F463" s="228">
        <f t="shared" si="954"/>
        <v>6.9148222002037796E-2</v>
      </c>
      <c r="G463" s="269">
        <f>+F463*G450</f>
        <v>5.5032420674271958E-5</v>
      </c>
      <c r="H463" s="299"/>
      <c r="I463" s="299"/>
      <c r="J463" s="299"/>
      <c r="K463" s="299"/>
      <c r="L463" s="299"/>
      <c r="M463" s="299"/>
      <c r="N463" s="272">
        <v>1</v>
      </c>
      <c r="O463" s="272">
        <v>1</v>
      </c>
      <c r="P463" s="272">
        <v>1</v>
      </c>
      <c r="Q463" s="272">
        <v>1</v>
      </c>
      <c r="R463" s="372">
        <v>1</v>
      </c>
      <c r="S463" s="395">
        <v>1</v>
      </c>
      <c r="T463" s="272">
        <v>1</v>
      </c>
      <c r="U463" s="272">
        <v>1</v>
      </c>
      <c r="V463" s="272">
        <v>1</v>
      </c>
      <c r="W463" s="272">
        <v>1</v>
      </c>
      <c r="X463" s="272">
        <v>1</v>
      </c>
      <c r="Y463" s="272">
        <v>1</v>
      </c>
      <c r="Z463" s="272">
        <v>1</v>
      </c>
      <c r="AA463" s="272">
        <v>1</v>
      </c>
      <c r="AB463" s="272">
        <v>1</v>
      </c>
      <c r="AC463" s="272">
        <v>1</v>
      </c>
      <c r="AD463" s="396">
        <v>1</v>
      </c>
      <c r="AE463" s="396">
        <v>1</v>
      </c>
      <c r="AF463" s="396">
        <v>1</v>
      </c>
      <c r="AG463" s="396">
        <v>1</v>
      </c>
      <c r="AH463" s="396">
        <v>1</v>
      </c>
      <c r="AI463" s="396">
        <v>1</v>
      </c>
      <c r="AJ463" s="396">
        <v>1</v>
      </c>
      <c r="AK463" s="396">
        <v>1</v>
      </c>
      <c r="AL463" s="396">
        <v>1</v>
      </c>
      <c r="AM463" s="396">
        <v>1</v>
      </c>
      <c r="AN463" s="396">
        <v>1</v>
      </c>
      <c r="AO463" s="396">
        <v>1</v>
      </c>
      <c r="AP463" s="396">
        <v>1</v>
      </c>
    </row>
    <row r="464" spans="1:42" s="140" customFormat="1" ht="26.25" hidden="1" customHeight="1" outlineLevel="3" thickBot="1">
      <c r="A464" s="216"/>
      <c r="B464" s="255" t="s">
        <v>649</v>
      </c>
      <c r="C464" s="290" t="s">
        <v>390</v>
      </c>
      <c r="D464" s="227" t="s">
        <v>256</v>
      </c>
      <c r="E464" s="241"/>
      <c r="F464" s="228">
        <f t="shared" si="954"/>
        <v>6.9148222002037796E-2</v>
      </c>
      <c r="G464" s="269">
        <f>+F464*G450</f>
        <v>5.5032420674271958E-5</v>
      </c>
      <c r="H464" s="299"/>
      <c r="I464" s="299"/>
      <c r="J464" s="299"/>
      <c r="K464" s="299"/>
      <c r="L464" s="299"/>
      <c r="M464" s="299"/>
      <c r="N464" s="272">
        <v>1</v>
      </c>
      <c r="O464" s="272">
        <v>1</v>
      </c>
      <c r="P464" s="272">
        <v>1</v>
      </c>
      <c r="Q464" s="272">
        <v>1</v>
      </c>
      <c r="R464" s="372">
        <v>1</v>
      </c>
      <c r="S464" s="395">
        <v>1</v>
      </c>
      <c r="T464" s="272">
        <v>1</v>
      </c>
      <c r="U464" s="272">
        <v>1</v>
      </c>
      <c r="V464" s="272">
        <v>1</v>
      </c>
      <c r="W464" s="272">
        <v>1</v>
      </c>
      <c r="X464" s="272">
        <v>1</v>
      </c>
      <c r="Y464" s="272">
        <v>1</v>
      </c>
      <c r="Z464" s="272">
        <v>1</v>
      </c>
      <c r="AA464" s="272">
        <v>1</v>
      </c>
      <c r="AB464" s="272">
        <v>1</v>
      </c>
      <c r="AC464" s="272">
        <v>1</v>
      </c>
      <c r="AD464" s="396">
        <v>1</v>
      </c>
      <c r="AE464" s="396">
        <v>1</v>
      </c>
      <c r="AF464" s="396">
        <v>1</v>
      </c>
      <c r="AG464" s="396">
        <v>1</v>
      </c>
      <c r="AH464" s="396">
        <v>1</v>
      </c>
      <c r="AI464" s="396">
        <v>1</v>
      </c>
      <c r="AJ464" s="396">
        <v>1</v>
      </c>
      <c r="AK464" s="396">
        <v>1</v>
      </c>
      <c r="AL464" s="396">
        <v>1</v>
      </c>
      <c r="AM464" s="396">
        <v>1</v>
      </c>
      <c r="AN464" s="396">
        <v>1</v>
      </c>
      <c r="AO464" s="396">
        <v>1</v>
      </c>
      <c r="AP464" s="396">
        <v>1</v>
      </c>
    </row>
    <row r="465" spans="1:42" s="140" customFormat="1" ht="13.5" hidden="1" customHeight="1" outlineLevel="2" thickBot="1">
      <c r="A465" s="216"/>
      <c r="B465" s="291" t="s">
        <v>650</v>
      </c>
      <c r="C465" s="292" t="s">
        <v>170</v>
      </c>
      <c r="D465" s="234" t="s">
        <v>171</v>
      </c>
      <c r="E465" s="240"/>
      <c r="F465" s="223">
        <f t="shared" si="954"/>
        <v>4.25702422192204E-2</v>
      </c>
      <c r="G465" s="293">
        <f>+F465*G343</f>
        <v>3.325041214050644E-4</v>
      </c>
      <c r="H465" s="298"/>
      <c r="I465" s="298"/>
      <c r="J465" s="298"/>
      <c r="K465" s="298"/>
      <c r="L465" s="298"/>
      <c r="M465" s="298"/>
      <c r="N465" s="270">
        <v>0.9</v>
      </c>
      <c r="O465" s="270">
        <v>0.9</v>
      </c>
      <c r="P465" s="270">
        <v>0.9</v>
      </c>
      <c r="Q465" s="270">
        <v>0.9</v>
      </c>
      <c r="R465" s="370">
        <v>0.9</v>
      </c>
      <c r="S465" s="391">
        <v>0.9</v>
      </c>
      <c r="T465" s="270">
        <v>0.9</v>
      </c>
      <c r="U465" s="270">
        <v>0.9</v>
      </c>
      <c r="V465" s="270">
        <v>0.9</v>
      </c>
      <c r="W465" s="270">
        <v>0.9</v>
      </c>
      <c r="X465" s="270">
        <v>0.9</v>
      </c>
      <c r="Y465" s="270">
        <v>0.9</v>
      </c>
      <c r="Z465" s="270">
        <v>0.9</v>
      </c>
      <c r="AA465" s="270">
        <v>0.9</v>
      </c>
      <c r="AB465" s="270">
        <v>0.9</v>
      </c>
      <c r="AC465" s="270">
        <v>0.9</v>
      </c>
      <c r="AD465" s="392">
        <v>0.9</v>
      </c>
      <c r="AE465" s="392">
        <v>0.9</v>
      </c>
      <c r="AF465" s="392">
        <v>0.9</v>
      </c>
      <c r="AG465" s="392">
        <v>0.9</v>
      </c>
      <c r="AH465" s="392">
        <v>0.9</v>
      </c>
      <c r="AI465" s="392">
        <v>0.9</v>
      </c>
      <c r="AJ465" s="392">
        <v>0.9</v>
      </c>
      <c r="AK465" s="392">
        <v>0.9</v>
      </c>
      <c r="AL465" s="392">
        <v>0.9</v>
      </c>
      <c r="AM465" s="392">
        <v>0.9</v>
      </c>
      <c r="AN465" s="392">
        <v>0.9</v>
      </c>
      <c r="AO465" s="392">
        <v>0.9</v>
      </c>
      <c r="AP465" s="392">
        <v>0.9</v>
      </c>
    </row>
    <row r="466" spans="1:42" s="140" customFormat="1" ht="13.5" hidden="1" customHeight="1" outlineLevel="1" thickBot="1">
      <c r="B466" s="300" t="s">
        <v>651</v>
      </c>
      <c r="C466" s="294" t="s">
        <v>392</v>
      </c>
      <c r="D466" s="294" t="s">
        <v>47</v>
      </c>
      <c r="E466" s="295"/>
      <c r="F466" s="296">
        <f t="shared" si="954"/>
        <v>3.9032542437386124E-2</v>
      </c>
      <c r="G466" s="296">
        <f>+F466*G342</f>
        <v>3.9032542437386126E-4</v>
      </c>
      <c r="H466" s="297"/>
      <c r="I466" s="297"/>
      <c r="J466" s="297"/>
      <c r="K466" s="297"/>
      <c r="L466" s="297"/>
      <c r="M466" s="297"/>
      <c r="N466" s="296">
        <f t="shared" ref="N466:R466" si="1024">+SUMPRODUCT($F467:$F481,N467:N481)</f>
        <v>0.4383826661484056</v>
      </c>
      <c r="O466" s="296">
        <f t="shared" si="1024"/>
        <v>0.4383826661484056</v>
      </c>
      <c r="P466" s="296">
        <f t="shared" si="1024"/>
        <v>0.4383826661484056</v>
      </c>
      <c r="Q466" s="296">
        <f t="shared" si="1024"/>
        <v>0.4383826661484056</v>
      </c>
      <c r="R466" s="376">
        <f t="shared" si="1024"/>
        <v>0.4383826661484056</v>
      </c>
      <c r="S466" s="403">
        <f t="shared" ref="S466" si="1025">+SUMPRODUCT($F467:$F481,S467:S481)</f>
        <v>0.4383826661484056</v>
      </c>
      <c r="T466" s="296">
        <f t="shared" ref="T466" si="1026">+SUMPRODUCT($F467:$F481,T467:T481)</f>
        <v>0.4383826661484056</v>
      </c>
      <c r="U466" s="296">
        <f t="shared" ref="U466" si="1027">+SUMPRODUCT($F467:$F481,U467:U481)</f>
        <v>0.4383826661484056</v>
      </c>
      <c r="V466" s="296">
        <f t="shared" ref="V466" si="1028">+SUMPRODUCT($F467:$F481,V467:V481)</f>
        <v>0.4383826661484056</v>
      </c>
      <c r="W466" s="296">
        <f t="shared" ref="W466" si="1029">+SUMPRODUCT($F467:$F481,W467:W481)</f>
        <v>0.4383826661484056</v>
      </c>
      <c r="X466" s="296">
        <f t="shared" ref="X466" si="1030">+SUMPRODUCT($F467:$F481,X467:X481)</f>
        <v>0.4383826661484056</v>
      </c>
      <c r="Y466" s="296">
        <f t="shared" ref="Y466" si="1031">+SUMPRODUCT($F467:$F481,Y467:Y481)</f>
        <v>0.4383826661484056</v>
      </c>
      <c r="Z466" s="296">
        <f t="shared" ref="Z466" si="1032">+SUMPRODUCT($F467:$F481,Z467:Z481)</f>
        <v>0.4383826661484056</v>
      </c>
      <c r="AA466" s="296">
        <f t="shared" ref="AA466" si="1033">+SUMPRODUCT($F467:$F481,AA467:AA481)</f>
        <v>0.4383826661484056</v>
      </c>
      <c r="AB466" s="296">
        <f t="shared" ref="AB466" si="1034">+SUMPRODUCT($F467:$F481,AB467:AB481)</f>
        <v>0.4383826661484056</v>
      </c>
      <c r="AC466" s="296">
        <f t="shared" ref="AC466" si="1035">+SUMPRODUCT($F467:$F481,AC467:AC481)</f>
        <v>0.4383826661484056</v>
      </c>
      <c r="AD466" s="404">
        <f t="shared" ref="AD466:AF466" si="1036">+SUMPRODUCT($F467:$F481,AD467:AD481)</f>
        <v>0.4383826661484056</v>
      </c>
      <c r="AE466" s="404">
        <f t="shared" si="1036"/>
        <v>0.4383826661484056</v>
      </c>
      <c r="AF466" s="404">
        <f t="shared" si="1036"/>
        <v>0.4383826661484056</v>
      </c>
      <c r="AG466" s="404">
        <f t="shared" ref="AG466" si="1037">+SUMPRODUCT($F467:$F481,AG467:AG481)</f>
        <v>0.4383826661484056</v>
      </c>
      <c r="AH466" s="404">
        <f t="shared" ref="AH466" si="1038">+SUMPRODUCT($F467:$F481,AH467:AH481)</f>
        <v>0.4383826661484056</v>
      </c>
      <c r="AI466" s="404">
        <f t="shared" ref="AI466" si="1039">+SUMPRODUCT($F467:$F481,AI467:AI481)</f>
        <v>0.4383826661484056</v>
      </c>
      <c r="AJ466" s="404">
        <f t="shared" ref="AJ466" si="1040">+SUMPRODUCT($F467:$F481,AJ467:AJ481)</f>
        <v>0.4383826661484056</v>
      </c>
      <c r="AK466" s="404">
        <f t="shared" ref="AK466" si="1041">+SUMPRODUCT($F467:$F481,AK467:AK481)</f>
        <v>0.4383826661484056</v>
      </c>
      <c r="AL466" s="404">
        <f t="shared" ref="AL466" si="1042">+SUMPRODUCT($F467:$F481,AL467:AL481)</f>
        <v>0.4383826661484056</v>
      </c>
      <c r="AM466" s="404">
        <f t="shared" ref="AM466" si="1043">+SUMPRODUCT($F467:$F481,AM467:AM481)</f>
        <v>0.4383826661484056</v>
      </c>
      <c r="AN466" s="404">
        <f t="shared" ref="AN466" si="1044">+SUMPRODUCT($F467:$F481,AN467:AN481)</f>
        <v>0.4383826661484056</v>
      </c>
      <c r="AO466" s="404">
        <f t="shared" ref="AO466" si="1045">+SUMPRODUCT($F467:$F481,AO467:AO481)</f>
        <v>0.4383826661484056</v>
      </c>
      <c r="AP466" s="404">
        <f t="shared" ref="AP466" si="1046">+SUMPRODUCT($F467:$F481,AP467:AP481)</f>
        <v>0.4383826661484056</v>
      </c>
    </row>
    <row r="467" spans="1:42" s="140" customFormat="1" ht="13.5" hidden="1" customHeight="1" outlineLevel="2" thickBot="1">
      <c r="A467" s="216"/>
      <c r="B467" s="255" t="s">
        <v>652</v>
      </c>
      <c r="C467" s="245" t="s">
        <v>49</v>
      </c>
      <c r="D467" s="227" t="s">
        <v>50</v>
      </c>
      <c r="E467" s="241"/>
      <c r="F467" s="228">
        <f t="shared" si="954"/>
        <v>9.2877610796635368E-2</v>
      </c>
      <c r="G467" s="269">
        <f>+F467*G466</f>
        <v>3.6252492849027016E-5</v>
      </c>
      <c r="H467" s="299"/>
      <c r="I467" s="299"/>
      <c r="J467" s="299"/>
      <c r="K467" s="299"/>
      <c r="L467" s="299"/>
      <c r="M467" s="299"/>
      <c r="N467" s="272">
        <v>1</v>
      </c>
      <c r="O467" s="272">
        <v>1</v>
      </c>
      <c r="P467" s="272">
        <v>1</v>
      </c>
      <c r="Q467" s="272">
        <v>1</v>
      </c>
      <c r="R467" s="372">
        <v>1</v>
      </c>
      <c r="S467" s="395">
        <v>1</v>
      </c>
      <c r="T467" s="272">
        <v>1</v>
      </c>
      <c r="U467" s="272">
        <v>1</v>
      </c>
      <c r="V467" s="272">
        <v>1</v>
      </c>
      <c r="W467" s="272">
        <v>1</v>
      </c>
      <c r="X467" s="272">
        <v>1</v>
      </c>
      <c r="Y467" s="272">
        <v>1</v>
      </c>
      <c r="Z467" s="272">
        <v>1</v>
      </c>
      <c r="AA467" s="272">
        <v>1</v>
      </c>
      <c r="AB467" s="272">
        <v>1</v>
      </c>
      <c r="AC467" s="272">
        <v>1</v>
      </c>
      <c r="AD467" s="396">
        <v>1</v>
      </c>
      <c r="AE467" s="396">
        <v>1</v>
      </c>
      <c r="AF467" s="396">
        <v>1</v>
      </c>
      <c r="AG467" s="396">
        <v>1</v>
      </c>
      <c r="AH467" s="396">
        <v>1</v>
      </c>
      <c r="AI467" s="396">
        <v>1</v>
      </c>
      <c r="AJ467" s="396">
        <v>1</v>
      </c>
      <c r="AK467" s="396">
        <v>1</v>
      </c>
      <c r="AL467" s="396">
        <v>1</v>
      </c>
      <c r="AM467" s="396">
        <v>1</v>
      </c>
      <c r="AN467" s="396">
        <v>1</v>
      </c>
      <c r="AO467" s="396">
        <v>1</v>
      </c>
      <c r="AP467" s="396">
        <v>1</v>
      </c>
    </row>
    <row r="468" spans="1:42" s="140" customFormat="1" ht="13.5" hidden="1" customHeight="1" outlineLevel="2" thickBot="1">
      <c r="A468" s="216"/>
      <c r="B468" s="255" t="s">
        <v>653</v>
      </c>
      <c r="C468" s="245" t="s">
        <v>52</v>
      </c>
      <c r="D468" s="227" t="s">
        <v>53</v>
      </c>
      <c r="E468" s="241"/>
      <c r="F468" s="228">
        <f t="shared" si="954"/>
        <v>5.8105219309829384E-2</v>
      </c>
      <c r="G468" s="269">
        <f>+F468*G466</f>
        <v>2.2679944385445432E-5</v>
      </c>
      <c r="H468" s="299"/>
      <c r="I468" s="299"/>
      <c r="J468" s="299"/>
      <c r="K468" s="299"/>
      <c r="L468" s="299"/>
      <c r="M468" s="299"/>
      <c r="N468" s="272">
        <v>1</v>
      </c>
      <c r="O468" s="272">
        <v>1</v>
      </c>
      <c r="P468" s="272">
        <v>1</v>
      </c>
      <c r="Q468" s="272">
        <v>1</v>
      </c>
      <c r="R468" s="372">
        <v>1</v>
      </c>
      <c r="S468" s="395">
        <v>1</v>
      </c>
      <c r="T468" s="272">
        <v>1</v>
      </c>
      <c r="U468" s="272">
        <v>1</v>
      </c>
      <c r="V468" s="272">
        <v>1</v>
      </c>
      <c r="W468" s="272">
        <v>1</v>
      </c>
      <c r="X468" s="272">
        <v>1</v>
      </c>
      <c r="Y468" s="272">
        <v>1</v>
      </c>
      <c r="Z468" s="272">
        <v>1</v>
      </c>
      <c r="AA468" s="272">
        <v>1</v>
      </c>
      <c r="AB468" s="272">
        <v>1</v>
      </c>
      <c r="AC468" s="272">
        <v>1</v>
      </c>
      <c r="AD468" s="396">
        <v>1</v>
      </c>
      <c r="AE468" s="396">
        <v>1</v>
      </c>
      <c r="AF468" s="396">
        <v>1</v>
      </c>
      <c r="AG468" s="396">
        <v>1</v>
      </c>
      <c r="AH468" s="396">
        <v>1</v>
      </c>
      <c r="AI468" s="396">
        <v>1</v>
      </c>
      <c r="AJ468" s="396">
        <v>1</v>
      </c>
      <c r="AK468" s="396">
        <v>1</v>
      </c>
      <c r="AL468" s="396">
        <v>1</v>
      </c>
      <c r="AM468" s="396">
        <v>1</v>
      </c>
      <c r="AN468" s="396">
        <v>1</v>
      </c>
      <c r="AO468" s="396">
        <v>1</v>
      </c>
      <c r="AP468" s="396">
        <v>1</v>
      </c>
    </row>
    <row r="469" spans="1:42" s="140" customFormat="1" ht="13.5" hidden="1" customHeight="1" outlineLevel="2" thickBot="1">
      <c r="A469" s="216"/>
      <c r="B469" s="255" t="s">
        <v>654</v>
      </c>
      <c r="C469" s="245" t="s">
        <v>55</v>
      </c>
      <c r="D469" s="227" t="s">
        <v>56</v>
      </c>
      <c r="E469" s="241"/>
      <c r="F469" s="228">
        <f t="shared" si="954"/>
        <v>2.7796911320762424E-2</v>
      </c>
      <c r="G469" s="269">
        <f>+F469*G466</f>
        <v>1.0849841207559182E-5</v>
      </c>
      <c r="H469" s="299"/>
      <c r="I469" s="299"/>
      <c r="J469" s="299"/>
      <c r="K469" s="299"/>
      <c r="L469" s="299"/>
      <c r="M469" s="299"/>
      <c r="N469" s="272">
        <v>1</v>
      </c>
      <c r="O469" s="272">
        <v>1</v>
      </c>
      <c r="P469" s="272">
        <v>1</v>
      </c>
      <c r="Q469" s="272">
        <v>1</v>
      </c>
      <c r="R469" s="372">
        <v>1</v>
      </c>
      <c r="S469" s="395">
        <v>1</v>
      </c>
      <c r="T469" s="272">
        <v>1</v>
      </c>
      <c r="U469" s="272">
        <v>1</v>
      </c>
      <c r="V469" s="272">
        <v>1</v>
      </c>
      <c r="W469" s="272">
        <v>1</v>
      </c>
      <c r="X469" s="272">
        <v>1</v>
      </c>
      <c r="Y469" s="272">
        <v>1</v>
      </c>
      <c r="Z469" s="272">
        <v>1</v>
      </c>
      <c r="AA469" s="272">
        <v>1</v>
      </c>
      <c r="AB469" s="272">
        <v>1</v>
      </c>
      <c r="AC469" s="272">
        <v>1</v>
      </c>
      <c r="AD469" s="396">
        <v>1</v>
      </c>
      <c r="AE469" s="396">
        <v>1</v>
      </c>
      <c r="AF469" s="396">
        <v>1</v>
      </c>
      <c r="AG469" s="396">
        <v>1</v>
      </c>
      <c r="AH469" s="396">
        <v>1</v>
      </c>
      <c r="AI469" s="396">
        <v>1</v>
      </c>
      <c r="AJ469" s="396">
        <v>1</v>
      </c>
      <c r="AK469" s="396">
        <v>1</v>
      </c>
      <c r="AL469" s="396">
        <v>1</v>
      </c>
      <c r="AM469" s="396">
        <v>1</v>
      </c>
      <c r="AN469" s="396">
        <v>1</v>
      </c>
      <c r="AO469" s="396">
        <v>1</v>
      </c>
      <c r="AP469" s="396">
        <v>1</v>
      </c>
    </row>
    <row r="470" spans="1:42" s="140" customFormat="1" ht="13.5" hidden="1" customHeight="1" outlineLevel="2" thickBot="1">
      <c r="A470" s="216"/>
      <c r="B470" s="255" t="s">
        <v>655</v>
      </c>
      <c r="C470" s="245" t="s">
        <v>58</v>
      </c>
      <c r="D470" s="227" t="s">
        <v>59</v>
      </c>
      <c r="E470" s="241"/>
      <c r="F470" s="228">
        <f t="shared" si="954"/>
        <v>2.9155300375276354E-2</v>
      </c>
      <c r="G470" s="269">
        <f>+F470*G466</f>
        <v>1.1380054991727139E-5</v>
      </c>
      <c r="H470" s="299"/>
      <c r="I470" s="299"/>
      <c r="J470" s="299"/>
      <c r="K470" s="299"/>
      <c r="L470" s="299"/>
      <c r="M470" s="299"/>
      <c r="N470" s="272">
        <v>1</v>
      </c>
      <c r="O470" s="272">
        <v>1</v>
      </c>
      <c r="P470" s="272">
        <v>1</v>
      </c>
      <c r="Q470" s="272">
        <v>1</v>
      </c>
      <c r="R470" s="372">
        <v>1</v>
      </c>
      <c r="S470" s="395">
        <v>1</v>
      </c>
      <c r="T470" s="272">
        <v>1</v>
      </c>
      <c r="U470" s="272">
        <v>1</v>
      </c>
      <c r="V470" s="272">
        <v>1</v>
      </c>
      <c r="W470" s="272">
        <v>1</v>
      </c>
      <c r="X470" s="272">
        <v>1</v>
      </c>
      <c r="Y470" s="272">
        <v>1</v>
      </c>
      <c r="Z470" s="272">
        <v>1</v>
      </c>
      <c r="AA470" s="272">
        <v>1</v>
      </c>
      <c r="AB470" s="272">
        <v>1</v>
      </c>
      <c r="AC470" s="272">
        <v>1</v>
      </c>
      <c r="AD470" s="396">
        <v>1</v>
      </c>
      <c r="AE470" s="396">
        <v>1</v>
      </c>
      <c r="AF470" s="396">
        <v>1</v>
      </c>
      <c r="AG470" s="396">
        <v>1</v>
      </c>
      <c r="AH470" s="396">
        <v>1</v>
      </c>
      <c r="AI470" s="396">
        <v>1</v>
      </c>
      <c r="AJ470" s="396">
        <v>1</v>
      </c>
      <c r="AK470" s="396">
        <v>1</v>
      </c>
      <c r="AL470" s="396">
        <v>1</v>
      </c>
      <c r="AM470" s="396">
        <v>1</v>
      </c>
      <c r="AN470" s="396">
        <v>1</v>
      </c>
      <c r="AO470" s="396">
        <v>1</v>
      </c>
      <c r="AP470" s="396">
        <v>1</v>
      </c>
    </row>
    <row r="471" spans="1:42" s="140" customFormat="1" ht="13.5" hidden="1" customHeight="1" outlineLevel="2" thickBot="1">
      <c r="A471" s="216"/>
      <c r="B471" s="255" t="s">
        <v>656</v>
      </c>
      <c r="C471" s="245" t="s">
        <v>61</v>
      </c>
      <c r="D471" s="227" t="s">
        <v>62</v>
      </c>
      <c r="E471" s="241"/>
      <c r="F471" s="228">
        <f t="shared" ref="F471:F527" si="1047">F847</f>
        <v>4.0182801717972776E-2</v>
      </c>
      <c r="G471" s="269">
        <f>+F471*G466</f>
        <v>1.5684369133098445E-5</v>
      </c>
      <c r="H471" s="299"/>
      <c r="I471" s="299"/>
      <c r="J471" s="299"/>
      <c r="K471" s="299"/>
      <c r="L471" s="299"/>
      <c r="M471" s="299"/>
      <c r="N471" s="272">
        <v>1</v>
      </c>
      <c r="O471" s="272">
        <v>1</v>
      </c>
      <c r="P471" s="272">
        <v>1</v>
      </c>
      <c r="Q471" s="272">
        <v>1</v>
      </c>
      <c r="R471" s="372">
        <v>1</v>
      </c>
      <c r="S471" s="395">
        <v>1</v>
      </c>
      <c r="T471" s="272">
        <v>1</v>
      </c>
      <c r="U471" s="272">
        <v>1</v>
      </c>
      <c r="V471" s="272">
        <v>1</v>
      </c>
      <c r="W471" s="272">
        <v>1</v>
      </c>
      <c r="X471" s="272">
        <v>1</v>
      </c>
      <c r="Y471" s="272">
        <v>1</v>
      </c>
      <c r="Z471" s="272">
        <v>1</v>
      </c>
      <c r="AA471" s="272">
        <v>1</v>
      </c>
      <c r="AB471" s="272">
        <v>1</v>
      </c>
      <c r="AC471" s="272">
        <v>1</v>
      </c>
      <c r="AD471" s="396">
        <v>1</v>
      </c>
      <c r="AE471" s="396">
        <v>1</v>
      </c>
      <c r="AF471" s="396">
        <v>1</v>
      </c>
      <c r="AG471" s="396">
        <v>1</v>
      </c>
      <c r="AH471" s="396">
        <v>1</v>
      </c>
      <c r="AI471" s="396">
        <v>1</v>
      </c>
      <c r="AJ471" s="396">
        <v>1</v>
      </c>
      <c r="AK471" s="396">
        <v>1</v>
      </c>
      <c r="AL471" s="396">
        <v>1</v>
      </c>
      <c r="AM471" s="396">
        <v>1</v>
      </c>
      <c r="AN471" s="396">
        <v>1</v>
      </c>
      <c r="AO471" s="396">
        <v>1</v>
      </c>
      <c r="AP471" s="396">
        <v>1</v>
      </c>
    </row>
    <row r="472" spans="1:42" s="140" customFormat="1" ht="13.5" hidden="1" customHeight="1" outlineLevel="2" thickBot="1">
      <c r="A472" s="216"/>
      <c r="B472" s="255" t="s">
        <v>657</v>
      </c>
      <c r="C472" s="245" t="s">
        <v>64</v>
      </c>
      <c r="D472" s="227" t="s">
        <v>65</v>
      </c>
      <c r="E472" s="241"/>
      <c r="F472" s="228">
        <f t="shared" si="1047"/>
        <v>9.8615013818202632E-2</v>
      </c>
      <c r="G472" s="269">
        <f>+F472*G466</f>
        <v>3.8491947118224134E-5</v>
      </c>
      <c r="H472" s="299"/>
      <c r="I472" s="299"/>
      <c r="J472" s="299"/>
      <c r="K472" s="299"/>
      <c r="L472" s="299"/>
      <c r="M472" s="299"/>
      <c r="N472" s="272">
        <v>1</v>
      </c>
      <c r="O472" s="272">
        <v>1</v>
      </c>
      <c r="P472" s="272">
        <v>1</v>
      </c>
      <c r="Q472" s="272">
        <v>1</v>
      </c>
      <c r="R472" s="372">
        <v>1</v>
      </c>
      <c r="S472" s="395">
        <v>1</v>
      </c>
      <c r="T472" s="272">
        <v>1</v>
      </c>
      <c r="U472" s="272">
        <v>1</v>
      </c>
      <c r="V472" s="272">
        <v>1</v>
      </c>
      <c r="W472" s="272">
        <v>1</v>
      </c>
      <c r="X472" s="272">
        <v>1</v>
      </c>
      <c r="Y472" s="272">
        <v>1</v>
      </c>
      <c r="Z472" s="272">
        <v>1</v>
      </c>
      <c r="AA472" s="272">
        <v>1</v>
      </c>
      <c r="AB472" s="272">
        <v>1</v>
      </c>
      <c r="AC472" s="272">
        <v>1</v>
      </c>
      <c r="AD472" s="396">
        <v>1</v>
      </c>
      <c r="AE472" s="396">
        <v>1</v>
      </c>
      <c r="AF472" s="396">
        <v>1</v>
      </c>
      <c r="AG472" s="396">
        <v>1</v>
      </c>
      <c r="AH472" s="396">
        <v>1</v>
      </c>
      <c r="AI472" s="396">
        <v>1</v>
      </c>
      <c r="AJ472" s="396">
        <v>1</v>
      </c>
      <c r="AK472" s="396">
        <v>1</v>
      </c>
      <c r="AL472" s="396">
        <v>1</v>
      </c>
      <c r="AM472" s="396">
        <v>1</v>
      </c>
      <c r="AN472" s="396">
        <v>1</v>
      </c>
      <c r="AO472" s="396">
        <v>1</v>
      </c>
      <c r="AP472" s="396">
        <v>1</v>
      </c>
    </row>
    <row r="473" spans="1:42" s="140" customFormat="1" ht="13.5" hidden="1" customHeight="1" outlineLevel="2" thickBot="1">
      <c r="A473" s="216"/>
      <c r="B473" s="255" t="s">
        <v>658</v>
      </c>
      <c r="C473" s="245" t="s">
        <v>67</v>
      </c>
      <c r="D473" s="227" t="s">
        <v>68</v>
      </c>
      <c r="E473" s="241"/>
      <c r="F473" s="228">
        <f t="shared" si="1047"/>
        <v>9.164980880972666E-2</v>
      </c>
      <c r="G473" s="269">
        <f>+F473*G466</f>
        <v>3.5773250517439805E-5</v>
      </c>
      <c r="H473" s="299"/>
      <c r="I473" s="299"/>
      <c r="J473" s="299"/>
      <c r="K473" s="299"/>
      <c r="L473" s="299"/>
      <c r="M473" s="299"/>
      <c r="N473" s="272">
        <v>1</v>
      </c>
      <c r="O473" s="272">
        <v>1</v>
      </c>
      <c r="P473" s="272">
        <v>1</v>
      </c>
      <c r="Q473" s="272">
        <v>1</v>
      </c>
      <c r="R473" s="372">
        <v>1</v>
      </c>
      <c r="S473" s="395">
        <v>1</v>
      </c>
      <c r="T473" s="272">
        <v>1</v>
      </c>
      <c r="U473" s="272">
        <v>1</v>
      </c>
      <c r="V473" s="272">
        <v>1</v>
      </c>
      <c r="W473" s="272">
        <v>1</v>
      </c>
      <c r="X473" s="272">
        <v>1</v>
      </c>
      <c r="Y473" s="272">
        <v>1</v>
      </c>
      <c r="Z473" s="272">
        <v>1</v>
      </c>
      <c r="AA473" s="272">
        <v>1</v>
      </c>
      <c r="AB473" s="272">
        <v>1</v>
      </c>
      <c r="AC473" s="272">
        <v>1</v>
      </c>
      <c r="AD473" s="396">
        <v>1</v>
      </c>
      <c r="AE473" s="396">
        <v>1</v>
      </c>
      <c r="AF473" s="396">
        <v>1</v>
      </c>
      <c r="AG473" s="396">
        <v>1</v>
      </c>
      <c r="AH473" s="396">
        <v>1</v>
      </c>
      <c r="AI473" s="396">
        <v>1</v>
      </c>
      <c r="AJ473" s="396">
        <v>1</v>
      </c>
      <c r="AK473" s="396">
        <v>1</v>
      </c>
      <c r="AL473" s="396">
        <v>1</v>
      </c>
      <c r="AM473" s="396">
        <v>1</v>
      </c>
      <c r="AN473" s="396">
        <v>1</v>
      </c>
      <c r="AO473" s="396">
        <v>1</v>
      </c>
      <c r="AP473" s="396">
        <v>1</v>
      </c>
    </row>
    <row r="474" spans="1:42" s="140" customFormat="1" ht="26.25" hidden="1" customHeight="1" outlineLevel="2" thickBot="1">
      <c r="A474" s="216"/>
      <c r="B474" s="255" t="s">
        <v>659</v>
      </c>
      <c r="C474" s="245" t="s">
        <v>70</v>
      </c>
      <c r="D474" s="227" t="s">
        <v>71</v>
      </c>
      <c r="E474" s="241"/>
      <c r="F474" s="228">
        <f t="shared" si="1047"/>
        <v>9.2909380612212003E-2</v>
      </c>
      <c r="G474" s="269">
        <f>+F474*G466</f>
        <v>3.6264893415774247E-5</v>
      </c>
      <c r="H474" s="299"/>
      <c r="I474" s="299"/>
      <c r="J474" s="299"/>
      <c r="K474" s="299"/>
      <c r="L474" s="299"/>
      <c r="M474" s="299"/>
      <c r="N474" s="272">
        <v>0</v>
      </c>
      <c r="O474" s="272">
        <v>0</v>
      </c>
      <c r="P474" s="272">
        <v>0</v>
      </c>
      <c r="Q474" s="272">
        <v>0</v>
      </c>
      <c r="R474" s="372">
        <v>0</v>
      </c>
      <c r="S474" s="395">
        <v>0</v>
      </c>
      <c r="T474" s="272">
        <v>0</v>
      </c>
      <c r="U474" s="272">
        <v>0</v>
      </c>
      <c r="V474" s="272">
        <v>0</v>
      </c>
      <c r="W474" s="272">
        <v>0</v>
      </c>
      <c r="X474" s="272">
        <v>0</v>
      </c>
      <c r="Y474" s="272">
        <v>0</v>
      </c>
      <c r="Z474" s="272">
        <v>0</v>
      </c>
      <c r="AA474" s="272">
        <v>0</v>
      </c>
      <c r="AB474" s="272">
        <v>0</v>
      </c>
      <c r="AC474" s="272">
        <v>0</v>
      </c>
      <c r="AD474" s="396">
        <v>0</v>
      </c>
      <c r="AE474" s="396">
        <v>0</v>
      </c>
      <c r="AF474" s="396">
        <v>0</v>
      </c>
      <c r="AG474" s="396"/>
      <c r="AH474" s="396"/>
      <c r="AI474" s="396"/>
      <c r="AJ474" s="396"/>
      <c r="AK474" s="396"/>
      <c r="AL474" s="396"/>
      <c r="AM474" s="396"/>
      <c r="AN474" s="396"/>
      <c r="AO474" s="396"/>
      <c r="AP474" s="396"/>
    </row>
    <row r="475" spans="1:42" s="140" customFormat="1" ht="13.5" hidden="1" customHeight="1" outlineLevel="2" thickBot="1">
      <c r="A475" s="216"/>
      <c r="B475" s="255" t="s">
        <v>660</v>
      </c>
      <c r="C475" s="245" t="s">
        <v>73</v>
      </c>
      <c r="D475" s="227" t="s">
        <v>74</v>
      </c>
      <c r="E475" s="241"/>
      <c r="F475" s="228">
        <f t="shared" si="1047"/>
        <v>8.0887028733242702E-2</v>
      </c>
      <c r="G475" s="269">
        <f>+F475*G466</f>
        <v>3.157226381664367E-5</v>
      </c>
      <c r="H475" s="299"/>
      <c r="I475" s="299"/>
      <c r="J475" s="299"/>
      <c r="K475" s="299"/>
      <c r="L475" s="299"/>
      <c r="M475" s="299"/>
      <c r="N475" s="272">
        <v>0</v>
      </c>
      <c r="O475" s="272">
        <v>0</v>
      </c>
      <c r="P475" s="272">
        <v>0</v>
      </c>
      <c r="Q475" s="272">
        <v>0</v>
      </c>
      <c r="R475" s="372">
        <v>0</v>
      </c>
      <c r="S475" s="395">
        <v>0</v>
      </c>
      <c r="T475" s="272">
        <v>0</v>
      </c>
      <c r="U475" s="272">
        <v>0</v>
      </c>
      <c r="V475" s="272">
        <v>0</v>
      </c>
      <c r="W475" s="272">
        <v>0</v>
      </c>
      <c r="X475" s="272">
        <v>0</v>
      </c>
      <c r="Y475" s="272">
        <v>0</v>
      </c>
      <c r="Z475" s="272">
        <v>0</v>
      </c>
      <c r="AA475" s="272">
        <v>0</v>
      </c>
      <c r="AB475" s="272">
        <v>0</v>
      </c>
      <c r="AC475" s="272">
        <v>0</v>
      </c>
      <c r="AD475" s="396">
        <v>0</v>
      </c>
      <c r="AE475" s="396">
        <v>0</v>
      </c>
      <c r="AF475" s="396">
        <v>0</v>
      </c>
      <c r="AG475" s="396"/>
      <c r="AH475" s="396"/>
      <c r="AI475" s="396"/>
      <c r="AJ475" s="396"/>
      <c r="AK475" s="396"/>
      <c r="AL475" s="396"/>
      <c r="AM475" s="396"/>
      <c r="AN475" s="396"/>
      <c r="AO475" s="396"/>
      <c r="AP475" s="396"/>
    </row>
    <row r="476" spans="1:42" s="140" customFormat="1" ht="13.5" hidden="1" customHeight="1" outlineLevel="2" thickBot="1">
      <c r="A476" s="216"/>
      <c r="B476" s="255" t="s">
        <v>661</v>
      </c>
      <c r="C476" s="245" t="s">
        <v>76</v>
      </c>
      <c r="D476" s="227" t="s">
        <v>77</v>
      </c>
      <c r="E476" s="241"/>
      <c r="F476" s="228">
        <f t="shared" si="1047"/>
        <v>0.11788367881609482</v>
      </c>
      <c r="G476" s="269">
        <f>+F476*G466</f>
        <v>4.6012996960644173E-5</v>
      </c>
      <c r="H476" s="299"/>
      <c r="I476" s="299"/>
      <c r="J476" s="299"/>
      <c r="K476" s="299"/>
      <c r="L476" s="299"/>
      <c r="M476" s="299"/>
      <c r="N476" s="272">
        <v>0</v>
      </c>
      <c r="O476" s="272">
        <v>0</v>
      </c>
      <c r="P476" s="272">
        <v>0</v>
      </c>
      <c r="Q476" s="272">
        <v>0</v>
      </c>
      <c r="R476" s="372">
        <v>0</v>
      </c>
      <c r="S476" s="395">
        <v>0</v>
      </c>
      <c r="T476" s="272">
        <v>0</v>
      </c>
      <c r="U476" s="272">
        <v>0</v>
      </c>
      <c r="V476" s="272">
        <v>0</v>
      </c>
      <c r="W476" s="272">
        <v>0</v>
      </c>
      <c r="X476" s="272">
        <v>0</v>
      </c>
      <c r="Y476" s="272">
        <v>0</v>
      </c>
      <c r="Z476" s="272">
        <v>0</v>
      </c>
      <c r="AA476" s="272">
        <v>0</v>
      </c>
      <c r="AB476" s="272">
        <v>0</v>
      </c>
      <c r="AC476" s="272">
        <v>0</v>
      </c>
      <c r="AD476" s="396">
        <v>0</v>
      </c>
      <c r="AE476" s="396">
        <v>0</v>
      </c>
      <c r="AF476" s="396">
        <v>0</v>
      </c>
      <c r="AG476" s="396"/>
      <c r="AH476" s="396"/>
      <c r="AI476" s="396"/>
      <c r="AJ476" s="396"/>
      <c r="AK476" s="396"/>
      <c r="AL476" s="396"/>
      <c r="AM476" s="396"/>
      <c r="AN476" s="396"/>
      <c r="AO476" s="396"/>
      <c r="AP476" s="396"/>
    </row>
    <row r="477" spans="1:42" s="140" customFormat="1" ht="13.5" hidden="1" customHeight="1" outlineLevel="2" thickBot="1">
      <c r="A477" s="216"/>
      <c r="B477" s="255" t="s">
        <v>662</v>
      </c>
      <c r="C477" s="245" t="s">
        <v>79</v>
      </c>
      <c r="D477" s="227" t="s">
        <v>80</v>
      </c>
      <c r="E477" s="241"/>
      <c r="F477" s="228">
        <f t="shared" si="1047"/>
        <v>4.1046638926131508E-2</v>
      </c>
      <c r="G477" s="269">
        <f>+F477*G466</f>
        <v>1.6021546757962935E-5</v>
      </c>
      <c r="H477" s="299"/>
      <c r="I477" s="299"/>
      <c r="J477" s="299"/>
      <c r="K477" s="299"/>
      <c r="L477" s="299"/>
      <c r="M477" s="299"/>
      <c r="N477" s="272">
        <v>0</v>
      </c>
      <c r="O477" s="272">
        <v>0</v>
      </c>
      <c r="P477" s="272">
        <v>0</v>
      </c>
      <c r="Q477" s="272">
        <v>0</v>
      </c>
      <c r="R477" s="372">
        <v>0</v>
      </c>
      <c r="S477" s="395">
        <v>0</v>
      </c>
      <c r="T477" s="272">
        <v>0</v>
      </c>
      <c r="U477" s="272">
        <v>0</v>
      </c>
      <c r="V477" s="272">
        <v>0</v>
      </c>
      <c r="W477" s="272">
        <v>0</v>
      </c>
      <c r="X477" s="272">
        <v>0</v>
      </c>
      <c r="Y477" s="272">
        <v>0</v>
      </c>
      <c r="Z477" s="272">
        <v>0</v>
      </c>
      <c r="AA477" s="272">
        <v>0</v>
      </c>
      <c r="AB477" s="272">
        <v>0</v>
      </c>
      <c r="AC477" s="272">
        <v>0</v>
      </c>
      <c r="AD477" s="396">
        <v>0</v>
      </c>
      <c r="AE477" s="396">
        <v>0</v>
      </c>
      <c r="AF477" s="396">
        <v>0</v>
      </c>
      <c r="AG477" s="396"/>
      <c r="AH477" s="396"/>
      <c r="AI477" s="396"/>
      <c r="AJ477" s="396"/>
      <c r="AK477" s="396"/>
      <c r="AL477" s="396"/>
      <c r="AM477" s="396"/>
      <c r="AN477" s="396"/>
      <c r="AO477" s="396"/>
      <c r="AP477" s="396"/>
    </row>
    <row r="478" spans="1:42" s="140" customFormat="1" ht="13.5" hidden="1" customHeight="1" outlineLevel="2" thickBot="1">
      <c r="A478" s="216"/>
      <c r="B478" s="255" t="s">
        <v>663</v>
      </c>
      <c r="C478" s="245" t="s">
        <v>82</v>
      </c>
      <c r="D478" s="227" t="s">
        <v>83</v>
      </c>
      <c r="E478" s="241"/>
      <c r="F478" s="228">
        <f t="shared" si="1047"/>
        <v>5.3741978219236555E-2</v>
      </c>
      <c r="G478" s="269">
        <f>+F478*G466</f>
        <v>2.0976860455114316E-5</v>
      </c>
      <c r="H478" s="299"/>
      <c r="I478" s="299"/>
      <c r="J478" s="299"/>
      <c r="K478" s="299"/>
      <c r="L478" s="299"/>
      <c r="M478" s="299"/>
      <c r="N478" s="272">
        <v>0</v>
      </c>
      <c r="O478" s="272">
        <v>0</v>
      </c>
      <c r="P478" s="272">
        <v>0</v>
      </c>
      <c r="Q478" s="272">
        <v>0</v>
      </c>
      <c r="R478" s="372">
        <v>0</v>
      </c>
      <c r="S478" s="395">
        <v>0</v>
      </c>
      <c r="T478" s="272">
        <v>0</v>
      </c>
      <c r="U478" s="272">
        <v>0</v>
      </c>
      <c r="V478" s="272">
        <v>0</v>
      </c>
      <c r="W478" s="272">
        <v>0</v>
      </c>
      <c r="X478" s="272">
        <v>0</v>
      </c>
      <c r="Y478" s="272">
        <v>0</v>
      </c>
      <c r="Z478" s="272">
        <v>0</v>
      </c>
      <c r="AA478" s="272">
        <v>0</v>
      </c>
      <c r="AB478" s="272">
        <v>0</v>
      </c>
      <c r="AC478" s="272">
        <v>0</v>
      </c>
      <c r="AD478" s="396">
        <v>0</v>
      </c>
      <c r="AE478" s="396">
        <v>0</v>
      </c>
      <c r="AF478" s="396">
        <v>0</v>
      </c>
      <c r="AG478" s="396"/>
      <c r="AH478" s="396"/>
      <c r="AI478" s="396"/>
      <c r="AJ478" s="396"/>
      <c r="AK478" s="396"/>
      <c r="AL478" s="396"/>
      <c r="AM478" s="396"/>
      <c r="AN478" s="396"/>
      <c r="AO478" s="396"/>
      <c r="AP478" s="396"/>
    </row>
    <row r="479" spans="1:42" s="140" customFormat="1" ht="13.5" hidden="1" customHeight="1" outlineLevel="2" thickBot="1">
      <c r="A479" s="216"/>
      <c r="B479" s="255" t="s">
        <v>664</v>
      </c>
      <c r="C479" s="245" t="s">
        <v>85</v>
      </c>
      <c r="D479" s="227" t="s">
        <v>86</v>
      </c>
      <c r="E479" s="241"/>
      <c r="F479" s="228">
        <f t="shared" si="1047"/>
        <v>5.8057394561842592E-2</v>
      </c>
      <c r="G479" s="269">
        <f>+F479*G466</f>
        <v>2.2661277170391916E-5</v>
      </c>
      <c r="H479" s="299"/>
      <c r="I479" s="299"/>
      <c r="J479" s="299"/>
      <c r="K479" s="299"/>
      <c r="L479" s="299"/>
      <c r="M479" s="299"/>
      <c r="N479" s="272">
        <v>0</v>
      </c>
      <c r="O479" s="272">
        <v>0</v>
      </c>
      <c r="P479" s="272">
        <v>0</v>
      </c>
      <c r="Q479" s="272">
        <v>0</v>
      </c>
      <c r="R479" s="372">
        <v>0</v>
      </c>
      <c r="S479" s="395">
        <v>0</v>
      </c>
      <c r="T479" s="272">
        <v>0</v>
      </c>
      <c r="U479" s="272">
        <v>0</v>
      </c>
      <c r="V479" s="272">
        <v>0</v>
      </c>
      <c r="W479" s="272">
        <v>0</v>
      </c>
      <c r="X479" s="272">
        <v>0</v>
      </c>
      <c r="Y479" s="272">
        <v>0</v>
      </c>
      <c r="Z479" s="272">
        <v>0</v>
      </c>
      <c r="AA479" s="272">
        <v>0</v>
      </c>
      <c r="AB479" s="272">
        <v>0</v>
      </c>
      <c r="AC479" s="272">
        <v>0</v>
      </c>
      <c r="AD479" s="396">
        <v>0</v>
      </c>
      <c r="AE479" s="396">
        <v>0</v>
      </c>
      <c r="AF479" s="396">
        <v>0</v>
      </c>
      <c r="AG479" s="396"/>
      <c r="AH479" s="396"/>
      <c r="AI479" s="396"/>
      <c r="AJ479" s="396"/>
      <c r="AK479" s="396"/>
      <c r="AL479" s="396"/>
      <c r="AM479" s="396"/>
      <c r="AN479" s="396"/>
      <c r="AO479" s="396"/>
      <c r="AP479" s="396"/>
    </row>
    <row r="480" spans="1:42" s="140" customFormat="1" ht="13.5" hidden="1" customHeight="1" outlineLevel="2" thickBot="1">
      <c r="A480" s="216"/>
      <c r="B480" s="255" t="s">
        <v>665</v>
      </c>
      <c r="C480" s="245" t="s">
        <v>88</v>
      </c>
      <c r="D480" s="227" t="s">
        <v>89</v>
      </c>
      <c r="E480" s="241"/>
      <c r="F480" s="228">
        <f t="shared" si="1047"/>
        <v>6.1612726844928238E-2</v>
      </c>
      <c r="G480" s="269">
        <f>+F480*G466</f>
        <v>2.4049013752577408E-5</v>
      </c>
      <c r="H480" s="299"/>
      <c r="I480" s="299"/>
      <c r="J480" s="299"/>
      <c r="K480" s="299"/>
      <c r="L480" s="299"/>
      <c r="M480" s="299"/>
      <c r="N480" s="272">
        <v>0</v>
      </c>
      <c r="O480" s="272">
        <v>0</v>
      </c>
      <c r="P480" s="272">
        <v>0</v>
      </c>
      <c r="Q480" s="272">
        <v>0</v>
      </c>
      <c r="R480" s="372">
        <v>0</v>
      </c>
      <c r="S480" s="395">
        <v>0</v>
      </c>
      <c r="T480" s="272">
        <v>0</v>
      </c>
      <c r="U480" s="272">
        <v>0</v>
      </c>
      <c r="V480" s="272">
        <v>0</v>
      </c>
      <c r="W480" s="272">
        <v>0</v>
      </c>
      <c r="X480" s="272">
        <v>0</v>
      </c>
      <c r="Y480" s="272">
        <v>0</v>
      </c>
      <c r="Z480" s="272">
        <v>0</v>
      </c>
      <c r="AA480" s="272">
        <v>0</v>
      </c>
      <c r="AB480" s="272">
        <v>0</v>
      </c>
      <c r="AC480" s="272">
        <v>0</v>
      </c>
      <c r="AD480" s="396">
        <v>0</v>
      </c>
      <c r="AE480" s="396">
        <v>0</v>
      </c>
      <c r="AF480" s="396">
        <v>0</v>
      </c>
      <c r="AG480" s="396"/>
      <c r="AH480" s="396"/>
      <c r="AI480" s="396"/>
      <c r="AJ480" s="396"/>
      <c r="AK480" s="396"/>
      <c r="AL480" s="396"/>
      <c r="AM480" s="396"/>
      <c r="AN480" s="396"/>
      <c r="AO480" s="396"/>
      <c r="AP480" s="396"/>
    </row>
    <row r="481" spans="1:42" s="140" customFormat="1" ht="13.5" hidden="1" customHeight="1" outlineLevel="2" thickBot="1">
      <c r="A481" s="216"/>
      <c r="B481" s="255" t="s">
        <v>666</v>
      </c>
      <c r="C481" s="245" t="s">
        <v>91</v>
      </c>
      <c r="D481" s="227" t="s">
        <v>92</v>
      </c>
      <c r="E481" s="241"/>
      <c r="F481" s="228">
        <f t="shared" si="1047"/>
        <v>5.5478507137905975E-2</v>
      </c>
      <c r="G481" s="269">
        <f>+F481*G466</f>
        <v>2.1654671842231441E-5</v>
      </c>
      <c r="H481" s="299"/>
      <c r="I481" s="299"/>
      <c r="J481" s="299"/>
      <c r="K481" s="299"/>
      <c r="L481" s="299"/>
      <c r="M481" s="299"/>
      <c r="N481" s="272">
        <v>0</v>
      </c>
      <c r="O481" s="272">
        <v>0</v>
      </c>
      <c r="P481" s="272">
        <v>0</v>
      </c>
      <c r="Q481" s="272">
        <v>0</v>
      </c>
      <c r="R481" s="372">
        <v>0</v>
      </c>
      <c r="S481" s="395">
        <v>0</v>
      </c>
      <c r="T481" s="272">
        <v>0</v>
      </c>
      <c r="U481" s="272">
        <v>0</v>
      </c>
      <c r="V481" s="272">
        <v>0</v>
      </c>
      <c r="W481" s="272">
        <v>0</v>
      </c>
      <c r="X481" s="272">
        <v>0</v>
      </c>
      <c r="Y481" s="272">
        <v>0</v>
      </c>
      <c r="Z481" s="272">
        <v>0</v>
      </c>
      <c r="AA481" s="272">
        <v>0</v>
      </c>
      <c r="AB481" s="272">
        <v>0</v>
      </c>
      <c r="AC481" s="272">
        <v>0</v>
      </c>
      <c r="AD481" s="396">
        <v>0</v>
      </c>
      <c r="AE481" s="396">
        <v>0</v>
      </c>
      <c r="AF481" s="396">
        <v>0</v>
      </c>
      <c r="AG481" s="396"/>
      <c r="AH481" s="396"/>
      <c r="AI481" s="396"/>
      <c r="AJ481" s="396"/>
      <c r="AK481" s="396"/>
      <c r="AL481" s="396"/>
      <c r="AM481" s="396"/>
      <c r="AN481" s="396"/>
      <c r="AO481" s="396"/>
      <c r="AP481" s="396"/>
    </row>
    <row r="482" spans="1:42" s="140" customFormat="1" ht="13.5" hidden="1" customHeight="1" outlineLevel="2" thickBot="1">
      <c r="A482" s="216"/>
      <c r="B482" s="300" t="s">
        <v>667</v>
      </c>
      <c r="C482" s="294"/>
      <c r="D482" s="294" t="s">
        <v>94</v>
      </c>
      <c r="E482" s="295"/>
      <c r="F482" s="296">
        <f t="shared" si="1047"/>
        <v>0.17989574156721069</v>
      </c>
      <c r="G482" s="296">
        <f>+F482*G342</f>
        <v>1.7989574156721069E-3</v>
      </c>
      <c r="H482" s="297"/>
      <c r="I482" s="297"/>
      <c r="J482" s="297"/>
      <c r="K482" s="297"/>
      <c r="L482" s="297"/>
      <c r="M482" s="297"/>
      <c r="N482" s="296">
        <f t="shared" ref="N482:R482" si="1048">+$F483*N483+$F495*N495+$F503*N503+$F509*N509+$F513*N513</f>
        <v>0.41729476429078977</v>
      </c>
      <c r="O482" s="296">
        <f t="shared" si="1048"/>
        <v>0.41729476429078977</v>
      </c>
      <c r="P482" s="296">
        <f t="shared" si="1048"/>
        <v>0.41729476429078977</v>
      </c>
      <c r="Q482" s="296">
        <f t="shared" si="1048"/>
        <v>0.41729476429078977</v>
      </c>
      <c r="R482" s="376">
        <f t="shared" si="1048"/>
        <v>0.41729476429078977</v>
      </c>
      <c r="S482" s="403">
        <f t="shared" ref="S482" si="1049">+$F483*S483+$F495*S495+$F503*S503+$F509*S509+$F513*S513</f>
        <v>0.41729476429078977</v>
      </c>
      <c r="T482" s="296">
        <f t="shared" ref="T482" si="1050">+$F483*T483+$F495*T495+$F503*T503+$F509*T509+$F513*T513</f>
        <v>0.41729476429078977</v>
      </c>
      <c r="U482" s="296">
        <f t="shared" ref="U482" si="1051">+$F483*U483+$F495*U495+$F503*U503+$F509*U509+$F513*U513</f>
        <v>0.41729476429078977</v>
      </c>
      <c r="V482" s="296">
        <f t="shared" ref="V482" si="1052">+$F483*V483+$F495*V495+$F503*V503+$F509*V509+$F513*V513</f>
        <v>0.41729476429078977</v>
      </c>
      <c r="W482" s="296">
        <f t="shared" ref="W482" si="1053">+$F483*W483+$F495*W495+$F503*W503+$F509*W509+$F513*W513</f>
        <v>0.41729476429078977</v>
      </c>
      <c r="X482" s="296">
        <f t="shared" ref="X482" si="1054">+$F483*X483+$F495*X495+$F503*X503+$F509*X509+$F513*X513</f>
        <v>0.41729476429078977</v>
      </c>
      <c r="Y482" s="296">
        <f t="shared" ref="Y482" si="1055">+$F483*Y483+$F495*Y495+$F503*Y503+$F509*Y509+$F513*Y513</f>
        <v>0.41729476429078977</v>
      </c>
      <c r="Z482" s="296">
        <f t="shared" ref="Z482" si="1056">+$F483*Z483+$F495*Z495+$F503*Z503+$F509*Z509+$F513*Z513</f>
        <v>0.41729476429078977</v>
      </c>
      <c r="AA482" s="296">
        <f t="shared" ref="AA482" si="1057">+$F483*AA483+$F495*AA495+$F503*AA503+$F509*AA509+$F513*AA513</f>
        <v>0.41729476429078977</v>
      </c>
      <c r="AB482" s="296">
        <f t="shared" ref="AB482" si="1058">+$F483*AB483+$F495*AB495+$F503*AB503+$F509*AB509+$F513*AB513</f>
        <v>0.41729476429078977</v>
      </c>
      <c r="AC482" s="296">
        <f t="shared" ref="AC482" si="1059">+$F483*AC483+$F495*AC495+$F503*AC503+$F509*AC509+$F513*AC513</f>
        <v>0.41729476429078977</v>
      </c>
      <c r="AD482" s="404">
        <f t="shared" ref="AD482:AF482" si="1060">+$F483*AD483+$F495*AD495+$F503*AD503+$F509*AD509+$F513*AD513</f>
        <v>0.41729476429078977</v>
      </c>
      <c r="AE482" s="404">
        <f t="shared" si="1060"/>
        <v>0.41729476429078977</v>
      </c>
      <c r="AF482" s="404">
        <f t="shared" si="1060"/>
        <v>0.41729476429078977</v>
      </c>
      <c r="AG482" s="404">
        <f t="shared" ref="AG482" si="1061">+$F483*AG483+$F495*AG495+$F503*AG503+$F509*AG509+$F513*AG513</f>
        <v>0.41729476429078977</v>
      </c>
      <c r="AH482" s="404">
        <f t="shared" ref="AH482" si="1062">+$F483*AH483+$F495*AH495+$F503*AH503+$F509*AH509+$F513*AH513</f>
        <v>0.41729476429078977</v>
      </c>
      <c r="AI482" s="404">
        <f t="shared" ref="AI482" si="1063">+$F483*AI483+$F495*AI495+$F503*AI503+$F509*AI509+$F513*AI513</f>
        <v>0.41729476429078977</v>
      </c>
      <c r="AJ482" s="404">
        <f t="shared" ref="AJ482" si="1064">+$F483*AJ483+$F495*AJ495+$F503*AJ503+$F509*AJ509+$F513*AJ513</f>
        <v>0.41729476429078977</v>
      </c>
      <c r="AK482" s="404">
        <f t="shared" ref="AK482" si="1065">+$F483*AK483+$F495*AK495+$F503*AK503+$F509*AK509+$F513*AK513</f>
        <v>0.41729476429078977</v>
      </c>
      <c r="AL482" s="404">
        <f t="shared" ref="AL482" si="1066">+$F483*AL483+$F495*AL495+$F503*AL503+$F509*AL509+$F513*AL513</f>
        <v>0.41729476429078977</v>
      </c>
      <c r="AM482" s="404">
        <f t="shared" ref="AM482" si="1067">+$F483*AM483+$F495*AM495+$F503*AM503+$F509*AM509+$F513*AM513</f>
        <v>0.41729476429078977</v>
      </c>
      <c r="AN482" s="404">
        <f t="shared" ref="AN482" si="1068">+$F483*AN483+$F495*AN495+$F503*AN503+$F509*AN509+$F513*AN513</f>
        <v>0.41729476429078977</v>
      </c>
      <c r="AO482" s="404">
        <f t="shared" ref="AO482" si="1069">+$F483*AO483+$F495*AO495+$F503*AO503+$F509*AO509+$F513*AO513</f>
        <v>0.41729476429078977</v>
      </c>
      <c r="AP482" s="404">
        <f t="shared" ref="AP482" si="1070">+$F483*AP483+$F495*AP495+$F503*AP503+$F509*AP509+$F513*AP513</f>
        <v>0.41729476429078977</v>
      </c>
    </row>
    <row r="483" spans="1:42" s="140" customFormat="1" ht="13.5" hidden="1" customHeight="1" outlineLevel="2" thickBot="1">
      <c r="B483" s="301" t="s">
        <v>668</v>
      </c>
      <c r="C483" s="251"/>
      <c r="D483" s="236" t="s">
        <v>97</v>
      </c>
      <c r="E483" s="242"/>
      <c r="F483" s="232">
        <f t="shared" si="1047"/>
        <v>0.2064703407829992</v>
      </c>
      <c r="G483" s="232">
        <f>+F483*G482</f>
        <v>3.7143135066792344E-4</v>
      </c>
      <c r="H483" s="321"/>
      <c r="I483" s="321"/>
      <c r="J483" s="321"/>
      <c r="K483" s="321"/>
      <c r="L483" s="321"/>
      <c r="M483" s="321"/>
      <c r="N483" s="274">
        <f t="shared" ref="N483:R483" si="1071">+SUMPRODUCT($F484:$F494,N484:N494)</f>
        <v>0.99475727252359469</v>
      </c>
      <c r="O483" s="274">
        <f t="shared" si="1071"/>
        <v>0.99475727252359469</v>
      </c>
      <c r="P483" s="274">
        <f t="shared" si="1071"/>
        <v>0.99475727252359469</v>
      </c>
      <c r="Q483" s="274">
        <f t="shared" si="1071"/>
        <v>0.99475727252359469</v>
      </c>
      <c r="R483" s="375">
        <f t="shared" si="1071"/>
        <v>0.99475727252359469</v>
      </c>
      <c r="S483" s="401">
        <f t="shared" ref="S483" si="1072">+SUMPRODUCT($F484:$F494,S484:S494)</f>
        <v>0.99475727252359469</v>
      </c>
      <c r="T483" s="274">
        <f t="shared" ref="T483" si="1073">+SUMPRODUCT($F484:$F494,T484:T494)</f>
        <v>0.99475727252359469</v>
      </c>
      <c r="U483" s="274">
        <f t="shared" ref="U483" si="1074">+SUMPRODUCT($F484:$F494,U484:U494)</f>
        <v>0.99475727252359469</v>
      </c>
      <c r="V483" s="274">
        <f t="shared" ref="V483" si="1075">+SUMPRODUCT($F484:$F494,V484:V494)</f>
        <v>0.99475727252359469</v>
      </c>
      <c r="W483" s="274">
        <f t="shared" ref="W483" si="1076">+SUMPRODUCT($F484:$F494,W484:W494)</f>
        <v>0.99475727252359469</v>
      </c>
      <c r="X483" s="274">
        <f t="shared" ref="X483" si="1077">+SUMPRODUCT($F484:$F494,X484:X494)</f>
        <v>0.99475727252359469</v>
      </c>
      <c r="Y483" s="274">
        <f t="shared" ref="Y483" si="1078">+SUMPRODUCT($F484:$F494,Y484:Y494)</f>
        <v>0.99475727252359469</v>
      </c>
      <c r="Z483" s="274">
        <f t="shared" ref="Z483" si="1079">+SUMPRODUCT($F484:$F494,Z484:Z494)</f>
        <v>0.99475727252359469</v>
      </c>
      <c r="AA483" s="274">
        <f t="shared" ref="AA483" si="1080">+SUMPRODUCT($F484:$F494,AA484:AA494)</f>
        <v>0.99475727252359469</v>
      </c>
      <c r="AB483" s="274">
        <f t="shared" ref="AB483" si="1081">+SUMPRODUCT($F484:$F494,AB484:AB494)</f>
        <v>0.99475727252359469</v>
      </c>
      <c r="AC483" s="274">
        <f t="shared" ref="AC483" si="1082">+SUMPRODUCT($F484:$F494,AC484:AC494)</f>
        <v>0.99475727252359469</v>
      </c>
      <c r="AD483" s="402">
        <f t="shared" ref="AD483:AF483" si="1083">+SUMPRODUCT($F484:$F494,AD484:AD494)</f>
        <v>0.99475727252359469</v>
      </c>
      <c r="AE483" s="402">
        <f t="shared" si="1083"/>
        <v>0.99475727252359469</v>
      </c>
      <c r="AF483" s="402">
        <f t="shared" si="1083"/>
        <v>0.99475727252359469</v>
      </c>
      <c r="AG483" s="402">
        <f t="shared" ref="AG483" si="1084">+SUMPRODUCT($F484:$F494,AG484:AG494)</f>
        <v>0.99475727252359469</v>
      </c>
      <c r="AH483" s="402">
        <f t="shared" ref="AH483" si="1085">+SUMPRODUCT($F484:$F494,AH484:AH494)</f>
        <v>0.99475727252359469</v>
      </c>
      <c r="AI483" s="402">
        <f t="shared" ref="AI483" si="1086">+SUMPRODUCT($F484:$F494,AI484:AI494)</f>
        <v>0.99475727252359469</v>
      </c>
      <c r="AJ483" s="402">
        <f t="shared" ref="AJ483" si="1087">+SUMPRODUCT($F484:$F494,AJ484:AJ494)</f>
        <v>0.99475727252359469</v>
      </c>
      <c r="AK483" s="402">
        <f t="shared" ref="AK483" si="1088">+SUMPRODUCT($F484:$F494,AK484:AK494)</f>
        <v>0.99475727252359469</v>
      </c>
      <c r="AL483" s="402">
        <f t="shared" ref="AL483" si="1089">+SUMPRODUCT($F484:$F494,AL484:AL494)</f>
        <v>0.99475727252359469</v>
      </c>
      <c r="AM483" s="402">
        <f t="shared" ref="AM483" si="1090">+SUMPRODUCT($F484:$F494,AM484:AM494)</f>
        <v>0.99475727252359469</v>
      </c>
      <c r="AN483" s="402">
        <f t="shared" ref="AN483" si="1091">+SUMPRODUCT($F484:$F494,AN484:AN494)</f>
        <v>0.99475727252359469</v>
      </c>
      <c r="AO483" s="402">
        <f t="shared" ref="AO483" si="1092">+SUMPRODUCT($F484:$F494,AO484:AO494)</f>
        <v>0.99475727252359469</v>
      </c>
      <c r="AP483" s="402">
        <f t="shared" ref="AP483" si="1093">+SUMPRODUCT($F484:$F494,AP484:AP494)</f>
        <v>0.99475727252359469</v>
      </c>
    </row>
    <row r="484" spans="1:42" s="140" customFormat="1" ht="26.25" hidden="1" customHeight="1" outlineLevel="3" thickBot="1">
      <c r="A484" s="216"/>
      <c r="B484" s="255" t="s">
        <v>669</v>
      </c>
      <c r="C484" s="245" t="s">
        <v>99</v>
      </c>
      <c r="D484" s="227" t="s">
        <v>100</v>
      </c>
      <c r="E484" s="241"/>
      <c r="F484" s="228">
        <f t="shared" si="1047"/>
        <v>5.8885812178438031E-2</v>
      </c>
      <c r="G484" s="269">
        <f>+F484*G483</f>
        <v>2.1872036752614895E-5</v>
      </c>
      <c r="H484" s="299"/>
      <c r="I484" s="299"/>
      <c r="J484" s="299"/>
      <c r="K484" s="299"/>
      <c r="L484" s="299"/>
      <c r="M484" s="299"/>
      <c r="N484" s="272">
        <v>1</v>
      </c>
      <c r="O484" s="272">
        <v>1</v>
      </c>
      <c r="P484" s="272">
        <v>1</v>
      </c>
      <c r="Q484" s="272">
        <v>1</v>
      </c>
      <c r="R484" s="372">
        <v>1</v>
      </c>
      <c r="S484" s="395">
        <v>1</v>
      </c>
      <c r="T484" s="272">
        <v>1</v>
      </c>
      <c r="U484" s="272">
        <v>1</v>
      </c>
      <c r="V484" s="272">
        <v>1</v>
      </c>
      <c r="W484" s="272">
        <v>1</v>
      </c>
      <c r="X484" s="272">
        <v>1</v>
      </c>
      <c r="Y484" s="272">
        <v>1</v>
      </c>
      <c r="Z484" s="272">
        <v>1</v>
      </c>
      <c r="AA484" s="272">
        <v>1</v>
      </c>
      <c r="AB484" s="272">
        <v>1</v>
      </c>
      <c r="AC484" s="272">
        <v>1</v>
      </c>
      <c r="AD484" s="396">
        <v>1</v>
      </c>
      <c r="AE484" s="396">
        <v>1</v>
      </c>
      <c r="AF484" s="396">
        <v>1</v>
      </c>
      <c r="AG484" s="396">
        <v>1</v>
      </c>
      <c r="AH484" s="396">
        <v>1</v>
      </c>
      <c r="AI484" s="396">
        <v>1</v>
      </c>
      <c r="AJ484" s="396">
        <v>1</v>
      </c>
      <c r="AK484" s="396">
        <v>1</v>
      </c>
      <c r="AL484" s="396">
        <v>1</v>
      </c>
      <c r="AM484" s="396">
        <v>1</v>
      </c>
      <c r="AN484" s="396">
        <v>1</v>
      </c>
      <c r="AO484" s="396">
        <v>1</v>
      </c>
      <c r="AP484" s="396">
        <v>1</v>
      </c>
    </row>
    <row r="485" spans="1:42" s="140" customFormat="1" ht="26.25" hidden="1" customHeight="1" outlineLevel="3" thickBot="1">
      <c r="A485" s="216"/>
      <c r="B485" s="255" t="s">
        <v>670</v>
      </c>
      <c r="C485" s="245" t="s">
        <v>102</v>
      </c>
      <c r="D485" s="227" t="s">
        <v>103</v>
      </c>
      <c r="E485" s="241"/>
      <c r="F485" s="228">
        <f t="shared" si="1047"/>
        <v>9.5476860808951347E-2</v>
      </c>
      <c r="G485" s="269">
        <f>+F485*G483</f>
        <v>3.5463099367802123E-5</v>
      </c>
      <c r="H485" s="299"/>
      <c r="I485" s="299"/>
      <c r="J485" s="299"/>
      <c r="K485" s="299"/>
      <c r="L485" s="299"/>
      <c r="M485" s="299"/>
      <c r="N485" s="272">
        <v>1</v>
      </c>
      <c r="O485" s="272">
        <v>1</v>
      </c>
      <c r="P485" s="272">
        <v>1</v>
      </c>
      <c r="Q485" s="272">
        <v>1</v>
      </c>
      <c r="R485" s="372">
        <v>1</v>
      </c>
      <c r="S485" s="395">
        <v>1</v>
      </c>
      <c r="T485" s="272">
        <v>1</v>
      </c>
      <c r="U485" s="272">
        <v>1</v>
      </c>
      <c r="V485" s="272">
        <v>1</v>
      </c>
      <c r="W485" s="272">
        <v>1</v>
      </c>
      <c r="X485" s="272">
        <v>1</v>
      </c>
      <c r="Y485" s="272">
        <v>1</v>
      </c>
      <c r="Z485" s="272">
        <v>1</v>
      </c>
      <c r="AA485" s="272">
        <v>1</v>
      </c>
      <c r="AB485" s="272">
        <v>1</v>
      </c>
      <c r="AC485" s="272">
        <v>1</v>
      </c>
      <c r="AD485" s="396">
        <v>1</v>
      </c>
      <c r="AE485" s="396">
        <v>1</v>
      </c>
      <c r="AF485" s="396">
        <v>1</v>
      </c>
      <c r="AG485" s="396">
        <v>1</v>
      </c>
      <c r="AH485" s="396">
        <v>1</v>
      </c>
      <c r="AI485" s="396">
        <v>1</v>
      </c>
      <c r="AJ485" s="396">
        <v>1</v>
      </c>
      <c r="AK485" s="396">
        <v>1</v>
      </c>
      <c r="AL485" s="396">
        <v>1</v>
      </c>
      <c r="AM485" s="396">
        <v>1</v>
      </c>
      <c r="AN485" s="396">
        <v>1</v>
      </c>
      <c r="AO485" s="396">
        <v>1</v>
      </c>
      <c r="AP485" s="396">
        <v>1</v>
      </c>
    </row>
    <row r="486" spans="1:42" s="140" customFormat="1" ht="26.25" hidden="1" customHeight="1" outlineLevel="3" thickBot="1">
      <c r="A486" s="216"/>
      <c r="B486" s="255" t="s">
        <v>671</v>
      </c>
      <c r="C486" s="245" t="s">
        <v>105</v>
      </c>
      <c r="D486" s="227" t="s">
        <v>106</v>
      </c>
      <c r="E486" s="241"/>
      <c r="F486" s="228">
        <f t="shared" si="1047"/>
        <v>7.7851641421759807E-2</v>
      </c>
      <c r="G486" s="269">
        <f>+F486*G483</f>
        <v>2.8916540324999101E-5</v>
      </c>
      <c r="H486" s="299"/>
      <c r="I486" s="299"/>
      <c r="J486" s="299"/>
      <c r="K486" s="299"/>
      <c r="L486" s="299"/>
      <c r="M486" s="299"/>
      <c r="N486" s="272">
        <v>1</v>
      </c>
      <c r="O486" s="272">
        <v>1</v>
      </c>
      <c r="P486" s="272">
        <v>1</v>
      </c>
      <c r="Q486" s="272">
        <v>1</v>
      </c>
      <c r="R486" s="372">
        <v>1</v>
      </c>
      <c r="S486" s="395">
        <v>1</v>
      </c>
      <c r="T486" s="272">
        <v>1</v>
      </c>
      <c r="U486" s="272">
        <v>1</v>
      </c>
      <c r="V486" s="272">
        <v>1</v>
      </c>
      <c r="W486" s="272">
        <v>1</v>
      </c>
      <c r="X486" s="272">
        <v>1</v>
      </c>
      <c r="Y486" s="272">
        <v>1</v>
      </c>
      <c r="Z486" s="272">
        <v>1</v>
      </c>
      <c r="AA486" s="272">
        <v>1</v>
      </c>
      <c r="AB486" s="272">
        <v>1</v>
      </c>
      <c r="AC486" s="272">
        <v>1</v>
      </c>
      <c r="AD486" s="396">
        <v>1</v>
      </c>
      <c r="AE486" s="396">
        <v>1</v>
      </c>
      <c r="AF486" s="396">
        <v>1</v>
      </c>
      <c r="AG486" s="396">
        <v>1</v>
      </c>
      <c r="AH486" s="396">
        <v>1</v>
      </c>
      <c r="AI486" s="396">
        <v>1</v>
      </c>
      <c r="AJ486" s="396">
        <v>1</v>
      </c>
      <c r="AK486" s="396">
        <v>1</v>
      </c>
      <c r="AL486" s="396">
        <v>1</v>
      </c>
      <c r="AM486" s="396">
        <v>1</v>
      </c>
      <c r="AN486" s="396">
        <v>1</v>
      </c>
      <c r="AO486" s="396">
        <v>1</v>
      </c>
      <c r="AP486" s="396">
        <v>1</v>
      </c>
    </row>
    <row r="487" spans="1:42" s="140" customFormat="1" ht="26.25" hidden="1" customHeight="1" outlineLevel="3" thickBot="1">
      <c r="A487" s="216"/>
      <c r="B487" s="255" t="s">
        <v>672</v>
      </c>
      <c r="C487" s="245" t="s">
        <v>108</v>
      </c>
      <c r="D487" s="227" t="s">
        <v>109</v>
      </c>
      <c r="E487" s="241"/>
      <c r="F487" s="228">
        <f t="shared" si="1047"/>
        <v>9.6299858611877787E-2</v>
      </c>
      <c r="G487" s="269">
        <f>+F487*G483</f>
        <v>3.5768786553339828E-5</v>
      </c>
      <c r="H487" s="299"/>
      <c r="I487" s="299"/>
      <c r="J487" s="299"/>
      <c r="K487" s="299"/>
      <c r="L487" s="299"/>
      <c r="M487" s="299"/>
      <c r="N487" s="272">
        <v>1</v>
      </c>
      <c r="O487" s="272">
        <v>1</v>
      </c>
      <c r="P487" s="272">
        <v>1</v>
      </c>
      <c r="Q487" s="272">
        <v>1</v>
      </c>
      <c r="R487" s="372">
        <v>1</v>
      </c>
      <c r="S487" s="395">
        <v>1</v>
      </c>
      <c r="T487" s="272">
        <v>1</v>
      </c>
      <c r="U487" s="272">
        <v>1</v>
      </c>
      <c r="V487" s="272">
        <v>1</v>
      </c>
      <c r="W487" s="272">
        <v>1</v>
      </c>
      <c r="X487" s="272">
        <v>1</v>
      </c>
      <c r="Y487" s="272">
        <v>1</v>
      </c>
      <c r="Z487" s="272">
        <v>1</v>
      </c>
      <c r="AA487" s="272">
        <v>1</v>
      </c>
      <c r="AB487" s="272">
        <v>1</v>
      </c>
      <c r="AC487" s="272">
        <v>1</v>
      </c>
      <c r="AD487" s="396">
        <v>1</v>
      </c>
      <c r="AE487" s="396">
        <v>1</v>
      </c>
      <c r="AF487" s="396">
        <v>1</v>
      </c>
      <c r="AG487" s="396">
        <v>1</v>
      </c>
      <c r="AH487" s="396">
        <v>1</v>
      </c>
      <c r="AI487" s="396">
        <v>1</v>
      </c>
      <c r="AJ487" s="396">
        <v>1</v>
      </c>
      <c r="AK487" s="396">
        <v>1</v>
      </c>
      <c r="AL487" s="396">
        <v>1</v>
      </c>
      <c r="AM487" s="396">
        <v>1</v>
      </c>
      <c r="AN487" s="396">
        <v>1</v>
      </c>
      <c r="AO487" s="396">
        <v>1</v>
      </c>
      <c r="AP487" s="396">
        <v>1</v>
      </c>
    </row>
    <row r="488" spans="1:42" s="140" customFormat="1" ht="39" hidden="1" customHeight="1" outlineLevel="3" thickBot="1">
      <c r="A488" s="216"/>
      <c r="B488" s="255" t="s">
        <v>673</v>
      </c>
      <c r="C488" s="245" t="s">
        <v>111</v>
      </c>
      <c r="D488" s="227" t="s">
        <v>112</v>
      </c>
      <c r="E488" s="241"/>
      <c r="F488" s="228">
        <f t="shared" si="1047"/>
        <v>0.2149063701910354</v>
      </c>
      <c r="G488" s="269">
        <f>+F488*G483</f>
        <v>7.982296334719704E-5</v>
      </c>
      <c r="H488" s="299"/>
      <c r="I488" s="299"/>
      <c r="J488" s="299"/>
      <c r="K488" s="299"/>
      <c r="L488" s="299"/>
      <c r="M488" s="299"/>
      <c r="N488" s="272">
        <v>1</v>
      </c>
      <c r="O488" s="272">
        <v>1</v>
      </c>
      <c r="P488" s="272">
        <v>1</v>
      </c>
      <c r="Q488" s="272">
        <v>1</v>
      </c>
      <c r="R488" s="372">
        <v>1</v>
      </c>
      <c r="S488" s="395">
        <v>1</v>
      </c>
      <c r="T488" s="272">
        <v>1</v>
      </c>
      <c r="U488" s="272">
        <v>1</v>
      </c>
      <c r="V488" s="272">
        <v>1</v>
      </c>
      <c r="W488" s="272">
        <v>1</v>
      </c>
      <c r="X488" s="272">
        <v>1</v>
      </c>
      <c r="Y488" s="272">
        <v>1</v>
      </c>
      <c r="Z488" s="272">
        <v>1</v>
      </c>
      <c r="AA488" s="272">
        <v>1</v>
      </c>
      <c r="AB488" s="272">
        <v>1</v>
      </c>
      <c r="AC488" s="272">
        <v>1</v>
      </c>
      <c r="AD488" s="396">
        <v>1</v>
      </c>
      <c r="AE488" s="396">
        <v>1</v>
      </c>
      <c r="AF488" s="396">
        <v>1</v>
      </c>
      <c r="AG488" s="396">
        <v>1</v>
      </c>
      <c r="AH488" s="396">
        <v>1</v>
      </c>
      <c r="AI488" s="396">
        <v>1</v>
      </c>
      <c r="AJ488" s="396">
        <v>1</v>
      </c>
      <c r="AK488" s="396">
        <v>1</v>
      </c>
      <c r="AL488" s="396">
        <v>1</v>
      </c>
      <c r="AM488" s="396">
        <v>1</v>
      </c>
      <c r="AN488" s="396">
        <v>1</v>
      </c>
      <c r="AO488" s="396">
        <v>1</v>
      </c>
      <c r="AP488" s="396">
        <v>1</v>
      </c>
    </row>
    <row r="489" spans="1:42" s="140" customFormat="1" ht="39" hidden="1" customHeight="1" outlineLevel="3" thickBot="1">
      <c r="A489" s="216"/>
      <c r="B489" s="255" t="s">
        <v>674</v>
      </c>
      <c r="C489" s="245" t="s">
        <v>114</v>
      </c>
      <c r="D489" s="227" t="s">
        <v>115</v>
      </c>
      <c r="E489" s="241"/>
      <c r="F489" s="228">
        <f t="shared" si="1047"/>
        <v>0.11738040352185054</v>
      </c>
      <c r="G489" s="269">
        <f>+F489*G483</f>
        <v>4.3598761822066827E-5</v>
      </c>
      <c r="H489" s="299"/>
      <c r="I489" s="299"/>
      <c r="J489" s="299"/>
      <c r="K489" s="299"/>
      <c r="L489" s="299"/>
      <c r="M489" s="299"/>
      <c r="N489" s="272">
        <v>1</v>
      </c>
      <c r="O489" s="272">
        <v>1</v>
      </c>
      <c r="P489" s="272">
        <v>1</v>
      </c>
      <c r="Q489" s="272">
        <v>1</v>
      </c>
      <c r="R489" s="372">
        <v>1</v>
      </c>
      <c r="S489" s="395">
        <v>1</v>
      </c>
      <c r="T489" s="272">
        <v>1</v>
      </c>
      <c r="U489" s="272">
        <v>1</v>
      </c>
      <c r="V489" s="272">
        <v>1</v>
      </c>
      <c r="W489" s="272">
        <v>1</v>
      </c>
      <c r="X489" s="272">
        <v>1</v>
      </c>
      <c r="Y489" s="272">
        <v>1</v>
      </c>
      <c r="Z489" s="272">
        <v>1</v>
      </c>
      <c r="AA489" s="272">
        <v>1</v>
      </c>
      <c r="AB489" s="272">
        <v>1</v>
      </c>
      <c r="AC489" s="272">
        <v>1</v>
      </c>
      <c r="AD489" s="396">
        <v>1</v>
      </c>
      <c r="AE489" s="396">
        <v>1</v>
      </c>
      <c r="AF489" s="396">
        <v>1</v>
      </c>
      <c r="AG489" s="396">
        <v>1</v>
      </c>
      <c r="AH489" s="396">
        <v>1</v>
      </c>
      <c r="AI489" s="396">
        <v>1</v>
      </c>
      <c r="AJ489" s="396">
        <v>1</v>
      </c>
      <c r="AK489" s="396">
        <v>1</v>
      </c>
      <c r="AL489" s="396">
        <v>1</v>
      </c>
      <c r="AM489" s="396">
        <v>1</v>
      </c>
      <c r="AN489" s="396">
        <v>1</v>
      </c>
      <c r="AO489" s="396">
        <v>1</v>
      </c>
      <c r="AP489" s="396">
        <v>1</v>
      </c>
    </row>
    <row r="490" spans="1:42" s="140" customFormat="1" ht="39" hidden="1" customHeight="1" outlineLevel="3" thickBot="1">
      <c r="A490" s="216"/>
      <c r="B490" s="255" t="s">
        <v>675</v>
      </c>
      <c r="C490" s="245" t="s">
        <v>117</v>
      </c>
      <c r="D490" s="227" t="s">
        <v>118</v>
      </c>
      <c r="E490" s="241"/>
      <c r="F490" s="228">
        <f t="shared" si="1047"/>
        <v>0.11930471289964986</v>
      </c>
      <c r="G490" s="269">
        <f>+F490*G483</f>
        <v>4.4313510653365778E-5</v>
      </c>
      <c r="H490" s="299"/>
      <c r="I490" s="299"/>
      <c r="J490" s="299"/>
      <c r="K490" s="299"/>
      <c r="L490" s="299"/>
      <c r="M490" s="299"/>
      <c r="N490" s="272">
        <v>1</v>
      </c>
      <c r="O490" s="272">
        <v>1</v>
      </c>
      <c r="P490" s="272">
        <v>1</v>
      </c>
      <c r="Q490" s="272">
        <v>1</v>
      </c>
      <c r="R490" s="372">
        <v>1</v>
      </c>
      <c r="S490" s="395">
        <v>1</v>
      </c>
      <c r="T490" s="272">
        <v>1</v>
      </c>
      <c r="U490" s="272">
        <v>1</v>
      </c>
      <c r="V490" s="272">
        <v>1</v>
      </c>
      <c r="W490" s="272">
        <v>1</v>
      </c>
      <c r="X490" s="272">
        <v>1</v>
      </c>
      <c r="Y490" s="272">
        <v>1</v>
      </c>
      <c r="Z490" s="272">
        <v>1</v>
      </c>
      <c r="AA490" s="272">
        <v>1</v>
      </c>
      <c r="AB490" s="272">
        <v>1</v>
      </c>
      <c r="AC490" s="272">
        <v>1</v>
      </c>
      <c r="AD490" s="396">
        <v>1</v>
      </c>
      <c r="AE490" s="396">
        <v>1</v>
      </c>
      <c r="AF490" s="396">
        <v>1</v>
      </c>
      <c r="AG490" s="396">
        <v>1</v>
      </c>
      <c r="AH490" s="396">
        <v>1</v>
      </c>
      <c r="AI490" s="396">
        <v>1</v>
      </c>
      <c r="AJ490" s="396">
        <v>1</v>
      </c>
      <c r="AK490" s="396">
        <v>1</v>
      </c>
      <c r="AL490" s="396">
        <v>1</v>
      </c>
      <c r="AM490" s="396">
        <v>1</v>
      </c>
      <c r="AN490" s="396">
        <v>1</v>
      </c>
      <c r="AO490" s="396">
        <v>1</v>
      </c>
      <c r="AP490" s="396">
        <v>1</v>
      </c>
    </row>
    <row r="491" spans="1:42" s="140" customFormat="1" ht="39" hidden="1" customHeight="1" outlineLevel="3" thickBot="1">
      <c r="A491" s="216"/>
      <c r="B491" s="255" t="s">
        <v>676</v>
      </c>
      <c r="C491" s="245" t="s">
        <v>120</v>
      </c>
      <c r="D491" s="227" t="s">
        <v>121</v>
      </c>
      <c r="E491" s="241"/>
      <c r="F491" s="228">
        <f t="shared" si="1047"/>
        <v>0.19167132064328818</v>
      </c>
      <c r="G491" s="269">
        <f>+F491*G483</f>
        <v>7.1192737510841167E-5</v>
      </c>
      <c r="H491" s="299"/>
      <c r="I491" s="299"/>
      <c r="J491" s="299"/>
      <c r="K491" s="299"/>
      <c r="L491" s="299"/>
      <c r="M491" s="299"/>
      <c r="N491" s="272">
        <v>1</v>
      </c>
      <c r="O491" s="272">
        <v>1</v>
      </c>
      <c r="P491" s="272">
        <v>1</v>
      </c>
      <c r="Q491" s="272">
        <v>1</v>
      </c>
      <c r="R491" s="372">
        <v>1</v>
      </c>
      <c r="S491" s="395">
        <v>1</v>
      </c>
      <c r="T491" s="272">
        <v>1</v>
      </c>
      <c r="U491" s="272">
        <v>1</v>
      </c>
      <c r="V491" s="272">
        <v>1</v>
      </c>
      <c r="W491" s="272">
        <v>1</v>
      </c>
      <c r="X491" s="272">
        <v>1</v>
      </c>
      <c r="Y491" s="272">
        <v>1</v>
      </c>
      <c r="Z491" s="272">
        <v>1</v>
      </c>
      <c r="AA491" s="272">
        <v>1</v>
      </c>
      <c r="AB491" s="272">
        <v>1</v>
      </c>
      <c r="AC491" s="272">
        <v>1</v>
      </c>
      <c r="AD491" s="396">
        <v>1</v>
      </c>
      <c r="AE491" s="396">
        <v>1</v>
      </c>
      <c r="AF491" s="396">
        <v>1</v>
      </c>
      <c r="AG491" s="396">
        <v>1</v>
      </c>
      <c r="AH491" s="396">
        <v>1</v>
      </c>
      <c r="AI491" s="396">
        <v>1</v>
      </c>
      <c r="AJ491" s="396">
        <v>1</v>
      </c>
      <c r="AK491" s="396">
        <v>1</v>
      </c>
      <c r="AL491" s="396">
        <v>1</v>
      </c>
      <c r="AM491" s="396">
        <v>1</v>
      </c>
      <c r="AN491" s="396">
        <v>1</v>
      </c>
      <c r="AO491" s="396">
        <v>1</v>
      </c>
      <c r="AP491" s="396">
        <v>1</v>
      </c>
    </row>
    <row r="492" spans="1:42" s="140" customFormat="1" ht="26.25" hidden="1" customHeight="1" outlineLevel="3" thickBot="1">
      <c r="A492" s="216"/>
      <c r="B492" s="255" t="s">
        <v>677</v>
      </c>
      <c r="C492" s="245" t="s">
        <v>123</v>
      </c>
      <c r="D492" s="227" t="s">
        <v>124</v>
      </c>
      <c r="E492" s="241"/>
      <c r="F492" s="228">
        <f t="shared" si="1047"/>
        <v>5.2427274764052581E-3</v>
      </c>
      <c r="G492" s="269">
        <f>+F492*G483</f>
        <v>1.9473133477450385E-6</v>
      </c>
      <c r="H492" s="299"/>
      <c r="I492" s="299"/>
      <c r="J492" s="299"/>
      <c r="K492" s="299"/>
      <c r="L492" s="299"/>
      <c r="M492" s="299"/>
      <c r="N492" s="272"/>
      <c r="O492" s="272"/>
      <c r="P492" s="272"/>
      <c r="Q492" s="272"/>
      <c r="R492" s="372"/>
      <c r="S492" s="395"/>
      <c r="T492" s="272"/>
      <c r="U492" s="272"/>
      <c r="V492" s="272"/>
      <c r="W492" s="272"/>
      <c r="X492" s="272"/>
      <c r="Y492" s="272"/>
      <c r="Z492" s="272"/>
      <c r="AA492" s="272"/>
      <c r="AB492" s="272"/>
      <c r="AC492" s="272"/>
      <c r="AD492" s="396"/>
      <c r="AE492" s="396"/>
      <c r="AF492" s="396"/>
      <c r="AG492" s="396"/>
      <c r="AH492" s="396"/>
      <c r="AI492" s="396"/>
      <c r="AJ492" s="396"/>
      <c r="AK492" s="396"/>
      <c r="AL492" s="396"/>
      <c r="AM492" s="396"/>
      <c r="AN492" s="396"/>
      <c r="AO492" s="396"/>
      <c r="AP492" s="396"/>
    </row>
    <row r="493" spans="1:42" s="140" customFormat="1" ht="26.25" hidden="1" customHeight="1" outlineLevel="3" thickBot="1">
      <c r="A493" s="216"/>
      <c r="B493" s="255" t="s">
        <v>678</v>
      </c>
      <c r="C493" s="245" t="s">
        <v>126</v>
      </c>
      <c r="D493" s="227" t="s">
        <v>127</v>
      </c>
      <c r="E493" s="241"/>
      <c r="F493" s="228">
        <f t="shared" si="1047"/>
        <v>0</v>
      </c>
      <c r="G493" s="269">
        <f>+F493*G483</f>
        <v>0</v>
      </c>
      <c r="H493" s="299"/>
      <c r="I493" s="299"/>
      <c r="J493" s="299"/>
      <c r="K493" s="299"/>
      <c r="L493" s="299"/>
      <c r="M493" s="299"/>
      <c r="N493" s="272"/>
      <c r="O493" s="272"/>
      <c r="P493" s="272"/>
      <c r="Q493" s="272"/>
      <c r="R493" s="372"/>
      <c r="S493" s="395"/>
      <c r="T493" s="272"/>
      <c r="U493" s="272"/>
      <c r="V493" s="272"/>
      <c r="W493" s="272"/>
      <c r="X493" s="272"/>
      <c r="Y493" s="272"/>
      <c r="Z493" s="272"/>
      <c r="AA493" s="272"/>
      <c r="AB493" s="272"/>
      <c r="AC493" s="272"/>
      <c r="AD493" s="396"/>
      <c r="AE493" s="396"/>
      <c r="AF493" s="396"/>
      <c r="AG493" s="396"/>
      <c r="AH493" s="396"/>
      <c r="AI493" s="396"/>
      <c r="AJ493" s="396"/>
      <c r="AK493" s="396"/>
      <c r="AL493" s="396"/>
      <c r="AM493" s="396"/>
      <c r="AN493" s="396"/>
      <c r="AO493" s="396"/>
      <c r="AP493" s="396"/>
    </row>
    <row r="494" spans="1:42" s="140" customFormat="1" ht="39" hidden="1" customHeight="1" outlineLevel="3" thickBot="1">
      <c r="A494" s="216"/>
      <c r="B494" s="255" t="s">
        <v>679</v>
      </c>
      <c r="C494" s="245" t="s">
        <v>129</v>
      </c>
      <c r="D494" s="227" t="s">
        <v>130</v>
      </c>
      <c r="E494" s="241"/>
      <c r="F494" s="228">
        <f t="shared" si="1047"/>
        <v>2.2980292246743819E-2</v>
      </c>
      <c r="G494" s="269">
        <f>+F494*G483</f>
        <v>8.5356009879516656E-6</v>
      </c>
      <c r="H494" s="299"/>
      <c r="I494" s="299"/>
      <c r="J494" s="299"/>
      <c r="K494" s="299"/>
      <c r="L494" s="299"/>
      <c r="M494" s="299"/>
      <c r="N494" s="272">
        <v>1</v>
      </c>
      <c r="O494" s="272">
        <v>1</v>
      </c>
      <c r="P494" s="272">
        <v>1</v>
      </c>
      <c r="Q494" s="272">
        <v>1</v>
      </c>
      <c r="R494" s="372">
        <v>1</v>
      </c>
      <c r="S494" s="395">
        <v>1</v>
      </c>
      <c r="T494" s="272">
        <v>1</v>
      </c>
      <c r="U494" s="272">
        <v>1</v>
      </c>
      <c r="V494" s="272">
        <v>1</v>
      </c>
      <c r="W494" s="272">
        <v>1</v>
      </c>
      <c r="X494" s="272">
        <v>1</v>
      </c>
      <c r="Y494" s="272">
        <v>1</v>
      </c>
      <c r="Z494" s="272">
        <v>1</v>
      </c>
      <c r="AA494" s="272">
        <v>1</v>
      </c>
      <c r="AB494" s="272">
        <v>1</v>
      </c>
      <c r="AC494" s="272">
        <v>1</v>
      </c>
      <c r="AD494" s="396">
        <v>1</v>
      </c>
      <c r="AE494" s="396">
        <v>1</v>
      </c>
      <c r="AF494" s="396">
        <v>1</v>
      </c>
      <c r="AG494" s="396">
        <v>1</v>
      </c>
      <c r="AH494" s="396">
        <v>1</v>
      </c>
      <c r="AI494" s="396">
        <v>1</v>
      </c>
      <c r="AJ494" s="396">
        <v>1</v>
      </c>
      <c r="AK494" s="396">
        <v>1</v>
      </c>
      <c r="AL494" s="396">
        <v>1</v>
      </c>
      <c r="AM494" s="396">
        <v>1</v>
      </c>
      <c r="AN494" s="396">
        <v>1</v>
      </c>
      <c r="AO494" s="396">
        <v>1</v>
      </c>
      <c r="AP494" s="396">
        <v>1</v>
      </c>
    </row>
    <row r="495" spans="1:42" s="140" customFormat="1" ht="26.25" hidden="1" customHeight="1" outlineLevel="2" thickBot="1">
      <c r="B495" s="301" t="s">
        <v>680</v>
      </c>
      <c r="C495" s="251"/>
      <c r="D495" s="236" t="s">
        <v>133</v>
      </c>
      <c r="E495" s="242"/>
      <c r="F495" s="232">
        <f t="shared" si="1047"/>
        <v>0.15364965195292599</v>
      </c>
      <c r="G495" s="232">
        <f>+F495*G482</f>
        <v>2.7640918079615444E-4</v>
      </c>
      <c r="H495" s="321"/>
      <c r="I495" s="321"/>
      <c r="J495" s="321"/>
      <c r="K495" s="321"/>
      <c r="L495" s="321"/>
      <c r="M495" s="321"/>
      <c r="N495" s="274">
        <f t="shared" ref="N495:R495" si="1094">+SUMPRODUCT($F496:$F502,N496:N502)</f>
        <v>0.89076914477748093</v>
      </c>
      <c r="O495" s="274">
        <f t="shared" si="1094"/>
        <v>0.89076914477748093</v>
      </c>
      <c r="P495" s="274">
        <f t="shared" si="1094"/>
        <v>0.89076914477748093</v>
      </c>
      <c r="Q495" s="274">
        <f t="shared" si="1094"/>
        <v>0.89076914477748093</v>
      </c>
      <c r="R495" s="375">
        <f t="shared" si="1094"/>
        <v>0.89076914477748093</v>
      </c>
      <c r="S495" s="401">
        <f t="shared" ref="S495" si="1095">+SUMPRODUCT($F496:$F502,S496:S502)</f>
        <v>0.89076914477748093</v>
      </c>
      <c r="T495" s="274">
        <f t="shared" ref="T495" si="1096">+SUMPRODUCT($F496:$F502,T496:T502)</f>
        <v>0.89076914477748093</v>
      </c>
      <c r="U495" s="274">
        <f t="shared" ref="U495" si="1097">+SUMPRODUCT($F496:$F502,U496:U502)</f>
        <v>0.89076914477748093</v>
      </c>
      <c r="V495" s="274">
        <f t="shared" ref="V495" si="1098">+SUMPRODUCT($F496:$F502,V496:V502)</f>
        <v>0.89076914477748093</v>
      </c>
      <c r="W495" s="274">
        <f t="shared" ref="W495" si="1099">+SUMPRODUCT($F496:$F502,W496:W502)</f>
        <v>0.89076914477748093</v>
      </c>
      <c r="X495" s="274">
        <f t="shared" ref="X495" si="1100">+SUMPRODUCT($F496:$F502,X496:X502)</f>
        <v>0.89076914477748093</v>
      </c>
      <c r="Y495" s="274">
        <f t="shared" ref="Y495" si="1101">+SUMPRODUCT($F496:$F502,Y496:Y502)</f>
        <v>0.89076914477748093</v>
      </c>
      <c r="Z495" s="274">
        <f t="shared" ref="Z495" si="1102">+SUMPRODUCT($F496:$F502,Z496:Z502)</f>
        <v>0.89076914477748093</v>
      </c>
      <c r="AA495" s="274">
        <f t="shared" ref="AA495" si="1103">+SUMPRODUCT($F496:$F502,AA496:AA502)</f>
        <v>0.89076914477748093</v>
      </c>
      <c r="AB495" s="274">
        <f t="shared" ref="AB495" si="1104">+SUMPRODUCT($F496:$F502,AB496:AB502)</f>
        <v>0.89076914477748093</v>
      </c>
      <c r="AC495" s="274">
        <f t="shared" ref="AC495" si="1105">+SUMPRODUCT($F496:$F502,AC496:AC502)</f>
        <v>0.89076914477748093</v>
      </c>
      <c r="AD495" s="402">
        <f t="shared" ref="AD495:AF495" si="1106">+SUMPRODUCT($F496:$F502,AD496:AD502)</f>
        <v>0.89076914477748093</v>
      </c>
      <c r="AE495" s="402">
        <f t="shared" si="1106"/>
        <v>0.89076914477748093</v>
      </c>
      <c r="AF495" s="402">
        <f t="shared" si="1106"/>
        <v>0.89076914477748093</v>
      </c>
      <c r="AG495" s="402">
        <f t="shared" ref="AG495" si="1107">+SUMPRODUCT($F496:$F502,AG496:AG502)</f>
        <v>0.89076914477748093</v>
      </c>
      <c r="AH495" s="402">
        <f t="shared" ref="AH495" si="1108">+SUMPRODUCT($F496:$F502,AH496:AH502)</f>
        <v>0.89076914477748093</v>
      </c>
      <c r="AI495" s="402">
        <f t="shared" ref="AI495" si="1109">+SUMPRODUCT($F496:$F502,AI496:AI502)</f>
        <v>0.89076914477748093</v>
      </c>
      <c r="AJ495" s="402">
        <f t="shared" ref="AJ495" si="1110">+SUMPRODUCT($F496:$F502,AJ496:AJ502)</f>
        <v>0.89076914477748093</v>
      </c>
      <c r="AK495" s="402">
        <f t="shared" ref="AK495" si="1111">+SUMPRODUCT($F496:$F502,AK496:AK502)</f>
        <v>0.89076914477748093</v>
      </c>
      <c r="AL495" s="402">
        <f t="shared" ref="AL495" si="1112">+SUMPRODUCT($F496:$F502,AL496:AL502)</f>
        <v>0.89076914477748093</v>
      </c>
      <c r="AM495" s="402">
        <f t="shared" ref="AM495" si="1113">+SUMPRODUCT($F496:$F502,AM496:AM502)</f>
        <v>0.89076914477748093</v>
      </c>
      <c r="AN495" s="402">
        <f t="shared" ref="AN495" si="1114">+SUMPRODUCT($F496:$F502,AN496:AN502)</f>
        <v>0.89076914477748093</v>
      </c>
      <c r="AO495" s="402">
        <f t="shared" ref="AO495" si="1115">+SUMPRODUCT($F496:$F502,AO496:AO502)</f>
        <v>0.89076914477748093</v>
      </c>
      <c r="AP495" s="402">
        <f t="shared" ref="AP495" si="1116">+SUMPRODUCT($F496:$F502,AP496:AP502)</f>
        <v>0.89076914477748093</v>
      </c>
    </row>
    <row r="496" spans="1:42" s="140" customFormat="1" ht="26.25" hidden="1" customHeight="1" outlineLevel="3" thickBot="1">
      <c r="A496" s="216"/>
      <c r="B496" s="255" t="s">
        <v>681</v>
      </c>
      <c r="C496" s="245" t="s">
        <v>135</v>
      </c>
      <c r="D496" s="227" t="s">
        <v>136</v>
      </c>
      <c r="E496" s="241"/>
      <c r="F496" s="228">
        <f t="shared" si="1047"/>
        <v>7.1676986389805894E-2</v>
      </c>
      <c r="G496" s="269">
        <f>+F496*G495</f>
        <v>1.9812177089943359E-5</v>
      </c>
      <c r="H496" s="299"/>
      <c r="I496" s="299"/>
      <c r="J496" s="299"/>
      <c r="K496" s="299"/>
      <c r="L496" s="299"/>
      <c r="M496" s="299"/>
      <c r="N496" s="272">
        <v>1</v>
      </c>
      <c r="O496" s="272">
        <v>1</v>
      </c>
      <c r="P496" s="272">
        <v>1</v>
      </c>
      <c r="Q496" s="272">
        <v>1</v>
      </c>
      <c r="R496" s="372">
        <v>1</v>
      </c>
      <c r="S496" s="395">
        <v>1</v>
      </c>
      <c r="T496" s="272">
        <v>1</v>
      </c>
      <c r="U496" s="272">
        <v>1</v>
      </c>
      <c r="V496" s="272">
        <v>1</v>
      </c>
      <c r="W496" s="272">
        <v>1</v>
      </c>
      <c r="X496" s="272">
        <v>1</v>
      </c>
      <c r="Y496" s="272">
        <v>1</v>
      </c>
      <c r="Z496" s="272">
        <v>1</v>
      </c>
      <c r="AA496" s="272">
        <v>1</v>
      </c>
      <c r="AB496" s="272">
        <v>1</v>
      </c>
      <c r="AC496" s="272">
        <v>1</v>
      </c>
      <c r="AD496" s="396">
        <v>1</v>
      </c>
      <c r="AE496" s="396">
        <v>1</v>
      </c>
      <c r="AF496" s="396">
        <v>1</v>
      </c>
      <c r="AG496" s="396">
        <v>1</v>
      </c>
      <c r="AH496" s="396">
        <v>1</v>
      </c>
      <c r="AI496" s="396">
        <v>1</v>
      </c>
      <c r="AJ496" s="396">
        <v>1</v>
      </c>
      <c r="AK496" s="396">
        <v>1</v>
      </c>
      <c r="AL496" s="396">
        <v>1</v>
      </c>
      <c r="AM496" s="396">
        <v>1</v>
      </c>
      <c r="AN496" s="396">
        <v>1</v>
      </c>
      <c r="AO496" s="396">
        <v>1</v>
      </c>
      <c r="AP496" s="396">
        <v>1</v>
      </c>
    </row>
    <row r="497" spans="1:42" s="140" customFormat="1" ht="26.25" hidden="1" customHeight="1" outlineLevel="3" thickBot="1">
      <c r="A497" s="216"/>
      <c r="B497" s="255" t="s">
        <v>682</v>
      </c>
      <c r="C497" s="245" t="s">
        <v>138</v>
      </c>
      <c r="D497" s="227" t="s">
        <v>139</v>
      </c>
      <c r="E497" s="241"/>
      <c r="F497" s="228">
        <f t="shared" si="1047"/>
        <v>0.15362856123913068</v>
      </c>
      <c r="G497" s="269">
        <f>+F497*G495</f>
        <v>4.2464344758999959E-5</v>
      </c>
      <c r="H497" s="299"/>
      <c r="I497" s="299"/>
      <c r="J497" s="299"/>
      <c r="K497" s="299"/>
      <c r="L497" s="299"/>
      <c r="M497" s="299"/>
      <c r="N497" s="272">
        <v>1</v>
      </c>
      <c r="O497" s="272">
        <v>1</v>
      </c>
      <c r="P497" s="272">
        <v>1</v>
      </c>
      <c r="Q497" s="272">
        <v>1</v>
      </c>
      <c r="R497" s="372">
        <v>1</v>
      </c>
      <c r="S497" s="395">
        <v>1</v>
      </c>
      <c r="T497" s="272">
        <v>1</v>
      </c>
      <c r="U497" s="272">
        <v>1</v>
      </c>
      <c r="V497" s="272">
        <v>1</v>
      </c>
      <c r="W497" s="272">
        <v>1</v>
      </c>
      <c r="X497" s="272">
        <v>1</v>
      </c>
      <c r="Y497" s="272">
        <v>1</v>
      </c>
      <c r="Z497" s="272">
        <v>1</v>
      </c>
      <c r="AA497" s="272">
        <v>1</v>
      </c>
      <c r="AB497" s="272">
        <v>1</v>
      </c>
      <c r="AC497" s="272">
        <v>1</v>
      </c>
      <c r="AD497" s="396">
        <v>1</v>
      </c>
      <c r="AE497" s="396">
        <v>1</v>
      </c>
      <c r="AF497" s="396">
        <v>1</v>
      </c>
      <c r="AG497" s="396">
        <v>1</v>
      </c>
      <c r="AH497" s="396">
        <v>1</v>
      </c>
      <c r="AI497" s="396">
        <v>1</v>
      </c>
      <c r="AJ497" s="396">
        <v>1</v>
      </c>
      <c r="AK497" s="396">
        <v>1</v>
      </c>
      <c r="AL497" s="396">
        <v>1</v>
      </c>
      <c r="AM497" s="396">
        <v>1</v>
      </c>
      <c r="AN497" s="396">
        <v>1</v>
      </c>
      <c r="AO497" s="396">
        <v>1</v>
      </c>
      <c r="AP497" s="396">
        <v>1</v>
      </c>
    </row>
    <row r="498" spans="1:42" s="140" customFormat="1" ht="26.25" hidden="1" customHeight="1" outlineLevel="3" thickBot="1">
      <c r="A498" s="216"/>
      <c r="B498" s="255" t="s">
        <v>683</v>
      </c>
      <c r="C498" s="245" t="s">
        <v>141</v>
      </c>
      <c r="D498" s="227" t="s">
        <v>142</v>
      </c>
      <c r="E498" s="241"/>
      <c r="F498" s="228">
        <f t="shared" si="1047"/>
        <v>0.20080921506999638</v>
      </c>
      <c r="G498" s="269">
        <f>+F498*G495</f>
        <v>5.5505510633816492E-5</v>
      </c>
      <c r="H498" s="299"/>
      <c r="I498" s="299"/>
      <c r="J498" s="299"/>
      <c r="K498" s="299"/>
      <c r="L498" s="299"/>
      <c r="M498" s="299"/>
      <c r="N498" s="272">
        <v>1</v>
      </c>
      <c r="O498" s="272">
        <v>1</v>
      </c>
      <c r="P498" s="272">
        <v>1</v>
      </c>
      <c r="Q498" s="272">
        <v>1</v>
      </c>
      <c r="R498" s="372">
        <v>1</v>
      </c>
      <c r="S498" s="395">
        <v>1</v>
      </c>
      <c r="T498" s="272">
        <v>1</v>
      </c>
      <c r="U498" s="272">
        <v>1</v>
      </c>
      <c r="V498" s="272">
        <v>1</v>
      </c>
      <c r="W498" s="272">
        <v>1</v>
      </c>
      <c r="X498" s="272">
        <v>1</v>
      </c>
      <c r="Y498" s="272">
        <v>1</v>
      </c>
      <c r="Z498" s="272">
        <v>1</v>
      </c>
      <c r="AA498" s="272">
        <v>1</v>
      </c>
      <c r="AB498" s="272">
        <v>1</v>
      </c>
      <c r="AC498" s="272">
        <v>1</v>
      </c>
      <c r="AD498" s="396">
        <v>1</v>
      </c>
      <c r="AE498" s="396">
        <v>1</v>
      </c>
      <c r="AF498" s="396">
        <v>1</v>
      </c>
      <c r="AG498" s="396">
        <v>1</v>
      </c>
      <c r="AH498" s="396">
        <v>1</v>
      </c>
      <c r="AI498" s="396">
        <v>1</v>
      </c>
      <c r="AJ498" s="396">
        <v>1</v>
      </c>
      <c r="AK498" s="396">
        <v>1</v>
      </c>
      <c r="AL498" s="396">
        <v>1</v>
      </c>
      <c r="AM498" s="396">
        <v>1</v>
      </c>
      <c r="AN498" s="396">
        <v>1</v>
      </c>
      <c r="AO498" s="396">
        <v>1</v>
      </c>
      <c r="AP498" s="396">
        <v>1</v>
      </c>
    </row>
    <row r="499" spans="1:42" s="140" customFormat="1" ht="26.25" hidden="1" customHeight="1" outlineLevel="3" thickBot="1">
      <c r="A499" s="216"/>
      <c r="B499" s="255" t="s">
        <v>684</v>
      </c>
      <c r="C499" s="245" t="s">
        <v>144</v>
      </c>
      <c r="D499" s="227" t="s">
        <v>145</v>
      </c>
      <c r="E499" s="241"/>
      <c r="F499" s="228">
        <f t="shared" si="1047"/>
        <v>0.2365874770023029</v>
      </c>
      <c r="G499" s="269">
        <f>+F499*G495</f>
        <v>6.539495070483558E-5</v>
      </c>
      <c r="H499" s="299"/>
      <c r="I499" s="299"/>
      <c r="J499" s="299"/>
      <c r="K499" s="299"/>
      <c r="L499" s="299"/>
      <c r="M499" s="299"/>
      <c r="N499" s="272">
        <v>1</v>
      </c>
      <c r="O499" s="272">
        <v>1</v>
      </c>
      <c r="P499" s="272">
        <v>1</v>
      </c>
      <c r="Q499" s="272">
        <v>1</v>
      </c>
      <c r="R499" s="372">
        <v>1</v>
      </c>
      <c r="S499" s="395">
        <v>1</v>
      </c>
      <c r="T499" s="272">
        <v>1</v>
      </c>
      <c r="U499" s="272">
        <v>1</v>
      </c>
      <c r="V499" s="272">
        <v>1</v>
      </c>
      <c r="W499" s="272">
        <v>1</v>
      </c>
      <c r="X499" s="272">
        <v>1</v>
      </c>
      <c r="Y499" s="272">
        <v>1</v>
      </c>
      <c r="Z499" s="272">
        <v>1</v>
      </c>
      <c r="AA499" s="272">
        <v>1</v>
      </c>
      <c r="AB499" s="272">
        <v>1</v>
      </c>
      <c r="AC499" s="272">
        <v>1</v>
      </c>
      <c r="AD499" s="396">
        <v>1</v>
      </c>
      <c r="AE499" s="396">
        <v>1</v>
      </c>
      <c r="AF499" s="396">
        <v>1</v>
      </c>
      <c r="AG499" s="396">
        <v>1</v>
      </c>
      <c r="AH499" s="396">
        <v>1</v>
      </c>
      <c r="AI499" s="396">
        <v>1</v>
      </c>
      <c r="AJ499" s="396">
        <v>1</v>
      </c>
      <c r="AK499" s="396">
        <v>1</v>
      </c>
      <c r="AL499" s="396">
        <v>1</v>
      </c>
      <c r="AM499" s="396">
        <v>1</v>
      </c>
      <c r="AN499" s="396">
        <v>1</v>
      </c>
      <c r="AO499" s="396">
        <v>1</v>
      </c>
      <c r="AP499" s="396">
        <v>1</v>
      </c>
    </row>
    <row r="500" spans="1:42" s="140" customFormat="1" ht="13.5" hidden="1" customHeight="1" outlineLevel="3" thickBot="1">
      <c r="A500" s="216"/>
      <c r="B500" s="255" t="s">
        <v>685</v>
      </c>
      <c r="C500" s="245" t="s">
        <v>147</v>
      </c>
      <c r="D500" s="227" t="s">
        <v>148</v>
      </c>
      <c r="E500" s="241"/>
      <c r="F500" s="228">
        <f t="shared" si="1047"/>
        <v>0.13605594911200233</v>
      </c>
      <c r="G500" s="269">
        <f>+F500*G495</f>
        <v>3.7607113436491843E-5</v>
      </c>
      <c r="H500" s="299"/>
      <c r="I500" s="299"/>
      <c r="J500" s="299"/>
      <c r="K500" s="299"/>
      <c r="L500" s="299"/>
      <c r="M500" s="299"/>
      <c r="N500" s="272">
        <v>1</v>
      </c>
      <c r="O500" s="272">
        <v>1</v>
      </c>
      <c r="P500" s="272">
        <v>1</v>
      </c>
      <c r="Q500" s="272">
        <v>1</v>
      </c>
      <c r="R500" s="372">
        <v>1</v>
      </c>
      <c r="S500" s="395">
        <v>1</v>
      </c>
      <c r="T500" s="272">
        <v>1</v>
      </c>
      <c r="U500" s="272">
        <v>1</v>
      </c>
      <c r="V500" s="272">
        <v>1</v>
      </c>
      <c r="W500" s="272">
        <v>1</v>
      </c>
      <c r="X500" s="272">
        <v>1</v>
      </c>
      <c r="Y500" s="272">
        <v>1</v>
      </c>
      <c r="Z500" s="272">
        <v>1</v>
      </c>
      <c r="AA500" s="272">
        <v>1</v>
      </c>
      <c r="AB500" s="272">
        <v>1</v>
      </c>
      <c r="AC500" s="272">
        <v>1</v>
      </c>
      <c r="AD500" s="396">
        <v>1</v>
      </c>
      <c r="AE500" s="396">
        <v>1</v>
      </c>
      <c r="AF500" s="396">
        <v>1</v>
      </c>
      <c r="AG500" s="396">
        <v>1</v>
      </c>
      <c r="AH500" s="396">
        <v>1</v>
      </c>
      <c r="AI500" s="396">
        <v>1</v>
      </c>
      <c r="AJ500" s="396">
        <v>1</v>
      </c>
      <c r="AK500" s="396">
        <v>1</v>
      </c>
      <c r="AL500" s="396">
        <v>1</v>
      </c>
      <c r="AM500" s="396">
        <v>1</v>
      </c>
      <c r="AN500" s="396">
        <v>1</v>
      </c>
      <c r="AO500" s="396">
        <v>1</v>
      </c>
      <c r="AP500" s="396">
        <v>1</v>
      </c>
    </row>
    <row r="501" spans="1:42" s="140" customFormat="1" ht="13.5" hidden="1" customHeight="1" outlineLevel="3" thickBot="1">
      <c r="A501" s="216"/>
      <c r="B501" s="255" t="s">
        <v>686</v>
      </c>
      <c r="C501" s="245" t="s">
        <v>150</v>
      </c>
      <c r="D501" s="227" t="s">
        <v>151</v>
      </c>
      <c r="E501" s="241"/>
      <c r="F501" s="228">
        <f t="shared" si="1047"/>
        <v>0.10923085522251913</v>
      </c>
      <c r="G501" s="269">
        <f>+F501*G495</f>
        <v>3.0192411209719861E-5</v>
      </c>
      <c r="H501" s="299"/>
      <c r="I501" s="299"/>
      <c r="J501" s="299"/>
      <c r="K501" s="299"/>
      <c r="L501" s="299"/>
      <c r="M501" s="299"/>
      <c r="N501" s="272">
        <v>0</v>
      </c>
      <c r="O501" s="272">
        <v>0</v>
      </c>
      <c r="P501" s="272">
        <v>0</v>
      </c>
      <c r="Q501" s="272">
        <v>0</v>
      </c>
      <c r="R501" s="372">
        <v>0</v>
      </c>
      <c r="S501" s="395">
        <v>0</v>
      </c>
      <c r="T501" s="272">
        <v>0</v>
      </c>
      <c r="U501" s="272">
        <v>0</v>
      </c>
      <c r="V501" s="272">
        <v>0</v>
      </c>
      <c r="W501" s="272">
        <v>0</v>
      </c>
      <c r="X501" s="272">
        <v>0</v>
      </c>
      <c r="Y501" s="272">
        <v>0</v>
      </c>
      <c r="Z501" s="272">
        <v>0</v>
      </c>
      <c r="AA501" s="272">
        <v>0</v>
      </c>
      <c r="AB501" s="272">
        <v>0</v>
      </c>
      <c r="AC501" s="272">
        <v>0</v>
      </c>
      <c r="AD501" s="396">
        <v>0</v>
      </c>
      <c r="AE501" s="396">
        <v>0</v>
      </c>
      <c r="AF501" s="396">
        <v>0</v>
      </c>
      <c r="AG501" s="396"/>
      <c r="AH501" s="396"/>
      <c r="AI501" s="396"/>
      <c r="AJ501" s="396"/>
      <c r="AK501" s="396"/>
      <c r="AL501" s="396"/>
      <c r="AM501" s="396"/>
      <c r="AN501" s="396"/>
      <c r="AO501" s="396"/>
      <c r="AP501" s="396"/>
    </row>
    <row r="502" spans="1:42" s="140" customFormat="1" ht="26.25" hidden="1" customHeight="1" outlineLevel="3" thickBot="1">
      <c r="A502" s="216"/>
      <c r="B502" s="255" t="s">
        <v>687</v>
      </c>
      <c r="C502" s="245" t="s">
        <v>153</v>
      </c>
      <c r="D502" s="227" t="s">
        <v>154</v>
      </c>
      <c r="E502" s="241"/>
      <c r="F502" s="228">
        <f t="shared" si="1047"/>
        <v>9.2010955964242705E-2</v>
      </c>
      <c r="G502" s="269">
        <f>+F502*G495</f>
        <v>2.5432672962347367E-5</v>
      </c>
      <c r="H502" s="299"/>
      <c r="I502" s="299"/>
      <c r="J502" s="299"/>
      <c r="K502" s="299"/>
      <c r="L502" s="299"/>
      <c r="M502" s="299"/>
      <c r="N502" s="272">
        <v>1</v>
      </c>
      <c r="O502" s="272">
        <v>1</v>
      </c>
      <c r="P502" s="272">
        <v>1</v>
      </c>
      <c r="Q502" s="272">
        <v>1</v>
      </c>
      <c r="R502" s="372">
        <v>1</v>
      </c>
      <c r="S502" s="395">
        <v>1</v>
      </c>
      <c r="T502" s="272">
        <v>1</v>
      </c>
      <c r="U502" s="272">
        <v>1</v>
      </c>
      <c r="V502" s="272">
        <v>1</v>
      </c>
      <c r="W502" s="272">
        <v>1</v>
      </c>
      <c r="X502" s="272">
        <v>1</v>
      </c>
      <c r="Y502" s="272">
        <v>1</v>
      </c>
      <c r="Z502" s="272">
        <v>1</v>
      </c>
      <c r="AA502" s="272">
        <v>1</v>
      </c>
      <c r="AB502" s="272">
        <v>1</v>
      </c>
      <c r="AC502" s="272">
        <v>1</v>
      </c>
      <c r="AD502" s="396">
        <v>1</v>
      </c>
      <c r="AE502" s="396">
        <v>1</v>
      </c>
      <c r="AF502" s="396">
        <v>1</v>
      </c>
      <c r="AG502" s="396">
        <v>1</v>
      </c>
      <c r="AH502" s="396">
        <v>1</v>
      </c>
      <c r="AI502" s="396">
        <v>1</v>
      </c>
      <c r="AJ502" s="396">
        <v>1</v>
      </c>
      <c r="AK502" s="396">
        <v>1</v>
      </c>
      <c r="AL502" s="396">
        <v>1</v>
      </c>
      <c r="AM502" s="396">
        <v>1</v>
      </c>
      <c r="AN502" s="396">
        <v>1</v>
      </c>
      <c r="AO502" s="396">
        <v>1</v>
      </c>
      <c r="AP502" s="396">
        <v>1</v>
      </c>
    </row>
    <row r="503" spans="1:42" s="140" customFormat="1" ht="26.25" hidden="1" customHeight="1" outlineLevel="1" thickBot="1">
      <c r="B503" s="301" t="s">
        <v>688</v>
      </c>
      <c r="C503" s="251"/>
      <c r="D503" s="236" t="s">
        <v>157</v>
      </c>
      <c r="E503" s="242"/>
      <c r="F503" s="232">
        <f t="shared" si="1047"/>
        <v>0.15245155571846505</v>
      </c>
      <c r="G503" s="232">
        <f>+F503*G482</f>
        <v>2.7425385669048208E-4</v>
      </c>
      <c r="H503" s="321"/>
      <c r="I503" s="321"/>
      <c r="J503" s="321"/>
      <c r="K503" s="321"/>
      <c r="L503" s="321"/>
      <c r="M503" s="321"/>
      <c r="N503" s="274">
        <f t="shared" ref="N503:R503" si="1117">+SUMPRODUCT($F504:$F508,N504:N508)</f>
        <v>0.15655467851893795</v>
      </c>
      <c r="O503" s="274">
        <f t="shared" si="1117"/>
        <v>0.15655467851893795</v>
      </c>
      <c r="P503" s="274">
        <f t="shared" si="1117"/>
        <v>0.15655467851893795</v>
      </c>
      <c r="Q503" s="274">
        <f t="shared" si="1117"/>
        <v>0.15655467851893795</v>
      </c>
      <c r="R503" s="375">
        <f t="shared" si="1117"/>
        <v>0.15655467851893795</v>
      </c>
      <c r="S503" s="401">
        <f t="shared" ref="S503" si="1118">+SUMPRODUCT($F504:$F508,S504:S508)</f>
        <v>0.15655467851893795</v>
      </c>
      <c r="T503" s="274">
        <f t="shared" ref="T503" si="1119">+SUMPRODUCT($F504:$F508,T504:T508)</f>
        <v>0.15655467851893795</v>
      </c>
      <c r="U503" s="274">
        <f t="shared" ref="U503" si="1120">+SUMPRODUCT($F504:$F508,U504:U508)</f>
        <v>0.15655467851893795</v>
      </c>
      <c r="V503" s="274">
        <f t="shared" ref="V503" si="1121">+SUMPRODUCT($F504:$F508,V504:V508)</f>
        <v>0.15655467851893795</v>
      </c>
      <c r="W503" s="274">
        <f t="shared" ref="W503" si="1122">+SUMPRODUCT($F504:$F508,W504:W508)</f>
        <v>0.15655467851893795</v>
      </c>
      <c r="X503" s="274">
        <f t="shared" ref="X503" si="1123">+SUMPRODUCT($F504:$F508,X504:X508)</f>
        <v>0.15655467851893795</v>
      </c>
      <c r="Y503" s="274">
        <f t="shared" ref="Y503" si="1124">+SUMPRODUCT($F504:$F508,Y504:Y508)</f>
        <v>0.15655467851893795</v>
      </c>
      <c r="Z503" s="274">
        <f t="shared" ref="Z503" si="1125">+SUMPRODUCT($F504:$F508,Z504:Z508)</f>
        <v>0.15655467851893795</v>
      </c>
      <c r="AA503" s="274">
        <f t="shared" ref="AA503" si="1126">+SUMPRODUCT($F504:$F508,AA504:AA508)</f>
        <v>0.15655467851893795</v>
      </c>
      <c r="AB503" s="274">
        <f t="shared" ref="AB503" si="1127">+SUMPRODUCT($F504:$F508,AB504:AB508)</f>
        <v>0.15655467851893795</v>
      </c>
      <c r="AC503" s="274">
        <f t="shared" ref="AC503" si="1128">+SUMPRODUCT($F504:$F508,AC504:AC508)</f>
        <v>0.15655467851893795</v>
      </c>
      <c r="AD503" s="402">
        <f t="shared" ref="AD503:AF503" si="1129">+SUMPRODUCT($F504:$F508,AD504:AD508)</f>
        <v>0.15655467851893795</v>
      </c>
      <c r="AE503" s="402">
        <f t="shared" si="1129"/>
        <v>0.15655467851893795</v>
      </c>
      <c r="AF503" s="402">
        <f t="shared" si="1129"/>
        <v>0.15655467851893795</v>
      </c>
      <c r="AG503" s="402">
        <f t="shared" ref="AG503" si="1130">+SUMPRODUCT($F504:$F508,AG504:AG508)</f>
        <v>0.15655467851893795</v>
      </c>
      <c r="AH503" s="402">
        <f t="shared" ref="AH503" si="1131">+SUMPRODUCT($F504:$F508,AH504:AH508)</f>
        <v>0.15655467851893795</v>
      </c>
      <c r="AI503" s="402">
        <f t="shared" ref="AI503" si="1132">+SUMPRODUCT($F504:$F508,AI504:AI508)</f>
        <v>0.15655467851893795</v>
      </c>
      <c r="AJ503" s="402">
        <f t="shared" ref="AJ503" si="1133">+SUMPRODUCT($F504:$F508,AJ504:AJ508)</f>
        <v>0.15655467851893795</v>
      </c>
      <c r="AK503" s="402">
        <f t="shared" ref="AK503" si="1134">+SUMPRODUCT($F504:$F508,AK504:AK508)</f>
        <v>0.15655467851893795</v>
      </c>
      <c r="AL503" s="402">
        <f t="shared" ref="AL503" si="1135">+SUMPRODUCT($F504:$F508,AL504:AL508)</f>
        <v>0.15655467851893795</v>
      </c>
      <c r="AM503" s="402">
        <f t="shared" ref="AM503" si="1136">+SUMPRODUCT($F504:$F508,AM504:AM508)</f>
        <v>0.15655467851893795</v>
      </c>
      <c r="AN503" s="402">
        <f t="shared" ref="AN503" si="1137">+SUMPRODUCT($F504:$F508,AN504:AN508)</f>
        <v>0.15655467851893795</v>
      </c>
      <c r="AO503" s="402">
        <f t="shared" ref="AO503" si="1138">+SUMPRODUCT($F504:$F508,AO504:AO508)</f>
        <v>0.15655467851893795</v>
      </c>
      <c r="AP503" s="402">
        <f t="shared" ref="AP503" si="1139">+SUMPRODUCT($F504:$F508,AP504:AP508)</f>
        <v>0.15655467851893795</v>
      </c>
    </row>
    <row r="504" spans="1:42" s="140" customFormat="1" ht="13.5" hidden="1" customHeight="1" outlineLevel="2" thickBot="1">
      <c r="A504" s="216"/>
      <c r="B504" s="255" t="s">
        <v>689</v>
      </c>
      <c r="C504" s="245" t="s">
        <v>181</v>
      </c>
      <c r="D504" s="227" t="s">
        <v>182</v>
      </c>
      <c r="E504" s="241"/>
      <c r="F504" s="228">
        <f t="shared" si="1047"/>
        <v>0.81307686435397697</v>
      </c>
      <c r="G504" s="269">
        <f>+F504*G503</f>
        <v>2.2298946583488213E-4</v>
      </c>
      <c r="H504" s="299"/>
      <c r="I504" s="299"/>
      <c r="J504" s="299"/>
      <c r="K504" s="299"/>
      <c r="L504" s="299"/>
      <c r="M504" s="299"/>
      <c r="N504" s="272">
        <v>0</v>
      </c>
      <c r="O504" s="272">
        <v>0</v>
      </c>
      <c r="P504" s="272">
        <v>0</v>
      </c>
      <c r="Q504" s="272">
        <v>0</v>
      </c>
      <c r="R504" s="372">
        <v>0</v>
      </c>
      <c r="S504" s="395">
        <v>0</v>
      </c>
      <c r="T504" s="272">
        <v>0</v>
      </c>
      <c r="U504" s="272">
        <v>0</v>
      </c>
      <c r="V504" s="272">
        <v>0</v>
      </c>
      <c r="W504" s="272">
        <v>0</v>
      </c>
      <c r="X504" s="272">
        <v>0</v>
      </c>
      <c r="Y504" s="272">
        <v>0</v>
      </c>
      <c r="Z504" s="272">
        <v>0</v>
      </c>
      <c r="AA504" s="272">
        <v>0</v>
      </c>
      <c r="AB504" s="272">
        <v>0</v>
      </c>
      <c r="AC504" s="272">
        <v>0</v>
      </c>
      <c r="AD504" s="396">
        <v>0</v>
      </c>
      <c r="AE504" s="396">
        <v>0</v>
      </c>
      <c r="AF504" s="396">
        <v>0</v>
      </c>
      <c r="AG504" s="396"/>
      <c r="AH504" s="396"/>
      <c r="AI504" s="396"/>
      <c r="AJ504" s="396"/>
      <c r="AK504" s="396"/>
      <c r="AL504" s="396"/>
      <c r="AM504" s="396"/>
      <c r="AN504" s="396"/>
      <c r="AO504" s="396"/>
      <c r="AP504" s="396"/>
    </row>
    <row r="505" spans="1:42" s="140" customFormat="1" ht="13.5" hidden="1" customHeight="1" outlineLevel="2" thickBot="1">
      <c r="A505" s="216"/>
      <c r="B505" s="255" t="s">
        <v>690</v>
      </c>
      <c r="C505" s="245" t="s">
        <v>159</v>
      </c>
      <c r="D505" s="227" t="s">
        <v>160</v>
      </c>
      <c r="E505" s="241"/>
      <c r="F505" s="228">
        <f t="shared" si="1047"/>
        <v>9.3460693266385869E-2</v>
      </c>
      <c r="G505" s="269">
        <f>+F505*G503</f>
        <v>2.5631955577272494E-5</v>
      </c>
      <c r="H505" s="299"/>
      <c r="I505" s="299"/>
      <c r="J505" s="299"/>
      <c r="K505" s="299"/>
      <c r="L505" s="299"/>
      <c r="M505" s="299"/>
      <c r="N505" s="272">
        <v>1</v>
      </c>
      <c r="O505" s="272">
        <v>1</v>
      </c>
      <c r="P505" s="272">
        <v>1</v>
      </c>
      <c r="Q505" s="272">
        <v>1</v>
      </c>
      <c r="R505" s="372">
        <v>1</v>
      </c>
      <c r="S505" s="395">
        <v>1</v>
      </c>
      <c r="T505" s="272">
        <v>1</v>
      </c>
      <c r="U505" s="272">
        <v>1</v>
      </c>
      <c r="V505" s="272">
        <v>1</v>
      </c>
      <c r="W505" s="272">
        <v>1</v>
      </c>
      <c r="X505" s="272">
        <v>1</v>
      </c>
      <c r="Y505" s="272">
        <v>1</v>
      </c>
      <c r="Z505" s="272">
        <v>1</v>
      </c>
      <c r="AA505" s="272">
        <v>1</v>
      </c>
      <c r="AB505" s="272">
        <v>1</v>
      </c>
      <c r="AC505" s="272">
        <v>1</v>
      </c>
      <c r="AD505" s="396">
        <v>1</v>
      </c>
      <c r="AE505" s="396">
        <v>1</v>
      </c>
      <c r="AF505" s="396">
        <v>1</v>
      </c>
      <c r="AG505" s="396">
        <v>1</v>
      </c>
      <c r="AH505" s="396">
        <v>1</v>
      </c>
      <c r="AI505" s="396">
        <v>1</v>
      </c>
      <c r="AJ505" s="396">
        <v>1</v>
      </c>
      <c r="AK505" s="396">
        <v>1</v>
      </c>
      <c r="AL505" s="396">
        <v>1</v>
      </c>
      <c r="AM505" s="396">
        <v>1</v>
      </c>
      <c r="AN505" s="396">
        <v>1</v>
      </c>
      <c r="AO505" s="396">
        <v>1</v>
      </c>
      <c r="AP505" s="396">
        <v>1</v>
      </c>
    </row>
    <row r="506" spans="1:42" s="140" customFormat="1" ht="26.25" hidden="1" customHeight="1" outlineLevel="2" thickBot="1">
      <c r="A506" s="216"/>
      <c r="B506" s="255" t="s">
        <v>691</v>
      </c>
      <c r="C506" s="245" t="s">
        <v>162</v>
      </c>
      <c r="D506" s="227" t="s">
        <v>163</v>
      </c>
      <c r="E506" s="241"/>
      <c r="F506" s="228">
        <f t="shared" si="1047"/>
        <v>3.036845712708507E-2</v>
      </c>
      <c r="G506" s="269">
        <f>+F506*G503</f>
        <v>8.3286664888426385E-6</v>
      </c>
      <c r="H506" s="299"/>
      <c r="I506" s="299"/>
      <c r="J506" s="299"/>
      <c r="K506" s="299"/>
      <c r="L506" s="299"/>
      <c r="M506" s="299"/>
      <c r="N506" s="272">
        <v>0</v>
      </c>
      <c r="O506" s="272">
        <v>0</v>
      </c>
      <c r="P506" s="272">
        <v>0</v>
      </c>
      <c r="Q506" s="272">
        <v>0</v>
      </c>
      <c r="R506" s="372">
        <v>0</v>
      </c>
      <c r="S506" s="395">
        <v>0</v>
      </c>
      <c r="T506" s="272">
        <v>0</v>
      </c>
      <c r="U506" s="272">
        <v>0</v>
      </c>
      <c r="V506" s="272">
        <v>0</v>
      </c>
      <c r="W506" s="272">
        <v>0</v>
      </c>
      <c r="X506" s="272">
        <v>0</v>
      </c>
      <c r="Y506" s="272">
        <v>0</v>
      </c>
      <c r="Z506" s="272">
        <v>0</v>
      </c>
      <c r="AA506" s="272">
        <v>0</v>
      </c>
      <c r="AB506" s="272">
        <v>0</v>
      </c>
      <c r="AC506" s="272">
        <v>0</v>
      </c>
      <c r="AD506" s="396">
        <v>0</v>
      </c>
      <c r="AE506" s="396">
        <v>0</v>
      </c>
      <c r="AF506" s="396">
        <v>0</v>
      </c>
      <c r="AG506" s="396"/>
      <c r="AH506" s="396"/>
      <c r="AI506" s="396"/>
      <c r="AJ506" s="396"/>
      <c r="AK506" s="396"/>
      <c r="AL506" s="396"/>
      <c r="AM506" s="396"/>
      <c r="AN506" s="396"/>
      <c r="AO506" s="396"/>
      <c r="AP506" s="396"/>
    </row>
    <row r="507" spans="1:42" s="140" customFormat="1" ht="13.5" hidden="1" customHeight="1" outlineLevel="2" thickBot="1">
      <c r="A507" s="216"/>
      <c r="B507" s="255" t="s">
        <v>692</v>
      </c>
      <c r="C507" s="245" t="s">
        <v>165</v>
      </c>
      <c r="D507" s="227" t="s">
        <v>166</v>
      </c>
      <c r="E507" s="241"/>
      <c r="F507" s="228">
        <f t="shared" si="1047"/>
        <v>3.6002086533741685E-2</v>
      </c>
      <c r="G507" s="269">
        <f>+F507*G503</f>
        <v>9.8737110807831264E-6</v>
      </c>
      <c r="H507" s="299"/>
      <c r="I507" s="299"/>
      <c r="J507" s="299"/>
      <c r="K507" s="299"/>
      <c r="L507" s="299"/>
      <c r="M507" s="299"/>
      <c r="N507" s="272">
        <v>1</v>
      </c>
      <c r="O507" s="272">
        <v>1</v>
      </c>
      <c r="P507" s="272">
        <v>1</v>
      </c>
      <c r="Q507" s="272">
        <v>1</v>
      </c>
      <c r="R507" s="372">
        <v>1</v>
      </c>
      <c r="S507" s="395">
        <v>1</v>
      </c>
      <c r="T507" s="272">
        <v>1</v>
      </c>
      <c r="U507" s="272">
        <v>1</v>
      </c>
      <c r="V507" s="272">
        <v>1</v>
      </c>
      <c r="W507" s="272">
        <v>1</v>
      </c>
      <c r="X507" s="272">
        <v>1</v>
      </c>
      <c r="Y507" s="272">
        <v>1</v>
      </c>
      <c r="Z507" s="272">
        <v>1</v>
      </c>
      <c r="AA507" s="272">
        <v>1</v>
      </c>
      <c r="AB507" s="272">
        <v>1</v>
      </c>
      <c r="AC507" s="272">
        <v>1</v>
      </c>
      <c r="AD507" s="396">
        <v>1</v>
      </c>
      <c r="AE507" s="396">
        <v>1</v>
      </c>
      <c r="AF507" s="396">
        <v>1</v>
      </c>
      <c r="AG507" s="396">
        <v>1</v>
      </c>
      <c r="AH507" s="396">
        <v>1</v>
      </c>
      <c r="AI507" s="396">
        <v>1</v>
      </c>
      <c r="AJ507" s="396">
        <v>1</v>
      </c>
      <c r="AK507" s="396">
        <v>1</v>
      </c>
      <c r="AL507" s="396">
        <v>1</v>
      </c>
      <c r="AM507" s="396">
        <v>1</v>
      </c>
      <c r="AN507" s="396">
        <v>1</v>
      </c>
      <c r="AO507" s="396">
        <v>1</v>
      </c>
      <c r="AP507" s="396">
        <v>1</v>
      </c>
    </row>
    <row r="508" spans="1:42" s="140" customFormat="1" ht="13.5" hidden="1" customHeight="1" outlineLevel="2" thickBot="1">
      <c r="A508" s="216"/>
      <c r="B508" s="255" t="s">
        <v>693</v>
      </c>
      <c r="C508" s="245" t="s">
        <v>168</v>
      </c>
      <c r="D508" s="227" t="s">
        <v>169</v>
      </c>
      <c r="E508" s="241"/>
      <c r="F508" s="228">
        <f t="shared" si="1047"/>
        <v>2.7091898718810414E-2</v>
      </c>
      <c r="G508" s="269">
        <f>+F508*G503</f>
        <v>7.430057708701686E-6</v>
      </c>
      <c r="H508" s="299"/>
      <c r="I508" s="299"/>
      <c r="J508" s="299"/>
      <c r="K508" s="299"/>
      <c r="L508" s="299"/>
      <c r="M508" s="299"/>
      <c r="N508" s="272">
        <v>1</v>
      </c>
      <c r="O508" s="272">
        <v>1</v>
      </c>
      <c r="P508" s="272">
        <v>1</v>
      </c>
      <c r="Q508" s="272">
        <v>1</v>
      </c>
      <c r="R508" s="372">
        <v>1</v>
      </c>
      <c r="S508" s="395">
        <v>1</v>
      </c>
      <c r="T508" s="272">
        <v>1</v>
      </c>
      <c r="U508" s="272">
        <v>1</v>
      </c>
      <c r="V508" s="272">
        <v>1</v>
      </c>
      <c r="W508" s="272">
        <v>1</v>
      </c>
      <c r="X508" s="272">
        <v>1</v>
      </c>
      <c r="Y508" s="272">
        <v>1</v>
      </c>
      <c r="Z508" s="272">
        <v>1</v>
      </c>
      <c r="AA508" s="272">
        <v>1</v>
      </c>
      <c r="AB508" s="272">
        <v>1</v>
      </c>
      <c r="AC508" s="272">
        <v>1</v>
      </c>
      <c r="AD508" s="396">
        <v>1</v>
      </c>
      <c r="AE508" s="396">
        <v>1</v>
      </c>
      <c r="AF508" s="396">
        <v>1</v>
      </c>
      <c r="AG508" s="396">
        <v>1</v>
      </c>
      <c r="AH508" s="396">
        <v>1</v>
      </c>
      <c r="AI508" s="396">
        <v>1</v>
      </c>
      <c r="AJ508" s="396">
        <v>1</v>
      </c>
      <c r="AK508" s="396">
        <v>1</v>
      </c>
      <c r="AL508" s="396">
        <v>1</v>
      </c>
      <c r="AM508" s="396">
        <v>1</v>
      </c>
      <c r="AN508" s="396">
        <v>1</v>
      </c>
      <c r="AO508" s="396">
        <v>1</v>
      </c>
      <c r="AP508" s="396">
        <v>1</v>
      </c>
    </row>
    <row r="509" spans="1:42" s="140" customFormat="1" ht="26.25" hidden="1" customHeight="1" outlineLevel="1" thickBot="1">
      <c r="B509" s="301" t="s">
        <v>694</v>
      </c>
      <c r="C509" s="251"/>
      <c r="D509" s="236" t="s">
        <v>173</v>
      </c>
      <c r="E509" s="242"/>
      <c r="F509" s="232">
        <f t="shared" si="1047"/>
        <v>0.30792579068332282</v>
      </c>
      <c r="G509" s="232">
        <f>+F509*G482</f>
        <v>5.5394538462646059E-4</v>
      </c>
      <c r="H509" s="321"/>
      <c r="I509" s="321"/>
      <c r="J509" s="321"/>
      <c r="K509" s="321"/>
      <c r="L509" s="321"/>
      <c r="M509" s="321"/>
      <c r="N509" s="274">
        <f t="shared" ref="N509:R509" si="1140">+SUMPRODUCT($F510:$F512,N510:N512)</f>
        <v>0.16618782649623062</v>
      </c>
      <c r="O509" s="274">
        <f t="shared" si="1140"/>
        <v>0.16618782649623062</v>
      </c>
      <c r="P509" s="274">
        <f t="shared" si="1140"/>
        <v>0.16618782649623062</v>
      </c>
      <c r="Q509" s="274">
        <f t="shared" si="1140"/>
        <v>0.16618782649623062</v>
      </c>
      <c r="R509" s="375">
        <f t="shared" si="1140"/>
        <v>0.16618782649623062</v>
      </c>
      <c r="S509" s="401">
        <f t="shared" ref="S509" si="1141">+SUMPRODUCT($F510:$F512,S510:S512)</f>
        <v>0.16618782649623062</v>
      </c>
      <c r="T509" s="274">
        <f t="shared" ref="T509" si="1142">+SUMPRODUCT($F510:$F512,T510:T512)</f>
        <v>0.16618782649623062</v>
      </c>
      <c r="U509" s="274">
        <f t="shared" ref="U509" si="1143">+SUMPRODUCT($F510:$F512,U510:U512)</f>
        <v>0.16618782649623062</v>
      </c>
      <c r="V509" s="274">
        <f t="shared" ref="V509" si="1144">+SUMPRODUCT($F510:$F512,V510:V512)</f>
        <v>0.16618782649623062</v>
      </c>
      <c r="W509" s="274">
        <f t="shared" ref="W509" si="1145">+SUMPRODUCT($F510:$F512,W510:W512)</f>
        <v>0.16618782649623062</v>
      </c>
      <c r="X509" s="274">
        <f t="shared" ref="X509" si="1146">+SUMPRODUCT($F510:$F512,X510:X512)</f>
        <v>0.16618782649623062</v>
      </c>
      <c r="Y509" s="274">
        <f t="shared" ref="Y509" si="1147">+SUMPRODUCT($F510:$F512,Y510:Y512)</f>
        <v>0.16618782649623062</v>
      </c>
      <c r="Z509" s="274">
        <f t="shared" ref="Z509" si="1148">+SUMPRODUCT($F510:$F512,Z510:Z512)</f>
        <v>0.16618782649623062</v>
      </c>
      <c r="AA509" s="274">
        <f t="shared" ref="AA509" si="1149">+SUMPRODUCT($F510:$F512,AA510:AA512)</f>
        <v>0.16618782649623062</v>
      </c>
      <c r="AB509" s="274">
        <f t="shared" ref="AB509" si="1150">+SUMPRODUCT($F510:$F512,AB510:AB512)</f>
        <v>0.16618782649623062</v>
      </c>
      <c r="AC509" s="274">
        <f t="shared" ref="AC509" si="1151">+SUMPRODUCT($F510:$F512,AC510:AC512)</f>
        <v>0.16618782649623062</v>
      </c>
      <c r="AD509" s="402">
        <f t="shared" ref="AD509:AF509" si="1152">+SUMPRODUCT($F510:$F512,AD510:AD512)</f>
        <v>0.16618782649623062</v>
      </c>
      <c r="AE509" s="402">
        <f t="shared" si="1152"/>
        <v>0.16618782649623062</v>
      </c>
      <c r="AF509" s="402">
        <f t="shared" si="1152"/>
        <v>0.16618782649623062</v>
      </c>
      <c r="AG509" s="402">
        <f t="shared" ref="AG509" si="1153">+SUMPRODUCT($F510:$F512,AG510:AG512)</f>
        <v>0.16618782649623062</v>
      </c>
      <c r="AH509" s="402">
        <f t="shared" ref="AH509" si="1154">+SUMPRODUCT($F510:$F512,AH510:AH512)</f>
        <v>0.16618782649623062</v>
      </c>
      <c r="AI509" s="402">
        <f t="shared" ref="AI509" si="1155">+SUMPRODUCT($F510:$F512,AI510:AI512)</f>
        <v>0.16618782649623062</v>
      </c>
      <c r="AJ509" s="402">
        <f t="shared" ref="AJ509" si="1156">+SUMPRODUCT($F510:$F512,AJ510:AJ512)</f>
        <v>0.16618782649623062</v>
      </c>
      <c r="AK509" s="402">
        <f t="shared" ref="AK509" si="1157">+SUMPRODUCT($F510:$F512,AK510:AK512)</f>
        <v>0.16618782649623062</v>
      </c>
      <c r="AL509" s="402">
        <f t="shared" ref="AL509" si="1158">+SUMPRODUCT($F510:$F512,AL510:AL512)</f>
        <v>0.16618782649623062</v>
      </c>
      <c r="AM509" s="402">
        <f t="shared" ref="AM509" si="1159">+SUMPRODUCT($F510:$F512,AM510:AM512)</f>
        <v>0.16618782649623062</v>
      </c>
      <c r="AN509" s="402">
        <f t="shared" ref="AN509" si="1160">+SUMPRODUCT($F510:$F512,AN510:AN512)</f>
        <v>0.16618782649623062</v>
      </c>
      <c r="AO509" s="402">
        <f t="shared" ref="AO509" si="1161">+SUMPRODUCT($F510:$F512,AO510:AO512)</f>
        <v>0.16618782649623062</v>
      </c>
      <c r="AP509" s="402">
        <f t="shared" ref="AP509" si="1162">+SUMPRODUCT($F510:$F512,AP510:AP512)</f>
        <v>0.16618782649623062</v>
      </c>
    </row>
    <row r="510" spans="1:42" s="140" customFormat="1" ht="26.25" hidden="1" customHeight="1" outlineLevel="2" thickBot="1">
      <c r="A510" s="216"/>
      <c r="B510" s="255" t="s">
        <v>695</v>
      </c>
      <c r="C510" s="245" t="s">
        <v>175</v>
      </c>
      <c r="D510" s="227" t="s">
        <v>176</v>
      </c>
      <c r="E510" s="241"/>
      <c r="F510" s="228">
        <f t="shared" si="1047"/>
        <v>0.16618782649623062</v>
      </c>
      <c r="G510" s="269">
        <f>+F510*G509</f>
        <v>9.205897946868997E-5</v>
      </c>
      <c r="H510" s="299"/>
      <c r="I510" s="299"/>
      <c r="J510" s="299"/>
      <c r="K510" s="299"/>
      <c r="L510" s="299"/>
      <c r="M510" s="299"/>
      <c r="N510" s="272">
        <v>1</v>
      </c>
      <c r="O510" s="272">
        <v>1</v>
      </c>
      <c r="P510" s="272">
        <v>1</v>
      </c>
      <c r="Q510" s="272">
        <v>1</v>
      </c>
      <c r="R510" s="372">
        <v>1</v>
      </c>
      <c r="S510" s="395">
        <v>1</v>
      </c>
      <c r="T510" s="272">
        <v>1</v>
      </c>
      <c r="U510" s="272">
        <v>1</v>
      </c>
      <c r="V510" s="272">
        <v>1</v>
      </c>
      <c r="W510" s="272">
        <v>1</v>
      </c>
      <c r="X510" s="272">
        <v>1</v>
      </c>
      <c r="Y510" s="272">
        <v>1</v>
      </c>
      <c r="Z510" s="272">
        <v>1</v>
      </c>
      <c r="AA510" s="272">
        <v>1</v>
      </c>
      <c r="AB510" s="272">
        <v>1</v>
      </c>
      <c r="AC510" s="272">
        <v>1</v>
      </c>
      <c r="AD510" s="396">
        <v>1</v>
      </c>
      <c r="AE510" s="396">
        <v>1</v>
      </c>
      <c r="AF510" s="396">
        <v>1</v>
      </c>
      <c r="AG510" s="396">
        <v>1</v>
      </c>
      <c r="AH510" s="396">
        <v>1</v>
      </c>
      <c r="AI510" s="396">
        <v>1</v>
      </c>
      <c r="AJ510" s="396">
        <v>1</v>
      </c>
      <c r="AK510" s="396">
        <v>1</v>
      </c>
      <c r="AL510" s="396">
        <v>1</v>
      </c>
      <c r="AM510" s="396">
        <v>1</v>
      </c>
      <c r="AN510" s="396">
        <v>1</v>
      </c>
      <c r="AO510" s="396">
        <v>1</v>
      </c>
      <c r="AP510" s="396">
        <v>1</v>
      </c>
    </row>
    <row r="511" spans="1:42" s="140" customFormat="1" ht="26.25" hidden="1" customHeight="1" outlineLevel="2" thickBot="1">
      <c r="A511" s="216"/>
      <c r="B511" s="255" t="s">
        <v>696</v>
      </c>
      <c r="C511" s="245" t="s">
        <v>178</v>
      </c>
      <c r="D511" s="227" t="s">
        <v>179</v>
      </c>
      <c r="E511" s="241"/>
      <c r="F511" s="228">
        <f t="shared" si="1047"/>
        <v>0.36085232777611836</v>
      </c>
      <c r="G511" s="269">
        <f>+F511*G509</f>
        <v>1.998924815032955E-4</v>
      </c>
      <c r="H511" s="299"/>
      <c r="I511" s="299"/>
      <c r="J511" s="299"/>
      <c r="K511" s="299"/>
      <c r="L511" s="299"/>
      <c r="M511" s="299"/>
      <c r="N511" s="272">
        <v>0</v>
      </c>
      <c r="O511" s="272">
        <v>0</v>
      </c>
      <c r="P511" s="272">
        <v>0</v>
      </c>
      <c r="Q511" s="272">
        <v>0</v>
      </c>
      <c r="R511" s="372">
        <v>0</v>
      </c>
      <c r="S511" s="395">
        <v>0</v>
      </c>
      <c r="T511" s="272">
        <v>0</v>
      </c>
      <c r="U511" s="272">
        <v>0</v>
      </c>
      <c r="V511" s="272">
        <v>0</v>
      </c>
      <c r="W511" s="272">
        <v>0</v>
      </c>
      <c r="X511" s="272">
        <v>0</v>
      </c>
      <c r="Y511" s="272">
        <v>0</v>
      </c>
      <c r="Z511" s="272">
        <v>0</v>
      </c>
      <c r="AA511" s="272">
        <v>0</v>
      </c>
      <c r="AB511" s="272">
        <v>0</v>
      </c>
      <c r="AC511" s="272">
        <v>0</v>
      </c>
      <c r="AD511" s="396">
        <v>0</v>
      </c>
      <c r="AE511" s="396">
        <v>0</v>
      </c>
      <c r="AF511" s="396">
        <v>0</v>
      </c>
      <c r="AG511" s="396"/>
      <c r="AH511" s="396"/>
      <c r="AI511" s="396"/>
      <c r="AJ511" s="396"/>
      <c r="AK511" s="396"/>
      <c r="AL511" s="396"/>
      <c r="AM511" s="396"/>
      <c r="AN511" s="396"/>
      <c r="AO511" s="396"/>
      <c r="AP511" s="396"/>
    </row>
    <row r="512" spans="1:42" s="140" customFormat="1" ht="26.25" hidden="1" customHeight="1" outlineLevel="2" thickBot="1">
      <c r="A512" s="216"/>
      <c r="B512" s="255" t="s">
        <v>697</v>
      </c>
      <c r="C512" s="245"/>
      <c r="D512" s="227" t="s">
        <v>439</v>
      </c>
      <c r="E512" s="241"/>
      <c r="F512" s="228">
        <f t="shared" si="1047"/>
        <v>0.47295984572765098</v>
      </c>
      <c r="G512" s="269">
        <f>+F512*G509</f>
        <v>2.6199392365447509E-4</v>
      </c>
      <c r="H512" s="299"/>
      <c r="I512" s="299"/>
      <c r="J512" s="299"/>
      <c r="K512" s="299"/>
      <c r="L512" s="299"/>
      <c r="M512" s="299"/>
      <c r="N512" s="272">
        <v>0</v>
      </c>
      <c r="O512" s="272">
        <v>0</v>
      </c>
      <c r="P512" s="272">
        <v>0</v>
      </c>
      <c r="Q512" s="272">
        <v>0</v>
      </c>
      <c r="R512" s="372">
        <v>0</v>
      </c>
      <c r="S512" s="395">
        <v>0</v>
      </c>
      <c r="T512" s="272">
        <v>0</v>
      </c>
      <c r="U512" s="272">
        <v>0</v>
      </c>
      <c r="V512" s="272">
        <v>0</v>
      </c>
      <c r="W512" s="272">
        <v>0</v>
      </c>
      <c r="X512" s="272">
        <v>0</v>
      </c>
      <c r="Y512" s="272">
        <v>0</v>
      </c>
      <c r="Z512" s="272">
        <v>0</v>
      </c>
      <c r="AA512" s="272">
        <v>0</v>
      </c>
      <c r="AB512" s="272">
        <v>0</v>
      </c>
      <c r="AC512" s="272">
        <v>0</v>
      </c>
      <c r="AD512" s="396">
        <v>0</v>
      </c>
      <c r="AE512" s="396">
        <v>0</v>
      </c>
      <c r="AF512" s="396">
        <v>0</v>
      </c>
      <c r="AG512" s="396"/>
      <c r="AH512" s="396"/>
      <c r="AI512" s="396"/>
      <c r="AJ512" s="396"/>
      <c r="AK512" s="396"/>
      <c r="AL512" s="396"/>
      <c r="AM512" s="396"/>
      <c r="AN512" s="396"/>
      <c r="AO512" s="396"/>
      <c r="AP512" s="396"/>
    </row>
    <row r="513" spans="1:42" s="140" customFormat="1" ht="13.5" hidden="1" customHeight="1" outlineLevel="1" thickBot="1">
      <c r="B513" s="301" t="s">
        <v>698</v>
      </c>
      <c r="C513" s="251"/>
      <c r="D513" s="236" t="s">
        <v>441</v>
      </c>
      <c r="E513" s="242"/>
      <c r="F513" s="232">
        <f t="shared" si="1047"/>
        <v>0.17950266086228694</v>
      </c>
      <c r="G513" s="232">
        <f>+F513*G482</f>
        <v>3.2291764289108638E-4</v>
      </c>
      <c r="H513" s="321"/>
      <c r="I513" s="321"/>
      <c r="J513" s="321"/>
      <c r="K513" s="321"/>
      <c r="L513" s="321"/>
      <c r="M513" s="321"/>
      <c r="N513" s="274">
        <f t="shared" ref="N513:R513" si="1163">+SUMPRODUCT($F514:$F514,N514:N514)</f>
        <v>0</v>
      </c>
      <c r="O513" s="274">
        <f t="shared" si="1163"/>
        <v>0</v>
      </c>
      <c r="P513" s="274">
        <f t="shared" si="1163"/>
        <v>0</v>
      </c>
      <c r="Q513" s="274">
        <f t="shared" si="1163"/>
        <v>0</v>
      </c>
      <c r="R513" s="375">
        <f t="shared" si="1163"/>
        <v>0</v>
      </c>
      <c r="S513" s="401">
        <f t="shared" ref="S513" si="1164">+SUMPRODUCT($F514:$F514,S514:S514)</f>
        <v>0</v>
      </c>
      <c r="T513" s="274">
        <f t="shared" ref="T513" si="1165">+SUMPRODUCT($F514:$F514,T514:T514)</f>
        <v>0</v>
      </c>
      <c r="U513" s="274">
        <f t="shared" ref="U513" si="1166">+SUMPRODUCT($F514:$F514,U514:U514)</f>
        <v>0</v>
      </c>
      <c r="V513" s="274">
        <f t="shared" ref="V513" si="1167">+SUMPRODUCT($F514:$F514,V514:V514)</f>
        <v>0</v>
      </c>
      <c r="W513" s="274">
        <f t="shared" ref="W513" si="1168">+SUMPRODUCT($F514:$F514,W514:W514)</f>
        <v>0</v>
      </c>
      <c r="X513" s="274">
        <f t="shared" ref="X513" si="1169">+SUMPRODUCT($F514:$F514,X514:X514)</f>
        <v>0</v>
      </c>
      <c r="Y513" s="274">
        <f t="shared" ref="Y513" si="1170">+SUMPRODUCT($F514:$F514,Y514:Y514)</f>
        <v>0</v>
      </c>
      <c r="Z513" s="274">
        <f t="shared" ref="Z513" si="1171">+SUMPRODUCT($F514:$F514,Z514:Z514)</f>
        <v>0</v>
      </c>
      <c r="AA513" s="274">
        <f t="shared" ref="AA513" si="1172">+SUMPRODUCT($F514:$F514,AA514:AA514)</f>
        <v>0</v>
      </c>
      <c r="AB513" s="274">
        <f t="shared" ref="AB513" si="1173">+SUMPRODUCT($F514:$F514,AB514:AB514)</f>
        <v>0</v>
      </c>
      <c r="AC513" s="274">
        <f t="shared" ref="AC513" si="1174">+SUMPRODUCT($F514:$F514,AC514:AC514)</f>
        <v>0</v>
      </c>
      <c r="AD513" s="402">
        <f t="shared" ref="AD513:AF513" si="1175">+SUMPRODUCT($F514:$F514,AD514:AD514)</f>
        <v>0</v>
      </c>
      <c r="AE513" s="402">
        <f t="shared" si="1175"/>
        <v>0</v>
      </c>
      <c r="AF513" s="402">
        <f t="shared" si="1175"/>
        <v>0</v>
      </c>
      <c r="AG513" s="402"/>
      <c r="AH513" s="402"/>
      <c r="AI513" s="402"/>
      <c r="AJ513" s="402"/>
      <c r="AK513" s="402"/>
      <c r="AL513" s="402"/>
      <c r="AM513" s="402"/>
      <c r="AN513" s="402"/>
      <c r="AO513" s="402"/>
      <c r="AP513" s="402"/>
    </row>
    <row r="514" spans="1:42" s="140" customFormat="1" ht="13.5" hidden="1" customHeight="1" outlineLevel="2" thickBot="1">
      <c r="A514" s="216"/>
      <c r="B514" s="255" t="s">
        <v>699</v>
      </c>
      <c r="C514" s="245" t="s">
        <v>187</v>
      </c>
      <c r="D514" s="227" t="s">
        <v>443</v>
      </c>
      <c r="E514" s="241"/>
      <c r="F514" s="228">
        <f t="shared" si="1047"/>
        <v>1</v>
      </c>
      <c r="G514" s="269">
        <f>+F514*G513</f>
        <v>3.2291764289108638E-4</v>
      </c>
      <c r="H514" s="299"/>
      <c r="I514" s="299"/>
      <c r="J514" s="299"/>
      <c r="K514" s="299"/>
      <c r="L514" s="299"/>
      <c r="M514" s="299"/>
      <c r="N514" s="272">
        <v>0</v>
      </c>
      <c r="O514" s="272">
        <v>0</v>
      </c>
      <c r="P514" s="272">
        <v>0</v>
      </c>
      <c r="Q514" s="272">
        <v>0</v>
      </c>
      <c r="R514" s="372">
        <v>0</v>
      </c>
      <c r="S514" s="395">
        <v>0</v>
      </c>
      <c r="T514" s="272">
        <v>0</v>
      </c>
      <c r="U514" s="272">
        <v>0</v>
      </c>
      <c r="V514" s="272">
        <v>0</v>
      </c>
      <c r="W514" s="272">
        <v>0</v>
      </c>
      <c r="X514" s="272">
        <v>0</v>
      </c>
      <c r="Y514" s="272">
        <v>0</v>
      </c>
      <c r="Z514" s="272">
        <v>0</v>
      </c>
      <c r="AA514" s="272">
        <v>0</v>
      </c>
      <c r="AB514" s="272">
        <v>0</v>
      </c>
      <c r="AC514" s="272">
        <v>0</v>
      </c>
      <c r="AD514" s="396">
        <v>0</v>
      </c>
      <c r="AE514" s="396">
        <v>0</v>
      </c>
      <c r="AF514" s="396">
        <v>0</v>
      </c>
      <c r="AG514" s="396"/>
      <c r="AH514" s="396"/>
      <c r="AI514" s="396"/>
      <c r="AJ514" s="396"/>
      <c r="AK514" s="396"/>
      <c r="AL514" s="396"/>
      <c r="AM514" s="396"/>
      <c r="AN514" s="396"/>
      <c r="AO514" s="396"/>
      <c r="AP514" s="396"/>
    </row>
    <row r="515" spans="1:42" s="140" customFormat="1" ht="13.5" hidden="1" customHeight="1" outlineLevel="1" thickBot="1">
      <c r="B515" s="300" t="s">
        <v>700</v>
      </c>
      <c r="C515" s="294"/>
      <c r="D515" s="294" t="s">
        <v>193</v>
      </c>
      <c r="E515" s="295"/>
      <c r="F515" s="296">
        <f t="shared" si="1047"/>
        <v>7.0876940001895719E-2</v>
      </c>
      <c r="G515" s="296">
        <f>+F515*G342</f>
        <v>7.0876940001895724E-4</v>
      </c>
      <c r="H515" s="297"/>
      <c r="I515" s="297"/>
      <c r="J515" s="297"/>
      <c r="K515" s="297"/>
      <c r="L515" s="297"/>
      <c r="M515" s="297"/>
      <c r="N515" s="296">
        <f t="shared" ref="N515:R515" si="1176">+SUMPRODUCT($F516:$F527,N516:N527)</f>
        <v>0</v>
      </c>
      <c r="O515" s="296">
        <f t="shared" si="1176"/>
        <v>0</v>
      </c>
      <c r="P515" s="296">
        <f t="shared" si="1176"/>
        <v>0</v>
      </c>
      <c r="Q515" s="296">
        <f t="shared" si="1176"/>
        <v>0</v>
      </c>
      <c r="R515" s="376">
        <f t="shared" si="1176"/>
        <v>0</v>
      </c>
      <c r="S515" s="403">
        <f t="shared" ref="S515" si="1177">+SUMPRODUCT($F516:$F527,S516:S527)</f>
        <v>0</v>
      </c>
      <c r="T515" s="296">
        <f t="shared" ref="T515" si="1178">+SUMPRODUCT($F516:$F527,T516:T527)</f>
        <v>0</v>
      </c>
      <c r="U515" s="296">
        <f t="shared" ref="U515" si="1179">+SUMPRODUCT($F516:$F527,U516:U527)</f>
        <v>0</v>
      </c>
      <c r="V515" s="296">
        <f t="shared" ref="V515" si="1180">+SUMPRODUCT($F516:$F527,V516:V527)</f>
        <v>0</v>
      </c>
      <c r="W515" s="296">
        <f t="shared" ref="W515" si="1181">+SUMPRODUCT($F516:$F527,W516:W527)</f>
        <v>0</v>
      </c>
      <c r="X515" s="296">
        <f t="shared" ref="X515" si="1182">+SUMPRODUCT($F516:$F527,X516:X527)</f>
        <v>0</v>
      </c>
      <c r="Y515" s="296">
        <f t="shared" ref="Y515" si="1183">+SUMPRODUCT($F516:$F527,Y516:Y527)</f>
        <v>0</v>
      </c>
      <c r="Z515" s="296">
        <f t="shared" ref="Z515" si="1184">+SUMPRODUCT($F516:$F527,Z516:Z527)</f>
        <v>0</v>
      </c>
      <c r="AA515" s="296">
        <f t="shared" ref="AA515" si="1185">+SUMPRODUCT($F516:$F527,AA516:AA527)</f>
        <v>0</v>
      </c>
      <c r="AB515" s="296">
        <f t="shared" ref="AB515" si="1186">+SUMPRODUCT($F516:$F527,AB516:AB527)</f>
        <v>0</v>
      </c>
      <c r="AC515" s="296">
        <f t="shared" ref="AC515" si="1187">+SUMPRODUCT($F516:$F527,AC516:AC527)</f>
        <v>0</v>
      </c>
      <c r="AD515" s="404">
        <f t="shared" ref="AD515:AF515" si="1188">+SUMPRODUCT($F516:$F527,AD516:AD527)</f>
        <v>0</v>
      </c>
      <c r="AE515" s="404">
        <f t="shared" si="1188"/>
        <v>0</v>
      </c>
      <c r="AF515" s="404">
        <f t="shared" si="1188"/>
        <v>0</v>
      </c>
      <c r="AG515" s="404"/>
      <c r="AH515" s="404"/>
      <c r="AI515" s="404"/>
      <c r="AJ515" s="404"/>
      <c r="AK515" s="404"/>
      <c r="AL515" s="404"/>
      <c r="AM515" s="404"/>
      <c r="AN515" s="404"/>
      <c r="AO515" s="404"/>
      <c r="AP515" s="404"/>
    </row>
    <row r="516" spans="1:42" s="140" customFormat="1" ht="13.5" hidden="1" customHeight="1" outlineLevel="1" thickBot="1">
      <c r="A516" s="216"/>
      <c r="B516" s="255" t="s">
        <v>701</v>
      </c>
      <c r="C516" s="245" t="s">
        <v>195</v>
      </c>
      <c r="D516" s="227" t="s">
        <v>196</v>
      </c>
      <c r="E516" s="241"/>
      <c r="F516" s="228">
        <f t="shared" si="1047"/>
        <v>0.11462043390407546</v>
      </c>
      <c r="G516" s="269">
        <f>+F516*G515</f>
        <v>8.1239456168104103E-5</v>
      </c>
      <c r="H516" s="299"/>
      <c r="I516" s="299"/>
      <c r="J516" s="299"/>
      <c r="K516" s="299"/>
      <c r="L516" s="299"/>
      <c r="M516" s="299"/>
      <c r="N516" s="272">
        <v>0</v>
      </c>
      <c r="O516" s="272">
        <v>0</v>
      </c>
      <c r="P516" s="272">
        <v>0</v>
      </c>
      <c r="Q516" s="272">
        <v>0</v>
      </c>
      <c r="R516" s="372">
        <v>0</v>
      </c>
      <c r="S516" s="395">
        <v>0</v>
      </c>
      <c r="T516" s="272">
        <v>0</v>
      </c>
      <c r="U516" s="272">
        <v>0</v>
      </c>
      <c r="V516" s="272">
        <v>0</v>
      </c>
      <c r="W516" s="272">
        <v>0</v>
      </c>
      <c r="X516" s="272">
        <v>0</v>
      </c>
      <c r="Y516" s="272">
        <v>0</v>
      </c>
      <c r="Z516" s="272">
        <v>0</v>
      </c>
      <c r="AA516" s="272">
        <v>0</v>
      </c>
      <c r="AB516" s="272">
        <v>0</v>
      </c>
      <c r="AC516" s="272">
        <v>0</v>
      </c>
      <c r="AD516" s="396">
        <v>0</v>
      </c>
      <c r="AE516" s="396">
        <v>0</v>
      </c>
      <c r="AF516" s="396">
        <v>0</v>
      </c>
      <c r="AG516" s="396"/>
      <c r="AH516" s="396"/>
      <c r="AI516" s="396"/>
      <c r="AJ516" s="396"/>
      <c r="AK516" s="396"/>
      <c r="AL516" s="396"/>
      <c r="AM516" s="396"/>
      <c r="AN516" s="396"/>
      <c r="AO516" s="396"/>
      <c r="AP516" s="396"/>
    </row>
    <row r="517" spans="1:42" s="140" customFormat="1" ht="13.5" hidden="1" customHeight="1" outlineLevel="1" thickBot="1">
      <c r="A517" s="216"/>
      <c r="B517" s="255" t="s">
        <v>702</v>
      </c>
      <c r="C517" s="245" t="s">
        <v>198</v>
      </c>
      <c r="D517" s="227" t="s">
        <v>199</v>
      </c>
      <c r="E517" s="241"/>
      <c r="F517" s="228">
        <f t="shared" si="1047"/>
        <v>0.16914444012256166</v>
      </c>
      <c r="G517" s="269">
        <f>+F517*G515</f>
        <v>1.1988440334221047E-4</v>
      </c>
      <c r="H517" s="299"/>
      <c r="I517" s="299"/>
      <c r="J517" s="299"/>
      <c r="K517" s="299"/>
      <c r="L517" s="299"/>
      <c r="M517" s="299"/>
      <c r="N517" s="272">
        <v>0</v>
      </c>
      <c r="O517" s="272">
        <v>0</v>
      </c>
      <c r="P517" s="272">
        <v>0</v>
      </c>
      <c r="Q517" s="272">
        <v>0</v>
      </c>
      <c r="R517" s="372">
        <v>0</v>
      </c>
      <c r="S517" s="395">
        <v>0</v>
      </c>
      <c r="T517" s="272">
        <v>0</v>
      </c>
      <c r="U517" s="272">
        <v>0</v>
      </c>
      <c r="V517" s="272">
        <v>0</v>
      </c>
      <c r="W517" s="272">
        <v>0</v>
      </c>
      <c r="X517" s="272">
        <v>0</v>
      </c>
      <c r="Y517" s="272">
        <v>0</v>
      </c>
      <c r="Z517" s="272">
        <v>0</v>
      </c>
      <c r="AA517" s="272">
        <v>0</v>
      </c>
      <c r="AB517" s="272">
        <v>0</v>
      </c>
      <c r="AC517" s="272">
        <v>0</v>
      </c>
      <c r="AD517" s="396">
        <v>0</v>
      </c>
      <c r="AE517" s="396">
        <v>0</v>
      </c>
      <c r="AF517" s="396">
        <v>0</v>
      </c>
      <c r="AG517" s="396"/>
      <c r="AH517" s="396"/>
      <c r="AI517" s="396"/>
      <c r="AJ517" s="396"/>
      <c r="AK517" s="396"/>
      <c r="AL517" s="396"/>
      <c r="AM517" s="396"/>
      <c r="AN517" s="396"/>
      <c r="AO517" s="396"/>
      <c r="AP517" s="396"/>
    </row>
    <row r="518" spans="1:42" s="140" customFormat="1" ht="13.5" hidden="1" customHeight="1" outlineLevel="1" thickBot="1">
      <c r="A518" s="216"/>
      <c r="B518" s="255" t="s">
        <v>703</v>
      </c>
      <c r="C518" s="245" t="s">
        <v>201</v>
      </c>
      <c r="D518" s="227" t="s">
        <v>202</v>
      </c>
      <c r="E518" s="241"/>
      <c r="F518" s="228">
        <f t="shared" si="1047"/>
        <v>0.15393682703771108</v>
      </c>
      <c r="G518" s="269">
        <f>+F518*G515</f>
        <v>1.0910571254034049E-4</v>
      </c>
      <c r="H518" s="299"/>
      <c r="I518" s="299"/>
      <c r="J518" s="299"/>
      <c r="K518" s="299"/>
      <c r="L518" s="299"/>
      <c r="M518" s="299"/>
      <c r="N518" s="272">
        <v>0</v>
      </c>
      <c r="O518" s="272">
        <v>0</v>
      </c>
      <c r="P518" s="272">
        <v>0</v>
      </c>
      <c r="Q518" s="272">
        <v>0</v>
      </c>
      <c r="R518" s="372">
        <v>0</v>
      </c>
      <c r="S518" s="395">
        <v>0</v>
      </c>
      <c r="T518" s="272">
        <v>0</v>
      </c>
      <c r="U518" s="272">
        <v>0</v>
      </c>
      <c r="V518" s="272">
        <v>0</v>
      </c>
      <c r="W518" s="272">
        <v>0</v>
      </c>
      <c r="X518" s="272">
        <v>0</v>
      </c>
      <c r="Y518" s="272">
        <v>0</v>
      </c>
      <c r="Z518" s="272">
        <v>0</v>
      </c>
      <c r="AA518" s="272">
        <v>0</v>
      </c>
      <c r="AB518" s="272">
        <v>0</v>
      </c>
      <c r="AC518" s="272">
        <v>0</v>
      </c>
      <c r="AD518" s="396">
        <v>0</v>
      </c>
      <c r="AE518" s="396">
        <v>0</v>
      </c>
      <c r="AF518" s="396">
        <v>0</v>
      </c>
      <c r="AG518" s="396"/>
      <c r="AH518" s="396"/>
      <c r="AI518" s="396"/>
      <c r="AJ518" s="396"/>
      <c r="AK518" s="396"/>
      <c r="AL518" s="396"/>
      <c r="AM518" s="396"/>
      <c r="AN518" s="396"/>
      <c r="AO518" s="396"/>
      <c r="AP518" s="396"/>
    </row>
    <row r="519" spans="1:42" s="140" customFormat="1" ht="13.5" hidden="1" customHeight="1" outlineLevel="1" thickBot="1">
      <c r="A519" s="216"/>
      <c r="B519" s="255" t="s">
        <v>704</v>
      </c>
      <c r="C519" s="245" t="s">
        <v>204</v>
      </c>
      <c r="D519" s="227" t="s">
        <v>205</v>
      </c>
      <c r="E519" s="241"/>
      <c r="F519" s="228">
        <f t="shared" si="1047"/>
        <v>3.9190487501575728E-2</v>
      </c>
      <c r="G519" s="269">
        <f>+F519*G515</f>
        <v>2.7777018312942273E-5</v>
      </c>
      <c r="H519" s="299"/>
      <c r="I519" s="299"/>
      <c r="J519" s="299"/>
      <c r="K519" s="299"/>
      <c r="L519" s="299"/>
      <c r="M519" s="299"/>
      <c r="N519" s="272">
        <v>0</v>
      </c>
      <c r="O519" s="272">
        <v>0</v>
      </c>
      <c r="P519" s="272">
        <v>0</v>
      </c>
      <c r="Q519" s="272">
        <v>0</v>
      </c>
      <c r="R519" s="372">
        <v>0</v>
      </c>
      <c r="S519" s="395">
        <v>0</v>
      </c>
      <c r="T519" s="272">
        <v>0</v>
      </c>
      <c r="U519" s="272">
        <v>0</v>
      </c>
      <c r="V519" s="272">
        <v>0</v>
      </c>
      <c r="W519" s="272">
        <v>0</v>
      </c>
      <c r="X519" s="272">
        <v>0</v>
      </c>
      <c r="Y519" s="272">
        <v>0</v>
      </c>
      <c r="Z519" s="272">
        <v>0</v>
      </c>
      <c r="AA519" s="272">
        <v>0</v>
      </c>
      <c r="AB519" s="272">
        <v>0</v>
      </c>
      <c r="AC519" s="272">
        <v>0</v>
      </c>
      <c r="AD519" s="396">
        <v>0</v>
      </c>
      <c r="AE519" s="396">
        <v>0</v>
      </c>
      <c r="AF519" s="396">
        <v>0</v>
      </c>
      <c r="AG519" s="396"/>
      <c r="AH519" s="396"/>
      <c r="AI519" s="396"/>
      <c r="AJ519" s="396"/>
      <c r="AK519" s="396"/>
      <c r="AL519" s="396"/>
      <c r="AM519" s="396"/>
      <c r="AN519" s="396"/>
      <c r="AO519" s="396"/>
      <c r="AP519" s="396"/>
    </row>
    <row r="520" spans="1:42" s="140" customFormat="1" ht="13.5" hidden="1" customHeight="1" outlineLevel="1" thickBot="1">
      <c r="A520" s="216"/>
      <c r="B520" s="255" t="s">
        <v>705</v>
      </c>
      <c r="C520" s="245" t="s">
        <v>207</v>
      </c>
      <c r="D520" s="227" t="s">
        <v>205</v>
      </c>
      <c r="E520" s="241"/>
      <c r="F520" s="228">
        <f t="shared" si="1047"/>
        <v>3.9190487501575728E-2</v>
      </c>
      <c r="G520" s="269">
        <f>+F520*G515</f>
        <v>2.7777018312942273E-5</v>
      </c>
      <c r="H520" s="299"/>
      <c r="I520" s="299"/>
      <c r="J520" s="299"/>
      <c r="K520" s="299"/>
      <c r="L520" s="299"/>
      <c r="M520" s="299"/>
      <c r="N520" s="272">
        <v>0</v>
      </c>
      <c r="O520" s="272">
        <v>0</v>
      </c>
      <c r="P520" s="272">
        <v>0</v>
      </c>
      <c r="Q520" s="272">
        <v>0</v>
      </c>
      <c r="R520" s="372">
        <v>0</v>
      </c>
      <c r="S520" s="395">
        <v>0</v>
      </c>
      <c r="T520" s="272">
        <v>0</v>
      </c>
      <c r="U520" s="272">
        <v>0</v>
      </c>
      <c r="V520" s="272">
        <v>0</v>
      </c>
      <c r="W520" s="272">
        <v>0</v>
      </c>
      <c r="X520" s="272">
        <v>0</v>
      </c>
      <c r="Y520" s="272">
        <v>0</v>
      </c>
      <c r="Z520" s="272">
        <v>0</v>
      </c>
      <c r="AA520" s="272">
        <v>0</v>
      </c>
      <c r="AB520" s="272">
        <v>0</v>
      </c>
      <c r="AC520" s="272">
        <v>0</v>
      </c>
      <c r="AD520" s="396">
        <v>0</v>
      </c>
      <c r="AE520" s="396">
        <v>0</v>
      </c>
      <c r="AF520" s="396">
        <v>0</v>
      </c>
      <c r="AG520" s="396"/>
      <c r="AH520" s="396"/>
      <c r="AI520" s="396"/>
      <c r="AJ520" s="396"/>
      <c r="AK520" s="396"/>
      <c r="AL520" s="396"/>
      <c r="AM520" s="396"/>
      <c r="AN520" s="396"/>
      <c r="AO520" s="396"/>
      <c r="AP520" s="396"/>
    </row>
    <row r="521" spans="1:42" s="140" customFormat="1" ht="13.5" hidden="1" customHeight="1" outlineLevel="1" thickBot="1">
      <c r="A521" s="216"/>
      <c r="B521" s="255" t="s">
        <v>706</v>
      </c>
      <c r="C521" s="245" t="s">
        <v>209</v>
      </c>
      <c r="D521" s="227" t="s">
        <v>205</v>
      </c>
      <c r="E521" s="241"/>
      <c r="F521" s="228">
        <f t="shared" si="1047"/>
        <v>3.9190487501575728E-2</v>
      </c>
      <c r="G521" s="269">
        <f>+F521*G515</f>
        <v>2.7777018312942273E-5</v>
      </c>
      <c r="H521" s="299"/>
      <c r="I521" s="299"/>
      <c r="J521" s="299"/>
      <c r="K521" s="299"/>
      <c r="L521" s="299"/>
      <c r="M521" s="299"/>
      <c r="N521" s="272">
        <v>0</v>
      </c>
      <c r="O521" s="272">
        <v>0</v>
      </c>
      <c r="P521" s="272">
        <v>0</v>
      </c>
      <c r="Q521" s="272">
        <v>0</v>
      </c>
      <c r="R521" s="372">
        <v>0</v>
      </c>
      <c r="S521" s="395">
        <v>0</v>
      </c>
      <c r="T521" s="272">
        <v>0</v>
      </c>
      <c r="U521" s="272">
        <v>0</v>
      </c>
      <c r="V521" s="272">
        <v>0</v>
      </c>
      <c r="W521" s="272">
        <v>0</v>
      </c>
      <c r="X521" s="272">
        <v>0</v>
      </c>
      <c r="Y521" s="272">
        <v>0</v>
      </c>
      <c r="Z521" s="272">
        <v>0</v>
      </c>
      <c r="AA521" s="272">
        <v>0</v>
      </c>
      <c r="AB521" s="272">
        <v>0</v>
      </c>
      <c r="AC521" s="272">
        <v>0</v>
      </c>
      <c r="AD521" s="396">
        <v>0</v>
      </c>
      <c r="AE521" s="396">
        <v>0</v>
      </c>
      <c r="AF521" s="396">
        <v>0</v>
      </c>
      <c r="AG521" s="396"/>
      <c r="AH521" s="396"/>
      <c r="AI521" s="396"/>
      <c r="AJ521" s="396"/>
      <c r="AK521" s="396"/>
      <c r="AL521" s="396"/>
      <c r="AM521" s="396"/>
      <c r="AN521" s="396"/>
      <c r="AO521" s="396"/>
      <c r="AP521" s="396"/>
    </row>
    <row r="522" spans="1:42" s="140" customFormat="1" ht="13.5" hidden="1" customHeight="1" outlineLevel="1" thickBot="1">
      <c r="A522" s="216"/>
      <c r="B522" s="255" t="s">
        <v>707</v>
      </c>
      <c r="C522" s="245" t="s">
        <v>211</v>
      </c>
      <c r="D522" s="227" t="s">
        <v>205</v>
      </c>
      <c r="E522" s="241"/>
      <c r="F522" s="228">
        <f t="shared" si="1047"/>
        <v>3.9190487501575728E-2</v>
      </c>
      <c r="G522" s="269">
        <f>+F522*G515</f>
        <v>2.7777018312942273E-5</v>
      </c>
      <c r="H522" s="299"/>
      <c r="I522" s="299"/>
      <c r="J522" s="299"/>
      <c r="K522" s="299"/>
      <c r="L522" s="299"/>
      <c r="M522" s="299"/>
      <c r="N522" s="272">
        <v>0</v>
      </c>
      <c r="O522" s="272">
        <v>0</v>
      </c>
      <c r="P522" s="272">
        <v>0</v>
      </c>
      <c r="Q522" s="272">
        <v>0</v>
      </c>
      <c r="R522" s="372">
        <v>0</v>
      </c>
      <c r="S522" s="395">
        <v>0</v>
      </c>
      <c r="T522" s="272">
        <v>0</v>
      </c>
      <c r="U522" s="272">
        <v>0</v>
      </c>
      <c r="V522" s="272">
        <v>0</v>
      </c>
      <c r="W522" s="272">
        <v>0</v>
      </c>
      <c r="X522" s="272">
        <v>0</v>
      </c>
      <c r="Y522" s="272">
        <v>0</v>
      </c>
      <c r="Z522" s="272">
        <v>0</v>
      </c>
      <c r="AA522" s="272">
        <v>0</v>
      </c>
      <c r="AB522" s="272">
        <v>0</v>
      </c>
      <c r="AC522" s="272">
        <v>0</v>
      </c>
      <c r="AD522" s="396">
        <v>0</v>
      </c>
      <c r="AE522" s="396">
        <v>0</v>
      </c>
      <c r="AF522" s="396">
        <v>0</v>
      </c>
      <c r="AG522" s="396"/>
      <c r="AH522" s="396"/>
      <c r="AI522" s="396"/>
      <c r="AJ522" s="396"/>
      <c r="AK522" s="396"/>
      <c r="AL522" s="396"/>
      <c r="AM522" s="396"/>
      <c r="AN522" s="396"/>
      <c r="AO522" s="396"/>
      <c r="AP522" s="396"/>
    </row>
    <row r="523" spans="1:42" s="140" customFormat="1" ht="13.5" hidden="1" customHeight="1" outlineLevel="1" thickBot="1">
      <c r="A523" s="216"/>
      <c r="B523" s="255" t="s">
        <v>708</v>
      </c>
      <c r="C523" s="245" t="s">
        <v>213</v>
      </c>
      <c r="D523" s="227" t="s">
        <v>205</v>
      </c>
      <c r="E523" s="241"/>
      <c r="F523" s="228">
        <f t="shared" si="1047"/>
        <v>3.9190487501575728E-2</v>
      </c>
      <c r="G523" s="269">
        <f>+F523*G515</f>
        <v>2.7777018312942273E-5</v>
      </c>
      <c r="H523" s="299"/>
      <c r="I523" s="299"/>
      <c r="J523" s="299"/>
      <c r="K523" s="299"/>
      <c r="L523" s="299"/>
      <c r="M523" s="299"/>
      <c r="N523" s="272">
        <v>0</v>
      </c>
      <c r="O523" s="272">
        <v>0</v>
      </c>
      <c r="P523" s="272">
        <v>0</v>
      </c>
      <c r="Q523" s="272">
        <v>0</v>
      </c>
      <c r="R523" s="372">
        <v>0</v>
      </c>
      <c r="S523" s="395">
        <v>0</v>
      </c>
      <c r="T523" s="272">
        <v>0</v>
      </c>
      <c r="U523" s="272">
        <v>0</v>
      </c>
      <c r="V523" s="272">
        <v>0</v>
      </c>
      <c r="W523" s="272">
        <v>0</v>
      </c>
      <c r="X523" s="272">
        <v>0</v>
      </c>
      <c r="Y523" s="272">
        <v>0</v>
      </c>
      <c r="Z523" s="272">
        <v>0</v>
      </c>
      <c r="AA523" s="272">
        <v>0</v>
      </c>
      <c r="AB523" s="272">
        <v>0</v>
      </c>
      <c r="AC523" s="272">
        <v>0</v>
      </c>
      <c r="AD523" s="396">
        <v>0</v>
      </c>
      <c r="AE523" s="396">
        <v>0</v>
      </c>
      <c r="AF523" s="396">
        <v>0</v>
      </c>
      <c r="AG523" s="396"/>
      <c r="AH523" s="396"/>
      <c r="AI523" s="396"/>
      <c r="AJ523" s="396"/>
      <c r="AK523" s="396"/>
      <c r="AL523" s="396"/>
      <c r="AM523" s="396"/>
      <c r="AN523" s="396"/>
      <c r="AO523" s="396"/>
      <c r="AP523" s="396"/>
    </row>
    <row r="524" spans="1:42" s="140" customFormat="1" ht="13.5" hidden="1" customHeight="1" outlineLevel="1" thickBot="1">
      <c r="A524" s="216"/>
      <c r="B524" s="255" t="s">
        <v>709</v>
      </c>
      <c r="C524" s="281" t="s">
        <v>215</v>
      </c>
      <c r="D524" s="282" t="s">
        <v>216</v>
      </c>
      <c r="E524" s="283"/>
      <c r="F524" s="284">
        <f t="shared" si="1047"/>
        <v>4.0894421740774678E-2</v>
      </c>
      <c r="G524" s="285">
        <f>+F524*G515</f>
        <v>2.8984714761331071E-5</v>
      </c>
      <c r="H524" s="322"/>
      <c r="I524" s="322"/>
      <c r="J524" s="322"/>
      <c r="K524" s="322"/>
      <c r="L524" s="322"/>
      <c r="M524" s="322"/>
      <c r="N524" s="272">
        <v>0</v>
      </c>
      <c r="O524" s="272">
        <v>0</v>
      </c>
      <c r="P524" s="272">
        <v>0</v>
      </c>
      <c r="Q524" s="272">
        <v>0</v>
      </c>
      <c r="R524" s="372">
        <v>0</v>
      </c>
      <c r="S524" s="395">
        <v>0</v>
      </c>
      <c r="T524" s="272">
        <v>0</v>
      </c>
      <c r="U524" s="272">
        <v>0</v>
      </c>
      <c r="V524" s="272">
        <v>0</v>
      </c>
      <c r="W524" s="272">
        <v>0</v>
      </c>
      <c r="X524" s="272">
        <v>0</v>
      </c>
      <c r="Y524" s="272">
        <v>0</v>
      </c>
      <c r="Z524" s="272">
        <v>0</v>
      </c>
      <c r="AA524" s="272">
        <v>0</v>
      </c>
      <c r="AB524" s="272">
        <v>0</v>
      </c>
      <c r="AC524" s="272">
        <v>0</v>
      </c>
      <c r="AD524" s="396">
        <v>0</v>
      </c>
      <c r="AE524" s="396">
        <v>0</v>
      </c>
      <c r="AF524" s="396">
        <v>0</v>
      </c>
      <c r="AG524" s="396"/>
      <c r="AH524" s="396"/>
      <c r="AI524" s="396"/>
      <c r="AJ524" s="396"/>
      <c r="AK524" s="396"/>
      <c r="AL524" s="396"/>
      <c r="AM524" s="396"/>
      <c r="AN524" s="396"/>
      <c r="AO524" s="396"/>
      <c r="AP524" s="396"/>
    </row>
    <row r="525" spans="1:42" s="140" customFormat="1" ht="13.5" hidden="1" customHeight="1" outlineLevel="1" thickBot="1">
      <c r="A525" s="216"/>
      <c r="B525" s="255" t="s">
        <v>710</v>
      </c>
      <c r="C525" s="281" t="s">
        <v>218</v>
      </c>
      <c r="D525" s="282" t="s">
        <v>219</v>
      </c>
      <c r="E525" s="283"/>
      <c r="F525" s="284">
        <f t="shared" si="1047"/>
        <v>0.13120293641831876</v>
      </c>
      <c r="G525" s="285">
        <f>+F525*G515</f>
        <v>9.2992626525937176E-5</v>
      </c>
      <c r="H525" s="322"/>
      <c r="I525" s="322"/>
      <c r="J525" s="322"/>
      <c r="K525" s="322"/>
      <c r="L525" s="322"/>
      <c r="M525" s="322"/>
      <c r="N525" s="272">
        <v>0</v>
      </c>
      <c r="O525" s="272">
        <v>0</v>
      </c>
      <c r="P525" s="272">
        <v>0</v>
      </c>
      <c r="Q525" s="272">
        <v>0</v>
      </c>
      <c r="R525" s="372">
        <v>0</v>
      </c>
      <c r="S525" s="395">
        <v>0</v>
      </c>
      <c r="T525" s="272">
        <v>0</v>
      </c>
      <c r="U525" s="272">
        <v>0</v>
      </c>
      <c r="V525" s="272">
        <v>0</v>
      </c>
      <c r="W525" s="272">
        <v>0</v>
      </c>
      <c r="X525" s="272">
        <v>0</v>
      </c>
      <c r="Y525" s="272">
        <v>0</v>
      </c>
      <c r="Z525" s="272">
        <v>0</v>
      </c>
      <c r="AA525" s="272">
        <v>0</v>
      </c>
      <c r="AB525" s="272">
        <v>0</v>
      </c>
      <c r="AC525" s="272">
        <v>0</v>
      </c>
      <c r="AD525" s="396">
        <v>0</v>
      </c>
      <c r="AE525" s="396">
        <v>0</v>
      </c>
      <c r="AF525" s="396">
        <v>0</v>
      </c>
      <c r="AG525" s="396"/>
      <c r="AH525" s="396"/>
      <c r="AI525" s="396"/>
      <c r="AJ525" s="396"/>
      <c r="AK525" s="396"/>
      <c r="AL525" s="396"/>
      <c r="AM525" s="396"/>
      <c r="AN525" s="396"/>
      <c r="AO525" s="396"/>
      <c r="AP525" s="396"/>
    </row>
    <row r="526" spans="1:42" s="140" customFormat="1" ht="13.5" hidden="1" customHeight="1" outlineLevel="1" thickBot="1">
      <c r="A526" s="216"/>
      <c r="B526" s="255" t="s">
        <v>711</v>
      </c>
      <c r="C526" s="281" t="s">
        <v>221</v>
      </c>
      <c r="D526" s="282" t="s">
        <v>222</v>
      </c>
      <c r="E526" s="283"/>
      <c r="F526" s="284">
        <f t="shared" si="1047"/>
        <v>0.17039342391989448</v>
      </c>
      <c r="G526" s="285">
        <f>+F526*G515</f>
        <v>1.2076964483887945E-4</v>
      </c>
      <c r="H526" s="322"/>
      <c r="I526" s="322"/>
      <c r="J526" s="322"/>
      <c r="K526" s="322"/>
      <c r="L526" s="322"/>
      <c r="M526" s="322"/>
      <c r="N526" s="272">
        <v>0</v>
      </c>
      <c r="O526" s="272">
        <v>0</v>
      </c>
      <c r="P526" s="272">
        <v>0</v>
      </c>
      <c r="Q526" s="272">
        <v>0</v>
      </c>
      <c r="R526" s="372">
        <v>0</v>
      </c>
      <c r="S526" s="395">
        <v>0</v>
      </c>
      <c r="T526" s="272">
        <v>0</v>
      </c>
      <c r="U526" s="272">
        <v>0</v>
      </c>
      <c r="V526" s="272">
        <v>0</v>
      </c>
      <c r="W526" s="272">
        <v>0</v>
      </c>
      <c r="X526" s="272">
        <v>0</v>
      </c>
      <c r="Y526" s="272">
        <v>0</v>
      </c>
      <c r="Z526" s="272">
        <v>0</v>
      </c>
      <c r="AA526" s="272">
        <v>0</v>
      </c>
      <c r="AB526" s="272">
        <v>0</v>
      </c>
      <c r="AC526" s="272">
        <v>0</v>
      </c>
      <c r="AD526" s="396">
        <v>0</v>
      </c>
      <c r="AE526" s="396">
        <v>0</v>
      </c>
      <c r="AF526" s="396">
        <v>0</v>
      </c>
      <c r="AG526" s="396"/>
      <c r="AH526" s="396"/>
      <c r="AI526" s="396"/>
      <c r="AJ526" s="396"/>
      <c r="AK526" s="396"/>
      <c r="AL526" s="396"/>
      <c r="AM526" s="396"/>
      <c r="AN526" s="396"/>
      <c r="AO526" s="396"/>
      <c r="AP526" s="396"/>
    </row>
    <row r="527" spans="1:42" s="140" customFormat="1" ht="13.5" hidden="1" customHeight="1" outlineLevel="1" thickBot="1">
      <c r="A527" s="216"/>
      <c r="B527" s="255" t="s">
        <v>712</v>
      </c>
      <c r="C527" s="281" t="s">
        <v>224</v>
      </c>
      <c r="D527" s="282" t="s">
        <v>225</v>
      </c>
      <c r="E527" s="283"/>
      <c r="F527" s="284">
        <f t="shared" si="1047"/>
        <v>2.3855079348785228E-2</v>
      </c>
      <c r="G527" s="285">
        <f>+F527*G515</f>
        <v>1.6907750277443122E-5</v>
      </c>
      <c r="H527" s="322"/>
      <c r="I527" s="322"/>
      <c r="J527" s="322"/>
      <c r="K527" s="322"/>
      <c r="L527" s="322"/>
      <c r="M527" s="322"/>
      <c r="N527" s="272">
        <v>0</v>
      </c>
      <c r="O527" s="272">
        <v>0</v>
      </c>
      <c r="P527" s="272">
        <v>0</v>
      </c>
      <c r="Q527" s="272">
        <v>0</v>
      </c>
      <c r="R527" s="372">
        <v>0</v>
      </c>
      <c r="S527" s="395">
        <v>0</v>
      </c>
      <c r="T527" s="272">
        <v>0</v>
      </c>
      <c r="U527" s="272">
        <v>0</v>
      </c>
      <c r="V527" s="272">
        <v>0</v>
      </c>
      <c r="W527" s="272">
        <v>0</v>
      </c>
      <c r="X527" s="272">
        <v>0</v>
      </c>
      <c r="Y527" s="272">
        <v>0</v>
      </c>
      <c r="Z527" s="272">
        <v>0</v>
      </c>
      <c r="AA527" s="272">
        <v>0</v>
      </c>
      <c r="AB527" s="272">
        <v>0</v>
      </c>
      <c r="AC527" s="272">
        <v>0</v>
      </c>
      <c r="AD527" s="396">
        <v>0</v>
      </c>
      <c r="AE527" s="396">
        <v>0</v>
      </c>
      <c r="AF527" s="396">
        <v>0</v>
      </c>
      <c r="AG527" s="396"/>
      <c r="AH527" s="396"/>
      <c r="AI527" s="396"/>
      <c r="AJ527" s="396"/>
      <c r="AK527" s="396"/>
      <c r="AL527" s="396"/>
      <c r="AM527" s="396"/>
      <c r="AN527" s="396"/>
      <c r="AO527" s="396"/>
      <c r="AP527" s="396"/>
    </row>
    <row r="528" spans="1:42" s="140" customFormat="1" ht="13.5" collapsed="1" thickBot="1">
      <c r="B528" s="312">
        <v>5</v>
      </c>
      <c r="C528" s="313"/>
      <c r="D528" s="314" t="s">
        <v>2</v>
      </c>
      <c r="E528" s="315">
        <f>E718</f>
        <v>2484067916240.3301</v>
      </c>
      <c r="F528" s="316"/>
      <c r="G528" s="317">
        <v>0.79</v>
      </c>
      <c r="H528" s="358">
        <f>MIN(H529:H903)</f>
        <v>45884</v>
      </c>
      <c r="I528" s="358">
        <f>MAX(I529:I903)</f>
        <v>46598</v>
      </c>
      <c r="J528" s="358">
        <f>MIN(J529:J903)</f>
        <v>45885</v>
      </c>
      <c r="K528" s="358">
        <f>MAX(K529:K903)</f>
        <v>46758</v>
      </c>
      <c r="L528" s="358">
        <f>MIN(L529:L903)</f>
        <v>45885</v>
      </c>
      <c r="M528" s="358">
        <f>MAX(M529:M903)</f>
        <v>46783</v>
      </c>
      <c r="N528" s="319">
        <f t="shared" ref="N528:R528" si="1189">+($F529*N529+$F718*N718)</f>
        <v>9.7420968138593911E-2</v>
      </c>
      <c r="O528" s="319">
        <f t="shared" si="1189"/>
        <v>0.22849308751863842</v>
      </c>
      <c r="P528" s="319">
        <f t="shared" si="1189"/>
        <v>0.30640002504921371</v>
      </c>
      <c r="Q528" s="319">
        <f t="shared" si="1189"/>
        <v>0.36318862208835956</v>
      </c>
      <c r="R528" s="367">
        <f t="shared" si="1189"/>
        <v>0.41754641801838588</v>
      </c>
      <c r="S528" s="386">
        <f t="shared" ref="S528" si="1190">+($F529*S529+$F718*S718)</f>
        <v>0.46930780267664823</v>
      </c>
      <c r="T528" s="319">
        <f t="shared" ref="T528" si="1191">+($F529*T529+$F718*T718)</f>
        <v>0.49247430319656876</v>
      </c>
      <c r="U528" s="319">
        <f t="shared" ref="U528" si="1192">+($F529*U529+$F718*U718)</f>
        <v>0.52509945234868294</v>
      </c>
      <c r="V528" s="319">
        <f t="shared" ref="V528" si="1193">+($F529*V529+$F718*V718)</f>
        <v>0.58105800545575559</v>
      </c>
      <c r="W528" s="319">
        <f t="shared" ref="W528" si="1194">+($F529*W529+$F718*W718)</f>
        <v>0.64359327056182325</v>
      </c>
      <c r="X528" s="319">
        <f t="shared" ref="X528" si="1195">+($F529*X529+$F718*X718)</f>
        <v>0.71507747594667315</v>
      </c>
      <c r="Y528" s="319">
        <f t="shared" ref="Y528" si="1196">+($F529*Y529+$F718*Y718)</f>
        <v>0.78797167385741385</v>
      </c>
      <c r="Z528" s="319">
        <f t="shared" ref="Z528" si="1197">+($F529*Z529+$F718*Z718)</f>
        <v>0.83013737074760607</v>
      </c>
      <c r="AA528" s="319">
        <f t="shared" ref="AA528" si="1198">+($F529*AA529+$F718*AA718)</f>
        <v>0.85433514390824195</v>
      </c>
      <c r="AB528" s="319">
        <f t="shared" ref="AB528" si="1199">+($F529*AB529+$F718*AB718)</f>
        <v>0.87125127857218698</v>
      </c>
      <c r="AC528" s="319">
        <f t="shared" ref="AC528" si="1200">+($F529*AC529+$F718*AC718)</f>
        <v>0.88450882479668258</v>
      </c>
      <c r="AD528" s="320">
        <f t="shared" ref="AD528:AF528" si="1201">+($F529*AD529+$F718*AD718)</f>
        <v>0.89247539708370383</v>
      </c>
      <c r="AE528" s="320">
        <f t="shared" si="1201"/>
        <v>0.89378502695436235</v>
      </c>
      <c r="AF528" s="320">
        <f t="shared" si="1201"/>
        <v>0.89425354877063423</v>
      </c>
      <c r="AG528" s="320">
        <f t="shared" ref="AG528" si="1202">+($F529*AG529+$F718*AG718)</f>
        <v>0.894722070586906</v>
      </c>
      <c r="AH528" s="320">
        <f t="shared" ref="AH528" si="1203">+($F529*AH529+$F718*AH718)</f>
        <v>0.89519059240317789</v>
      </c>
      <c r="AI528" s="320">
        <f t="shared" ref="AI528" si="1204">+($F529*AI529+$F718*AI718)</f>
        <v>0.89589337512758549</v>
      </c>
      <c r="AJ528" s="320">
        <f t="shared" ref="AJ528" si="1205">+($F529*AJ529+$F718*AJ718)</f>
        <v>0.8965961578519932</v>
      </c>
      <c r="AK528" s="320">
        <f t="shared" ref="AK528" si="1206">+($F529*AK529+$F718*AK718)</f>
        <v>0.89753320148453686</v>
      </c>
      <c r="AL528" s="320">
        <f t="shared" ref="AL528" si="1207">+($F529*AL529+$F718*AL718)</f>
        <v>0.8983531146630126</v>
      </c>
      <c r="AM528" s="320">
        <f t="shared" ref="AM528" si="1208">+($F529*AM529+$F718*AM718)</f>
        <v>0.8983531146630126</v>
      </c>
      <c r="AN528" s="320">
        <f t="shared" ref="AN528" si="1209">+($F529*AN529+$F718*AN718)</f>
        <v>0.8983531146630126</v>
      </c>
      <c r="AO528" s="320">
        <f t="shared" ref="AO528" si="1210">+($F529*AO529+$F718*AO718)</f>
        <v>0.8983531146630126</v>
      </c>
      <c r="AP528" s="320">
        <f t="shared" ref="AP528" si="1211">+($F529*AP529+$F718*AP718)</f>
        <v>0.8983531146630126</v>
      </c>
    </row>
    <row r="529" spans="1:42" s="140" customFormat="1" ht="12.75" hidden="1" outlineLevel="1">
      <c r="B529" s="279">
        <v>5.0999999999999996</v>
      </c>
      <c r="C529" s="279"/>
      <c r="D529" s="279" t="s">
        <v>713</v>
      </c>
      <c r="E529" s="278"/>
      <c r="F529" s="280">
        <v>0.05</v>
      </c>
      <c r="G529" s="280">
        <f>+F529*$G$528</f>
        <v>3.9500000000000007E-2</v>
      </c>
      <c r="H529" s="354"/>
      <c r="I529" s="354"/>
      <c r="J529" s="354"/>
      <c r="K529" s="354"/>
      <c r="L529" s="354"/>
      <c r="M529" s="354"/>
      <c r="N529" s="280">
        <f t="shared" ref="N529:R529" si="1212">+($F530*N530+$F531*N531+$F532*N532)</f>
        <v>0.91758247892872358</v>
      </c>
      <c r="O529" s="280">
        <f t="shared" si="1212"/>
        <v>0.91758247892872358</v>
      </c>
      <c r="P529" s="280">
        <f t="shared" si="1212"/>
        <v>0.91758247892872358</v>
      </c>
      <c r="Q529" s="280">
        <f t="shared" si="1212"/>
        <v>0.91758247892872358</v>
      </c>
      <c r="R529" s="379">
        <f t="shared" si="1212"/>
        <v>0.91758247892872358</v>
      </c>
      <c r="S529" s="409">
        <f t="shared" ref="S529" si="1213">+($F530*S530+$F531*S531+$F532*S532)</f>
        <v>0.91758247892872358</v>
      </c>
      <c r="T529" s="280">
        <f t="shared" ref="T529" si="1214">+($F530*T530+$F531*T531+$F532*T532)</f>
        <v>0.91758247892872358</v>
      </c>
      <c r="U529" s="280">
        <f t="shared" ref="U529" si="1215">+($F530*U530+$F531*U531+$F532*U532)</f>
        <v>0.91758247892872358</v>
      </c>
      <c r="V529" s="280">
        <f t="shared" ref="V529" si="1216">+($F530*V530+$F531*V531+$F532*V532)</f>
        <v>0.91758247892872358</v>
      </c>
      <c r="W529" s="280">
        <f t="shared" ref="W529" si="1217">+($F530*W530+$F531*W531+$F532*W532)</f>
        <v>0.91758247892872358</v>
      </c>
      <c r="X529" s="280">
        <f t="shared" ref="X529" si="1218">+($F530*X530+$F531*X531+$F532*X532)</f>
        <v>0.91758247892872358</v>
      </c>
      <c r="Y529" s="280">
        <f t="shared" ref="Y529" si="1219">+($F530*Y530+$F531*Y531+$F532*Y532)</f>
        <v>0.91758247892872358</v>
      </c>
      <c r="Z529" s="280">
        <f t="shared" ref="Z529" si="1220">+($F530*Z530+$F531*Z531+$F532*Z532)</f>
        <v>0.91758247892872358</v>
      </c>
      <c r="AA529" s="280">
        <f t="shared" ref="AA529" si="1221">+($F530*AA530+$F531*AA531+$F532*AA532)</f>
        <v>0.91758247892872358</v>
      </c>
      <c r="AB529" s="280">
        <f t="shared" ref="AB529" si="1222">+($F530*AB530+$F531*AB531+$F532*AB532)</f>
        <v>0.91758247892872358</v>
      </c>
      <c r="AC529" s="280">
        <f t="shared" ref="AC529" si="1223">+($F530*AC530+$F531*AC531+$F532*AC532)</f>
        <v>0.91758247892872358</v>
      </c>
      <c r="AD529" s="410">
        <f t="shared" ref="AD529:AF529" si="1224">+($F530*AD530+$F531*AD531+$F532*AD532)</f>
        <v>0.91758247892872358</v>
      </c>
      <c r="AE529" s="410">
        <f t="shared" si="1224"/>
        <v>0.91758247892872358</v>
      </c>
      <c r="AF529" s="410">
        <f t="shared" si="1224"/>
        <v>0.91758247892872358</v>
      </c>
      <c r="AG529" s="410">
        <f t="shared" ref="AG529" si="1225">+($F530*AG530+$F531*AG531+$F532*AG532)</f>
        <v>0.91758247892872358</v>
      </c>
      <c r="AH529" s="410">
        <f t="shared" ref="AH529" si="1226">+($F530*AH530+$F531*AH531+$F532*AH532)</f>
        <v>0.91758247892872358</v>
      </c>
      <c r="AI529" s="410">
        <f t="shared" ref="AI529" si="1227">+($F530*AI530+$F531*AI531+$F532*AI532)</f>
        <v>0.91758247892872358</v>
      </c>
      <c r="AJ529" s="410">
        <f t="shared" ref="AJ529" si="1228">+($F530*AJ530+$F531*AJ531+$F532*AJ532)</f>
        <v>0.91758247892872358</v>
      </c>
      <c r="AK529" s="410">
        <f t="shared" ref="AK529" si="1229">+($F530*AK530+$F531*AK531+$F532*AK532)</f>
        <v>0.91758247892872358</v>
      </c>
      <c r="AL529" s="410">
        <f t="shared" ref="AL529" si="1230">+($F530*AL530+$F531*AL531+$F532*AL532)</f>
        <v>0.91758247892872358</v>
      </c>
      <c r="AM529" s="410">
        <f t="shared" ref="AM529" si="1231">+($F530*AM530+$F531*AM531+$F532*AM532)</f>
        <v>0.91758247892872358</v>
      </c>
      <c r="AN529" s="410">
        <f t="shared" ref="AN529" si="1232">+($F530*AN530+$F531*AN531+$F532*AN532)</f>
        <v>0.91758247892872358</v>
      </c>
      <c r="AO529" s="410">
        <f t="shared" ref="AO529" si="1233">+($F530*AO530+$F531*AO531+$F532*AO532)</f>
        <v>0.91758247892872358</v>
      </c>
      <c r="AP529" s="410">
        <f t="shared" ref="AP529" si="1234">+($F530*AP530+$F531*AP531+$F532*AP532)</f>
        <v>0.91758247892872358</v>
      </c>
    </row>
    <row r="530" spans="1:42" s="140" customFormat="1" ht="12.75" hidden="1" customHeight="1" outlineLevel="2">
      <c r="B530" s="257" t="s">
        <v>714</v>
      </c>
      <c r="C530" s="246"/>
      <c r="D530" s="247" t="s">
        <v>226</v>
      </c>
      <c r="E530" s="248"/>
      <c r="F530" s="230">
        <v>0.9</v>
      </c>
      <c r="G530" s="230">
        <f>+F530*$G$529</f>
        <v>3.5550000000000005E-2</v>
      </c>
      <c r="H530" s="360"/>
      <c r="I530" s="360"/>
      <c r="J530" s="360"/>
      <c r="K530" s="360"/>
      <c r="L530" s="360"/>
      <c r="M530" s="360"/>
      <c r="N530" s="273">
        <v>0.94399999999999995</v>
      </c>
      <c r="O530" s="273">
        <v>0.94399999999999995</v>
      </c>
      <c r="P530" s="273">
        <v>0.94399999999999995</v>
      </c>
      <c r="Q530" s="273">
        <v>0.94399999999999995</v>
      </c>
      <c r="R530" s="380">
        <v>0.94399999999999995</v>
      </c>
      <c r="S530" s="411">
        <v>0.94399999999999995</v>
      </c>
      <c r="T530" s="273">
        <v>0.94399999999999995</v>
      </c>
      <c r="U530" s="273">
        <v>0.94399999999999995</v>
      </c>
      <c r="V530" s="273">
        <v>0.94399999999999995</v>
      </c>
      <c r="W530" s="273">
        <v>0.94399999999999995</v>
      </c>
      <c r="X530" s="273">
        <v>0.94399999999999995</v>
      </c>
      <c r="Y530" s="273">
        <v>0.94399999999999995</v>
      </c>
      <c r="Z530" s="273">
        <v>0.94399999999999995</v>
      </c>
      <c r="AA530" s="273">
        <v>0.94399999999999995</v>
      </c>
      <c r="AB530" s="273">
        <v>0.94399999999999995</v>
      </c>
      <c r="AC530" s="273">
        <v>0.94399999999999995</v>
      </c>
      <c r="AD530" s="412">
        <v>0.94399999999999995</v>
      </c>
      <c r="AE530" s="412">
        <v>0.94399999999999995</v>
      </c>
      <c r="AF530" s="412">
        <v>0.94399999999999995</v>
      </c>
      <c r="AG530" s="412">
        <v>0.94399999999999995</v>
      </c>
      <c r="AH530" s="412">
        <v>0.94399999999999995</v>
      </c>
      <c r="AI530" s="412">
        <v>0.94399999999999995</v>
      </c>
      <c r="AJ530" s="412">
        <v>0.94399999999999995</v>
      </c>
      <c r="AK530" s="412">
        <v>0.94399999999999995</v>
      </c>
      <c r="AL530" s="412">
        <v>0.94399999999999995</v>
      </c>
      <c r="AM530" s="412">
        <v>0.94399999999999995</v>
      </c>
      <c r="AN530" s="412">
        <v>0.94399999999999995</v>
      </c>
      <c r="AO530" s="412">
        <v>0.94399999999999995</v>
      </c>
      <c r="AP530" s="412">
        <v>0.94399999999999995</v>
      </c>
    </row>
    <row r="531" spans="1:42" s="140" customFormat="1" ht="12.75" hidden="1" customHeight="1" outlineLevel="2">
      <c r="B531" s="257" t="s">
        <v>715</v>
      </c>
      <c r="C531" s="246"/>
      <c r="D531" s="247" t="s">
        <v>716</v>
      </c>
      <c r="E531" s="248"/>
      <c r="F531" s="230">
        <v>0.05</v>
      </c>
      <c r="G531" s="230">
        <f t="shared" ref="G531" si="1235">+F531*$G$529</f>
        <v>1.9750000000000006E-3</v>
      </c>
      <c r="H531" s="360"/>
      <c r="I531" s="360"/>
      <c r="J531" s="360"/>
      <c r="K531" s="360"/>
      <c r="L531" s="360"/>
      <c r="M531" s="360"/>
      <c r="N531" s="273">
        <v>0.75900000000000001</v>
      </c>
      <c r="O531" s="273">
        <v>0.75900000000000001</v>
      </c>
      <c r="P531" s="273">
        <v>0.75900000000000001</v>
      </c>
      <c r="Q531" s="273">
        <v>0.75900000000000001</v>
      </c>
      <c r="R531" s="380">
        <v>0.75900000000000001</v>
      </c>
      <c r="S531" s="411">
        <v>0.75900000000000001</v>
      </c>
      <c r="T531" s="273">
        <v>0.75900000000000001</v>
      </c>
      <c r="U531" s="273">
        <v>0.75900000000000001</v>
      </c>
      <c r="V531" s="273">
        <v>0.75900000000000001</v>
      </c>
      <c r="W531" s="273">
        <v>0.75900000000000001</v>
      </c>
      <c r="X531" s="273">
        <v>0.75900000000000001</v>
      </c>
      <c r="Y531" s="273">
        <v>0.75900000000000001</v>
      </c>
      <c r="Z531" s="273">
        <v>0.75900000000000001</v>
      </c>
      <c r="AA531" s="273">
        <v>0.75900000000000001</v>
      </c>
      <c r="AB531" s="273">
        <v>0.75900000000000001</v>
      </c>
      <c r="AC531" s="273">
        <v>0.75900000000000001</v>
      </c>
      <c r="AD531" s="412">
        <v>0.75900000000000001</v>
      </c>
      <c r="AE531" s="412">
        <v>0.75900000000000001</v>
      </c>
      <c r="AF531" s="412">
        <v>0.75900000000000001</v>
      </c>
      <c r="AG531" s="412">
        <v>0.75900000000000001</v>
      </c>
      <c r="AH531" s="412">
        <v>0.75900000000000001</v>
      </c>
      <c r="AI531" s="412">
        <v>0.75900000000000001</v>
      </c>
      <c r="AJ531" s="412">
        <v>0.75900000000000001</v>
      </c>
      <c r="AK531" s="412">
        <v>0.75900000000000001</v>
      </c>
      <c r="AL531" s="412">
        <v>0.75900000000000001</v>
      </c>
      <c r="AM531" s="412">
        <v>0.75900000000000001</v>
      </c>
      <c r="AN531" s="412">
        <v>0.75900000000000001</v>
      </c>
      <c r="AO531" s="412">
        <v>0.75900000000000001</v>
      </c>
      <c r="AP531" s="412">
        <v>0.75900000000000001</v>
      </c>
    </row>
    <row r="532" spans="1:42" s="140" customFormat="1" ht="12.75" hidden="1" customHeight="1" outlineLevel="2">
      <c r="A532" s="216"/>
      <c r="B532" s="257" t="s">
        <v>717</v>
      </c>
      <c r="C532" s="246"/>
      <c r="D532" s="247" t="s">
        <v>718</v>
      </c>
      <c r="E532" s="248">
        <f>+E718/19</f>
        <v>130740416644.22791</v>
      </c>
      <c r="F532" s="230">
        <v>0.05</v>
      </c>
      <c r="G532" s="230">
        <f>+F532*$G$529</f>
        <v>1.9750000000000006E-3</v>
      </c>
      <c r="H532" s="360"/>
      <c r="I532" s="360"/>
      <c r="J532" s="360"/>
      <c r="K532" s="360"/>
      <c r="L532" s="360"/>
      <c r="M532" s="360"/>
      <c r="N532" s="273">
        <f t="shared" ref="N532:R532" si="1236">+($F533*N533+$F656*N656+$F672*N672)</f>
        <v>0.60064957857447099</v>
      </c>
      <c r="O532" s="273">
        <f t="shared" si="1236"/>
        <v>0.60064957857447099</v>
      </c>
      <c r="P532" s="273">
        <f t="shared" si="1236"/>
        <v>0.60064957857447099</v>
      </c>
      <c r="Q532" s="273">
        <f t="shared" si="1236"/>
        <v>0.60064957857447099</v>
      </c>
      <c r="R532" s="380">
        <f t="shared" si="1236"/>
        <v>0.60064957857447099</v>
      </c>
      <c r="S532" s="411">
        <f t="shared" ref="S532" si="1237">+($F533*S533+$F656*S656+$F672*S672)</f>
        <v>0.60064957857447099</v>
      </c>
      <c r="T532" s="273">
        <f t="shared" ref="T532" si="1238">+($F533*T533+$F656*T656+$F672*T672)</f>
        <v>0.60064957857447099</v>
      </c>
      <c r="U532" s="273">
        <f t="shared" ref="U532" si="1239">+($F533*U533+$F656*U656+$F672*U672)</f>
        <v>0.60064957857447099</v>
      </c>
      <c r="V532" s="273">
        <f t="shared" ref="V532" si="1240">+($F533*V533+$F656*V656+$F672*V672)</f>
        <v>0.60064957857447099</v>
      </c>
      <c r="W532" s="273">
        <f t="shared" ref="W532" si="1241">+($F533*W533+$F656*W656+$F672*W672)</f>
        <v>0.60064957857447099</v>
      </c>
      <c r="X532" s="273">
        <f t="shared" ref="X532" si="1242">+($F533*X533+$F656*X656+$F672*X672)</f>
        <v>0.60064957857447099</v>
      </c>
      <c r="Y532" s="273">
        <f t="shared" ref="Y532" si="1243">+($F533*Y533+$F656*Y656+$F672*Y672)</f>
        <v>0.60064957857447099</v>
      </c>
      <c r="Z532" s="273">
        <f t="shared" ref="Z532" si="1244">+($F533*Z533+$F656*Z656+$F672*Z672)</f>
        <v>0.60064957857447099</v>
      </c>
      <c r="AA532" s="273">
        <f t="shared" ref="AA532" si="1245">+($F533*AA533+$F656*AA656+$F672*AA672)</f>
        <v>0.60064957857447099</v>
      </c>
      <c r="AB532" s="273">
        <f t="shared" ref="AB532" si="1246">+($F533*AB533+$F656*AB656+$F672*AB672)</f>
        <v>0.60064957857447099</v>
      </c>
      <c r="AC532" s="273">
        <f t="shared" ref="AC532" si="1247">+($F533*AC533+$F656*AC656+$F672*AC672)</f>
        <v>0.60064957857447099</v>
      </c>
      <c r="AD532" s="412">
        <f t="shared" ref="AD532:AF532" si="1248">+($F533*AD533+$F656*AD656+$F672*AD672)</f>
        <v>0.60064957857447099</v>
      </c>
      <c r="AE532" s="412">
        <f t="shared" si="1248"/>
        <v>0.60064957857447099</v>
      </c>
      <c r="AF532" s="412">
        <f t="shared" si="1248"/>
        <v>0.60064957857447099</v>
      </c>
      <c r="AG532" s="412">
        <f t="shared" ref="AG532" si="1249">+($F533*AG533+$F656*AG656+$F672*AG672)</f>
        <v>0.60064957857447099</v>
      </c>
      <c r="AH532" s="412">
        <f t="shared" ref="AH532" si="1250">+($F533*AH533+$F656*AH656+$F672*AH672)</f>
        <v>0.60064957857447099</v>
      </c>
      <c r="AI532" s="412">
        <f t="shared" ref="AI532" si="1251">+($F533*AI533+$F656*AI656+$F672*AI672)</f>
        <v>0.60064957857447099</v>
      </c>
      <c r="AJ532" s="412">
        <f t="shared" ref="AJ532" si="1252">+($F533*AJ533+$F656*AJ656+$F672*AJ672)</f>
        <v>0.60064957857447099</v>
      </c>
      <c r="AK532" s="412">
        <f t="shared" ref="AK532" si="1253">+($F533*AK533+$F656*AK656+$F672*AK672)</f>
        <v>0.60064957857447099</v>
      </c>
      <c r="AL532" s="412">
        <f t="shared" ref="AL532" si="1254">+($F533*AL533+$F656*AL656+$F672*AL672)</f>
        <v>0.60064957857447099</v>
      </c>
      <c r="AM532" s="412">
        <f t="shared" ref="AM532" si="1255">+($F533*AM533+$F656*AM656+$F672*AM672)</f>
        <v>0.60064957857447099</v>
      </c>
      <c r="AN532" s="412">
        <f t="shared" ref="AN532" si="1256">+($F533*AN533+$F656*AN656+$F672*AN672)</f>
        <v>0.60064957857447099</v>
      </c>
      <c r="AO532" s="412">
        <f t="shared" ref="AO532" si="1257">+($F533*AO533+$F656*AO656+$F672*AO672)</f>
        <v>0.60064957857447099</v>
      </c>
      <c r="AP532" s="412">
        <f t="shared" ref="AP532" si="1258">+($F533*AP533+$F656*AP656+$F672*AP672)</f>
        <v>0.60064957857447099</v>
      </c>
    </row>
    <row r="533" spans="1:42" s="140" customFormat="1" ht="12.75" hidden="1" customHeight="1" outlineLevel="3">
      <c r="B533" s="300" t="s">
        <v>719</v>
      </c>
      <c r="C533" s="294"/>
      <c r="D533" s="294" t="s">
        <v>31</v>
      </c>
      <c r="E533" s="295"/>
      <c r="F533" s="296">
        <f t="shared" ref="F533:F596" si="1259">F719</f>
        <v>0.78107171599540315</v>
      </c>
      <c r="G533" s="296">
        <f>+F533*G532</f>
        <v>1.5426166390909218E-3</v>
      </c>
      <c r="H533" s="297"/>
      <c r="I533" s="297"/>
      <c r="J533" s="297"/>
      <c r="K533" s="297"/>
      <c r="L533" s="297"/>
      <c r="M533" s="297"/>
      <c r="N533" s="296">
        <f t="shared" ref="N533:R533" si="1260">+$F534*N534+$F555*N555+$F582*N582+$F594*N594+$F607*N607+$F622*N622+$F640*N640+$F655*N655</f>
        <v>0.76900695067289571</v>
      </c>
      <c r="O533" s="296">
        <f t="shared" si="1260"/>
        <v>0.76900695067289571</v>
      </c>
      <c r="P533" s="296">
        <f t="shared" si="1260"/>
        <v>0.76900695067289571</v>
      </c>
      <c r="Q533" s="296">
        <f t="shared" si="1260"/>
        <v>0.76900695067289571</v>
      </c>
      <c r="R533" s="376">
        <f t="shared" si="1260"/>
        <v>0.76900695067289571</v>
      </c>
      <c r="S533" s="403">
        <f t="shared" ref="S533" si="1261">+$F534*S534+$F555*S555+$F582*S582+$F594*S594+$F607*S607+$F622*S622+$F640*S640+$F655*S655</f>
        <v>0.76900695067289571</v>
      </c>
      <c r="T533" s="296">
        <f t="shared" ref="T533" si="1262">+$F534*T534+$F555*T555+$F582*T582+$F594*T594+$F607*T607+$F622*T622+$F640*T640+$F655*T655</f>
        <v>0.76900695067289571</v>
      </c>
      <c r="U533" s="296">
        <f t="shared" ref="U533" si="1263">+$F534*U534+$F555*U555+$F582*U582+$F594*U594+$F607*U607+$F622*U622+$F640*U640+$F655*U655</f>
        <v>0.76900695067289571</v>
      </c>
      <c r="V533" s="296">
        <f t="shared" ref="V533" si="1264">+$F534*V534+$F555*V555+$F582*V582+$F594*V594+$F607*V607+$F622*V622+$F640*V640+$F655*V655</f>
        <v>0.76900695067289571</v>
      </c>
      <c r="W533" s="296">
        <f t="shared" ref="W533" si="1265">+$F534*W534+$F555*W555+$F582*W582+$F594*W594+$F607*W607+$F622*W622+$F640*W640+$F655*W655</f>
        <v>0.76900695067289571</v>
      </c>
      <c r="X533" s="296">
        <f t="shared" ref="X533" si="1266">+$F534*X534+$F555*X555+$F582*X582+$F594*X594+$F607*X607+$F622*X622+$F640*X640+$F655*X655</f>
        <v>0.76900695067289571</v>
      </c>
      <c r="Y533" s="296">
        <f t="shared" ref="Y533" si="1267">+$F534*Y534+$F555*Y555+$F582*Y582+$F594*Y594+$F607*Y607+$F622*Y622+$F640*Y640+$F655*Y655</f>
        <v>0.76900695067289571</v>
      </c>
      <c r="Z533" s="296">
        <f t="shared" ref="Z533" si="1268">+$F534*Z534+$F555*Z555+$F582*Z582+$F594*Z594+$F607*Z607+$F622*Z622+$F640*Z640+$F655*Z655</f>
        <v>0.76900695067289571</v>
      </c>
      <c r="AA533" s="296">
        <f t="shared" ref="AA533" si="1269">+$F534*AA534+$F555*AA555+$F582*AA582+$F594*AA594+$F607*AA607+$F622*AA622+$F640*AA640+$F655*AA655</f>
        <v>0.76900695067289571</v>
      </c>
      <c r="AB533" s="296">
        <f t="shared" ref="AB533" si="1270">+$F534*AB534+$F555*AB555+$F582*AB582+$F594*AB594+$F607*AB607+$F622*AB622+$F640*AB640+$F655*AB655</f>
        <v>0.76900695067289571</v>
      </c>
      <c r="AC533" s="296">
        <f t="shared" ref="AC533" si="1271">+$F534*AC534+$F555*AC555+$F582*AC582+$F594*AC594+$F607*AC607+$F622*AC622+$F640*AC640+$F655*AC655</f>
        <v>0.76900695067289571</v>
      </c>
      <c r="AD533" s="404">
        <f t="shared" ref="AD533:AF533" si="1272">+$F534*AD534+$F555*AD555+$F582*AD582+$F594*AD594+$F607*AD607+$F622*AD622+$F640*AD640+$F655*AD655</f>
        <v>0.76900695067289571</v>
      </c>
      <c r="AE533" s="404">
        <f t="shared" si="1272"/>
        <v>0.76900695067289571</v>
      </c>
      <c r="AF533" s="404">
        <f t="shared" si="1272"/>
        <v>0.76900695067289571</v>
      </c>
      <c r="AG533" s="404">
        <f t="shared" ref="AG533" si="1273">+$F534*AG534+$F555*AG555+$F582*AG582+$F594*AG594+$F607*AG607+$F622*AG622+$F640*AG640+$F655*AG655</f>
        <v>0.76900695067289571</v>
      </c>
      <c r="AH533" s="404">
        <f t="shared" ref="AH533" si="1274">+$F534*AH534+$F555*AH555+$F582*AH582+$F594*AH594+$F607*AH607+$F622*AH622+$F640*AH640+$F655*AH655</f>
        <v>0.76900695067289571</v>
      </c>
      <c r="AI533" s="404">
        <f t="shared" ref="AI533" si="1275">+$F534*AI534+$F555*AI555+$F582*AI582+$F594*AI594+$F607*AI607+$F622*AI622+$F640*AI640+$F655*AI655</f>
        <v>0.76900695067289571</v>
      </c>
      <c r="AJ533" s="404">
        <f t="shared" ref="AJ533" si="1276">+$F534*AJ534+$F555*AJ555+$F582*AJ582+$F594*AJ594+$F607*AJ607+$F622*AJ622+$F640*AJ640+$F655*AJ655</f>
        <v>0.76900695067289571</v>
      </c>
      <c r="AK533" s="404">
        <f t="shared" ref="AK533" si="1277">+$F534*AK534+$F555*AK555+$F582*AK582+$F594*AK594+$F607*AK607+$F622*AK622+$F640*AK640+$F655*AK655</f>
        <v>0.76900695067289571</v>
      </c>
      <c r="AL533" s="404">
        <f t="shared" ref="AL533" si="1278">+$F534*AL534+$F555*AL555+$F582*AL582+$F594*AL594+$F607*AL607+$F622*AL622+$F640*AL640+$F655*AL655</f>
        <v>0.76900695067289571</v>
      </c>
      <c r="AM533" s="404">
        <f t="shared" ref="AM533" si="1279">+$F534*AM534+$F555*AM555+$F582*AM582+$F594*AM594+$F607*AM607+$F622*AM622+$F640*AM640+$F655*AM655</f>
        <v>0.76900695067289571</v>
      </c>
      <c r="AN533" s="404">
        <f t="shared" ref="AN533" si="1280">+$F534*AN534+$F555*AN555+$F582*AN582+$F594*AN594+$F607*AN607+$F622*AN622+$F640*AN640+$F655*AN655</f>
        <v>0.76900695067289571</v>
      </c>
      <c r="AO533" s="404">
        <f t="shared" ref="AO533" si="1281">+$F534*AO534+$F555*AO555+$F582*AO582+$F594*AO594+$F607*AO607+$F622*AO622+$F640*AO640+$F655*AO655</f>
        <v>0.76900695067289571</v>
      </c>
      <c r="AP533" s="404">
        <f t="shared" ref="AP533" si="1282">+$F534*AP534+$F555*AP555+$F582*AP582+$F594*AP594+$F607*AP607+$F622*AP622+$F640*AP640+$F655*AP655</f>
        <v>0.76900695067289571</v>
      </c>
    </row>
    <row r="534" spans="1:42" s="140" customFormat="1" ht="12.75" hidden="1" customHeight="1" outlineLevel="4">
      <c r="A534" s="216"/>
      <c r="B534" s="291" t="s">
        <v>720</v>
      </c>
      <c r="C534" s="292" t="s">
        <v>32</v>
      </c>
      <c r="D534" s="234" t="s">
        <v>33</v>
      </c>
      <c r="E534" s="240"/>
      <c r="F534" s="223">
        <f t="shared" si="1259"/>
        <v>0.19239834958539684</v>
      </c>
      <c r="G534" s="293">
        <f>+F534*G533</f>
        <v>2.9679689540406512E-4</v>
      </c>
      <c r="H534" s="298"/>
      <c r="I534" s="298"/>
      <c r="J534" s="298"/>
      <c r="K534" s="298"/>
      <c r="L534" s="298"/>
      <c r="M534" s="298"/>
      <c r="N534" s="270">
        <f t="shared" ref="N534:R534" si="1283">+SUMPRODUCT($F535:$F554,N535:N554)</f>
        <v>0.98600000000000021</v>
      </c>
      <c r="O534" s="270">
        <f t="shared" si="1283"/>
        <v>0.98600000000000021</v>
      </c>
      <c r="P534" s="270">
        <f t="shared" si="1283"/>
        <v>0.98600000000000021</v>
      </c>
      <c r="Q534" s="270">
        <f t="shared" si="1283"/>
        <v>0.98600000000000021</v>
      </c>
      <c r="R534" s="370">
        <f t="shared" si="1283"/>
        <v>0.98600000000000021</v>
      </c>
      <c r="S534" s="391">
        <f t="shared" ref="S534" si="1284">+SUMPRODUCT($F535:$F554,S535:S554)</f>
        <v>0.98600000000000021</v>
      </c>
      <c r="T534" s="270">
        <f t="shared" ref="T534" si="1285">+SUMPRODUCT($F535:$F554,T535:T554)</f>
        <v>0.98600000000000021</v>
      </c>
      <c r="U534" s="270">
        <f t="shared" ref="U534" si="1286">+SUMPRODUCT($F535:$F554,U535:U554)</f>
        <v>0.98600000000000021</v>
      </c>
      <c r="V534" s="270">
        <f t="shared" ref="V534" si="1287">+SUMPRODUCT($F535:$F554,V535:V554)</f>
        <v>0.98600000000000021</v>
      </c>
      <c r="W534" s="270">
        <f t="shared" ref="W534" si="1288">+SUMPRODUCT($F535:$F554,W535:W554)</f>
        <v>0.98600000000000021</v>
      </c>
      <c r="X534" s="270">
        <f t="shared" ref="X534" si="1289">+SUMPRODUCT($F535:$F554,X535:X554)</f>
        <v>0.98600000000000021</v>
      </c>
      <c r="Y534" s="270">
        <f t="shared" ref="Y534" si="1290">+SUMPRODUCT($F535:$F554,Y535:Y554)</f>
        <v>0.98600000000000021</v>
      </c>
      <c r="Z534" s="270">
        <f t="shared" ref="Z534" si="1291">+SUMPRODUCT($F535:$F554,Z535:Z554)</f>
        <v>0.98600000000000021</v>
      </c>
      <c r="AA534" s="270">
        <f t="shared" ref="AA534" si="1292">+SUMPRODUCT($F535:$F554,AA535:AA554)</f>
        <v>0.98600000000000021</v>
      </c>
      <c r="AB534" s="270">
        <f t="shared" ref="AB534" si="1293">+SUMPRODUCT($F535:$F554,AB535:AB554)</f>
        <v>0.98600000000000021</v>
      </c>
      <c r="AC534" s="270">
        <f t="shared" ref="AC534" si="1294">+SUMPRODUCT($F535:$F554,AC535:AC554)</f>
        <v>0.98600000000000021</v>
      </c>
      <c r="AD534" s="392">
        <f t="shared" ref="AD534:AF534" si="1295">+SUMPRODUCT($F535:$F554,AD535:AD554)</f>
        <v>0.98600000000000021</v>
      </c>
      <c r="AE534" s="392">
        <f t="shared" si="1295"/>
        <v>0.98600000000000021</v>
      </c>
      <c r="AF534" s="392">
        <f t="shared" si="1295"/>
        <v>0.98600000000000021</v>
      </c>
      <c r="AG534" s="392">
        <f t="shared" ref="AG534" si="1296">+SUMPRODUCT($F535:$F554,AG535:AG554)</f>
        <v>0.98600000000000021</v>
      </c>
      <c r="AH534" s="392">
        <f t="shared" ref="AH534" si="1297">+SUMPRODUCT($F535:$F554,AH535:AH554)</f>
        <v>0.98600000000000021</v>
      </c>
      <c r="AI534" s="392">
        <f t="shared" ref="AI534" si="1298">+SUMPRODUCT($F535:$F554,AI535:AI554)</f>
        <v>0.98600000000000021</v>
      </c>
      <c r="AJ534" s="392">
        <f t="shared" ref="AJ534" si="1299">+SUMPRODUCT($F535:$F554,AJ535:AJ554)</f>
        <v>0.98600000000000021</v>
      </c>
      <c r="AK534" s="392">
        <f t="shared" ref="AK534" si="1300">+SUMPRODUCT($F535:$F554,AK535:AK554)</f>
        <v>0.98600000000000021</v>
      </c>
      <c r="AL534" s="392">
        <f t="shared" ref="AL534" si="1301">+SUMPRODUCT($F535:$F554,AL535:AL554)</f>
        <v>0.98600000000000021</v>
      </c>
      <c r="AM534" s="392">
        <f t="shared" ref="AM534" si="1302">+SUMPRODUCT($F535:$F554,AM535:AM554)</f>
        <v>0.98600000000000021</v>
      </c>
      <c r="AN534" s="392">
        <f t="shared" ref="AN534" si="1303">+SUMPRODUCT($F535:$F554,AN535:AN554)</f>
        <v>0.98600000000000021</v>
      </c>
      <c r="AO534" s="392">
        <f t="shared" ref="AO534" si="1304">+SUMPRODUCT($F535:$F554,AO535:AO554)</f>
        <v>0.98600000000000021</v>
      </c>
      <c r="AP534" s="392">
        <f t="shared" ref="AP534" si="1305">+SUMPRODUCT($F535:$F554,AP535:AP554)</f>
        <v>0.98600000000000021</v>
      </c>
    </row>
    <row r="535" spans="1:42" s="140" customFormat="1" ht="12.75" hidden="1" customHeight="1" outlineLevel="5">
      <c r="A535" s="216"/>
      <c r="B535" s="255" t="s">
        <v>721</v>
      </c>
      <c r="C535" s="290" t="s">
        <v>230</v>
      </c>
      <c r="D535" s="227" t="s">
        <v>231</v>
      </c>
      <c r="E535" s="241"/>
      <c r="F535" s="228">
        <f t="shared" si="1259"/>
        <v>4.4581817293365446E-2</v>
      </c>
      <c r="G535" s="269">
        <f>+F535*G534</f>
        <v>1.3231744964142126E-5</v>
      </c>
      <c r="H535" s="299"/>
      <c r="I535" s="299"/>
      <c r="J535" s="299"/>
      <c r="K535" s="299"/>
      <c r="L535" s="299"/>
      <c r="M535" s="299"/>
      <c r="N535" s="272">
        <v>0.98599999999999999</v>
      </c>
      <c r="O535" s="272">
        <v>0.98599999999999999</v>
      </c>
      <c r="P535" s="272">
        <v>0.98599999999999999</v>
      </c>
      <c r="Q535" s="272">
        <v>0.98599999999999999</v>
      </c>
      <c r="R535" s="372">
        <v>0.98599999999999999</v>
      </c>
      <c r="S535" s="395">
        <v>0.98599999999999999</v>
      </c>
      <c r="T535" s="272">
        <v>0.98599999999999999</v>
      </c>
      <c r="U535" s="272">
        <v>0.98599999999999999</v>
      </c>
      <c r="V535" s="272">
        <v>0.98599999999999999</v>
      </c>
      <c r="W535" s="272">
        <v>0.98599999999999999</v>
      </c>
      <c r="X535" s="272">
        <v>0.98599999999999999</v>
      </c>
      <c r="Y535" s="272">
        <v>0.98599999999999999</v>
      </c>
      <c r="Z535" s="272">
        <v>0.98599999999999999</v>
      </c>
      <c r="AA535" s="272">
        <v>0.98599999999999999</v>
      </c>
      <c r="AB535" s="272">
        <v>0.98599999999999999</v>
      </c>
      <c r="AC535" s="272">
        <v>0.98599999999999999</v>
      </c>
      <c r="AD535" s="396">
        <v>0.98599999999999999</v>
      </c>
      <c r="AE535" s="396">
        <v>0.98599999999999999</v>
      </c>
      <c r="AF535" s="396">
        <v>0.98599999999999999</v>
      </c>
      <c r="AG535" s="396">
        <v>0.98599999999999999</v>
      </c>
      <c r="AH535" s="396">
        <v>0.98599999999999999</v>
      </c>
      <c r="AI535" s="396">
        <v>0.98599999999999999</v>
      </c>
      <c r="AJ535" s="396">
        <v>0.98599999999999999</v>
      </c>
      <c r="AK535" s="396">
        <v>0.98599999999999999</v>
      </c>
      <c r="AL535" s="396">
        <v>0.98599999999999999</v>
      </c>
      <c r="AM535" s="396">
        <v>0.98599999999999999</v>
      </c>
      <c r="AN535" s="396">
        <v>0.98599999999999999</v>
      </c>
      <c r="AO535" s="396">
        <v>0.98599999999999999</v>
      </c>
      <c r="AP535" s="396">
        <v>0.98599999999999999</v>
      </c>
    </row>
    <row r="536" spans="1:42" s="140" customFormat="1" ht="12.75" hidden="1" customHeight="1" outlineLevel="5">
      <c r="A536" s="216"/>
      <c r="B536" s="255" t="s">
        <v>722</v>
      </c>
      <c r="C536" s="290" t="s">
        <v>233</v>
      </c>
      <c r="D536" s="227" t="s">
        <v>231</v>
      </c>
      <c r="E536" s="241"/>
      <c r="F536" s="228">
        <f t="shared" si="1259"/>
        <v>4.4581817293365446E-2</v>
      </c>
      <c r="G536" s="269">
        <f>+F536*G534</f>
        <v>1.3231744964142126E-5</v>
      </c>
      <c r="H536" s="299"/>
      <c r="I536" s="299"/>
      <c r="J536" s="299"/>
      <c r="K536" s="299"/>
      <c r="L536" s="299"/>
      <c r="M536" s="299"/>
      <c r="N536" s="272">
        <v>0.98599999999999999</v>
      </c>
      <c r="O536" s="272">
        <v>0.98599999999999999</v>
      </c>
      <c r="P536" s="272">
        <v>0.98599999999999999</v>
      </c>
      <c r="Q536" s="272">
        <v>0.98599999999999999</v>
      </c>
      <c r="R536" s="372">
        <v>0.98599999999999999</v>
      </c>
      <c r="S536" s="395">
        <v>0.98599999999999999</v>
      </c>
      <c r="T536" s="272">
        <v>0.98599999999999999</v>
      </c>
      <c r="U536" s="272">
        <v>0.98599999999999999</v>
      </c>
      <c r="V536" s="272">
        <v>0.98599999999999999</v>
      </c>
      <c r="W536" s="272">
        <v>0.98599999999999999</v>
      </c>
      <c r="X536" s="272">
        <v>0.98599999999999999</v>
      </c>
      <c r="Y536" s="272">
        <v>0.98599999999999999</v>
      </c>
      <c r="Z536" s="272">
        <v>0.98599999999999999</v>
      </c>
      <c r="AA536" s="272">
        <v>0.98599999999999999</v>
      </c>
      <c r="AB536" s="272">
        <v>0.98599999999999999</v>
      </c>
      <c r="AC536" s="272">
        <v>0.98599999999999999</v>
      </c>
      <c r="AD536" s="396">
        <v>0.98599999999999999</v>
      </c>
      <c r="AE536" s="396">
        <v>0.98599999999999999</v>
      </c>
      <c r="AF536" s="396">
        <v>0.98599999999999999</v>
      </c>
      <c r="AG536" s="396">
        <v>0.98599999999999999</v>
      </c>
      <c r="AH536" s="396">
        <v>0.98599999999999999</v>
      </c>
      <c r="AI536" s="396">
        <v>0.98599999999999999</v>
      </c>
      <c r="AJ536" s="396">
        <v>0.98599999999999999</v>
      </c>
      <c r="AK536" s="396">
        <v>0.98599999999999999</v>
      </c>
      <c r="AL536" s="396">
        <v>0.98599999999999999</v>
      </c>
      <c r="AM536" s="396">
        <v>0.98599999999999999</v>
      </c>
      <c r="AN536" s="396">
        <v>0.98599999999999999</v>
      </c>
      <c r="AO536" s="396">
        <v>0.98599999999999999</v>
      </c>
      <c r="AP536" s="396">
        <v>0.98599999999999999</v>
      </c>
    </row>
    <row r="537" spans="1:42" s="140" customFormat="1" ht="12.75" hidden="1" customHeight="1" outlineLevel="5">
      <c r="A537" s="216"/>
      <c r="B537" s="255" t="s">
        <v>723</v>
      </c>
      <c r="C537" s="290" t="s">
        <v>235</v>
      </c>
      <c r="D537" s="227" t="s">
        <v>231</v>
      </c>
      <c r="E537" s="241"/>
      <c r="F537" s="228">
        <f t="shared" si="1259"/>
        <v>4.4581817293365446E-2</v>
      </c>
      <c r="G537" s="269">
        <f>+F537*G534</f>
        <v>1.3231744964142126E-5</v>
      </c>
      <c r="H537" s="299"/>
      <c r="I537" s="299"/>
      <c r="J537" s="299"/>
      <c r="K537" s="299"/>
      <c r="L537" s="299"/>
      <c r="M537" s="299"/>
      <c r="N537" s="272">
        <v>0.98599999999999999</v>
      </c>
      <c r="O537" s="272">
        <v>0.98599999999999999</v>
      </c>
      <c r="P537" s="272">
        <v>0.98599999999999999</v>
      </c>
      <c r="Q537" s="272">
        <v>0.98599999999999999</v>
      </c>
      <c r="R537" s="372">
        <v>0.98599999999999999</v>
      </c>
      <c r="S537" s="395">
        <v>0.98599999999999999</v>
      </c>
      <c r="T537" s="272">
        <v>0.98599999999999999</v>
      </c>
      <c r="U537" s="272">
        <v>0.98599999999999999</v>
      </c>
      <c r="V537" s="272">
        <v>0.98599999999999999</v>
      </c>
      <c r="W537" s="272">
        <v>0.98599999999999999</v>
      </c>
      <c r="X537" s="272">
        <v>0.98599999999999999</v>
      </c>
      <c r="Y537" s="272">
        <v>0.98599999999999999</v>
      </c>
      <c r="Z537" s="272">
        <v>0.98599999999999999</v>
      </c>
      <c r="AA537" s="272">
        <v>0.98599999999999999</v>
      </c>
      <c r="AB537" s="272">
        <v>0.98599999999999999</v>
      </c>
      <c r="AC537" s="272">
        <v>0.98599999999999999</v>
      </c>
      <c r="AD537" s="396">
        <v>0.98599999999999999</v>
      </c>
      <c r="AE537" s="396">
        <v>0.98599999999999999</v>
      </c>
      <c r="AF537" s="396">
        <v>0.98599999999999999</v>
      </c>
      <c r="AG537" s="396">
        <v>0.98599999999999999</v>
      </c>
      <c r="AH537" s="396">
        <v>0.98599999999999999</v>
      </c>
      <c r="AI537" s="396">
        <v>0.98599999999999999</v>
      </c>
      <c r="AJ537" s="396">
        <v>0.98599999999999999</v>
      </c>
      <c r="AK537" s="396">
        <v>0.98599999999999999</v>
      </c>
      <c r="AL537" s="396">
        <v>0.98599999999999999</v>
      </c>
      <c r="AM537" s="396">
        <v>0.98599999999999999</v>
      </c>
      <c r="AN537" s="396">
        <v>0.98599999999999999</v>
      </c>
      <c r="AO537" s="396">
        <v>0.98599999999999999</v>
      </c>
      <c r="AP537" s="396">
        <v>0.98599999999999999</v>
      </c>
    </row>
    <row r="538" spans="1:42" s="140" customFormat="1" ht="12.75" hidden="1" customHeight="1" outlineLevel="5">
      <c r="A538" s="216"/>
      <c r="B538" s="255" t="s">
        <v>724</v>
      </c>
      <c r="C538" s="290" t="s">
        <v>237</v>
      </c>
      <c r="D538" s="227" t="s">
        <v>231</v>
      </c>
      <c r="E538" s="241"/>
      <c r="F538" s="228">
        <f t="shared" si="1259"/>
        <v>4.4581817293365446E-2</v>
      </c>
      <c r="G538" s="269">
        <f>+F538*G534</f>
        <v>1.3231744964142126E-5</v>
      </c>
      <c r="H538" s="299"/>
      <c r="I538" s="299"/>
      <c r="J538" s="299"/>
      <c r="K538" s="299"/>
      <c r="L538" s="299"/>
      <c r="M538" s="299"/>
      <c r="N538" s="272">
        <v>0.98599999999999999</v>
      </c>
      <c r="O538" s="272">
        <v>0.98599999999999999</v>
      </c>
      <c r="P538" s="272">
        <v>0.98599999999999999</v>
      </c>
      <c r="Q538" s="272">
        <v>0.98599999999999999</v>
      </c>
      <c r="R538" s="372">
        <v>0.98599999999999999</v>
      </c>
      <c r="S538" s="395">
        <v>0.98599999999999999</v>
      </c>
      <c r="T538" s="272">
        <v>0.98599999999999999</v>
      </c>
      <c r="U538" s="272">
        <v>0.98599999999999999</v>
      </c>
      <c r="V538" s="272">
        <v>0.98599999999999999</v>
      </c>
      <c r="W538" s="272">
        <v>0.98599999999999999</v>
      </c>
      <c r="X538" s="272">
        <v>0.98599999999999999</v>
      </c>
      <c r="Y538" s="272">
        <v>0.98599999999999999</v>
      </c>
      <c r="Z538" s="272">
        <v>0.98599999999999999</v>
      </c>
      <c r="AA538" s="272">
        <v>0.98599999999999999</v>
      </c>
      <c r="AB538" s="272">
        <v>0.98599999999999999</v>
      </c>
      <c r="AC538" s="272">
        <v>0.98599999999999999</v>
      </c>
      <c r="AD538" s="396">
        <v>0.98599999999999999</v>
      </c>
      <c r="AE538" s="396">
        <v>0.98599999999999999</v>
      </c>
      <c r="AF538" s="396">
        <v>0.98599999999999999</v>
      </c>
      <c r="AG538" s="396">
        <v>0.98599999999999999</v>
      </c>
      <c r="AH538" s="396">
        <v>0.98599999999999999</v>
      </c>
      <c r="AI538" s="396">
        <v>0.98599999999999999</v>
      </c>
      <c r="AJ538" s="396">
        <v>0.98599999999999999</v>
      </c>
      <c r="AK538" s="396">
        <v>0.98599999999999999</v>
      </c>
      <c r="AL538" s="396">
        <v>0.98599999999999999</v>
      </c>
      <c r="AM538" s="396">
        <v>0.98599999999999999</v>
      </c>
      <c r="AN538" s="396">
        <v>0.98599999999999999</v>
      </c>
      <c r="AO538" s="396">
        <v>0.98599999999999999</v>
      </c>
      <c r="AP538" s="396">
        <v>0.98599999999999999</v>
      </c>
    </row>
    <row r="539" spans="1:42" s="140" customFormat="1" ht="12.75" hidden="1" customHeight="1" outlineLevel="5">
      <c r="A539" s="216"/>
      <c r="B539" s="255" t="s">
        <v>725</v>
      </c>
      <c r="C539" s="290" t="s">
        <v>239</v>
      </c>
      <c r="D539" s="227" t="s">
        <v>231</v>
      </c>
      <c r="E539" s="241"/>
      <c r="F539" s="228">
        <f t="shared" si="1259"/>
        <v>4.4581817293365446E-2</v>
      </c>
      <c r="G539" s="269">
        <f>+F539*G534</f>
        <v>1.3231744964142126E-5</v>
      </c>
      <c r="H539" s="299"/>
      <c r="I539" s="299"/>
      <c r="J539" s="299"/>
      <c r="K539" s="299"/>
      <c r="L539" s="299"/>
      <c r="M539" s="299"/>
      <c r="N539" s="272">
        <v>0.98599999999999999</v>
      </c>
      <c r="O539" s="272">
        <v>0.98599999999999999</v>
      </c>
      <c r="P539" s="272">
        <v>0.98599999999999999</v>
      </c>
      <c r="Q539" s="272">
        <v>0.98599999999999999</v>
      </c>
      <c r="R539" s="372">
        <v>0.98599999999999999</v>
      </c>
      <c r="S539" s="395">
        <v>0.98599999999999999</v>
      </c>
      <c r="T539" s="272">
        <v>0.98599999999999999</v>
      </c>
      <c r="U539" s="272">
        <v>0.98599999999999999</v>
      </c>
      <c r="V539" s="272">
        <v>0.98599999999999999</v>
      </c>
      <c r="W539" s="272">
        <v>0.98599999999999999</v>
      </c>
      <c r="X539" s="272">
        <v>0.98599999999999999</v>
      </c>
      <c r="Y539" s="272">
        <v>0.98599999999999999</v>
      </c>
      <c r="Z539" s="272">
        <v>0.98599999999999999</v>
      </c>
      <c r="AA539" s="272">
        <v>0.98599999999999999</v>
      </c>
      <c r="AB539" s="272">
        <v>0.98599999999999999</v>
      </c>
      <c r="AC539" s="272">
        <v>0.98599999999999999</v>
      </c>
      <c r="AD539" s="396">
        <v>0.98599999999999999</v>
      </c>
      <c r="AE539" s="396">
        <v>0.98599999999999999</v>
      </c>
      <c r="AF539" s="396">
        <v>0.98599999999999999</v>
      </c>
      <c r="AG539" s="396">
        <v>0.98599999999999999</v>
      </c>
      <c r="AH539" s="396">
        <v>0.98599999999999999</v>
      </c>
      <c r="AI539" s="396">
        <v>0.98599999999999999</v>
      </c>
      <c r="AJ539" s="396">
        <v>0.98599999999999999</v>
      </c>
      <c r="AK539" s="396">
        <v>0.98599999999999999</v>
      </c>
      <c r="AL539" s="396">
        <v>0.98599999999999999</v>
      </c>
      <c r="AM539" s="396">
        <v>0.98599999999999999</v>
      </c>
      <c r="AN539" s="396">
        <v>0.98599999999999999</v>
      </c>
      <c r="AO539" s="396">
        <v>0.98599999999999999</v>
      </c>
      <c r="AP539" s="396">
        <v>0.98599999999999999</v>
      </c>
    </row>
    <row r="540" spans="1:42" s="140" customFormat="1" ht="12.75" hidden="1" customHeight="1" outlineLevel="5">
      <c r="A540" s="216"/>
      <c r="B540" s="255" t="s">
        <v>726</v>
      </c>
      <c r="C540" s="290" t="s">
        <v>241</v>
      </c>
      <c r="D540" s="227" t="s">
        <v>231</v>
      </c>
      <c r="E540" s="241"/>
      <c r="F540" s="228">
        <f t="shared" si="1259"/>
        <v>4.4581817293365446E-2</v>
      </c>
      <c r="G540" s="269">
        <f>+F540*G534</f>
        <v>1.3231744964142126E-5</v>
      </c>
      <c r="H540" s="299"/>
      <c r="I540" s="299"/>
      <c r="J540" s="299"/>
      <c r="K540" s="299"/>
      <c r="L540" s="299"/>
      <c r="M540" s="299"/>
      <c r="N540" s="272">
        <v>0.98599999999999999</v>
      </c>
      <c r="O540" s="272">
        <v>0.98599999999999999</v>
      </c>
      <c r="P540" s="272">
        <v>0.98599999999999999</v>
      </c>
      <c r="Q540" s="272">
        <v>0.98599999999999999</v>
      </c>
      <c r="R540" s="372">
        <v>0.98599999999999999</v>
      </c>
      <c r="S540" s="395">
        <v>0.98599999999999999</v>
      </c>
      <c r="T540" s="272">
        <v>0.98599999999999999</v>
      </c>
      <c r="U540" s="272">
        <v>0.98599999999999999</v>
      </c>
      <c r="V540" s="272">
        <v>0.98599999999999999</v>
      </c>
      <c r="W540" s="272">
        <v>0.98599999999999999</v>
      </c>
      <c r="X540" s="272">
        <v>0.98599999999999999</v>
      </c>
      <c r="Y540" s="272">
        <v>0.98599999999999999</v>
      </c>
      <c r="Z540" s="272">
        <v>0.98599999999999999</v>
      </c>
      <c r="AA540" s="272">
        <v>0.98599999999999999</v>
      </c>
      <c r="AB540" s="272">
        <v>0.98599999999999999</v>
      </c>
      <c r="AC540" s="272">
        <v>0.98599999999999999</v>
      </c>
      <c r="AD540" s="396">
        <v>0.98599999999999999</v>
      </c>
      <c r="AE540" s="396">
        <v>0.98599999999999999</v>
      </c>
      <c r="AF540" s="396">
        <v>0.98599999999999999</v>
      </c>
      <c r="AG540" s="396">
        <v>0.98599999999999999</v>
      </c>
      <c r="AH540" s="396">
        <v>0.98599999999999999</v>
      </c>
      <c r="AI540" s="396">
        <v>0.98599999999999999</v>
      </c>
      <c r="AJ540" s="396">
        <v>0.98599999999999999</v>
      </c>
      <c r="AK540" s="396">
        <v>0.98599999999999999</v>
      </c>
      <c r="AL540" s="396">
        <v>0.98599999999999999</v>
      </c>
      <c r="AM540" s="396">
        <v>0.98599999999999999</v>
      </c>
      <c r="AN540" s="396">
        <v>0.98599999999999999</v>
      </c>
      <c r="AO540" s="396">
        <v>0.98599999999999999</v>
      </c>
      <c r="AP540" s="396">
        <v>0.98599999999999999</v>
      </c>
    </row>
    <row r="541" spans="1:42" s="140" customFormat="1" ht="12.75" hidden="1" customHeight="1" outlineLevel="5">
      <c r="A541" s="216"/>
      <c r="B541" s="255" t="s">
        <v>727</v>
      </c>
      <c r="C541" s="290" t="s">
        <v>243</v>
      </c>
      <c r="D541" s="227" t="s">
        <v>231</v>
      </c>
      <c r="E541" s="241"/>
      <c r="F541" s="228">
        <f t="shared" si="1259"/>
        <v>4.4581817293365446E-2</v>
      </c>
      <c r="G541" s="269">
        <f>+F541*G534</f>
        <v>1.3231744964142126E-5</v>
      </c>
      <c r="H541" s="299"/>
      <c r="I541" s="299"/>
      <c r="J541" s="299"/>
      <c r="K541" s="299"/>
      <c r="L541" s="299"/>
      <c r="M541" s="299"/>
      <c r="N541" s="272">
        <v>0.98599999999999999</v>
      </c>
      <c r="O541" s="272">
        <v>0.98599999999999999</v>
      </c>
      <c r="P541" s="272">
        <v>0.98599999999999999</v>
      </c>
      <c r="Q541" s="272">
        <v>0.98599999999999999</v>
      </c>
      <c r="R541" s="372">
        <v>0.98599999999999999</v>
      </c>
      <c r="S541" s="395">
        <v>0.98599999999999999</v>
      </c>
      <c r="T541" s="272">
        <v>0.98599999999999999</v>
      </c>
      <c r="U541" s="272">
        <v>0.98599999999999999</v>
      </c>
      <c r="V541" s="272">
        <v>0.98599999999999999</v>
      </c>
      <c r="W541" s="272">
        <v>0.98599999999999999</v>
      </c>
      <c r="X541" s="272">
        <v>0.98599999999999999</v>
      </c>
      <c r="Y541" s="272">
        <v>0.98599999999999999</v>
      </c>
      <c r="Z541" s="272">
        <v>0.98599999999999999</v>
      </c>
      <c r="AA541" s="272">
        <v>0.98599999999999999</v>
      </c>
      <c r="AB541" s="272">
        <v>0.98599999999999999</v>
      </c>
      <c r="AC541" s="272">
        <v>0.98599999999999999</v>
      </c>
      <c r="AD541" s="396">
        <v>0.98599999999999999</v>
      </c>
      <c r="AE541" s="396">
        <v>0.98599999999999999</v>
      </c>
      <c r="AF541" s="396">
        <v>0.98599999999999999</v>
      </c>
      <c r="AG541" s="396">
        <v>0.98599999999999999</v>
      </c>
      <c r="AH541" s="396">
        <v>0.98599999999999999</v>
      </c>
      <c r="AI541" s="396">
        <v>0.98599999999999999</v>
      </c>
      <c r="AJ541" s="396">
        <v>0.98599999999999999</v>
      </c>
      <c r="AK541" s="396">
        <v>0.98599999999999999</v>
      </c>
      <c r="AL541" s="396">
        <v>0.98599999999999999</v>
      </c>
      <c r="AM541" s="396">
        <v>0.98599999999999999</v>
      </c>
      <c r="AN541" s="396">
        <v>0.98599999999999999</v>
      </c>
      <c r="AO541" s="396">
        <v>0.98599999999999999</v>
      </c>
      <c r="AP541" s="396">
        <v>0.98599999999999999</v>
      </c>
    </row>
    <row r="542" spans="1:42" s="140" customFormat="1" ht="12.75" hidden="1" customHeight="1" outlineLevel="5">
      <c r="A542" s="216"/>
      <c r="B542" s="255" t="s">
        <v>728</v>
      </c>
      <c r="C542" s="290" t="s">
        <v>245</v>
      </c>
      <c r="D542" s="227" t="s">
        <v>231</v>
      </c>
      <c r="E542" s="241"/>
      <c r="F542" s="228">
        <f t="shared" si="1259"/>
        <v>4.4581817293365446E-2</v>
      </c>
      <c r="G542" s="269">
        <f>+F542*G534</f>
        <v>1.3231744964142126E-5</v>
      </c>
      <c r="H542" s="299"/>
      <c r="I542" s="299"/>
      <c r="J542" s="299"/>
      <c r="K542" s="299"/>
      <c r="L542" s="299"/>
      <c r="M542" s="299"/>
      <c r="N542" s="272">
        <v>0.98599999999999999</v>
      </c>
      <c r="O542" s="272">
        <v>0.98599999999999999</v>
      </c>
      <c r="P542" s="272">
        <v>0.98599999999999999</v>
      </c>
      <c r="Q542" s="272">
        <v>0.98599999999999999</v>
      </c>
      <c r="R542" s="372">
        <v>0.98599999999999999</v>
      </c>
      <c r="S542" s="395">
        <v>0.98599999999999999</v>
      </c>
      <c r="T542" s="272">
        <v>0.98599999999999999</v>
      </c>
      <c r="U542" s="272">
        <v>0.98599999999999999</v>
      </c>
      <c r="V542" s="272">
        <v>0.98599999999999999</v>
      </c>
      <c r="W542" s="272">
        <v>0.98599999999999999</v>
      </c>
      <c r="X542" s="272">
        <v>0.98599999999999999</v>
      </c>
      <c r="Y542" s="272">
        <v>0.98599999999999999</v>
      </c>
      <c r="Z542" s="272">
        <v>0.98599999999999999</v>
      </c>
      <c r="AA542" s="272">
        <v>0.98599999999999999</v>
      </c>
      <c r="AB542" s="272">
        <v>0.98599999999999999</v>
      </c>
      <c r="AC542" s="272">
        <v>0.98599999999999999</v>
      </c>
      <c r="AD542" s="396">
        <v>0.98599999999999999</v>
      </c>
      <c r="AE542" s="396">
        <v>0.98599999999999999</v>
      </c>
      <c r="AF542" s="396">
        <v>0.98599999999999999</v>
      </c>
      <c r="AG542" s="396">
        <v>0.98599999999999999</v>
      </c>
      <c r="AH542" s="396">
        <v>0.98599999999999999</v>
      </c>
      <c r="AI542" s="396">
        <v>0.98599999999999999</v>
      </c>
      <c r="AJ542" s="396">
        <v>0.98599999999999999</v>
      </c>
      <c r="AK542" s="396">
        <v>0.98599999999999999</v>
      </c>
      <c r="AL542" s="396">
        <v>0.98599999999999999</v>
      </c>
      <c r="AM542" s="396">
        <v>0.98599999999999999</v>
      </c>
      <c r="AN542" s="396">
        <v>0.98599999999999999</v>
      </c>
      <c r="AO542" s="396">
        <v>0.98599999999999999</v>
      </c>
      <c r="AP542" s="396">
        <v>0.98599999999999999</v>
      </c>
    </row>
    <row r="543" spans="1:42" s="140" customFormat="1" ht="12.75" hidden="1" customHeight="1" outlineLevel="5">
      <c r="A543" s="216"/>
      <c r="B543" s="255" t="s">
        <v>729</v>
      </c>
      <c r="C543" s="290" t="s">
        <v>247</v>
      </c>
      <c r="D543" s="227" t="s">
        <v>231</v>
      </c>
      <c r="E543" s="241"/>
      <c r="F543" s="228">
        <f t="shared" si="1259"/>
        <v>4.4581817293365446E-2</v>
      </c>
      <c r="G543" s="269">
        <f>+F543*G534</f>
        <v>1.3231744964142126E-5</v>
      </c>
      <c r="H543" s="299"/>
      <c r="I543" s="299"/>
      <c r="J543" s="299"/>
      <c r="K543" s="299"/>
      <c r="L543" s="299"/>
      <c r="M543" s="299"/>
      <c r="N543" s="272">
        <v>0.98599999999999999</v>
      </c>
      <c r="O543" s="272">
        <v>0.98599999999999999</v>
      </c>
      <c r="P543" s="272">
        <v>0.98599999999999999</v>
      </c>
      <c r="Q543" s="272">
        <v>0.98599999999999999</v>
      </c>
      <c r="R543" s="372">
        <v>0.98599999999999999</v>
      </c>
      <c r="S543" s="395">
        <v>0.98599999999999999</v>
      </c>
      <c r="T543" s="272">
        <v>0.98599999999999999</v>
      </c>
      <c r="U543" s="272">
        <v>0.98599999999999999</v>
      </c>
      <c r="V543" s="272">
        <v>0.98599999999999999</v>
      </c>
      <c r="W543" s="272">
        <v>0.98599999999999999</v>
      </c>
      <c r="X543" s="272">
        <v>0.98599999999999999</v>
      </c>
      <c r="Y543" s="272">
        <v>0.98599999999999999</v>
      </c>
      <c r="Z543" s="272">
        <v>0.98599999999999999</v>
      </c>
      <c r="AA543" s="272">
        <v>0.98599999999999999</v>
      </c>
      <c r="AB543" s="272">
        <v>0.98599999999999999</v>
      </c>
      <c r="AC543" s="272">
        <v>0.98599999999999999</v>
      </c>
      <c r="AD543" s="396">
        <v>0.98599999999999999</v>
      </c>
      <c r="AE543" s="396">
        <v>0.98599999999999999</v>
      </c>
      <c r="AF543" s="396">
        <v>0.98599999999999999</v>
      </c>
      <c r="AG543" s="396">
        <v>0.98599999999999999</v>
      </c>
      <c r="AH543" s="396">
        <v>0.98599999999999999</v>
      </c>
      <c r="AI543" s="396">
        <v>0.98599999999999999</v>
      </c>
      <c r="AJ543" s="396">
        <v>0.98599999999999999</v>
      </c>
      <c r="AK543" s="396">
        <v>0.98599999999999999</v>
      </c>
      <c r="AL543" s="396">
        <v>0.98599999999999999</v>
      </c>
      <c r="AM543" s="396">
        <v>0.98599999999999999</v>
      </c>
      <c r="AN543" s="396">
        <v>0.98599999999999999</v>
      </c>
      <c r="AO543" s="396">
        <v>0.98599999999999999</v>
      </c>
      <c r="AP543" s="396">
        <v>0.98599999999999999</v>
      </c>
    </row>
    <row r="544" spans="1:42" s="140" customFormat="1" ht="12.75" hidden="1" customHeight="1" outlineLevel="5">
      <c r="A544" s="216"/>
      <c r="B544" s="255" t="s">
        <v>730</v>
      </c>
      <c r="C544" s="290" t="s">
        <v>249</v>
      </c>
      <c r="D544" s="227" t="s">
        <v>231</v>
      </c>
      <c r="E544" s="241"/>
      <c r="F544" s="228">
        <f t="shared" si="1259"/>
        <v>4.4581817293365446E-2</v>
      </c>
      <c r="G544" s="269">
        <f>+F544*G534</f>
        <v>1.3231744964142126E-5</v>
      </c>
      <c r="H544" s="299"/>
      <c r="I544" s="299"/>
      <c r="J544" s="299"/>
      <c r="K544" s="299"/>
      <c r="L544" s="299"/>
      <c r="M544" s="299"/>
      <c r="N544" s="272">
        <v>0.98599999999999999</v>
      </c>
      <c r="O544" s="272">
        <v>0.98599999999999999</v>
      </c>
      <c r="P544" s="272">
        <v>0.98599999999999999</v>
      </c>
      <c r="Q544" s="272">
        <v>0.98599999999999999</v>
      </c>
      <c r="R544" s="372">
        <v>0.98599999999999999</v>
      </c>
      <c r="S544" s="395">
        <v>0.98599999999999999</v>
      </c>
      <c r="T544" s="272">
        <v>0.98599999999999999</v>
      </c>
      <c r="U544" s="272">
        <v>0.98599999999999999</v>
      </c>
      <c r="V544" s="272">
        <v>0.98599999999999999</v>
      </c>
      <c r="W544" s="272">
        <v>0.98599999999999999</v>
      </c>
      <c r="X544" s="272">
        <v>0.98599999999999999</v>
      </c>
      <c r="Y544" s="272">
        <v>0.98599999999999999</v>
      </c>
      <c r="Z544" s="272">
        <v>0.98599999999999999</v>
      </c>
      <c r="AA544" s="272">
        <v>0.98599999999999999</v>
      </c>
      <c r="AB544" s="272">
        <v>0.98599999999999999</v>
      </c>
      <c r="AC544" s="272">
        <v>0.98599999999999999</v>
      </c>
      <c r="AD544" s="396">
        <v>0.98599999999999999</v>
      </c>
      <c r="AE544" s="396">
        <v>0.98599999999999999</v>
      </c>
      <c r="AF544" s="396">
        <v>0.98599999999999999</v>
      </c>
      <c r="AG544" s="396">
        <v>0.98599999999999999</v>
      </c>
      <c r="AH544" s="396">
        <v>0.98599999999999999</v>
      </c>
      <c r="AI544" s="396">
        <v>0.98599999999999999</v>
      </c>
      <c r="AJ544" s="396">
        <v>0.98599999999999999</v>
      </c>
      <c r="AK544" s="396">
        <v>0.98599999999999999</v>
      </c>
      <c r="AL544" s="396">
        <v>0.98599999999999999</v>
      </c>
      <c r="AM544" s="396">
        <v>0.98599999999999999</v>
      </c>
      <c r="AN544" s="396">
        <v>0.98599999999999999</v>
      </c>
      <c r="AO544" s="396">
        <v>0.98599999999999999</v>
      </c>
      <c r="AP544" s="396">
        <v>0.98599999999999999</v>
      </c>
    </row>
    <row r="545" spans="1:42" s="140" customFormat="1" ht="12.75" hidden="1" customHeight="1" outlineLevel="5">
      <c r="A545" s="216"/>
      <c r="B545" s="255" t="s">
        <v>731</v>
      </c>
      <c r="C545" s="290" t="s">
        <v>251</v>
      </c>
      <c r="D545" s="227" t="s">
        <v>231</v>
      </c>
      <c r="E545" s="241"/>
      <c r="F545" s="228">
        <f t="shared" si="1259"/>
        <v>4.4581817293365446E-2</v>
      </c>
      <c r="G545" s="269">
        <f>+F545*G534</f>
        <v>1.3231744964142126E-5</v>
      </c>
      <c r="H545" s="299"/>
      <c r="I545" s="299"/>
      <c r="J545" s="299"/>
      <c r="K545" s="299"/>
      <c r="L545" s="299"/>
      <c r="M545" s="299"/>
      <c r="N545" s="272">
        <v>0.98599999999999999</v>
      </c>
      <c r="O545" s="272">
        <v>0.98599999999999999</v>
      </c>
      <c r="P545" s="272">
        <v>0.98599999999999999</v>
      </c>
      <c r="Q545" s="272">
        <v>0.98599999999999999</v>
      </c>
      <c r="R545" s="372">
        <v>0.98599999999999999</v>
      </c>
      <c r="S545" s="395">
        <v>0.98599999999999999</v>
      </c>
      <c r="T545" s="272">
        <v>0.98599999999999999</v>
      </c>
      <c r="U545" s="272">
        <v>0.98599999999999999</v>
      </c>
      <c r="V545" s="272">
        <v>0.98599999999999999</v>
      </c>
      <c r="W545" s="272">
        <v>0.98599999999999999</v>
      </c>
      <c r="X545" s="272">
        <v>0.98599999999999999</v>
      </c>
      <c r="Y545" s="272">
        <v>0.98599999999999999</v>
      </c>
      <c r="Z545" s="272">
        <v>0.98599999999999999</v>
      </c>
      <c r="AA545" s="272">
        <v>0.98599999999999999</v>
      </c>
      <c r="AB545" s="272">
        <v>0.98599999999999999</v>
      </c>
      <c r="AC545" s="272">
        <v>0.98599999999999999</v>
      </c>
      <c r="AD545" s="396">
        <v>0.98599999999999999</v>
      </c>
      <c r="AE545" s="396">
        <v>0.98599999999999999</v>
      </c>
      <c r="AF545" s="396">
        <v>0.98599999999999999</v>
      </c>
      <c r="AG545" s="396">
        <v>0.98599999999999999</v>
      </c>
      <c r="AH545" s="396">
        <v>0.98599999999999999</v>
      </c>
      <c r="AI545" s="396">
        <v>0.98599999999999999</v>
      </c>
      <c r="AJ545" s="396">
        <v>0.98599999999999999</v>
      </c>
      <c r="AK545" s="396">
        <v>0.98599999999999999</v>
      </c>
      <c r="AL545" s="396">
        <v>0.98599999999999999</v>
      </c>
      <c r="AM545" s="396">
        <v>0.98599999999999999</v>
      </c>
      <c r="AN545" s="396">
        <v>0.98599999999999999</v>
      </c>
      <c r="AO545" s="396">
        <v>0.98599999999999999</v>
      </c>
      <c r="AP545" s="396">
        <v>0.98599999999999999</v>
      </c>
    </row>
    <row r="546" spans="1:42" s="140" customFormat="1" ht="12.75" hidden="1" customHeight="1" outlineLevel="5">
      <c r="A546" s="216"/>
      <c r="B546" s="255" t="s">
        <v>732</v>
      </c>
      <c r="C546" s="290" t="s">
        <v>253</v>
      </c>
      <c r="D546" s="227" t="s">
        <v>231</v>
      </c>
      <c r="E546" s="241"/>
      <c r="F546" s="228">
        <f t="shared" si="1259"/>
        <v>4.4581817293365446E-2</v>
      </c>
      <c r="G546" s="269">
        <f>+F546*G534</f>
        <v>1.3231744964142126E-5</v>
      </c>
      <c r="H546" s="299"/>
      <c r="I546" s="299"/>
      <c r="J546" s="299"/>
      <c r="K546" s="299"/>
      <c r="L546" s="299"/>
      <c r="M546" s="299"/>
      <c r="N546" s="272">
        <v>0.98599999999999999</v>
      </c>
      <c r="O546" s="272">
        <v>0.98599999999999999</v>
      </c>
      <c r="P546" s="272">
        <v>0.98599999999999999</v>
      </c>
      <c r="Q546" s="272">
        <v>0.98599999999999999</v>
      </c>
      <c r="R546" s="372">
        <v>0.98599999999999999</v>
      </c>
      <c r="S546" s="395">
        <v>0.98599999999999999</v>
      </c>
      <c r="T546" s="272">
        <v>0.98599999999999999</v>
      </c>
      <c r="U546" s="272">
        <v>0.98599999999999999</v>
      </c>
      <c r="V546" s="272">
        <v>0.98599999999999999</v>
      </c>
      <c r="W546" s="272">
        <v>0.98599999999999999</v>
      </c>
      <c r="X546" s="272">
        <v>0.98599999999999999</v>
      </c>
      <c r="Y546" s="272">
        <v>0.98599999999999999</v>
      </c>
      <c r="Z546" s="272">
        <v>0.98599999999999999</v>
      </c>
      <c r="AA546" s="272">
        <v>0.98599999999999999</v>
      </c>
      <c r="AB546" s="272">
        <v>0.98599999999999999</v>
      </c>
      <c r="AC546" s="272">
        <v>0.98599999999999999</v>
      </c>
      <c r="AD546" s="396">
        <v>0.98599999999999999</v>
      </c>
      <c r="AE546" s="396">
        <v>0.98599999999999999</v>
      </c>
      <c r="AF546" s="396">
        <v>0.98599999999999999</v>
      </c>
      <c r="AG546" s="396">
        <v>0.98599999999999999</v>
      </c>
      <c r="AH546" s="396">
        <v>0.98599999999999999</v>
      </c>
      <c r="AI546" s="396">
        <v>0.98599999999999999</v>
      </c>
      <c r="AJ546" s="396">
        <v>0.98599999999999999</v>
      </c>
      <c r="AK546" s="396">
        <v>0.98599999999999999</v>
      </c>
      <c r="AL546" s="396">
        <v>0.98599999999999999</v>
      </c>
      <c r="AM546" s="396">
        <v>0.98599999999999999</v>
      </c>
      <c r="AN546" s="396">
        <v>0.98599999999999999</v>
      </c>
      <c r="AO546" s="396">
        <v>0.98599999999999999</v>
      </c>
      <c r="AP546" s="396">
        <v>0.98599999999999999</v>
      </c>
    </row>
    <row r="547" spans="1:42" s="140" customFormat="1" ht="25.5" hidden="1" customHeight="1" outlineLevel="5">
      <c r="A547" s="216"/>
      <c r="B547" s="255" t="s">
        <v>733</v>
      </c>
      <c r="C547" s="290" t="s">
        <v>255</v>
      </c>
      <c r="D547" s="227" t="s">
        <v>256</v>
      </c>
      <c r="E547" s="241"/>
      <c r="F547" s="228">
        <f t="shared" si="1259"/>
        <v>5.8127274059616978E-2</v>
      </c>
      <c r="G547" s="269">
        <f>+F547*G534</f>
        <v>1.7251994479195568E-5</v>
      </c>
      <c r="H547" s="299"/>
      <c r="I547" s="299"/>
      <c r="J547" s="299"/>
      <c r="K547" s="299"/>
      <c r="L547" s="299"/>
      <c r="M547" s="299"/>
      <c r="N547" s="272">
        <v>0.98599999999999999</v>
      </c>
      <c r="O547" s="272">
        <v>0.98599999999999999</v>
      </c>
      <c r="P547" s="272">
        <v>0.98599999999999999</v>
      </c>
      <c r="Q547" s="272">
        <v>0.98599999999999999</v>
      </c>
      <c r="R547" s="372">
        <v>0.98599999999999999</v>
      </c>
      <c r="S547" s="395">
        <v>0.98599999999999999</v>
      </c>
      <c r="T547" s="272">
        <v>0.98599999999999999</v>
      </c>
      <c r="U547" s="272">
        <v>0.98599999999999999</v>
      </c>
      <c r="V547" s="272">
        <v>0.98599999999999999</v>
      </c>
      <c r="W547" s="272">
        <v>0.98599999999999999</v>
      </c>
      <c r="X547" s="272">
        <v>0.98599999999999999</v>
      </c>
      <c r="Y547" s="272">
        <v>0.98599999999999999</v>
      </c>
      <c r="Z547" s="272">
        <v>0.98599999999999999</v>
      </c>
      <c r="AA547" s="272">
        <v>0.98599999999999999</v>
      </c>
      <c r="AB547" s="272">
        <v>0.98599999999999999</v>
      </c>
      <c r="AC547" s="272">
        <v>0.98599999999999999</v>
      </c>
      <c r="AD547" s="396">
        <v>0.98599999999999999</v>
      </c>
      <c r="AE547" s="396">
        <v>0.98599999999999999</v>
      </c>
      <c r="AF547" s="396">
        <v>0.98599999999999999</v>
      </c>
      <c r="AG547" s="396">
        <v>0.98599999999999999</v>
      </c>
      <c r="AH547" s="396">
        <v>0.98599999999999999</v>
      </c>
      <c r="AI547" s="396">
        <v>0.98599999999999999</v>
      </c>
      <c r="AJ547" s="396">
        <v>0.98599999999999999</v>
      </c>
      <c r="AK547" s="396">
        <v>0.98599999999999999</v>
      </c>
      <c r="AL547" s="396">
        <v>0.98599999999999999</v>
      </c>
      <c r="AM547" s="396">
        <v>0.98599999999999999</v>
      </c>
      <c r="AN547" s="396">
        <v>0.98599999999999999</v>
      </c>
      <c r="AO547" s="396">
        <v>0.98599999999999999</v>
      </c>
      <c r="AP547" s="396">
        <v>0.98599999999999999</v>
      </c>
    </row>
    <row r="548" spans="1:42" s="140" customFormat="1" ht="25.5" hidden="1" customHeight="1" outlineLevel="5">
      <c r="A548" s="216"/>
      <c r="B548" s="255" t="s">
        <v>734</v>
      </c>
      <c r="C548" s="290" t="s">
        <v>258</v>
      </c>
      <c r="D548" s="227" t="s">
        <v>256</v>
      </c>
      <c r="E548" s="241"/>
      <c r="F548" s="228">
        <f t="shared" si="1259"/>
        <v>5.8127274059616978E-2</v>
      </c>
      <c r="G548" s="269">
        <f>+F548*G534</f>
        <v>1.7251994479195568E-5</v>
      </c>
      <c r="H548" s="299"/>
      <c r="I548" s="299"/>
      <c r="J548" s="299"/>
      <c r="K548" s="299"/>
      <c r="L548" s="299"/>
      <c r="M548" s="299"/>
      <c r="N548" s="272">
        <v>0.98599999999999999</v>
      </c>
      <c r="O548" s="272">
        <v>0.98599999999999999</v>
      </c>
      <c r="P548" s="272">
        <v>0.98599999999999999</v>
      </c>
      <c r="Q548" s="272">
        <v>0.98599999999999999</v>
      </c>
      <c r="R548" s="372">
        <v>0.98599999999999999</v>
      </c>
      <c r="S548" s="395">
        <v>0.98599999999999999</v>
      </c>
      <c r="T548" s="272">
        <v>0.98599999999999999</v>
      </c>
      <c r="U548" s="272">
        <v>0.98599999999999999</v>
      </c>
      <c r="V548" s="272">
        <v>0.98599999999999999</v>
      </c>
      <c r="W548" s="272">
        <v>0.98599999999999999</v>
      </c>
      <c r="X548" s="272">
        <v>0.98599999999999999</v>
      </c>
      <c r="Y548" s="272">
        <v>0.98599999999999999</v>
      </c>
      <c r="Z548" s="272">
        <v>0.98599999999999999</v>
      </c>
      <c r="AA548" s="272">
        <v>0.98599999999999999</v>
      </c>
      <c r="AB548" s="272">
        <v>0.98599999999999999</v>
      </c>
      <c r="AC548" s="272">
        <v>0.98599999999999999</v>
      </c>
      <c r="AD548" s="396">
        <v>0.98599999999999999</v>
      </c>
      <c r="AE548" s="396">
        <v>0.98599999999999999</v>
      </c>
      <c r="AF548" s="396">
        <v>0.98599999999999999</v>
      </c>
      <c r="AG548" s="396">
        <v>0.98599999999999999</v>
      </c>
      <c r="AH548" s="396">
        <v>0.98599999999999999</v>
      </c>
      <c r="AI548" s="396">
        <v>0.98599999999999999</v>
      </c>
      <c r="AJ548" s="396">
        <v>0.98599999999999999</v>
      </c>
      <c r="AK548" s="396">
        <v>0.98599999999999999</v>
      </c>
      <c r="AL548" s="396">
        <v>0.98599999999999999</v>
      </c>
      <c r="AM548" s="396">
        <v>0.98599999999999999</v>
      </c>
      <c r="AN548" s="396">
        <v>0.98599999999999999</v>
      </c>
      <c r="AO548" s="396">
        <v>0.98599999999999999</v>
      </c>
      <c r="AP548" s="396">
        <v>0.98599999999999999</v>
      </c>
    </row>
    <row r="549" spans="1:42" s="140" customFormat="1" ht="25.5" hidden="1" customHeight="1" outlineLevel="5">
      <c r="A549" s="216"/>
      <c r="B549" s="255" t="s">
        <v>735</v>
      </c>
      <c r="C549" s="290" t="s">
        <v>260</v>
      </c>
      <c r="D549" s="227" t="s">
        <v>256</v>
      </c>
      <c r="E549" s="241"/>
      <c r="F549" s="228">
        <f t="shared" si="1259"/>
        <v>5.8127274059616978E-2</v>
      </c>
      <c r="G549" s="269">
        <f>+F549*G534</f>
        <v>1.7251994479195568E-5</v>
      </c>
      <c r="H549" s="299"/>
      <c r="I549" s="299"/>
      <c r="J549" s="299"/>
      <c r="K549" s="299"/>
      <c r="L549" s="299"/>
      <c r="M549" s="299"/>
      <c r="N549" s="272">
        <v>0.98599999999999999</v>
      </c>
      <c r="O549" s="272">
        <v>0.98599999999999999</v>
      </c>
      <c r="P549" s="272">
        <v>0.98599999999999999</v>
      </c>
      <c r="Q549" s="272">
        <v>0.98599999999999999</v>
      </c>
      <c r="R549" s="372">
        <v>0.98599999999999999</v>
      </c>
      <c r="S549" s="395">
        <v>0.98599999999999999</v>
      </c>
      <c r="T549" s="272">
        <v>0.98599999999999999</v>
      </c>
      <c r="U549" s="272">
        <v>0.98599999999999999</v>
      </c>
      <c r="V549" s="272">
        <v>0.98599999999999999</v>
      </c>
      <c r="W549" s="272">
        <v>0.98599999999999999</v>
      </c>
      <c r="X549" s="272">
        <v>0.98599999999999999</v>
      </c>
      <c r="Y549" s="272">
        <v>0.98599999999999999</v>
      </c>
      <c r="Z549" s="272">
        <v>0.98599999999999999</v>
      </c>
      <c r="AA549" s="272">
        <v>0.98599999999999999</v>
      </c>
      <c r="AB549" s="272">
        <v>0.98599999999999999</v>
      </c>
      <c r="AC549" s="272">
        <v>0.98599999999999999</v>
      </c>
      <c r="AD549" s="396">
        <v>0.98599999999999999</v>
      </c>
      <c r="AE549" s="396">
        <v>0.98599999999999999</v>
      </c>
      <c r="AF549" s="396">
        <v>0.98599999999999999</v>
      </c>
      <c r="AG549" s="396">
        <v>0.98599999999999999</v>
      </c>
      <c r="AH549" s="396">
        <v>0.98599999999999999</v>
      </c>
      <c r="AI549" s="396">
        <v>0.98599999999999999</v>
      </c>
      <c r="AJ549" s="396">
        <v>0.98599999999999999</v>
      </c>
      <c r="AK549" s="396">
        <v>0.98599999999999999</v>
      </c>
      <c r="AL549" s="396">
        <v>0.98599999999999999</v>
      </c>
      <c r="AM549" s="396">
        <v>0.98599999999999999</v>
      </c>
      <c r="AN549" s="396">
        <v>0.98599999999999999</v>
      </c>
      <c r="AO549" s="396">
        <v>0.98599999999999999</v>
      </c>
      <c r="AP549" s="396">
        <v>0.98599999999999999</v>
      </c>
    </row>
    <row r="550" spans="1:42" s="140" customFormat="1" ht="25.5" hidden="1" customHeight="1" outlineLevel="5">
      <c r="A550" s="216"/>
      <c r="B550" s="255" t="s">
        <v>736</v>
      </c>
      <c r="C550" s="290" t="s">
        <v>262</v>
      </c>
      <c r="D550" s="227" t="s">
        <v>256</v>
      </c>
      <c r="E550" s="241"/>
      <c r="F550" s="228">
        <f t="shared" si="1259"/>
        <v>5.8127274059616978E-2</v>
      </c>
      <c r="G550" s="269">
        <f>+F550*G534</f>
        <v>1.7251994479195568E-5</v>
      </c>
      <c r="H550" s="299"/>
      <c r="I550" s="299"/>
      <c r="J550" s="299"/>
      <c r="K550" s="299"/>
      <c r="L550" s="299"/>
      <c r="M550" s="299"/>
      <c r="N550" s="272">
        <v>0.98599999999999999</v>
      </c>
      <c r="O550" s="272">
        <v>0.98599999999999999</v>
      </c>
      <c r="P550" s="272">
        <v>0.98599999999999999</v>
      </c>
      <c r="Q550" s="272">
        <v>0.98599999999999999</v>
      </c>
      <c r="R550" s="372">
        <v>0.98599999999999999</v>
      </c>
      <c r="S550" s="395">
        <v>0.98599999999999999</v>
      </c>
      <c r="T550" s="272">
        <v>0.98599999999999999</v>
      </c>
      <c r="U550" s="272">
        <v>0.98599999999999999</v>
      </c>
      <c r="V550" s="272">
        <v>0.98599999999999999</v>
      </c>
      <c r="W550" s="272">
        <v>0.98599999999999999</v>
      </c>
      <c r="X550" s="272">
        <v>0.98599999999999999</v>
      </c>
      <c r="Y550" s="272">
        <v>0.98599999999999999</v>
      </c>
      <c r="Z550" s="272">
        <v>0.98599999999999999</v>
      </c>
      <c r="AA550" s="272">
        <v>0.98599999999999999</v>
      </c>
      <c r="AB550" s="272">
        <v>0.98599999999999999</v>
      </c>
      <c r="AC550" s="272">
        <v>0.98599999999999999</v>
      </c>
      <c r="AD550" s="396">
        <v>0.98599999999999999</v>
      </c>
      <c r="AE550" s="396">
        <v>0.98599999999999999</v>
      </c>
      <c r="AF550" s="396">
        <v>0.98599999999999999</v>
      </c>
      <c r="AG550" s="396">
        <v>0.98599999999999999</v>
      </c>
      <c r="AH550" s="396">
        <v>0.98599999999999999</v>
      </c>
      <c r="AI550" s="396">
        <v>0.98599999999999999</v>
      </c>
      <c r="AJ550" s="396">
        <v>0.98599999999999999</v>
      </c>
      <c r="AK550" s="396">
        <v>0.98599999999999999</v>
      </c>
      <c r="AL550" s="396">
        <v>0.98599999999999999</v>
      </c>
      <c r="AM550" s="396">
        <v>0.98599999999999999</v>
      </c>
      <c r="AN550" s="396">
        <v>0.98599999999999999</v>
      </c>
      <c r="AO550" s="396">
        <v>0.98599999999999999</v>
      </c>
      <c r="AP550" s="396">
        <v>0.98599999999999999</v>
      </c>
    </row>
    <row r="551" spans="1:42" s="140" customFormat="1" ht="25.5" hidden="1" customHeight="1" outlineLevel="5">
      <c r="A551" s="216"/>
      <c r="B551" s="255" t="s">
        <v>737</v>
      </c>
      <c r="C551" s="290" t="s">
        <v>264</v>
      </c>
      <c r="D551" s="227" t="s">
        <v>256</v>
      </c>
      <c r="E551" s="241"/>
      <c r="F551" s="228">
        <f t="shared" si="1259"/>
        <v>5.8127274059616978E-2</v>
      </c>
      <c r="G551" s="269">
        <f>+F551*G534</f>
        <v>1.7251994479195568E-5</v>
      </c>
      <c r="H551" s="299"/>
      <c r="I551" s="299"/>
      <c r="J551" s="299"/>
      <c r="K551" s="299"/>
      <c r="L551" s="299"/>
      <c r="M551" s="299"/>
      <c r="N551" s="272">
        <v>0.98599999999999999</v>
      </c>
      <c r="O551" s="272">
        <v>0.98599999999999999</v>
      </c>
      <c r="P551" s="272">
        <v>0.98599999999999999</v>
      </c>
      <c r="Q551" s="272">
        <v>0.98599999999999999</v>
      </c>
      <c r="R551" s="372">
        <v>0.98599999999999999</v>
      </c>
      <c r="S551" s="395">
        <v>0.98599999999999999</v>
      </c>
      <c r="T551" s="272">
        <v>0.98599999999999999</v>
      </c>
      <c r="U551" s="272">
        <v>0.98599999999999999</v>
      </c>
      <c r="V551" s="272">
        <v>0.98599999999999999</v>
      </c>
      <c r="W551" s="272">
        <v>0.98599999999999999</v>
      </c>
      <c r="X551" s="272">
        <v>0.98599999999999999</v>
      </c>
      <c r="Y551" s="272">
        <v>0.98599999999999999</v>
      </c>
      <c r="Z551" s="272">
        <v>0.98599999999999999</v>
      </c>
      <c r="AA551" s="272">
        <v>0.98599999999999999</v>
      </c>
      <c r="AB551" s="272">
        <v>0.98599999999999999</v>
      </c>
      <c r="AC551" s="272">
        <v>0.98599999999999999</v>
      </c>
      <c r="AD551" s="396">
        <v>0.98599999999999999</v>
      </c>
      <c r="AE551" s="396">
        <v>0.98599999999999999</v>
      </c>
      <c r="AF551" s="396">
        <v>0.98599999999999999</v>
      </c>
      <c r="AG551" s="396">
        <v>0.98599999999999999</v>
      </c>
      <c r="AH551" s="396">
        <v>0.98599999999999999</v>
      </c>
      <c r="AI551" s="396">
        <v>0.98599999999999999</v>
      </c>
      <c r="AJ551" s="396">
        <v>0.98599999999999999</v>
      </c>
      <c r="AK551" s="396">
        <v>0.98599999999999999</v>
      </c>
      <c r="AL551" s="396">
        <v>0.98599999999999999</v>
      </c>
      <c r="AM551" s="396">
        <v>0.98599999999999999</v>
      </c>
      <c r="AN551" s="396">
        <v>0.98599999999999999</v>
      </c>
      <c r="AO551" s="396">
        <v>0.98599999999999999</v>
      </c>
      <c r="AP551" s="396">
        <v>0.98599999999999999</v>
      </c>
    </row>
    <row r="552" spans="1:42" s="140" customFormat="1" ht="25.5" hidden="1" customHeight="1" outlineLevel="5">
      <c r="A552" s="216"/>
      <c r="B552" s="255" t="s">
        <v>738</v>
      </c>
      <c r="C552" s="290" t="s">
        <v>266</v>
      </c>
      <c r="D552" s="227" t="s">
        <v>256</v>
      </c>
      <c r="E552" s="241"/>
      <c r="F552" s="228">
        <f t="shared" si="1259"/>
        <v>5.8127274059616978E-2</v>
      </c>
      <c r="G552" s="269">
        <f>+F552*G534</f>
        <v>1.7251994479195568E-5</v>
      </c>
      <c r="H552" s="299"/>
      <c r="I552" s="299"/>
      <c r="J552" s="299"/>
      <c r="K552" s="299"/>
      <c r="L552" s="299"/>
      <c r="M552" s="299"/>
      <c r="N552" s="272">
        <v>0.98599999999999999</v>
      </c>
      <c r="O552" s="272">
        <v>0.98599999999999999</v>
      </c>
      <c r="P552" s="272">
        <v>0.98599999999999999</v>
      </c>
      <c r="Q552" s="272">
        <v>0.98599999999999999</v>
      </c>
      <c r="R552" s="372">
        <v>0.98599999999999999</v>
      </c>
      <c r="S552" s="395">
        <v>0.98599999999999999</v>
      </c>
      <c r="T552" s="272">
        <v>0.98599999999999999</v>
      </c>
      <c r="U552" s="272">
        <v>0.98599999999999999</v>
      </c>
      <c r="V552" s="272">
        <v>0.98599999999999999</v>
      </c>
      <c r="W552" s="272">
        <v>0.98599999999999999</v>
      </c>
      <c r="X552" s="272">
        <v>0.98599999999999999</v>
      </c>
      <c r="Y552" s="272">
        <v>0.98599999999999999</v>
      </c>
      <c r="Z552" s="272">
        <v>0.98599999999999999</v>
      </c>
      <c r="AA552" s="272">
        <v>0.98599999999999999</v>
      </c>
      <c r="AB552" s="272">
        <v>0.98599999999999999</v>
      </c>
      <c r="AC552" s="272">
        <v>0.98599999999999999</v>
      </c>
      <c r="AD552" s="396">
        <v>0.98599999999999999</v>
      </c>
      <c r="AE552" s="396">
        <v>0.98599999999999999</v>
      </c>
      <c r="AF552" s="396">
        <v>0.98599999999999999</v>
      </c>
      <c r="AG552" s="396">
        <v>0.98599999999999999</v>
      </c>
      <c r="AH552" s="396">
        <v>0.98599999999999999</v>
      </c>
      <c r="AI552" s="396">
        <v>0.98599999999999999</v>
      </c>
      <c r="AJ552" s="396">
        <v>0.98599999999999999</v>
      </c>
      <c r="AK552" s="396">
        <v>0.98599999999999999</v>
      </c>
      <c r="AL552" s="396">
        <v>0.98599999999999999</v>
      </c>
      <c r="AM552" s="396">
        <v>0.98599999999999999</v>
      </c>
      <c r="AN552" s="396">
        <v>0.98599999999999999</v>
      </c>
      <c r="AO552" s="396">
        <v>0.98599999999999999</v>
      </c>
      <c r="AP552" s="396">
        <v>0.98599999999999999</v>
      </c>
    </row>
    <row r="553" spans="1:42" s="140" customFormat="1" ht="25.5" hidden="1" customHeight="1" outlineLevel="5">
      <c r="A553" s="216"/>
      <c r="B553" s="255" t="s">
        <v>739</v>
      </c>
      <c r="C553" s="290" t="s">
        <v>268</v>
      </c>
      <c r="D553" s="227" t="s">
        <v>256</v>
      </c>
      <c r="E553" s="241"/>
      <c r="F553" s="228">
        <f t="shared" si="1259"/>
        <v>5.8127274059616978E-2</v>
      </c>
      <c r="G553" s="269">
        <f>+F553*G534</f>
        <v>1.7251994479195568E-5</v>
      </c>
      <c r="H553" s="299"/>
      <c r="I553" s="299"/>
      <c r="J553" s="299"/>
      <c r="K553" s="299"/>
      <c r="L553" s="299"/>
      <c r="M553" s="299"/>
      <c r="N553" s="272">
        <v>0.98599999999999999</v>
      </c>
      <c r="O553" s="272">
        <v>0.98599999999999999</v>
      </c>
      <c r="P553" s="272">
        <v>0.98599999999999999</v>
      </c>
      <c r="Q553" s="272">
        <v>0.98599999999999999</v>
      </c>
      <c r="R553" s="372">
        <v>0.98599999999999999</v>
      </c>
      <c r="S553" s="395">
        <v>0.98599999999999999</v>
      </c>
      <c r="T553" s="272">
        <v>0.98599999999999999</v>
      </c>
      <c r="U553" s="272">
        <v>0.98599999999999999</v>
      </c>
      <c r="V553" s="272">
        <v>0.98599999999999999</v>
      </c>
      <c r="W553" s="272">
        <v>0.98599999999999999</v>
      </c>
      <c r="X553" s="272">
        <v>0.98599999999999999</v>
      </c>
      <c r="Y553" s="272">
        <v>0.98599999999999999</v>
      </c>
      <c r="Z553" s="272">
        <v>0.98599999999999999</v>
      </c>
      <c r="AA553" s="272">
        <v>0.98599999999999999</v>
      </c>
      <c r="AB553" s="272">
        <v>0.98599999999999999</v>
      </c>
      <c r="AC553" s="272">
        <v>0.98599999999999999</v>
      </c>
      <c r="AD553" s="396">
        <v>0.98599999999999999</v>
      </c>
      <c r="AE553" s="396">
        <v>0.98599999999999999</v>
      </c>
      <c r="AF553" s="396">
        <v>0.98599999999999999</v>
      </c>
      <c r="AG553" s="396">
        <v>0.98599999999999999</v>
      </c>
      <c r="AH553" s="396">
        <v>0.98599999999999999</v>
      </c>
      <c r="AI553" s="396">
        <v>0.98599999999999999</v>
      </c>
      <c r="AJ553" s="396">
        <v>0.98599999999999999</v>
      </c>
      <c r="AK553" s="396">
        <v>0.98599999999999999</v>
      </c>
      <c r="AL553" s="396">
        <v>0.98599999999999999</v>
      </c>
      <c r="AM553" s="396">
        <v>0.98599999999999999</v>
      </c>
      <c r="AN553" s="396">
        <v>0.98599999999999999</v>
      </c>
      <c r="AO553" s="396">
        <v>0.98599999999999999</v>
      </c>
      <c r="AP553" s="396">
        <v>0.98599999999999999</v>
      </c>
    </row>
    <row r="554" spans="1:42" s="140" customFormat="1" ht="25.5" hidden="1" customHeight="1" outlineLevel="5">
      <c r="A554" s="216"/>
      <c r="B554" s="255" t="s">
        <v>740</v>
      </c>
      <c r="C554" s="290" t="s">
        <v>270</v>
      </c>
      <c r="D554" s="227" t="s">
        <v>256</v>
      </c>
      <c r="E554" s="241"/>
      <c r="F554" s="228">
        <f t="shared" si="1259"/>
        <v>5.8127274062295807E-2</v>
      </c>
      <c r="G554" s="269">
        <f>+F554*G534</f>
        <v>1.7251994479990637E-5</v>
      </c>
      <c r="H554" s="299"/>
      <c r="I554" s="299"/>
      <c r="J554" s="299"/>
      <c r="K554" s="299"/>
      <c r="L554" s="299"/>
      <c r="M554" s="299"/>
      <c r="N554" s="272">
        <v>0.98599999999999999</v>
      </c>
      <c r="O554" s="272">
        <v>0.98599999999999999</v>
      </c>
      <c r="P554" s="272">
        <v>0.98599999999999999</v>
      </c>
      <c r="Q554" s="272">
        <v>0.98599999999999999</v>
      </c>
      <c r="R554" s="372">
        <v>0.98599999999999999</v>
      </c>
      <c r="S554" s="395">
        <v>0.98599999999999999</v>
      </c>
      <c r="T554" s="272">
        <v>0.98599999999999999</v>
      </c>
      <c r="U554" s="272">
        <v>0.98599999999999999</v>
      </c>
      <c r="V554" s="272">
        <v>0.98599999999999999</v>
      </c>
      <c r="W554" s="272">
        <v>0.98599999999999999</v>
      </c>
      <c r="X554" s="272">
        <v>0.98599999999999999</v>
      </c>
      <c r="Y554" s="272">
        <v>0.98599999999999999</v>
      </c>
      <c r="Z554" s="272">
        <v>0.98599999999999999</v>
      </c>
      <c r="AA554" s="272">
        <v>0.98599999999999999</v>
      </c>
      <c r="AB554" s="272">
        <v>0.98599999999999999</v>
      </c>
      <c r="AC554" s="272">
        <v>0.98599999999999999</v>
      </c>
      <c r="AD554" s="396">
        <v>0.98599999999999999</v>
      </c>
      <c r="AE554" s="396">
        <v>0.98599999999999999</v>
      </c>
      <c r="AF554" s="396">
        <v>0.98599999999999999</v>
      </c>
      <c r="AG554" s="396">
        <v>0.98599999999999999</v>
      </c>
      <c r="AH554" s="396">
        <v>0.98599999999999999</v>
      </c>
      <c r="AI554" s="396">
        <v>0.98599999999999999</v>
      </c>
      <c r="AJ554" s="396">
        <v>0.98599999999999999</v>
      </c>
      <c r="AK554" s="396">
        <v>0.98599999999999999</v>
      </c>
      <c r="AL554" s="396">
        <v>0.98599999999999999</v>
      </c>
      <c r="AM554" s="396">
        <v>0.98599999999999999</v>
      </c>
      <c r="AN554" s="396">
        <v>0.98599999999999999</v>
      </c>
      <c r="AO554" s="396">
        <v>0.98599999999999999</v>
      </c>
      <c r="AP554" s="396">
        <v>0.98599999999999999</v>
      </c>
    </row>
    <row r="555" spans="1:42" s="140" customFormat="1" ht="12.75" hidden="1" customHeight="1" outlineLevel="4">
      <c r="A555" s="216"/>
      <c r="B555" s="291" t="s">
        <v>741</v>
      </c>
      <c r="C555" s="292" t="s">
        <v>35</v>
      </c>
      <c r="D555" s="234" t="s">
        <v>33</v>
      </c>
      <c r="E555" s="240"/>
      <c r="F555" s="223">
        <f t="shared" si="1259"/>
        <v>0.23125330456717236</v>
      </c>
      <c r="G555" s="293">
        <f>+F555*G533</f>
        <v>3.5673519547008072E-4</v>
      </c>
      <c r="H555" s="298"/>
      <c r="I555" s="298"/>
      <c r="J555" s="298"/>
      <c r="K555" s="298"/>
      <c r="L555" s="298"/>
      <c r="M555" s="298"/>
      <c r="N555" s="270">
        <f t="shared" ref="N555:R555" si="1306">+SUMPRODUCT($F556:$F581,N556:N581)</f>
        <v>0.99400000000000022</v>
      </c>
      <c r="O555" s="270">
        <f t="shared" si="1306"/>
        <v>0.99400000000000022</v>
      </c>
      <c r="P555" s="270">
        <f t="shared" si="1306"/>
        <v>0.99400000000000022</v>
      </c>
      <c r="Q555" s="270">
        <f t="shared" si="1306"/>
        <v>0.99400000000000022</v>
      </c>
      <c r="R555" s="370">
        <f t="shared" si="1306"/>
        <v>0.99400000000000022</v>
      </c>
      <c r="S555" s="391">
        <f t="shared" ref="S555" si="1307">+SUMPRODUCT($F556:$F581,S556:S581)</f>
        <v>0.99400000000000022</v>
      </c>
      <c r="T555" s="270">
        <f t="shared" ref="T555" si="1308">+SUMPRODUCT($F556:$F581,T556:T581)</f>
        <v>0.99400000000000022</v>
      </c>
      <c r="U555" s="270">
        <f t="shared" ref="U555" si="1309">+SUMPRODUCT($F556:$F581,U556:U581)</f>
        <v>0.99400000000000022</v>
      </c>
      <c r="V555" s="270">
        <f t="shared" ref="V555" si="1310">+SUMPRODUCT($F556:$F581,V556:V581)</f>
        <v>0.99400000000000022</v>
      </c>
      <c r="W555" s="270">
        <f t="shared" ref="W555" si="1311">+SUMPRODUCT($F556:$F581,W556:W581)</f>
        <v>0.99400000000000022</v>
      </c>
      <c r="X555" s="270">
        <f t="shared" ref="X555" si="1312">+SUMPRODUCT($F556:$F581,X556:X581)</f>
        <v>0.99400000000000022</v>
      </c>
      <c r="Y555" s="270">
        <f t="shared" ref="Y555" si="1313">+SUMPRODUCT($F556:$F581,Y556:Y581)</f>
        <v>0.99400000000000022</v>
      </c>
      <c r="Z555" s="270">
        <f t="shared" ref="Z555" si="1314">+SUMPRODUCT($F556:$F581,Z556:Z581)</f>
        <v>0.99400000000000022</v>
      </c>
      <c r="AA555" s="270">
        <f t="shared" ref="AA555" si="1315">+SUMPRODUCT($F556:$F581,AA556:AA581)</f>
        <v>0.99400000000000022</v>
      </c>
      <c r="AB555" s="270">
        <f t="shared" ref="AB555" si="1316">+SUMPRODUCT($F556:$F581,AB556:AB581)</f>
        <v>0.99400000000000022</v>
      </c>
      <c r="AC555" s="270">
        <f t="shared" ref="AC555" si="1317">+SUMPRODUCT($F556:$F581,AC556:AC581)</f>
        <v>0.99400000000000022</v>
      </c>
      <c r="AD555" s="392">
        <f t="shared" ref="AD555:AF555" si="1318">+SUMPRODUCT($F556:$F581,AD556:AD581)</f>
        <v>0.99400000000000022</v>
      </c>
      <c r="AE555" s="392">
        <f t="shared" si="1318"/>
        <v>0.99400000000000022</v>
      </c>
      <c r="AF555" s="392">
        <f t="shared" si="1318"/>
        <v>0.99400000000000022</v>
      </c>
      <c r="AG555" s="392">
        <f t="shared" ref="AG555" si="1319">+SUMPRODUCT($F556:$F581,AG556:AG581)</f>
        <v>0.99400000000000022</v>
      </c>
      <c r="AH555" s="392">
        <f t="shared" ref="AH555" si="1320">+SUMPRODUCT($F556:$F581,AH556:AH581)</f>
        <v>0.99400000000000022</v>
      </c>
      <c r="AI555" s="392">
        <f t="shared" ref="AI555" si="1321">+SUMPRODUCT($F556:$F581,AI556:AI581)</f>
        <v>0.99400000000000022</v>
      </c>
      <c r="AJ555" s="392">
        <f t="shared" ref="AJ555" si="1322">+SUMPRODUCT($F556:$F581,AJ556:AJ581)</f>
        <v>0.99400000000000022</v>
      </c>
      <c r="AK555" s="392">
        <f t="shared" ref="AK555" si="1323">+SUMPRODUCT($F556:$F581,AK556:AK581)</f>
        <v>0.99400000000000022</v>
      </c>
      <c r="AL555" s="392">
        <f t="shared" ref="AL555" si="1324">+SUMPRODUCT($F556:$F581,AL556:AL581)</f>
        <v>0.99400000000000022</v>
      </c>
      <c r="AM555" s="392">
        <f t="shared" ref="AM555" si="1325">+SUMPRODUCT($F556:$F581,AM556:AM581)</f>
        <v>0.99400000000000022</v>
      </c>
      <c r="AN555" s="392">
        <f t="shared" ref="AN555" si="1326">+SUMPRODUCT($F556:$F581,AN556:AN581)</f>
        <v>0.99400000000000022</v>
      </c>
      <c r="AO555" s="392">
        <f t="shared" ref="AO555" si="1327">+SUMPRODUCT($F556:$F581,AO556:AO581)</f>
        <v>0.99400000000000022</v>
      </c>
      <c r="AP555" s="392">
        <f t="shared" ref="AP555" si="1328">+SUMPRODUCT($F556:$F581,AP556:AP581)</f>
        <v>0.99400000000000022</v>
      </c>
    </row>
    <row r="556" spans="1:42" s="140" customFormat="1" ht="12.75" hidden="1" customHeight="1" outlineLevel="5">
      <c r="A556" s="216"/>
      <c r="B556" s="255" t="s">
        <v>742</v>
      </c>
      <c r="C556" s="290" t="s">
        <v>230</v>
      </c>
      <c r="D556" s="227" t="s">
        <v>231</v>
      </c>
      <c r="E556" s="241"/>
      <c r="F556" s="228">
        <f t="shared" si="1259"/>
        <v>3.6801995565609057E-2</v>
      </c>
      <c r="G556" s="269">
        <f>+F556*G555</f>
        <v>1.3128567081786591E-5</v>
      </c>
      <c r="H556" s="299"/>
      <c r="I556" s="299"/>
      <c r="J556" s="299"/>
      <c r="K556" s="299"/>
      <c r="L556" s="299"/>
      <c r="M556" s="299"/>
      <c r="N556" s="272">
        <v>0.99399999999999999</v>
      </c>
      <c r="O556" s="272">
        <v>0.99399999999999999</v>
      </c>
      <c r="P556" s="272">
        <v>0.99399999999999999</v>
      </c>
      <c r="Q556" s="272">
        <v>0.99399999999999999</v>
      </c>
      <c r="R556" s="372">
        <v>0.99399999999999999</v>
      </c>
      <c r="S556" s="395">
        <v>0.99399999999999999</v>
      </c>
      <c r="T556" s="272">
        <v>0.99399999999999999</v>
      </c>
      <c r="U556" s="272">
        <v>0.99399999999999999</v>
      </c>
      <c r="V556" s="272">
        <v>0.99399999999999999</v>
      </c>
      <c r="W556" s="272">
        <v>0.99399999999999999</v>
      </c>
      <c r="X556" s="272">
        <v>0.99399999999999999</v>
      </c>
      <c r="Y556" s="272">
        <v>0.99399999999999999</v>
      </c>
      <c r="Z556" s="272">
        <v>0.99399999999999999</v>
      </c>
      <c r="AA556" s="272">
        <v>0.99399999999999999</v>
      </c>
      <c r="AB556" s="272">
        <v>0.99399999999999999</v>
      </c>
      <c r="AC556" s="272">
        <v>0.99399999999999999</v>
      </c>
      <c r="AD556" s="396">
        <v>0.99399999999999999</v>
      </c>
      <c r="AE556" s="396">
        <v>0.99399999999999999</v>
      </c>
      <c r="AF556" s="396">
        <v>0.99399999999999999</v>
      </c>
      <c r="AG556" s="396">
        <v>0.99399999999999999</v>
      </c>
      <c r="AH556" s="396">
        <v>0.99399999999999999</v>
      </c>
      <c r="AI556" s="396">
        <v>0.99399999999999999</v>
      </c>
      <c r="AJ556" s="396">
        <v>0.99399999999999999</v>
      </c>
      <c r="AK556" s="396">
        <v>0.99399999999999999</v>
      </c>
      <c r="AL556" s="396">
        <v>0.99399999999999999</v>
      </c>
      <c r="AM556" s="396">
        <v>0.99399999999999999</v>
      </c>
      <c r="AN556" s="396">
        <v>0.99399999999999999</v>
      </c>
      <c r="AO556" s="396">
        <v>0.99399999999999999</v>
      </c>
      <c r="AP556" s="396">
        <v>0.99399999999999999</v>
      </c>
    </row>
    <row r="557" spans="1:42" s="140" customFormat="1" ht="12.75" hidden="1" customHeight="1" outlineLevel="5">
      <c r="A557" s="216"/>
      <c r="B557" s="255" t="s">
        <v>743</v>
      </c>
      <c r="C557" s="290" t="s">
        <v>233</v>
      </c>
      <c r="D557" s="227" t="s">
        <v>231</v>
      </c>
      <c r="E557" s="241"/>
      <c r="F557" s="228">
        <f t="shared" si="1259"/>
        <v>3.6801995565609057E-2</v>
      </c>
      <c r="G557" s="269">
        <f>+F557*G555</f>
        <v>1.3128567081786591E-5</v>
      </c>
      <c r="H557" s="299"/>
      <c r="I557" s="299"/>
      <c r="J557" s="299"/>
      <c r="K557" s="299"/>
      <c r="L557" s="299"/>
      <c r="M557" s="299"/>
      <c r="N557" s="272">
        <v>0.99399999999999999</v>
      </c>
      <c r="O557" s="272">
        <v>0.99399999999999999</v>
      </c>
      <c r="P557" s="272">
        <v>0.99399999999999999</v>
      </c>
      <c r="Q557" s="272">
        <v>0.99399999999999999</v>
      </c>
      <c r="R557" s="372">
        <v>0.99399999999999999</v>
      </c>
      <c r="S557" s="395">
        <v>0.99399999999999999</v>
      </c>
      <c r="T557" s="272">
        <v>0.99399999999999999</v>
      </c>
      <c r="U557" s="272">
        <v>0.99399999999999999</v>
      </c>
      <c r="V557" s="272">
        <v>0.99399999999999999</v>
      </c>
      <c r="W557" s="272">
        <v>0.99399999999999999</v>
      </c>
      <c r="X557" s="272">
        <v>0.99399999999999999</v>
      </c>
      <c r="Y557" s="272">
        <v>0.99399999999999999</v>
      </c>
      <c r="Z557" s="272">
        <v>0.99399999999999999</v>
      </c>
      <c r="AA557" s="272">
        <v>0.99399999999999999</v>
      </c>
      <c r="AB557" s="272">
        <v>0.99399999999999999</v>
      </c>
      <c r="AC557" s="272">
        <v>0.99399999999999999</v>
      </c>
      <c r="AD557" s="396">
        <v>0.99399999999999999</v>
      </c>
      <c r="AE557" s="396">
        <v>0.99399999999999999</v>
      </c>
      <c r="AF557" s="396">
        <v>0.99399999999999999</v>
      </c>
      <c r="AG557" s="396">
        <v>0.99399999999999999</v>
      </c>
      <c r="AH557" s="396">
        <v>0.99399999999999999</v>
      </c>
      <c r="AI557" s="396">
        <v>0.99399999999999999</v>
      </c>
      <c r="AJ557" s="396">
        <v>0.99399999999999999</v>
      </c>
      <c r="AK557" s="396">
        <v>0.99399999999999999</v>
      </c>
      <c r="AL557" s="396">
        <v>0.99399999999999999</v>
      </c>
      <c r="AM557" s="396">
        <v>0.99399999999999999</v>
      </c>
      <c r="AN557" s="396">
        <v>0.99399999999999999</v>
      </c>
      <c r="AO557" s="396">
        <v>0.99399999999999999</v>
      </c>
      <c r="AP557" s="396">
        <v>0.99399999999999999</v>
      </c>
    </row>
    <row r="558" spans="1:42" s="140" customFormat="1" ht="12.75" hidden="1" customHeight="1" outlineLevel="5">
      <c r="A558" s="216"/>
      <c r="B558" s="255" t="s">
        <v>744</v>
      </c>
      <c r="C558" s="290" t="s">
        <v>235</v>
      </c>
      <c r="D558" s="227" t="s">
        <v>231</v>
      </c>
      <c r="E558" s="241"/>
      <c r="F558" s="228">
        <f t="shared" si="1259"/>
        <v>3.6801995565609057E-2</v>
      </c>
      <c r="G558" s="269">
        <f>+F558*G555</f>
        <v>1.3128567081786591E-5</v>
      </c>
      <c r="H558" s="299"/>
      <c r="I558" s="299"/>
      <c r="J558" s="299"/>
      <c r="K558" s="299"/>
      <c r="L558" s="299"/>
      <c r="M558" s="299"/>
      <c r="N558" s="272">
        <v>0.99399999999999999</v>
      </c>
      <c r="O558" s="272">
        <v>0.99399999999999999</v>
      </c>
      <c r="P558" s="272">
        <v>0.99399999999999999</v>
      </c>
      <c r="Q558" s="272">
        <v>0.99399999999999999</v>
      </c>
      <c r="R558" s="372">
        <v>0.99399999999999999</v>
      </c>
      <c r="S558" s="395">
        <v>0.99399999999999999</v>
      </c>
      <c r="T558" s="272">
        <v>0.99399999999999999</v>
      </c>
      <c r="U558" s="272">
        <v>0.99399999999999999</v>
      </c>
      <c r="V558" s="272">
        <v>0.99399999999999999</v>
      </c>
      <c r="W558" s="272">
        <v>0.99399999999999999</v>
      </c>
      <c r="X558" s="272">
        <v>0.99399999999999999</v>
      </c>
      <c r="Y558" s="272">
        <v>0.99399999999999999</v>
      </c>
      <c r="Z558" s="272">
        <v>0.99399999999999999</v>
      </c>
      <c r="AA558" s="272">
        <v>0.99399999999999999</v>
      </c>
      <c r="AB558" s="272">
        <v>0.99399999999999999</v>
      </c>
      <c r="AC558" s="272">
        <v>0.99399999999999999</v>
      </c>
      <c r="AD558" s="396">
        <v>0.99399999999999999</v>
      </c>
      <c r="AE558" s="396">
        <v>0.99399999999999999</v>
      </c>
      <c r="AF558" s="396">
        <v>0.99399999999999999</v>
      </c>
      <c r="AG558" s="396">
        <v>0.99399999999999999</v>
      </c>
      <c r="AH558" s="396">
        <v>0.99399999999999999</v>
      </c>
      <c r="AI558" s="396">
        <v>0.99399999999999999</v>
      </c>
      <c r="AJ558" s="396">
        <v>0.99399999999999999</v>
      </c>
      <c r="AK558" s="396">
        <v>0.99399999999999999</v>
      </c>
      <c r="AL558" s="396">
        <v>0.99399999999999999</v>
      </c>
      <c r="AM558" s="396">
        <v>0.99399999999999999</v>
      </c>
      <c r="AN558" s="396">
        <v>0.99399999999999999</v>
      </c>
      <c r="AO558" s="396">
        <v>0.99399999999999999</v>
      </c>
      <c r="AP558" s="396">
        <v>0.99399999999999999</v>
      </c>
    </row>
    <row r="559" spans="1:42" s="140" customFormat="1" ht="12.75" hidden="1" customHeight="1" outlineLevel="5">
      <c r="A559" s="216"/>
      <c r="B559" s="255" t="s">
        <v>745</v>
      </c>
      <c r="C559" s="290" t="s">
        <v>237</v>
      </c>
      <c r="D559" s="227" t="s">
        <v>231</v>
      </c>
      <c r="E559" s="241"/>
      <c r="F559" s="228">
        <f t="shared" si="1259"/>
        <v>3.6801995565609057E-2</v>
      </c>
      <c r="G559" s="269">
        <f>+F559*G555</f>
        <v>1.3128567081786591E-5</v>
      </c>
      <c r="H559" s="299"/>
      <c r="I559" s="299"/>
      <c r="J559" s="299"/>
      <c r="K559" s="299"/>
      <c r="L559" s="299"/>
      <c r="M559" s="299"/>
      <c r="N559" s="272">
        <v>0.99399999999999999</v>
      </c>
      <c r="O559" s="272">
        <v>0.99399999999999999</v>
      </c>
      <c r="P559" s="272">
        <v>0.99399999999999999</v>
      </c>
      <c r="Q559" s="272">
        <v>0.99399999999999999</v>
      </c>
      <c r="R559" s="372">
        <v>0.99399999999999999</v>
      </c>
      <c r="S559" s="395">
        <v>0.99399999999999999</v>
      </c>
      <c r="T559" s="272">
        <v>0.99399999999999999</v>
      </c>
      <c r="U559" s="272">
        <v>0.99399999999999999</v>
      </c>
      <c r="V559" s="272">
        <v>0.99399999999999999</v>
      </c>
      <c r="W559" s="272">
        <v>0.99399999999999999</v>
      </c>
      <c r="X559" s="272">
        <v>0.99399999999999999</v>
      </c>
      <c r="Y559" s="272">
        <v>0.99399999999999999</v>
      </c>
      <c r="Z559" s="272">
        <v>0.99399999999999999</v>
      </c>
      <c r="AA559" s="272">
        <v>0.99399999999999999</v>
      </c>
      <c r="AB559" s="272">
        <v>0.99399999999999999</v>
      </c>
      <c r="AC559" s="272">
        <v>0.99399999999999999</v>
      </c>
      <c r="AD559" s="396">
        <v>0.99399999999999999</v>
      </c>
      <c r="AE559" s="396">
        <v>0.99399999999999999</v>
      </c>
      <c r="AF559" s="396">
        <v>0.99399999999999999</v>
      </c>
      <c r="AG559" s="396">
        <v>0.99399999999999999</v>
      </c>
      <c r="AH559" s="396">
        <v>0.99399999999999999</v>
      </c>
      <c r="AI559" s="396">
        <v>0.99399999999999999</v>
      </c>
      <c r="AJ559" s="396">
        <v>0.99399999999999999</v>
      </c>
      <c r="AK559" s="396">
        <v>0.99399999999999999</v>
      </c>
      <c r="AL559" s="396">
        <v>0.99399999999999999</v>
      </c>
      <c r="AM559" s="396">
        <v>0.99399999999999999</v>
      </c>
      <c r="AN559" s="396">
        <v>0.99399999999999999</v>
      </c>
      <c r="AO559" s="396">
        <v>0.99399999999999999</v>
      </c>
      <c r="AP559" s="396">
        <v>0.99399999999999999</v>
      </c>
    </row>
    <row r="560" spans="1:42" s="140" customFormat="1" ht="12.75" hidden="1" customHeight="1" outlineLevel="5">
      <c r="A560" s="216"/>
      <c r="B560" s="255" t="s">
        <v>746</v>
      </c>
      <c r="C560" s="290" t="s">
        <v>239</v>
      </c>
      <c r="D560" s="227" t="s">
        <v>231</v>
      </c>
      <c r="E560" s="241"/>
      <c r="F560" s="228">
        <f t="shared" si="1259"/>
        <v>3.6801995565609057E-2</v>
      </c>
      <c r="G560" s="269">
        <f>+F560*G555</f>
        <v>1.3128567081786591E-5</v>
      </c>
      <c r="H560" s="299"/>
      <c r="I560" s="299"/>
      <c r="J560" s="299"/>
      <c r="K560" s="299"/>
      <c r="L560" s="299"/>
      <c r="M560" s="299"/>
      <c r="N560" s="272">
        <v>0.99399999999999999</v>
      </c>
      <c r="O560" s="272">
        <v>0.99399999999999999</v>
      </c>
      <c r="P560" s="272">
        <v>0.99399999999999999</v>
      </c>
      <c r="Q560" s="272">
        <v>0.99399999999999999</v>
      </c>
      <c r="R560" s="372">
        <v>0.99399999999999999</v>
      </c>
      <c r="S560" s="395">
        <v>0.99399999999999999</v>
      </c>
      <c r="T560" s="272">
        <v>0.99399999999999999</v>
      </c>
      <c r="U560" s="272">
        <v>0.99399999999999999</v>
      </c>
      <c r="V560" s="272">
        <v>0.99399999999999999</v>
      </c>
      <c r="W560" s="272">
        <v>0.99399999999999999</v>
      </c>
      <c r="X560" s="272">
        <v>0.99399999999999999</v>
      </c>
      <c r="Y560" s="272">
        <v>0.99399999999999999</v>
      </c>
      <c r="Z560" s="272">
        <v>0.99399999999999999</v>
      </c>
      <c r="AA560" s="272">
        <v>0.99399999999999999</v>
      </c>
      <c r="AB560" s="272">
        <v>0.99399999999999999</v>
      </c>
      <c r="AC560" s="272">
        <v>0.99399999999999999</v>
      </c>
      <c r="AD560" s="396">
        <v>0.99399999999999999</v>
      </c>
      <c r="AE560" s="396">
        <v>0.99399999999999999</v>
      </c>
      <c r="AF560" s="396">
        <v>0.99399999999999999</v>
      </c>
      <c r="AG560" s="396">
        <v>0.99399999999999999</v>
      </c>
      <c r="AH560" s="396">
        <v>0.99399999999999999</v>
      </c>
      <c r="AI560" s="396">
        <v>0.99399999999999999</v>
      </c>
      <c r="AJ560" s="396">
        <v>0.99399999999999999</v>
      </c>
      <c r="AK560" s="396">
        <v>0.99399999999999999</v>
      </c>
      <c r="AL560" s="396">
        <v>0.99399999999999999</v>
      </c>
      <c r="AM560" s="396">
        <v>0.99399999999999999</v>
      </c>
      <c r="AN560" s="396">
        <v>0.99399999999999999</v>
      </c>
      <c r="AO560" s="396">
        <v>0.99399999999999999</v>
      </c>
      <c r="AP560" s="396">
        <v>0.99399999999999999</v>
      </c>
    </row>
    <row r="561" spans="1:42" s="140" customFormat="1" ht="12.75" hidden="1" customHeight="1" outlineLevel="5">
      <c r="A561" s="216"/>
      <c r="B561" s="255" t="s">
        <v>747</v>
      </c>
      <c r="C561" s="290" t="s">
        <v>241</v>
      </c>
      <c r="D561" s="227" t="s">
        <v>231</v>
      </c>
      <c r="E561" s="241"/>
      <c r="F561" s="228">
        <f t="shared" si="1259"/>
        <v>3.6801995565609057E-2</v>
      </c>
      <c r="G561" s="269">
        <f>+F561*G555</f>
        <v>1.3128567081786591E-5</v>
      </c>
      <c r="H561" s="299"/>
      <c r="I561" s="299"/>
      <c r="J561" s="299"/>
      <c r="K561" s="299"/>
      <c r="L561" s="299"/>
      <c r="M561" s="299"/>
      <c r="N561" s="272">
        <v>0.99399999999999999</v>
      </c>
      <c r="O561" s="272">
        <v>0.99399999999999999</v>
      </c>
      <c r="P561" s="272">
        <v>0.99399999999999999</v>
      </c>
      <c r="Q561" s="272">
        <v>0.99399999999999999</v>
      </c>
      <c r="R561" s="372">
        <v>0.99399999999999999</v>
      </c>
      <c r="S561" s="395">
        <v>0.99399999999999999</v>
      </c>
      <c r="T561" s="272">
        <v>0.99399999999999999</v>
      </c>
      <c r="U561" s="272">
        <v>0.99399999999999999</v>
      </c>
      <c r="V561" s="272">
        <v>0.99399999999999999</v>
      </c>
      <c r="W561" s="272">
        <v>0.99399999999999999</v>
      </c>
      <c r="X561" s="272">
        <v>0.99399999999999999</v>
      </c>
      <c r="Y561" s="272">
        <v>0.99399999999999999</v>
      </c>
      <c r="Z561" s="272">
        <v>0.99399999999999999</v>
      </c>
      <c r="AA561" s="272">
        <v>0.99399999999999999</v>
      </c>
      <c r="AB561" s="272">
        <v>0.99399999999999999</v>
      </c>
      <c r="AC561" s="272">
        <v>0.99399999999999999</v>
      </c>
      <c r="AD561" s="396">
        <v>0.99399999999999999</v>
      </c>
      <c r="AE561" s="396">
        <v>0.99399999999999999</v>
      </c>
      <c r="AF561" s="396">
        <v>0.99399999999999999</v>
      </c>
      <c r="AG561" s="396">
        <v>0.99399999999999999</v>
      </c>
      <c r="AH561" s="396">
        <v>0.99399999999999999</v>
      </c>
      <c r="AI561" s="396">
        <v>0.99399999999999999</v>
      </c>
      <c r="AJ561" s="396">
        <v>0.99399999999999999</v>
      </c>
      <c r="AK561" s="396">
        <v>0.99399999999999999</v>
      </c>
      <c r="AL561" s="396">
        <v>0.99399999999999999</v>
      </c>
      <c r="AM561" s="396">
        <v>0.99399999999999999</v>
      </c>
      <c r="AN561" s="396">
        <v>0.99399999999999999</v>
      </c>
      <c r="AO561" s="396">
        <v>0.99399999999999999</v>
      </c>
      <c r="AP561" s="396">
        <v>0.99399999999999999</v>
      </c>
    </row>
    <row r="562" spans="1:42" s="140" customFormat="1" ht="12.75" hidden="1" customHeight="1" outlineLevel="5">
      <c r="A562" s="216"/>
      <c r="B562" s="255" t="s">
        <v>748</v>
      </c>
      <c r="C562" s="290" t="s">
        <v>243</v>
      </c>
      <c r="D562" s="227" t="s">
        <v>231</v>
      </c>
      <c r="E562" s="241"/>
      <c r="F562" s="228">
        <f t="shared" si="1259"/>
        <v>3.6801995565609057E-2</v>
      </c>
      <c r="G562" s="269">
        <f>+F562*G555</f>
        <v>1.3128567081786591E-5</v>
      </c>
      <c r="H562" s="299"/>
      <c r="I562" s="299"/>
      <c r="J562" s="299"/>
      <c r="K562" s="299"/>
      <c r="L562" s="299"/>
      <c r="M562" s="299"/>
      <c r="N562" s="272">
        <v>0.99399999999999999</v>
      </c>
      <c r="O562" s="272">
        <v>0.99399999999999999</v>
      </c>
      <c r="P562" s="272">
        <v>0.99399999999999999</v>
      </c>
      <c r="Q562" s="272">
        <v>0.99399999999999999</v>
      </c>
      <c r="R562" s="372">
        <v>0.99399999999999999</v>
      </c>
      <c r="S562" s="395">
        <v>0.99399999999999999</v>
      </c>
      <c r="T562" s="272">
        <v>0.99399999999999999</v>
      </c>
      <c r="U562" s="272">
        <v>0.99399999999999999</v>
      </c>
      <c r="V562" s="272">
        <v>0.99399999999999999</v>
      </c>
      <c r="W562" s="272">
        <v>0.99399999999999999</v>
      </c>
      <c r="X562" s="272">
        <v>0.99399999999999999</v>
      </c>
      <c r="Y562" s="272">
        <v>0.99399999999999999</v>
      </c>
      <c r="Z562" s="272">
        <v>0.99399999999999999</v>
      </c>
      <c r="AA562" s="272">
        <v>0.99399999999999999</v>
      </c>
      <c r="AB562" s="272">
        <v>0.99399999999999999</v>
      </c>
      <c r="AC562" s="272">
        <v>0.99399999999999999</v>
      </c>
      <c r="AD562" s="396">
        <v>0.99399999999999999</v>
      </c>
      <c r="AE562" s="396">
        <v>0.99399999999999999</v>
      </c>
      <c r="AF562" s="396">
        <v>0.99399999999999999</v>
      </c>
      <c r="AG562" s="396">
        <v>0.99399999999999999</v>
      </c>
      <c r="AH562" s="396">
        <v>0.99399999999999999</v>
      </c>
      <c r="AI562" s="396">
        <v>0.99399999999999999</v>
      </c>
      <c r="AJ562" s="396">
        <v>0.99399999999999999</v>
      </c>
      <c r="AK562" s="396">
        <v>0.99399999999999999</v>
      </c>
      <c r="AL562" s="396">
        <v>0.99399999999999999</v>
      </c>
      <c r="AM562" s="396">
        <v>0.99399999999999999</v>
      </c>
      <c r="AN562" s="396">
        <v>0.99399999999999999</v>
      </c>
      <c r="AO562" s="396">
        <v>0.99399999999999999</v>
      </c>
      <c r="AP562" s="396">
        <v>0.99399999999999999</v>
      </c>
    </row>
    <row r="563" spans="1:42" s="140" customFormat="1" ht="12.75" hidden="1" customHeight="1" outlineLevel="5">
      <c r="A563" s="216"/>
      <c r="B563" s="255" t="s">
        <v>749</v>
      </c>
      <c r="C563" s="290" t="s">
        <v>245</v>
      </c>
      <c r="D563" s="227" t="s">
        <v>231</v>
      </c>
      <c r="E563" s="241"/>
      <c r="F563" s="228">
        <f t="shared" si="1259"/>
        <v>3.6801995565609057E-2</v>
      </c>
      <c r="G563" s="269">
        <f>+F563*G555</f>
        <v>1.3128567081786591E-5</v>
      </c>
      <c r="H563" s="299"/>
      <c r="I563" s="299"/>
      <c r="J563" s="299"/>
      <c r="K563" s="299"/>
      <c r="L563" s="299"/>
      <c r="M563" s="299"/>
      <c r="N563" s="272">
        <v>0.99399999999999999</v>
      </c>
      <c r="O563" s="272">
        <v>0.99399999999999999</v>
      </c>
      <c r="P563" s="272">
        <v>0.99399999999999999</v>
      </c>
      <c r="Q563" s="272">
        <v>0.99399999999999999</v>
      </c>
      <c r="R563" s="372">
        <v>0.99399999999999999</v>
      </c>
      <c r="S563" s="395">
        <v>0.99399999999999999</v>
      </c>
      <c r="T563" s="272">
        <v>0.99399999999999999</v>
      </c>
      <c r="U563" s="272">
        <v>0.99399999999999999</v>
      </c>
      <c r="V563" s="272">
        <v>0.99399999999999999</v>
      </c>
      <c r="W563" s="272">
        <v>0.99399999999999999</v>
      </c>
      <c r="X563" s="272">
        <v>0.99399999999999999</v>
      </c>
      <c r="Y563" s="272">
        <v>0.99399999999999999</v>
      </c>
      <c r="Z563" s="272">
        <v>0.99399999999999999</v>
      </c>
      <c r="AA563" s="272">
        <v>0.99399999999999999</v>
      </c>
      <c r="AB563" s="272">
        <v>0.99399999999999999</v>
      </c>
      <c r="AC563" s="272">
        <v>0.99399999999999999</v>
      </c>
      <c r="AD563" s="396">
        <v>0.99399999999999999</v>
      </c>
      <c r="AE563" s="396">
        <v>0.99399999999999999</v>
      </c>
      <c r="AF563" s="396">
        <v>0.99399999999999999</v>
      </c>
      <c r="AG563" s="396">
        <v>0.99399999999999999</v>
      </c>
      <c r="AH563" s="396">
        <v>0.99399999999999999</v>
      </c>
      <c r="AI563" s="396">
        <v>0.99399999999999999</v>
      </c>
      <c r="AJ563" s="396">
        <v>0.99399999999999999</v>
      </c>
      <c r="AK563" s="396">
        <v>0.99399999999999999</v>
      </c>
      <c r="AL563" s="396">
        <v>0.99399999999999999</v>
      </c>
      <c r="AM563" s="396">
        <v>0.99399999999999999</v>
      </c>
      <c r="AN563" s="396">
        <v>0.99399999999999999</v>
      </c>
      <c r="AO563" s="396">
        <v>0.99399999999999999</v>
      </c>
      <c r="AP563" s="396">
        <v>0.99399999999999999</v>
      </c>
    </row>
    <row r="564" spans="1:42" s="140" customFormat="1" ht="12.75" hidden="1" customHeight="1" outlineLevel="5">
      <c r="A564" s="216"/>
      <c r="B564" s="255" t="s">
        <v>750</v>
      </c>
      <c r="C564" s="290" t="s">
        <v>247</v>
      </c>
      <c r="D564" s="227" t="s">
        <v>231</v>
      </c>
      <c r="E564" s="241"/>
      <c r="F564" s="228">
        <f t="shared" si="1259"/>
        <v>3.6801995565609057E-2</v>
      </c>
      <c r="G564" s="269">
        <f>+F564*G555</f>
        <v>1.3128567081786591E-5</v>
      </c>
      <c r="H564" s="299"/>
      <c r="I564" s="299"/>
      <c r="J564" s="299"/>
      <c r="K564" s="299"/>
      <c r="L564" s="299"/>
      <c r="M564" s="299"/>
      <c r="N564" s="272">
        <v>0.99399999999999999</v>
      </c>
      <c r="O564" s="272">
        <v>0.99399999999999999</v>
      </c>
      <c r="P564" s="272">
        <v>0.99399999999999999</v>
      </c>
      <c r="Q564" s="272">
        <v>0.99399999999999999</v>
      </c>
      <c r="R564" s="372">
        <v>0.99399999999999999</v>
      </c>
      <c r="S564" s="395">
        <v>0.99399999999999999</v>
      </c>
      <c r="T564" s="272">
        <v>0.99399999999999999</v>
      </c>
      <c r="U564" s="272">
        <v>0.99399999999999999</v>
      </c>
      <c r="V564" s="272">
        <v>0.99399999999999999</v>
      </c>
      <c r="W564" s="272">
        <v>0.99399999999999999</v>
      </c>
      <c r="X564" s="272">
        <v>0.99399999999999999</v>
      </c>
      <c r="Y564" s="272">
        <v>0.99399999999999999</v>
      </c>
      <c r="Z564" s="272">
        <v>0.99399999999999999</v>
      </c>
      <c r="AA564" s="272">
        <v>0.99399999999999999</v>
      </c>
      <c r="AB564" s="272">
        <v>0.99399999999999999</v>
      </c>
      <c r="AC564" s="272">
        <v>0.99399999999999999</v>
      </c>
      <c r="AD564" s="396">
        <v>0.99399999999999999</v>
      </c>
      <c r="AE564" s="396">
        <v>0.99399999999999999</v>
      </c>
      <c r="AF564" s="396">
        <v>0.99399999999999999</v>
      </c>
      <c r="AG564" s="396">
        <v>0.99399999999999999</v>
      </c>
      <c r="AH564" s="396">
        <v>0.99399999999999999</v>
      </c>
      <c r="AI564" s="396">
        <v>0.99399999999999999</v>
      </c>
      <c r="AJ564" s="396">
        <v>0.99399999999999999</v>
      </c>
      <c r="AK564" s="396">
        <v>0.99399999999999999</v>
      </c>
      <c r="AL564" s="396">
        <v>0.99399999999999999</v>
      </c>
      <c r="AM564" s="396">
        <v>0.99399999999999999</v>
      </c>
      <c r="AN564" s="396">
        <v>0.99399999999999999</v>
      </c>
      <c r="AO564" s="396">
        <v>0.99399999999999999</v>
      </c>
      <c r="AP564" s="396">
        <v>0.99399999999999999</v>
      </c>
    </row>
    <row r="565" spans="1:42" s="140" customFormat="1" ht="12.75" hidden="1" customHeight="1" outlineLevel="5">
      <c r="A565" s="216"/>
      <c r="B565" s="255" t="s">
        <v>751</v>
      </c>
      <c r="C565" s="290" t="s">
        <v>249</v>
      </c>
      <c r="D565" s="227" t="s">
        <v>231</v>
      </c>
      <c r="E565" s="241"/>
      <c r="F565" s="228">
        <f t="shared" si="1259"/>
        <v>3.6801995565609057E-2</v>
      </c>
      <c r="G565" s="269">
        <f>+F565*G555</f>
        <v>1.3128567081786591E-5</v>
      </c>
      <c r="H565" s="299"/>
      <c r="I565" s="299"/>
      <c r="J565" s="299"/>
      <c r="K565" s="299"/>
      <c r="L565" s="299"/>
      <c r="M565" s="299"/>
      <c r="N565" s="272">
        <v>0.99399999999999999</v>
      </c>
      <c r="O565" s="272">
        <v>0.99399999999999999</v>
      </c>
      <c r="P565" s="272">
        <v>0.99399999999999999</v>
      </c>
      <c r="Q565" s="272">
        <v>0.99399999999999999</v>
      </c>
      <c r="R565" s="372">
        <v>0.99399999999999999</v>
      </c>
      <c r="S565" s="395">
        <v>0.99399999999999999</v>
      </c>
      <c r="T565" s="272">
        <v>0.99399999999999999</v>
      </c>
      <c r="U565" s="272">
        <v>0.99399999999999999</v>
      </c>
      <c r="V565" s="272">
        <v>0.99399999999999999</v>
      </c>
      <c r="W565" s="272">
        <v>0.99399999999999999</v>
      </c>
      <c r="X565" s="272">
        <v>0.99399999999999999</v>
      </c>
      <c r="Y565" s="272">
        <v>0.99399999999999999</v>
      </c>
      <c r="Z565" s="272">
        <v>0.99399999999999999</v>
      </c>
      <c r="AA565" s="272">
        <v>0.99399999999999999</v>
      </c>
      <c r="AB565" s="272">
        <v>0.99399999999999999</v>
      </c>
      <c r="AC565" s="272">
        <v>0.99399999999999999</v>
      </c>
      <c r="AD565" s="396">
        <v>0.99399999999999999</v>
      </c>
      <c r="AE565" s="396">
        <v>0.99399999999999999</v>
      </c>
      <c r="AF565" s="396">
        <v>0.99399999999999999</v>
      </c>
      <c r="AG565" s="396">
        <v>0.99399999999999999</v>
      </c>
      <c r="AH565" s="396">
        <v>0.99399999999999999</v>
      </c>
      <c r="AI565" s="396">
        <v>0.99399999999999999</v>
      </c>
      <c r="AJ565" s="396">
        <v>0.99399999999999999</v>
      </c>
      <c r="AK565" s="396">
        <v>0.99399999999999999</v>
      </c>
      <c r="AL565" s="396">
        <v>0.99399999999999999</v>
      </c>
      <c r="AM565" s="396">
        <v>0.99399999999999999</v>
      </c>
      <c r="AN565" s="396">
        <v>0.99399999999999999</v>
      </c>
      <c r="AO565" s="396">
        <v>0.99399999999999999</v>
      </c>
      <c r="AP565" s="396">
        <v>0.99399999999999999</v>
      </c>
    </row>
    <row r="566" spans="1:42" s="140" customFormat="1" ht="12.75" hidden="1" customHeight="1" outlineLevel="5">
      <c r="A566" s="216"/>
      <c r="B566" s="255" t="s">
        <v>752</v>
      </c>
      <c r="C566" s="290" t="s">
        <v>251</v>
      </c>
      <c r="D566" s="227" t="s">
        <v>231</v>
      </c>
      <c r="E566" s="241"/>
      <c r="F566" s="228">
        <f t="shared" si="1259"/>
        <v>3.6801995565609057E-2</v>
      </c>
      <c r="G566" s="269">
        <f>+F566*G555</f>
        <v>1.3128567081786591E-5</v>
      </c>
      <c r="H566" s="299"/>
      <c r="I566" s="299"/>
      <c r="J566" s="299"/>
      <c r="K566" s="299"/>
      <c r="L566" s="299"/>
      <c r="M566" s="299"/>
      <c r="N566" s="272">
        <v>0.99399999999999999</v>
      </c>
      <c r="O566" s="272">
        <v>0.99399999999999999</v>
      </c>
      <c r="P566" s="272">
        <v>0.99399999999999999</v>
      </c>
      <c r="Q566" s="272">
        <v>0.99399999999999999</v>
      </c>
      <c r="R566" s="372">
        <v>0.99399999999999999</v>
      </c>
      <c r="S566" s="395">
        <v>0.99399999999999999</v>
      </c>
      <c r="T566" s="272">
        <v>0.99399999999999999</v>
      </c>
      <c r="U566" s="272">
        <v>0.99399999999999999</v>
      </c>
      <c r="V566" s="272">
        <v>0.99399999999999999</v>
      </c>
      <c r="W566" s="272">
        <v>0.99399999999999999</v>
      </c>
      <c r="X566" s="272">
        <v>0.99399999999999999</v>
      </c>
      <c r="Y566" s="272">
        <v>0.99399999999999999</v>
      </c>
      <c r="Z566" s="272">
        <v>0.99399999999999999</v>
      </c>
      <c r="AA566" s="272">
        <v>0.99399999999999999</v>
      </c>
      <c r="AB566" s="272">
        <v>0.99399999999999999</v>
      </c>
      <c r="AC566" s="272">
        <v>0.99399999999999999</v>
      </c>
      <c r="AD566" s="396">
        <v>0.99399999999999999</v>
      </c>
      <c r="AE566" s="396">
        <v>0.99399999999999999</v>
      </c>
      <c r="AF566" s="396">
        <v>0.99399999999999999</v>
      </c>
      <c r="AG566" s="396">
        <v>0.99399999999999999</v>
      </c>
      <c r="AH566" s="396">
        <v>0.99399999999999999</v>
      </c>
      <c r="AI566" s="396">
        <v>0.99399999999999999</v>
      </c>
      <c r="AJ566" s="396">
        <v>0.99399999999999999</v>
      </c>
      <c r="AK566" s="396">
        <v>0.99399999999999999</v>
      </c>
      <c r="AL566" s="396">
        <v>0.99399999999999999</v>
      </c>
      <c r="AM566" s="396">
        <v>0.99399999999999999</v>
      </c>
      <c r="AN566" s="396">
        <v>0.99399999999999999</v>
      </c>
      <c r="AO566" s="396">
        <v>0.99399999999999999</v>
      </c>
      <c r="AP566" s="396">
        <v>0.99399999999999999</v>
      </c>
    </row>
    <row r="567" spans="1:42" s="140" customFormat="1" ht="12.75" hidden="1" customHeight="1" outlineLevel="5">
      <c r="A567" s="216"/>
      <c r="B567" s="255" t="s">
        <v>753</v>
      </c>
      <c r="C567" s="290" t="s">
        <v>253</v>
      </c>
      <c r="D567" s="227" t="s">
        <v>231</v>
      </c>
      <c r="E567" s="241"/>
      <c r="F567" s="228">
        <f t="shared" si="1259"/>
        <v>3.6801995565609057E-2</v>
      </c>
      <c r="G567" s="269">
        <f>+F567*G555</f>
        <v>1.3128567081786591E-5</v>
      </c>
      <c r="H567" s="299"/>
      <c r="I567" s="299"/>
      <c r="J567" s="299"/>
      <c r="K567" s="299"/>
      <c r="L567" s="299"/>
      <c r="M567" s="299"/>
      <c r="N567" s="272">
        <v>0.99399999999999999</v>
      </c>
      <c r="O567" s="272">
        <v>0.99399999999999999</v>
      </c>
      <c r="P567" s="272">
        <v>0.99399999999999999</v>
      </c>
      <c r="Q567" s="272">
        <v>0.99399999999999999</v>
      </c>
      <c r="R567" s="372">
        <v>0.99399999999999999</v>
      </c>
      <c r="S567" s="395">
        <v>0.99399999999999999</v>
      </c>
      <c r="T567" s="272">
        <v>0.99399999999999999</v>
      </c>
      <c r="U567" s="272">
        <v>0.99399999999999999</v>
      </c>
      <c r="V567" s="272">
        <v>0.99399999999999999</v>
      </c>
      <c r="W567" s="272">
        <v>0.99399999999999999</v>
      </c>
      <c r="X567" s="272">
        <v>0.99399999999999999</v>
      </c>
      <c r="Y567" s="272">
        <v>0.99399999999999999</v>
      </c>
      <c r="Z567" s="272">
        <v>0.99399999999999999</v>
      </c>
      <c r="AA567" s="272">
        <v>0.99399999999999999</v>
      </c>
      <c r="AB567" s="272">
        <v>0.99399999999999999</v>
      </c>
      <c r="AC567" s="272">
        <v>0.99399999999999999</v>
      </c>
      <c r="AD567" s="396">
        <v>0.99399999999999999</v>
      </c>
      <c r="AE567" s="396">
        <v>0.99399999999999999</v>
      </c>
      <c r="AF567" s="396">
        <v>0.99399999999999999</v>
      </c>
      <c r="AG567" s="396">
        <v>0.99399999999999999</v>
      </c>
      <c r="AH567" s="396">
        <v>0.99399999999999999</v>
      </c>
      <c r="AI567" s="396">
        <v>0.99399999999999999</v>
      </c>
      <c r="AJ567" s="396">
        <v>0.99399999999999999</v>
      </c>
      <c r="AK567" s="396">
        <v>0.99399999999999999</v>
      </c>
      <c r="AL567" s="396">
        <v>0.99399999999999999</v>
      </c>
      <c r="AM567" s="396">
        <v>0.99399999999999999</v>
      </c>
      <c r="AN567" s="396">
        <v>0.99399999999999999</v>
      </c>
      <c r="AO567" s="396">
        <v>0.99399999999999999</v>
      </c>
      <c r="AP567" s="396">
        <v>0.99399999999999999</v>
      </c>
    </row>
    <row r="568" spans="1:42" s="140" customFormat="1" ht="12.75" hidden="1" customHeight="1" outlineLevel="5">
      <c r="A568" s="216"/>
      <c r="B568" s="255" t="s">
        <v>754</v>
      </c>
      <c r="C568" s="290" t="s">
        <v>285</v>
      </c>
      <c r="D568" s="227" t="s">
        <v>231</v>
      </c>
      <c r="E568" s="241"/>
      <c r="F568" s="228">
        <f t="shared" si="1259"/>
        <v>3.6801995565609057E-2</v>
      </c>
      <c r="G568" s="269">
        <f>+F568*G555</f>
        <v>1.3128567081786591E-5</v>
      </c>
      <c r="H568" s="299"/>
      <c r="I568" s="299"/>
      <c r="J568" s="299"/>
      <c r="K568" s="299"/>
      <c r="L568" s="299"/>
      <c r="M568" s="299"/>
      <c r="N568" s="272">
        <v>0.99399999999999999</v>
      </c>
      <c r="O568" s="272">
        <v>0.99399999999999999</v>
      </c>
      <c r="P568" s="272">
        <v>0.99399999999999999</v>
      </c>
      <c r="Q568" s="272">
        <v>0.99399999999999999</v>
      </c>
      <c r="R568" s="372">
        <v>0.99399999999999999</v>
      </c>
      <c r="S568" s="395">
        <v>0.99399999999999999</v>
      </c>
      <c r="T568" s="272">
        <v>0.99399999999999999</v>
      </c>
      <c r="U568" s="272">
        <v>0.99399999999999999</v>
      </c>
      <c r="V568" s="272">
        <v>0.99399999999999999</v>
      </c>
      <c r="W568" s="272">
        <v>0.99399999999999999</v>
      </c>
      <c r="X568" s="272">
        <v>0.99399999999999999</v>
      </c>
      <c r="Y568" s="272">
        <v>0.99399999999999999</v>
      </c>
      <c r="Z568" s="272">
        <v>0.99399999999999999</v>
      </c>
      <c r="AA568" s="272">
        <v>0.99399999999999999</v>
      </c>
      <c r="AB568" s="272">
        <v>0.99399999999999999</v>
      </c>
      <c r="AC568" s="272">
        <v>0.99399999999999999</v>
      </c>
      <c r="AD568" s="396">
        <v>0.99399999999999999</v>
      </c>
      <c r="AE568" s="396">
        <v>0.99399999999999999</v>
      </c>
      <c r="AF568" s="396">
        <v>0.99399999999999999</v>
      </c>
      <c r="AG568" s="396">
        <v>0.99399999999999999</v>
      </c>
      <c r="AH568" s="396">
        <v>0.99399999999999999</v>
      </c>
      <c r="AI568" s="396">
        <v>0.99399999999999999</v>
      </c>
      <c r="AJ568" s="396">
        <v>0.99399999999999999</v>
      </c>
      <c r="AK568" s="396">
        <v>0.99399999999999999</v>
      </c>
      <c r="AL568" s="396">
        <v>0.99399999999999999</v>
      </c>
      <c r="AM568" s="396">
        <v>0.99399999999999999</v>
      </c>
      <c r="AN568" s="396">
        <v>0.99399999999999999</v>
      </c>
      <c r="AO568" s="396">
        <v>0.99399999999999999</v>
      </c>
      <c r="AP568" s="396">
        <v>0.99399999999999999</v>
      </c>
    </row>
    <row r="569" spans="1:42" s="140" customFormat="1" ht="12.75" hidden="1" customHeight="1" outlineLevel="5">
      <c r="A569" s="216"/>
      <c r="B569" s="255" t="s">
        <v>755</v>
      </c>
      <c r="C569" s="290" t="s">
        <v>287</v>
      </c>
      <c r="D569" s="227" t="s">
        <v>231</v>
      </c>
      <c r="E569" s="241"/>
      <c r="F569" s="228">
        <f t="shared" si="1259"/>
        <v>3.6801995565609057E-2</v>
      </c>
      <c r="G569" s="269">
        <f>+F569*G555</f>
        <v>1.3128567081786591E-5</v>
      </c>
      <c r="H569" s="299"/>
      <c r="I569" s="299"/>
      <c r="J569" s="299"/>
      <c r="K569" s="299"/>
      <c r="L569" s="299"/>
      <c r="M569" s="299"/>
      <c r="N569" s="272">
        <v>0.99399999999999999</v>
      </c>
      <c r="O569" s="272">
        <v>0.99399999999999999</v>
      </c>
      <c r="P569" s="272">
        <v>0.99399999999999999</v>
      </c>
      <c r="Q569" s="272">
        <v>0.99399999999999999</v>
      </c>
      <c r="R569" s="372">
        <v>0.99399999999999999</v>
      </c>
      <c r="S569" s="395">
        <v>0.99399999999999999</v>
      </c>
      <c r="T569" s="272">
        <v>0.99399999999999999</v>
      </c>
      <c r="U569" s="272">
        <v>0.99399999999999999</v>
      </c>
      <c r="V569" s="272">
        <v>0.99399999999999999</v>
      </c>
      <c r="W569" s="272">
        <v>0.99399999999999999</v>
      </c>
      <c r="X569" s="272">
        <v>0.99399999999999999</v>
      </c>
      <c r="Y569" s="272">
        <v>0.99399999999999999</v>
      </c>
      <c r="Z569" s="272">
        <v>0.99399999999999999</v>
      </c>
      <c r="AA569" s="272">
        <v>0.99399999999999999</v>
      </c>
      <c r="AB569" s="272">
        <v>0.99399999999999999</v>
      </c>
      <c r="AC569" s="272">
        <v>0.99399999999999999</v>
      </c>
      <c r="AD569" s="396">
        <v>0.99399999999999999</v>
      </c>
      <c r="AE569" s="396">
        <v>0.99399999999999999</v>
      </c>
      <c r="AF569" s="396">
        <v>0.99399999999999999</v>
      </c>
      <c r="AG569" s="396">
        <v>0.99399999999999999</v>
      </c>
      <c r="AH569" s="396">
        <v>0.99399999999999999</v>
      </c>
      <c r="AI569" s="396">
        <v>0.99399999999999999</v>
      </c>
      <c r="AJ569" s="396">
        <v>0.99399999999999999</v>
      </c>
      <c r="AK569" s="396">
        <v>0.99399999999999999</v>
      </c>
      <c r="AL569" s="396">
        <v>0.99399999999999999</v>
      </c>
      <c r="AM569" s="396">
        <v>0.99399999999999999</v>
      </c>
      <c r="AN569" s="396">
        <v>0.99399999999999999</v>
      </c>
      <c r="AO569" s="396">
        <v>0.99399999999999999</v>
      </c>
      <c r="AP569" s="396">
        <v>0.99399999999999999</v>
      </c>
    </row>
    <row r="570" spans="1:42" s="140" customFormat="1" ht="12.75" hidden="1" customHeight="1" outlineLevel="5">
      <c r="A570" s="216"/>
      <c r="B570" s="255" t="s">
        <v>756</v>
      </c>
      <c r="C570" s="290" t="s">
        <v>289</v>
      </c>
      <c r="D570" s="227" t="s">
        <v>231</v>
      </c>
      <c r="E570" s="241"/>
      <c r="F570" s="228">
        <f t="shared" si="1259"/>
        <v>3.6801995565609057E-2</v>
      </c>
      <c r="G570" s="269">
        <f>+F570*G555</f>
        <v>1.3128567081786591E-5</v>
      </c>
      <c r="H570" s="299"/>
      <c r="I570" s="299"/>
      <c r="J570" s="299"/>
      <c r="K570" s="299"/>
      <c r="L570" s="299"/>
      <c r="M570" s="299"/>
      <c r="N570" s="272">
        <v>0.99399999999999999</v>
      </c>
      <c r="O570" s="272">
        <v>0.99399999999999999</v>
      </c>
      <c r="P570" s="272">
        <v>0.99399999999999999</v>
      </c>
      <c r="Q570" s="272">
        <v>0.99399999999999999</v>
      </c>
      <c r="R570" s="372">
        <v>0.99399999999999999</v>
      </c>
      <c r="S570" s="395">
        <v>0.99399999999999999</v>
      </c>
      <c r="T570" s="272">
        <v>0.99399999999999999</v>
      </c>
      <c r="U570" s="272">
        <v>0.99399999999999999</v>
      </c>
      <c r="V570" s="272">
        <v>0.99399999999999999</v>
      </c>
      <c r="W570" s="272">
        <v>0.99399999999999999</v>
      </c>
      <c r="X570" s="272">
        <v>0.99399999999999999</v>
      </c>
      <c r="Y570" s="272">
        <v>0.99399999999999999</v>
      </c>
      <c r="Z570" s="272">
        <v>0.99399999999999999</v>
      </c>
      <c r="AA570" s="272">
        <v>0.99399999999999999</v>
      </c>
      <c r="AB570" s="272">
        <v>0.99399999999999999</v>
      </c>
      <c r="AC570" s="272">
        <v>0.99399999999999999</v>
      </c>
      <c r="AD570" s="396">
        <v>0.99399999999999999</v>
      </c>
      <c r="AE570" s="396">
        <v>0.99399999999999999</v>
      </c>
      <c r="AF570" s="396">
        <v>0.99399999999999999</v>
      </c>
      <c r="AG570" s="396">
        <v>0.99399999999999999</v>
      </c>
      <c r="AH570" s="396">
        <v>0.99399999999999999</v>
      </c>
      <c r="AI570" s="396">
        <v>0.99399999999999999</v>
      </c>
      <c r="AJ570" s="396">
        <v>0.99399999999999999</v>
      </c>
      <c r="AK570" s="396">
        <v>0.99399999999999999</v>
      </c>
      <c r="AL570" s="396">
        <v>0.99399999999999999</v>
      </c>
      <c r="AM570" s="396">
        <v>0.99399999999999999</v>
      </c>
      <c r="AN570" s="396">
        <v>0.99399999999999999</v>
      </c>
      <c r="AO570" s="396">
        <v>0.99399999999999999</v>
      </c>
      <c r="AP570" s="396">
        <v>0.99399999999999999</v>
      </c>
    </row>
    <row r="571" spans="1:42" s="140" customFormat="1" ht="12.75" hidden="1" customHeight="1" outlineLevel="5">
      <c r="A571" s="216"/>
      <c r="B571" s="255" t="s">
        <v>757</v>
      </c>
      <c r="C571" s="290" t="s">
        <v>291</v>
      </c>
      <c r="D571" s="227" t="s">
        <v>231</v>
      </c>
      <c r="E571" s="241"/>
      <c r="F571" s="228">
        <f t="shared" si="1259"/>
        <v>3.6801995565609057E-2</v>
      </c>
      <c r="G571" s="269">
        <f>+F571*G555</f>
        <v>1.3128567081786591E-5</v>
      </c>
      <c r="H571" s="299"/>
      <c r="I571" s="299"/>
      <c r="J571" s="299"/>
      <c r="K571" s="299"/>
      <c r="L571" s="299"/>
      <c r="M571" s="299"/>
      <c r="N571" s="272">
        <v>0.99399999999999999</v>
      </c>
      <c r="O571" s="272">
        <v>0.99399999999999999</v>
      </c>
      <c r="P571" s="272">
        <v>0.99399999999999999</v>
      </c>
      <c r="Q571" s="272">
        <v>0.99399999999999999</v>
      </c>
      <c r="R571" s="372">
        <v>0.99399999999999999</v>
      </c>
      <c r="S571" s="395">
        <v>0.99399999999999999</v>
      </c>
      <c r="T571" s="272">
        <v>0.99399999999999999</v>
      </c>
      <c r="U571" s="272">
        <v>0.99399999999999999</v>
      </c>
      <c r="V571" s="272">
        <v>0.99399999999999999</v>
      </c>
      <c r="W571" s="272">
        <v>0.99399999999999999</v>
      </c>
      <c r="X571" s="272">
        <v>0.99399999999999999</v>
      </c>
      <c r="Y571" s="272">
        <v>0.99399999999999999</v>
      </c>
      <c r="Z571" s="272">
        <v>0.99399999999999999</v>
      </c>
      <c r="AA571" s="272">
        <v>0.99399999999999999</v>
      </c>
      <c r="AB571" s="272">
        <v>0.99399999999999999</v>
      </c>
      <c r="AC571" s="272">
        <v>0.99399999999999999</v>
      </c>
      <c r="AD571" s="396">
        <v>0.99399999999999999</v>
      </c>
      <c r="AE571" s="396">
        <v>0.99399999999999999</v>
      </c>
      <c r="AF571" s="396">
        <v>0.99399999999999999</v>
      </c>
      <c r="AG571" s="396">
        <v>0.99399999999999999</v>
      </c>
      <c r="AH571" s="396">
        <v>0.99399999999999999</v>
      </c>
      <c r="AI571" s="396">
        <v>0.99399999999999999</v>
      </c>
      <c r="AJ571" s="396">
        <v>0.99399999999999999</v>
      </c>
      <c r="AK571" s="396">
        <v>0.99399999999999999</v>
      </c>
      <c r="AL571" s="396">
        <v>0.99399999999999999</v>
      </c>
      <c r="AM571" s="396">
        <v>0.99399999999999999</v>
      </c>
      <c r="AN571" s="396">
        <v>0.99399999999999999</v>
      </c>
      <c r="AO571" s="396">
        <v>0.99399999999999999</v>
      </c>
      <c r="AP571" s="396">
        <v>0.99399999999999999</v>
      </c>
    </row>
    <row r="572" spans="1:42" s="140" customFormat="1" ht="12.75" hidden="1" customHeight="1" outlineLevel="5">
      <c r="A572" s="216"/>
      <c r="B572" s="255" t="s">
        <v>758</v>
      </c>
      <c r="C572" s="290" t="s">
        <v>293</v>
      </c>
      <c r="D572" s="227" t="s">
        <v>231</v>
      </c>
      <c r="E572" s="241"/>
      <c r="F572" s="228">
        <f t="shared" si="1259"/>
        <v>3.6801995565609057E-2</v>
      </c>
      <c r="G572" s="269">
        <f>+F572*G555</f>
        <v>1.3128567081786591E-5</v>
      </c>
      <c r="H572" s="299"/>
      <c r="I572" s="299"/>
      <c r="J572" s="299"/>
      <c r="K572" s="299"/>
      <c r="L572" s="299"/>
      <c r="M572" s="299"/>
      <c r="N572" s="272">
        <v>0.99399999999999999</v>
      </c>
      <c r="O572" s="272">
        <v>0.99399999999999999</v>
      </c>
      <c r="P572" s="272">
        <v>0.99399999999999999</v>
      </c>
      <c r="Q572" s="272">
        <v>0.99399999999999999</v>
      </c>
      <c r="R572" s="372">
        <v>0.99399999999999999</v>
      </c>
      <c r="S572" s="395">
        <v>0.99399999999999999</v>
      </c>
      <c r="T572" s="272">
        <v>0.99399999999999999</v>
      </c>
      <c r="U572" s="272">
        <v>0.99399999999999999</v>
      </c>
      <c r="V572" s="272">
        <v>0.99399999999999999</v>
      </c>
      <c r="W572" s="272">
        <v>0.99399999999999999</v>
      </c>
      <c r="X572" s="272">
        <v>0.99399999999999999</v>
      </c>
      <c r="Y572" s="272">
        <v>0.99399999999999999</v>
      </c>
      <c r="Z572" s="272">
        <v>0.99399999999999999</v>
      </c>
      <c r="AA572" s="272">
        <v>0.99399999999999999</v>
      </c>
      <c r="AB572" s="272">
        <v>0.99399999999999999</v>
      </c>
      <c r="AC572" s="272">
        <v>0.99399999999999999</v>
      </c>
      <c r="AD572" s="396">
        <v>0.99399999999999999</v>
      </c>
      <c r="AE572" s="396">
        <v>0.99399999999999999</v>
      </c>
      <c r="AF572" s="396">
        <v>0.99399999999999999</v>
      </c>
      <c r="AG572" s="396">
        <v>0.99399999999999999</v>
      </c>
      <c r="AH572" s="396">
        <v>0.99399999999999999</v>
      </c>
      <c r="AI572" s="396">
        <v>0.99399999999999999</v>
      </c>
      <c r="AJ572" s="396">
        <v>0.99399999999999999</v>
      </c>
      <c r="AK572" s="396">
        <v>0.99399999999999999</v>
      </c>
      <c r="AL572" s="396">
        <v>0.99399999999999999</v>
      </c>
      <c r="AM572" s="396">
        <v>0.99399999999999999</v>
      </c>
      <c r="AN572" s="396">
        <v>0.99399999999999999</v>
      </c>
      <c r="AO572" s="396">
        <v>0.99399999999999999</v>
      </c>
      <c r="AP572" s="396">
        <v>0.99399999999999999</v>
      </c>
    </row>
    <row r="573" spans="1:42" s="140" customFormat="1" ht="12.75" hidden="1" customHeight="1" outlineLevel="5">
      <c r="A573" s="216"/>
      <c r="B573" s="255" t="s">
        <v>759</v>
      </c>
      <c r="C573" s="290" t="s">
        <v>295</v>
      </c>
      <c r="D573" s="227" t="s">
        <v>231</v>
      </c>
      <c r="E573" s="241"/>
      <c r="F573" s="228">
        <f t="shared" si="1259"/>
        <v>3.6801995565609057E-2</v>
      </c>
      <c r="G573" s="269">
        <f>+F573*G555</f>
        <v>1.3128567081786591E-5</v>
      </c>
      <c r="H573" s="299"/>
      <c r="I573" s="299"/>
      <c r="J573" s="299"/>
      <c r="K573" s="299"/>
      <c r="L573" s="299"/>
      <c r="M573" s="299"/>
      <c r="N573" s="272">
        <v>0.99399999999999999</v>
      </c>
      <c r="O573" s="272">
        <v>0.99399999999999999</v>
      </c>
      <c r="P573" s="272">
        <v>0.99399999999999999</v>
      </c>
      <c r="Q573" s="272">
        <v>0.99399999999999999</v>
      </c>
      <c r="R573" s="372">
        <v>0.99399999999999999</v>
      </c>
      <c r="S573" s="395">
        <v>0.99399999999999999</v>
      </c>
      <c r="T573" s="272">
        <v>0.99399999999999999</v>
      </c>
      <c r="U573" s="272">
        <v>0.99399999999999999</v>
      </c>
      <c r="V573" s="272">
        <v>0.99399999999999999</v>
      </c>
      <c r="W573" s="272">
        <v>0.99399999999999999</v>
      </c>
      <c r="X573" s="272">
        <v>0.99399999999999999</v>
      </c>
      <c r="Y573" s="272">
        <v>0.99399999999999999</v>
      </c>
      <c r="Z573" s="272">
        <v>0.99399999999999999</v>
      </c>
      <c r="AA573" s="272">
        <v>0.99399999999999999</v>
      </c>
      <c r="AB573" s="272">
        <v>0.99399999999999999</v>
      </c>
      <c r="AC573" s="272">
        <v>0.99399999999999999</v>
      </c>
      <c r="AD573" s="396">
        <v>0.99399999999999999</v>
      </c>
      <c r="AE573" s="396">
        <v>0.99399999999999999</v>
      </c>
      <c r="AF573" s="396">
        <v>0.99399999999999999</v>
      </c>
      <c r="AG573" s="396">
        <v>0.99399999999999999</v>
      </c>
      <c r="AH573" s="396">
        <v>0.99399999999999999</v>
      </c>
      <c r="AI573" s="396">
        <v>0.99399999999999999</v>
      </c>
      <c r="AJ573" s="396">
        <v>0.99399999999999999</v>
      </c>
      <c r="AK573" s="396">
        <v>0.99399999999999999</v>
      </c>
      <c r="AL573" s="396">
        <v>0.99399999999999999</v>
      </c>
      <c r="AM573" s="396">
        <v>0.99399999999999999</v>
      </c>
      <c r="AN573" s="396">
        <v>0.99399999999999999</v>
      </c>
      <c r="AO573" s="396">
        <v>0.99399999999999999</v>
      </c>
      <c r="AP573" s="396">
        <v>0.99399999999999999</v>
      </c>
    </row>
    <row r="574" spans="1:42" s="140" customFormat="1" ht="12.75" hidden="1" customHeight="1" outlineLevel="5">
      <c r="A574" s="216"/>
      <c r="B574" s="255" t="s">
        <v>760</v>
      </c>
      <c r="C574" s="290" t="s">
        <v>297</v>
      </c>
      <c r="D574" s="227" t="s">
        <v>231</v>
      </c>
      <c r="E574" s="241"/>
      <c r="F574" s="228">
        <f t="shared" si="1259"/>
        <v>3.6801995565609057E-2</v>
      </c>
      <c r="G574" s="269">
        <f>+F574*G555</f>
        <v>1.3128567081786591E-5</v>
      </c>
      <c r="H574" s="299"/>
      <c r="I574" s="299"/>
      <c r="J574" s="299"/>
      <c r="K574" s="299"/>
      <c r="L574" s="299"/>
      <c r="M574" s="299"/>
      <c r="N574" s="272">
        <v>0.99399999999999999</v>
      </c>
      <c r="O574" s="272">
        <v>0.99399999999999999</v>
      </c>
      <c r="P574" s="272">
        <v>0.99399999999999999</v>
      </c>
      <c r="Q574" s="272">
        <v>0.99399999999999999</v>
      </c>
      <c r="R574" s="372">
        <v>0.99399999999999999</v>
      </c>
      <c r="S574" s="395">
        <v>0.99399999999999999</v>
      </c>
      <c r="T574" s="272">
        <v>0.99399999999999999</v>
      </c>
      <c r="U574" s="272">
        <v>0.99399999999999999</v>
      </c>
      <c r="V574" s="272">
        <v>0.99399999999999999</v>
      </c>
      <c r="W574" s="272">
        <v>0.99399999999999999</v>
      </c>
      <c r="X574" s="272">
        <v>0.99399999999999999</v>
      </c>
      <c r="Y574" s="272">
        <v>0.99399999999999999</v>
      </c>
      <c r="Z574" s="272">
        <v>0.99399999999999999</v>
      </c>
      <c r="AA574" s="272">
        <v>0.99399999999999999</v>
      </c>
      <c r="AB574" s="272">
        <v>0.99399999999999999</v>
      </c>
      <c r="AC574" s="272">
        <v>0.99399999999999999</v>
      </c>
      <c r="AD574" s="396">
        <v>0.99399999999999999</v>
      </c>
      <c r="AE574" s="396">
        <v>0.99399999999999999</v>
      </c>
      <c r="AF574" s="396">
        <v>0.99399999999999999</v>
      </c>
      <c r="AG574" s="396">
        <v>0.99399999999999999</v>
      </c>
      <c r="AH574" s="396">
        <v>0.99399999999999999</v>
      </c>
      <c r="AI574" s="396">
        <v>0.99399999999999999</v>
      </c>
      <c r="AJ574" s="396">
        <v>0.99399999999999999</v>
      </c>
      <c r="AK574" s="396">
        <v>0.99399999999999999</v>
      </c>
      <c r="AL574" s="396">
        <v>0.99399999999999999</v>
      </c>
      <c r="AM574" s="396">
        <v>0.99399999999999999</v>
      </c>
      <c r="AN574" s="396">
        <v>0.99399999999999999</v>
      </c>
      <c r="AO574" s="396">
        <v>0.99399999999999999</v>
      </c>
      <c r="AP574" s="396">
        <v>0.99399999999999999</v>
      </c>
    </row>
    <row r="575" spans="1:42" s="140" customFormat="1" ht="12.75" hidden="1" customHeight="1" outlineLevel="5">
      <c r="A575" s="216"/>
      <c r="B575" s="255" t="s">
        <v>761</v>
      </c>
      <c r="C575" s="290" t="s">
        <v>299</v>
      </c>
      <c r="D575" s="227" t="s">
        <v>231</v>
      </c>
      <c r="E575" s="241"/>
      <c r="F575" s="228">
        <f t="shared" si="1259"/>
        <v>3.6801995565609057E-2</v>
      </c>
      <c r="G575" s="269">
        <f>+F575*G555</f>
        <v>1.3128567081786591E-5</v>
      </c>
      <c r="H575" s="299"/>
      <c r="I575" s="299"/>
      <c r="J575" s="299"/>
      <c r="K575" s="299"/>
      <c r="L575" s="299"/>
      <c r="M575" s="299"/>
      <c r="N575" s="272">
        <v>0.99399999999999999</v>
      </c>
      <c r="O575" s="272">
        <v>0.99399999999999999</v>
      </c>
      <c r="P575" s="272">
        <v>0.99399999999999999</v>
      </c>
      <c r="Q575" s="272">
        <v>0.99399999999999999</v>
      </c>
      <c r="R575" s="372">
        <v>0.99399999999999999</v>
      </c>
      <c r="S575" s="395">
        <v>0.99399999999999999</v>
      </c>
      <c r="T575" s="272">
        <v>0.99399999999999999</v>
      </c>
      <c r="U575" s="272">
        <v>0.99399999999999999</v>
      </c>
      <c r="V575" s="272">
        <v>0.99399999999999999</v>
      </c>
      <c r="W575" s="272">
        <v>0.99399999999999999</v>
      </c>
      <c r="X575" s="272">
        <v>0.99399999999999999</v>
      </c>
      <c r="Y575" s="272">
        <v>0.99399999999999999</v>
      </c>
      <c r="Z575" s="272">
        <v>0.99399999999999999</v>
      </c>
      <c r="AA575" s="272">
        <v>0.99399999999999999</v>
      </c>
      <c r="AB575" s="272">
        <v>0.99399999999999999</v>
      </c>
      <c r="AC575" s="272">
        <v>0.99399999999999999</v>
      </c>
      <c r="AD575" s="396">
        <v>0.99399999999999999</v>
      </c>
      <c r="AE575" s="396">
        <v>0.99399999999999999</v>
      </c>
      <c r="AF575" s="396">
        <v>0.99399999999999999</v>
      </c>
      <c r="AG575" s="396">
        <v>0.99399999999999999</v>
      </c>
      <c r="AH575" s="396">
        <v>0.99399999999999999</v>
      </c>
      <c r="AI575" s="396">
        <v>0.99399999999999999</v>
      </c>
      <c r="AJ575" s="396">
        <v>0.99399999999999999</v>
      </c>
      <c r="AK575" s="396">
        <v>0.99399999999999999</v>
      </c>
      <c r="AL575" s="396">
        <v>0.99399999999999999</v>
      </c>
      <c r="AM575" s="396">
        <v>0.99399999999999999</v>
      </c>
      <c r="AN575" s="396">
        <v>0.99399999999999999</v>
      </c>
      <c r="AO575" s="396">
        <v>0.99399999999999999</v>
      </c>
      <c r="AP575" s="396">
        <v>0.99399999999999999</v>
      </c>
    </row>
    <row r="576" spans="1:42" s="140" customFormat="1" ht="12.75" hidden="1" customHeight="1" outlineLevel="5">
      <c r="A576" s="216"/>
      <c r="B576" s="255" t="s">
        <v>762</v>
      </c>
      <c r="C576" s="290" t="s">
        <v>301</v>
      </c>
      <c r="D576" s="227" t="s">
        <v>231</v>
      </c>
      <c r="E576" s="241"/>
      <c r="F576" s="228">
        <f t="shared" si="1259"/>
        <v>3.6801995565609057E-2</v>
      </c>
      <c r="G576" s="269">
        <f>+F576*G555</f>
        <v>1.3128567081786591E-5</v>
      </c>
      <c r="H576" s="299"/>
      <c r="I576" s="299"/>
      <c r="J576" s="299"/>
      <c r="K576" s="299"/>
      <c r="L576" s="299"/>
      <c r="M576" s="299"/>
      <c r="N576" s="272">
        <v>0.99399999999999999</v>
      </c>
      <c r="O576" s="272">
        <v>0.99399999999999999</v>
      </c>
      <c r="P576" s="272">
        <v>0.99399999999999999</v>
      </c>
      <c r="Q576" s="272">
        <v>0.99399999999999999</v>
      </c>
      <c r="R576" s="372">
        <v>0.99399999999999999</v>
      </c>
      <c r="S576" s="395">
        <v>0.99399999999999999</v>
      </c>
      <c r="T576" s="272">
        <v>0.99399999999999999</v>
      </c>
      <c r="U576" s="272">
        <v>0.99399999999999999</v>
      </c>
      <c r="V576" s="272">
        <v>0.99399999999999999</v>
      </c>
      <c r="W576" s="272">
        <v>0.99399999999999999</v>
      </c>
      <c r="X576" s="272">
        <v>0.99399999999999999</v>
      </c>
      <c r="Y576" s="272">
        <v>0.99399999999999999</v>
      </c>
      <c r="Z576" s="272">
        <v>0.99399999999999999</v>
      </c>
      <c r="AA576" s="272">
        <v>0.99399999999999999</v>
      </c>
      <c r="AB576" s="272">
        <v>0.99399999999999999</v>
      </c>
      <c r="AC576" s="272">
        <v>0.99399999999999999</v>
      </c>
      <c r="AD576" s="396">
        <v>0.99399999999999999</v>
      </c>
      <c r="AE576" s="396">
        <v>0.99399999999999999</v>
      </c>
      <c r="AF576" s="396">
        <v>0.99399999999999999</v>
      </c>
      <c r="AG576" s="396">
        <v>0.99399999999999999</v>
      </c>
      <c r="AH576" s="396">
        <v>0.99399999999999999</v>
      </c>
      <c r="AI576" s="396">
        <v>0.99399999999999999</v>
      </c>
      <c r="AJ576" s="396">
        <v>0.99399999999999999</v>
      </c>
      <c r="AK576" s="396">
        <v>0.99399999999999999</v>
      </c>
      <c r="AL576" s="396">
        <v>0.99399999999999999</v>
      </c>
      <c r="AM576" s="396">
        <v>0.99399999999999999</v>
      </c>
      <c r="AN576" s="396">
        <v>0.99399999999999999</v>
      </c>
      <c r="AO576" s="396">
        <v>0.99399999999999999</v>
      </c>
      <c r="AP576" s="396">
        <v>0.99399999999999999</v>
      </c>
    </row>
    <row r="577" spans="1:42" s="140" customFormat="1" ht="12.75" hidden="1" customHeight="1" outlineLevel="5">
      <c r="A577" s="216"/>
      <c r="B577" s="255" t="s">
        <v>763</v>
      </c>
      <c r="C577" s="290" t="s">
        <v>303</v>
      </c>
      <c r="D577" s="227" t="s">
        <v>231</v>
      </c>
      <c r="E577" s="241"/>
      <c r="F577" s="228">
        <f t="shared" si="1259"/>
        <v>3.6801995565609057E-2</v>
      </c>
      <c r="G577" s="269">
        <f>+F577*G555</f>
        <v>1.3128567081786591E-5</v>
      </c>
      <c r="H577" s="299"/>
      <c r="I577" s="299"/>
      <c r="J577" s="299"/>
      <c r="K577" s="299"/>
      <c r="L577" s="299"/>
      <c r="M577" s="299"/>
      <c r="N577" s="272">
        <v>0.99399999999999999</v>
      </c>
      <c r="O577" s="272">
        <v>0.99399999999999999</v>
      </c>
      <c r="P577" s="272">
        <v>0.99399999999999999</v>
      </c>
      <c r="Q577" s="272">
        <v>0.99399999999999999</v>
      </c>
      <c r="R577" s="372">
        <v>0.99399999999999999</v>
      </c>
      <c r="S577" s="395">
        <v>0.99399999999999999</v>
      </c>
      <c r="T577" s="272">
        <v>0.99399999999999999</v>
      </c>
      <c r="U577" s="272">
        <v>0.99399999999999999</v>
      </c>
      <c r="V577" s="272">
        <v>0.99399999999999999</v>
      </c>
      <c r="W577" s="272">
        <v>0.99399999999999999</v>
      </c>
      <c r="X577" s="272">
        <v>0.99399999999999999</v>
      </c>
      <c r="Y577" s="272">
        <v>0.99399999999999999</v>
      </c>
      <c r="Z577" s="272">
        <v>0.99399999999999999</v>
      </c>
      <c r="AA577" s="272">
        <v>0.99399999999999999</v>
      </c>
      <c r="AB577" s="272">
        <v>0.99399999999999999</v>
      </c>
      <c r="AC577" s="272">
        <v>0.99399999999999999</v>
      </c>
      <c r="AD577" s="396">
        <v>0.99399999999999999</v>
      </c>
      <c r="AE577" s="396">
        <v>0.99399999999999999</v>
      </c>
      <c r="AF577" s="396">
        <v>0.99399999999999999</v>
      </c>
      <c r="AG577" s="396">
        <v>0.99399999999999999</v>
      </c>
      <c r="AH577" s="396">
        <v>0.99399999999999999</v>
      </c>
      <c r="AI577" s="396">
        <v>0.99399999999999999</v>
      </c>
      <c r="AJ577" s="396">
        <v>0.99399999999999999</v>
      </c>
      <c r="AK577" s="396">
        <v>0.99399999999999999</v>
      </c>
      <c r="AL577" s="396">
        <v>0.99399999999999999</v>
      </c>
      <c r="AM577" s="396">
        <v>0.99399999999999999</v>
      </c>
      <c r="AN577" s="396">
        <v>0.99399999999999999</v>
      </c>
      <c r="AO577" s="396">
        <v>0.99399999999999999</v>
      </c>
      <c r="AP577" s="396">
        <v>0.99399999999999999</v>
      </c>
    </row>
    <row r="578" spans="1:42" s="140" customFormat="1" ht="25.5" hidden="1" customHeight="1" outlineLevel="5">
      <c r="A578" s="216"/>
      <c r="B578" s="255" t="s">
        <v>764</v>
      </c>
      <c r="C578" s="290" t="s">
        <v>255</v>
      </c>
      <c r="D578" s="227" t="s">
        <v>256</v>
      </c>
      <c r="E578" s="241"/>
      <c r="F578" s="228">
        <f t="shared" si="1259"/>
        <v>4.7589024389150178E-2</v>
      </c>
      <c r="G578" s="269">
        <f>+F578*G555</f>
        <v>1.6976679917693929E-5</v>
      </c>
      <c r="H578" s="299"/>
      <c r="I578" s="299"/>
      <c r="J578" s="299"/>
      <c r="K578" s="299"/>
      <c r="L578" s="299"/>
      <c r="M578" s="299"/>
      <c r="N578" s="272">
        <v>0.99399999999999999</v>
      </c>
      <c r="O578" s="272">
        <v>0.99399999999999999</v>
      </c>
      <c r="P578" s="272">
        <v>0.99399999999999999</v>
      </c>
      <c r="Q578" s="272">
        <v>0.99399999999999999</v>
      </c>
      <c r="R578" s="372">
        <v>0.99399999999999999</v>
      </c>
      <c r="S578" s="395">
        <v>0.99399999999999999</v>
      </c>
      <c r="T578" s="272">
        <v>0.99399999999999999</v>
      </c>
      <c r="U578" s="272">
        <v>0.99399999999999999</v>
      </c>
      <c r="V578" s="272">
        <v>0.99399999999999999</v>
      </c>
      <c r="W578" s="272">
        <v>0.99399999999999999</v>
      </c>
      <c r="X578" s="272">
        <v>0.99399999999999999</v>
      </c>
      <c r="Y578" s="272">
        <v>0.99399999999999999</v>
      </c>
      <c r="Z578" s="272">
        <v>0.99399999999999999</v>
      </c>
      <c r="AA578" s="272">
        <v>0.99399999999999999</v>
      </c>
      <c r="AB578" s="272">
        <v>0.99399999999999999</v>
      </c>
      <c r="AC578" s="272">
        <v>0.99399999999999999</v>
      </c>
      <c r="AD578" s="396">
        <v>0.99399999999999999</v>
      </c>
      <c r="AE578" s="396">
        <v>0.99399999999999999</v>
      </c>
      <c r="AF578" s="396">
        <v>0.99399999999999999</v>
      </c>
      <c r="AG578" s="396">
        <v>0.99399999999999999</v>
      </c>
      <c r="AH578" s="396">
        <v>0.99399999999999999</v>
      </c>
      <c r="AI578" s="396">
        <v>0.99399999999999999</v>
      </c>
      <c r="AJ578" s="396">
        <v>0.99399999999999999</v>
      </c>
      <c r="AK578" s="396">
        <v>0.99399999999999999</v>
      </c>
      <c r="AL578" s="396">
        <v>0.99399999999999999</v>
      </c>
      <c r="AM578" s="396">
        <v>0.99399999999999999</v>
      </c>
      <c r="AN578" s="396">
        <v>0.99399999999999999</v>
      </c>
      <c r="AO578" s="396">
        <v>0.99399999999999999</v>
      </c>
      <c r="AP578" s="396">
        <v>0.99399999999999999</v>
      </c>
    </row>
    <row r="579" spans="1:42" s="140" customFormat="1" ht="25.5" hidden="1" customHeight="1" outlineLevel="5">
      <c r="A579" s="216"/>
      <c r="B579" s="255" t="s">
        <v>765</v>
      </c>
      <c r="C579" s="290" t="s">
        <v>258</v>
      </c>
      <c r="D579" s="227" t="s">
        <v>256</v>
      </c>
      <c r="E579" s="241"/>
      <c r="F579" s="228">
        <f t="shared" si="1259"/>
        <v>4.7589024389150178E-2</v>
      </c>
      <c r="G579" s="269">
        <f>+F579*G555</f>
        <v>1.6976679917693929E-5</v>
      </c>
      <c r="H579" s="299"/>
      <c r="I579" s="299"/>
      <c r="J579" s="299"/>
      <c r="K579" s="299"/>
      <c r="L579" s="299"/>
      <c r="M579" s="299"/>
      <c r="N579" s="272">
        <v>0.99399999999999999</v>
      </c>
      <c r="O579" s="272">
        <v>0.99399999999999999</v>
      </c>
      <c r="P579" s="272">
        <v>0.99399999999999999</v>
      </c>
      <c r="Q579" s="272">
        <v>0.99399999999999999</v>
      </c>
      <c r="R579" s="372">
        <v>0.99399999999999999</v>
      </c>
      <c r="S579" s="395">
        <v>0.99399999999999999</v>
      </c>
      <c r="T579" s="272">
        <v>0.99399999999999999</v>
      </c>
      <c r="U579" s="272">
        <v>0.99399999999999999</v>
      </c>
      <c r="V579" s="272">
        <v>0.99399999999999999</v>
      </c>
      <c r="W579" s="272">
        <v>0.99399999999999999</v>
      </c>
      <c r="X579" s="272">
        <v>0.99399999999999999</v>
      </c>
      <c r="Y579" s="272">
        <v>0.99399999999999999</v>
      </c>
      <c r="Z579" s="272">
        <v>0.99399999999999999</v>
      </c>
      <c r="AA579" s="272">
        <v>0.99399999999999999</v>
      </c>
      <c r="AB579" s="272">
        <v>0.99399999999999999</v>
      </c>
      <c r="AC579" s="272">
        <v>0.99399999999999999</v>
      </c>
      <c r="AD579" s="396">
        <v>0.99399999999999999</v>
      </c>
      <c r="AE579" s="396">
        <v>0.99399999999999999</v>
      </c>
      <c r="AF579" s="396">
        <v>0.99399999999999999</v>
      </c>
      <c r="AG579" s="396">
        <v>0.99399999999999999</v>
      </c>
      <c r="AH579" s="396">
        <v>0.99399999999999999</v>
      </c>
      <c r="AI579" s="396">
        <v>0.99399999999999999</v>
      </c>
      <c r="AJ579" s="396">
        <v>0.99399999999999999</v>
      </c>
      <c r="AK579" s="396">
        <v>0.99399999999999999</v>
      </c>
      <c r="AL579" s="396">
        <v>0.99399999999999999</v>
      </c>
      <c r="AM579" s="396">
        <v>0.99399999999999999</v>
      </c>
      <c r="AN579" s="396">
        <v>0.99399999999999999</v>
      </c>
      <c r="AO579" s="396">
        <v>0.99399999999999999</v>
      </c>
      <c r="AP579" s="396">
        <v>0.99399999999999999</v>
      </c>
    </row>
    <row r="580" spans="1:42" s="140" customFormat="1" ht="25.5" hidden="1" customHeight="1" outlineLevel="5">
      <c r="A580" s="216"/>
      <c r="B580" s="255" t="s">
        <v>766</v>
      </c>
      <c r="C580" s="290" t="s">
        <v>260</v>
      </c>
      <c r="D580" s="227" t="s">
        <v>256</v>
      </c>
      <c r="E580" s="241"/>
      <c r="F580" s="228">
        <f t="shared" si="1259"/>
        <v>4.7589024389150178E-2</v>
      </c>
      <c r="G580" s="269">
        <f>+F580*G555</f>
        <v>1.6976679917693929E-5</v>
      </c>
      <c r="H580" s="299"/>
      <c r="I580" s="299"/>
      <c r="J580" s="299"/>
      <c r="K580" s="299"/>
      <c r="L580" s="299"/>
      <c r="M580" s="299"/>
      <c r="N580" s="272">
        <v>0.99399999999999999</v>
      </c>
      <c r="O580" s="272">
        <v>0.99399999999999999</v>
      </c>
      <c r="P580" s="272">
        <v>0.99399999999999999</v>
      </c>
      <c r="Q580" s="272">
        <v>0.99399999999999999</v>
      </c>
      <c r="R580" s="372">
        <v>0.99399999999999999</v>
      </c>
      <c r="S580" s="395">
        <v>0.99399999999999999</v>
      </c>
      <c r="T580" s="272">
        <v>0.99399999999999999</v>
      </c>
      <c r="U580" s="272">
        <v>0.99399999999999999</v>
      </c>
      <c r="V580" s="272">
        <v>0.99399999999999999</v>
      </c>
      <c r="W580" s="272">
        <v>0.99399999999999999</v>
      </c>
      <c r="X580" s="272">
        <v>0.99399999999999999</v>
      </c>
      <c r="Y580" s="272">
        <v>0.99399999999999999</v>
      </c>
      <c r="Z580" s="272">
        <v>0.99399999999999999</v>
      </c>
      <c r="AA580" s="272">
        <v>0.99399999999999999</v>
      </c>
      <c r="AB580" s="272">
        <v>0.99399999999999999</v>
      </c>
      <c r="AC580" s="272">
        <v>0.99399999999999999</v>
      </c>
      <c r="AD580" s="396">
        <v>0.99399999999999999</v>
      </c>
      <c r="AE580" s="396">
        <v>0.99399999999999999</v>
      </c>
      <c r="AF580" s="396">
        <v>0.99399999999999999</v>
      </c>
      <c r="AG580" s="396">
        <v>0.99399999999999999</v>
      </c>
      <c r="AH580" s="396">
        <v>0.99399999999999999</v>
      </c>
      <c r="AI580" s="396">
        <v>0.99399999999999999</v>
      </c>
      <c r="AJ580" s="396">
        <v>0.99399999999999999</v>
      </c>
      <c r="AK580" s="396">
        <v>0.99399999999999999</v>
      </c>
      <c r="AL580" s="396">
        <v>0.99399999999999999</v>
      </c>
      <c r="AM580" s="396">
        <v>0.99399999999999999</v>
      </c>
      <c r="AN580" s="396">
        <v>0.99399999999999999</v>
      </c>
      <c r="AO580" s="396">
        <v>0.99399999999999999</v>
      </c>
      <c r="AP580" s="396">
        <v>0.99399999999999999</v>
      </c>
    </row>
    <row r="581" spans="1:42" s="140" customFormat="1" ht="25.5" hidden="1" customHeight="1" outlineLevel="5">
      <c r="A581" s="216"/>
      <c r="B581" s="255" t="s">
        <v>767</v>
      </c>
      <c r="C581" s="290" t="s">
        <v>262</v>
      </c>
      <c r="D581" s="227" t="s">
        <v>256</v>
      </c>
      <c r="E581" s="241"/>
      <c r="F581" s="228">
        <f t="shared" si="1259"/>
        <v>4.7589024389150178E-2</v>
      </c>
      <c r="G581" s="269">
        <f>+F581*G555</f>
        <v>1.6976679917693929E-5</v>
      </c>
      <c r="H581" s="299"/>
      <c r="I581" s="299"/>
      <c r="J581" s="299"/>
      <c r="K581" s="299"/>
      <c r="L581" s="299"/>
      <c r="M581" s="299"/>
      <c r="N581" s="272">
        <v>0.99399999999999999</v>
      </c>
      <c r="O581" s="272">
        <v>0.99399999999999999</v>
      </c>
      <c r="P581" s="272">
        <v>0.99399999999999999</v>
      </c>
      <c r="Q581" s="272">
        <v>0.99399999999999999</v>
      </c>
      <c r="R581" s="372">
        <v>0.99399999999999999</v>
      </c>
      <c r="S581" s="395">
        <v>0.99399999999999999</v>
      </c>
      <c r="T581" s="272">
        <v>0.99399999999999999</v>
      </c>
      <c r="U581" s="272">
        <v>0.99399999999999999</v>
      </c>
      <c r="V581" s="272">
        <v>0.99399999999999999</v>
      </c>
      <c r="W581" s="272">
        <v>0.99399999999999999</v>
      </c>
      <c r="X581" s="272">
        <v>0.99399999999999999</v>
      </c>
      <c r="Y581" s="272">
        <v>0.99399999999999999</v>
      </c>
      <c r="Z581" s="272">
        <v>0.99399999999999999</v>
      </c>
      <c r="AA581" s="272">
        <v>0.99399999999999999</v>
      </c>
      <c r="AB581" s="272">
        <v>0.99399999999999999</v>
      </c>
      <c r="AC581" s="272">
        <v>0.99399999999999999</v>
      </c>
      <c r="AD581" s="396">
        <v>0.99399999999999999</v>
      </c>
      <c r="AE581" s="396">
        <v>0.99399999999999999</v>
      </c>
      <c r="AF581" s="396">
        <v>0.99399999999999999</v>
      </c>
      <c r="AG581" s="396">
        <v>0.99399999999999999</v>
      </c>
      <c r="AH581" s="396">
        <v>0.99399999999999999</v>
      </c>
      <c r="AI581" s="396">
        <v>0.99399999999999999</v>
      </c>
      <c r="AJ581" s="396">
        <v>0.99399999999999999</v>
      </c>
      <c r="AK581" s="396">
        <v>0.99399999999999999</v>
      </c>
      <c r="AL581" s="396">
        <v>0.99399999999999999</v>
      </c>
      <c r="AM581" s="396">
        <v>0.99399999999999999</v>
      </c>
      <c r="AN581" s="396">
        <v>0.99399999999999999</v>
      </c>
      <c r="AO581" s="396">
        <v>0.99399999999999999</v>
      </c>
      <c r="AP581" s="396">
        <v>0.99399999999999999</v>
      </c>
    </row>
    <row r="582" spans="1:42" s="140" customFormat="1" ht="12.75" hidden="1" customHeight="1" outlineLevel="4">
      <c r="A582" s="216"/>
      <c r="B582" s="291" t="s">
        <v>768</v>
      </c>
      <c r="C582" s="292" t="s">
        <v>37</v>
      </c>
      <c r="D582" s="234" t="s">
        <v>33</v>
      </c>
      <c r="E582" s="240"/>
      <c r="F582" s="223">
        <f t="shared" si="1259"/>
        <v>9.0647549000068411E-2</v>
      </c>
      <c r="G582" s="293">
        <f>+F582*G533</f>
        <v>1.3983441738031518E-4</v>
      </c>
      <c r="H582" s="298"/>
      <c r="I582" s="298"/>
      <c r="J582" s="298"/>
      <c r="K582" s="298"/>
      <c r="L582" s="298"/>
      <c r="M582" s="298"/>
      <c r="N582" s="270">
        <f t="shared" ref="N582:R582" si="1329">+SUMPRODUCT($F583:$F593,N583:N593)</f>
        <v>0.34999999999999987</v>
      </c>
      <c r="O582" s="270">
        <f t="shared" si="1329"/>
        <v>0.34999999999999987</v>
      </c>
      <c r="P582" s="270">
        <f t="shared" si="1329"/>
        <v>0.34999999999999987</v>
      </c>
      <c r="Q582" s="270">
        <f t="shared" si="1329"/>
        <v>0.34999999999999987</v>
      </c>
      <c r="R582" s="370">
        <f t="shared" si="1329"/>
        <v>0.34999999999999987</v>
      </c>
      <c r="S582" s="391">
        <f t="shared" ref="S582" si="1330">+SUMPRODUCT($F583:$F593,S583:S593)</f>
        <v>0.34999999999999987</v>
      </c>
      <c r="T582" s="270">
        <f t="shared" ref="T582" si="1331">+SUMPRODUCT($F583:$F593,T583:T593)</f>
        <v>0.34999999999999987</v>
      </c>
      <c r="U582" s="270">
        <f t="shared" ref="U582" si="1332">+SUMPRODUCT($F583:$F593,U583:U593)</f>
        <v>0.34999999999999987</v>
      </c>
      <c r="V582" s="270">
        <f t="shared" ref="V582" si="1333">+SUMPRODUCT($F583:$F593,V583:V593)</f>
        <v>0.34999999999999987</v>
      </c>
      <c r="W582" s="270">
        <f t="shared" ref="W582" si="1334">+SUMPRODUCT($F583:$F593,W583:W593)</f>
        <v>0.34999999999999987</v>
      </c>
      <c r="X582" s="270">
        <f t="shared" ref="X582" si="1335">+SUMPRODUCT($F583:$F593,X583:X593)</f>
        <v>0.34999999999999987</v>
      </c>
      <c r="Y582" s="270">
        <f t="shared" ref="Y582" si="1336">+SUMPRODUCT($F583:$F593,Y583:Y593)</f>
        <v>0.34999999999999987</v>
      </c>
      <c r="Z582" s="270">
        <f t="shared" ref="Z582" si="1337">+SUMPRODUCT($F583:$F593,Z583:Z593)</f>
        <v>0.34999999999999987</v>
      </c>
      <c r="AA582" s="270">
        <f t="shared" ref="AA582" si="1338">+SUMPRODUCT($F583:$F593,AA583:AA593)</f>
        <v>0.34999999999999987</v>
      </c>
      <c r="AB582" s="270">
        <f t="shared" ref="AB582" si="1339">+SUMPRODUCT($F583:$F593,AB583:AB593)</f>
        <v>0.34999999999999987</v>
      </c>
      <c r="AC582" s="270">
        <f t="shared" ref="AC582" si="1340">+SUMPRODUCT($F583:$F593,AC583:AC593)</f>
        <v>0.34999999999999987</v>
      </c>
      <c r="AD582" s="392">
        <f t="shared" ref="AD582:AF582" si="1341">+SUMPRODUCT($F583:$F593,AD583:AD593)</f>
        <v>0.34999999999999987</v>
      </c>
      <c r="AE582" s="392">
        <f t="shared" si="1341"/>
        <v>0.34999999999999987</v>
      </c>
      <c r="AF582" s="392">
        <f t="shared" si="1341"/>
        <v>0.34999999999999987</v>
      </c>
      <c r="AG582" s="392">
        <f t="shared" ref="AG582" si="1342">+SUMPRODUCT($F583:$F593,AG583:AG593)</f>
        <v>0.34999999999999987</v>
      </c>
      <c r="AH582" s="392">
        <f t="shared" ref="AH582" si="1343">+SUMPRODUCT($F583:$F593,AH583:AH593)</f>
        <v>0.34999999999999987</v>
      </c>
      <c r="AI582" s="392">
        <f t="shared" ref="AI582" si="1344">+SUMPRODUCT($F583:$F593,AI583:AI593)</f>
        <v>0.34999999999999987</v>
      </c>
      <c r="AJ582" s="392">
        <f t="shared" ref="AJ582" si="1345">+SUMPRODUCT($F583:$F593,AJ583:AJ593)</f>
        <v>0.34999999999999987</v>
      </c>
      <c r="AK582" s="392">
        <f t="shared" ref="AK582" si="1346">+SUMPRODUCT($F583:$F593,AK583:AK593)</f>
        <v>0.34999999999999987</v>
      </c>
      <c r="AL582" s="392">
        <f t="shared" ref="AL582" si="1347">+SUMPRODUCT($F583:$F593,AL583:AL593)</f>
        <v>0.34999999999999987</v>
      </c>
      <c r="AM582" s="392">
        <f t="shared" ref="AM582" si="1348">+SUMPRODUCT($F583:$F593,AM583:AM593)</f>
        <v>0.34999999999999987</v>
      </c>
      <c r="AN582" s="392">
        <f t="shared" ref="AN582" si="1349">+SUMPRODUCT($F583:$F593,AN583:AN593)</f>
        <v>0.34999999999999987</v>
      </c>
      <c r="AO582" s="392">
        <f t="shared" ref="AO582" si="1350">+SUMPRODUCT($F583:$F593,AO583:AO593)</f>
        <v>0.34999999999999987</v>
      </c>
      <c r="AP582" s="392">
        <f t="shared" ref="AP582" si="1351">+SUMPRODUCT($F583:$F593,AP583:AP593)</f>
        <v>0.34999999999999987</v>
      </c>
    </row>
    <row r="583" spans="1:42" s="140" customFormat="1" ht="12.75" hidden="1" customHeight="1" outlineLevel="5">
      <c r="A583" s="216"/>
      <c r="B583" s="255" t="s">
        <v>769</v>
      </c>
      <c r="C583" s="290" t="s">
        <v>230</v>
      </c>
      <c r="D583" s="227" t="s">
        <v>231</v>
      </c>
      <c r="E583" s="241"/>
      <c r="F583" s="228">
        <f t="shared" si="1259"/>
        <v>9.0909090909090912E-2</v>
      </c>
      <c r="G583" s="269">
        <f>+F583*G582</f>
        <v>1.2712219761846836E-5</v>
      </c>
      <c r="H583" s="299"/>
      <c r="I583" s="299"/>
      <c r="J583" s="299"/>
      <c r="K583" s="299"/>
      <c r="L583" s="299"/>
      <c r="M583" s="299"/>
      <c r="N583" s="272">
        <v>0.35</v>
      </c>
      <c r="O583" s="272">
        <v>0.35</v>
      </c>
      <c r="P583" s="272">
        <v>0.35</v>
      </c>
      <c r="Q583" s="272">
        <v>0.35</v>
      </c>
      <c r="R583" s="372">
        <v>0.35</v>
      </c>
      <c r="S583" s="395">
        <v>0.35</v>
      </c>
      <c r="T583" s="272">
        <v>0.35</v>
      </c>
      <c r="U583" s="272">
        <v>0.35</v>
      </c>
      <c r="V583" s="272">
        <v>0.35</v>
      </c>
      <c r="W583" s="272">
        <v>0.35</v>
      </c>
      <c r="X583" s="272">
        <v>0.35</v>
      </c>
      <c r="Y583" s="272">
        <v>0.35</v>
      </c>
      <c r="Z583" s="272">
        <v>0.35</v>
      </c>
      <c r="AA583" s="272">
        <v>0.35</v>
      </c>
      <c r="AB583" s="272">
        <v>0.35</v>
      </c>
      <c r="AC583" s="272">
        <v>0.35</v>
      </c>
      <c r="AD583" s="396">
        <v>0.35</v>
      </c>
      <c r="AE583" s="396">
        <v>0.35</v>
      </c>
      <c r="AF583" s="396">
        <v>0.35</v>
      </c>
      <c r="AG583" s="396">
        <v>0.35</v>
      </c>
      <c r="AH583" s="396">
        <v>0.35</v>
      </c>
      <c r="AI583" s="396">
        <v>0.35</v>
      </c>
      <c r="AJ583" s="396">
        <v>0.35</v>
      </c>
      <c r="AK583" s="396">
        <v>0.35</v>
      </c>
      <c r="AL583" s="396">
        <v>0.35</v>
      </c>
      <c r="AM583" s="396">
        <v>0.35</v>
      </c>
      <c r="AN583" s="396">
        <v>0.35</v>
      </c>
      <c r="AO583" s="396">
        <v>0.35</v>
      </c>
      <c r="AP583" s="396">
        <v>0.35</v>
      </c>
    </row>
    <row r="584" spans="1:42" s="140" customFormat="1" ht="12.75" hidden="1" customHeight="1" outlineLevel="5">
      <c r="A584" s="216"/>
      <c r="B584" s="255" t="s">
        <v>770</v>
      </c>
      <c r="C584" s="290" t="s">
        <v>233</v>
      </c>
      <c r="D584" s="227" t="s">
        <v>231</v>
      </c>
      <c r="E584" s="241"/>
      <c r="F584" s="228">
        <f t="shared" si="1259"/>
        <v>9.0909090909090912E-2</v>
      </c>
      <c r="G584" s="269">
        <f>+F584*G582</f>
        <v>1.2712219761846836E-5</v>
      </c>
      <c r="H584" s="299"/>
      <c r="I584" s="299"/>
      <c r="J584" s="299"/>
      <c r="K584" s="299"/>
      <c r="L584" s="299"/>
      <c r="M584" s="299"/>
      <c r="N584" s="272">
        <v>0.35</v>
      </c>
      <c r="O584" s="272">
        <v>0.35</v>
      </c>
      <c r="P584" s="272">
        <v>0.35</v>
      </c>
      <c r="Q584" s="272">
        <v>0.35</v>
      </c>
      <c r="R584" s="372">
        <v>0.35</v>
      </c>
      <c r="S584" s="395">
        <v>0.35</v>
      </c>
      <c r="T584" s="272">
        <v>0.35</v>
      </c>
      <c r="U584" s="272">
        <v>0.35</v>
      </c>
      <c r="V584" s="272">
        <v>0.35</v>
      </c>
      <c r="W584" s="272">
        <v>0.35</v>
      </c>
      <c r="X584" s="272">
        <v>0.35</v>
      </c>
      <c r="Y584" s="272">
        <v>0.35</v>
      </c>
      <c r="Z584" s="272">
        <v>0.35</v>
      </c>
      <c r="AA584" s="272">
        <v>0.35</v>
      </c>
      <c r="AB584" s="272">
        <v>0.35</v>
      </c>
      <c r="AC584" s="272">
        <v>0.35</v>
      </c>
      <c r="AD584" s="396">
        <v>0.35</v>
      </c>
      <c r="AE584" s="396">
        <v>0.35</v>
      </c>
      <c r="AF584" s="396">
        <v>0.35</v>
      </c>
      <c r="AG584" s="396">
        <v>0.35</v>
      </c>
      <c r="AH584" s="396">
        <v>0.35</v>
      </c>
      <c r="AI584" s="396">
        <v>0.35</v>
      </c>
      <c r="AJ584" s="396">
        <v>0.35</v>
      </c>
      <c r="AK584" s="396">
        <v>0.35</v>
      </c>
      <c r="AL584" s="396">
        <v>0.35</v>
      </c>
      <c r="AM584" s="396">
        <v>0.35</v>
      </c>
      <c r="AN584" s="396">
        <v>0.35</v>
      </c>
      <c r="AO584" s="396">
        <v>0.35</v>
      </c>
      <c r="AP584" s="396">
        <v>0.35</v>
      </c>
    </row>
    <row r="585" spans="1:42" s="140" customFormat="1" ht="12.75" hidden="1" customHeight="1" outlineLevel="5">
      <c r="A585" s="216"/>
      <c r="B585" s="255" t="s">
        <v>771</v>
      </c>
      <c r="C585" s="290" t="s">
        <v>235</v>
      </c>
      <c r="D585" s="227" t="s">
        <v>231</v>
      </c>
      <c r="E585" s="241"/>
      <c r="F585" s="228">
        <f t="shared" si="1259"/>
        <v>9.0909090909090912E-2</v>
      </c>
      <c r="G585" s="269">
        <f>+F585*G582</f>
        <v>1.2712219761846836E-5</v>
      </c>
      <c r="H585" s="299"/>
      <c r="I585" s="299"/>
      <c r="J585" s="299"/>
      <c r="K585" s="299"/>
      <c r="L585" s="299"/>
      <c r="M585" s="299"/>
      <c r="N585" s="272">
        <v>0.35</v>
      </c>
      <c r="O585" s="272">
        <v>0.35</v>
      </c>
      <c r="P585" s="272">
        <v>0.35</v>
      </c>
      <c r="Q585" s="272">
        <v>0.35</v>
      </c>
      <c r="R585" s="372">
        <v>0.35</v>
      </c>
      <c r="S585" s="395">
        <v>0.35</v>
      </c>
      <c r="T585" s="272">
        <v>0.35</v>
      </c>
      <c r="U585" s="272">
        <v>0.35</v>
      </c>
      <c r="V585" s="272">
        <v>0.35</v>
      </c>
      <c r="W585" s="272">
        <v>0.35</v>
      </c>
      <c r="X585" s="272">
        <v>0.35</v>
      </c>
      <c r="Y585" s="272">
        <v>0.35</v>
      </c>
      <c r="Z585" s="272">
        <v>0.35</v>
      </c>
      <c r="AA585" s="272">
        <v>0.35</v>
      </c>
      <c r="AB585" s="272">
        <v>0.35</v>
      </c>
      <c r="AC585" s="272">
        <v>0.35</v>
      </c>
      <c r="AD585" s="396">
        <v>0.35</v>
      </c>
      <c r="AE585" s="396">
        <v>0.35</v>
      </c>
      <c r="AF585" s="396">
        <v>0.35</v>
      </c>
      <c r="AG585" s="396">
        <v>0.35</v>
      </c>
      <c r="AH585" s="396">
        <v>0.35</v>
      </c>
      <c r="AI585" s="396">
        <v>0.35</v>
      </c>
      <c r="AJ585" s="396">
        <v>0.35</v>
      </c>
      <c r="AK585" s="396">
        <v>0.35</v>
      </c>
      <c r="AL585" s="396">
        <v>0.35</v>
      </c>
      <c r="AM585" s="396">
        <v>0.35</v>
      </c>
      <c r="AN585" s="396">
        <v>0.35</v>
      </c>
      <c r="AO585" s="396">
        <v>0.35</v>
      </c>
      <c r="AP585" s="396">
        <v>0.35</v>
      </c>
    </row>
    <row r="586" spans="1:42" s="140" customFormat="1" ht="12.75" hidden="1" customHeight="1" outlineLevel="5">
      <c r="A586" s="216"/>
      <c r="B586" s="255" t="s">
        <v>772</v>
      </c>
      <c r="C586" s="290" t="s">
        <v>237</v>
      </c>
      <c r="D586" s="227" t="s">
        <v>231</v>
      </c>
      <c r="E586" s="241"/>
      <c r="F586" s="228">
        <f t="shared" si="1259"/>
        <v>9.0909090909090912E-2</v>
      </c>
      <c r="G586" s="269">
        <f>+F586*G582</f>
        <v>1.2712219761846836E-5</v>
      </c>
      <c r="H586" s="299"/>
      <c r="I586" s="299"/>
      <c r="J586" s="299"/>
      <c r="K586" s="299"/>
      <c r="L586" s="299"/>
      <c r="M586" s="299"/>
      <c r="N586" s="272">
        <v>0.35</v>
      </c>
      <c r="O586" s="272">
        <v>0.35</v>
      </c>
      <c r="P586" s="272">
        <v>0.35</v>
      </c>
      <c r="Q586" s="272">
        <v>0.35</v>
      </c>
      <c r="R586" s="372">
        <v>0.35</v>
      </c>
      <c r="S586" s="395">
        <v>0.35</v>
      </c>
      <c r="T586" s="272">
        <v>0.35</v>
      </c>
      <c r="U586" s="272">
        <v>0.35</v>
      </c>
      <c r="V586" s="272">
        <v>0.35</v>
      </c>
      <c r="W586" s="272">
        <v>0.35</v>
      </c>
      <c r="X586" s="272">
        <v>0.35</v>
      </c>
      <c r="Y586" s="272">
        <v>0.35</v>
      </c>
      <c r="Z586" s="272">
        <v>0.35</v>
      </c>
      <c r="AA586" s="272">
        <v>0.35</v>
      </c>
      <c r="AB586" s="272">
        <v>0.35</v>
      </c>
      <c r="AC586" s="272">
        <v>0.35</v>
      </c>
      <c r="AD586" s="396">
        <v>0.35</v>
      </c>
      <c r="AE586" s="396">
        <v>0.35</v>
      </c>
      <c r="AF586" s="396">
        <v>0.35</v>
      </c>
      <c r="AG586" s="396">
        <v>0.35</v>
      </c>
      <c r="AH586" s="396">
        <v>0.35</v>
      </c>
      <c r="AI586" s="396">
        <v>0.35</v>
      </c>
      <c r="AJ586" s="396">
        <v>0.35</v>
      </c>
      <c r="AK586" s="396">
        <v>0.35</v>
      </c>
      <c r="AL586" s="396">
        <v>0.35</v>
      </c>
      <c r="AM586" s="396">
        <v>0.35</v>
      </c>
      <c r="AN586" s="396">
        <v>0.35</v>
      </c>
      <c r="AO586" s="396">
        <v>0.35</v>
      </c>
      <c r="AP586" s="396">
        <v>0.35</v>
      </c>
    </row>
    <row r="587" spans="1:42" s="140" customFormat="1" ht="12.75" hidden="1" customHeight="1" outlineLevel="5">
      <c r="A587" s="216"/>
      <c r="B587" s="255" t="s">
        <v>773</v>
      </c>
      <c r="C587" s="290" t="s">
        <v>239</v>
      </c>
      <c r="D587" s="227" t="s">
        <v>231</v>
      </c>
      <c r="E587" s="241"/>
      <c r="F587" s="228">
        <f t="shared" si="1259"/>
        <v>9.0909090909090912E-2</v>
      </c>
      <c r="G587" s="269">
        <f>+F587*G582</f>
        <v>1.2712219761846836E-5</v>
      </c>
      <c r="H587" s="299"/>
      <c r="I587" s="299"/>
      <c r="J587" s="299"/>
      <c r="K587" s="299"/>
      <c r="L587" s="299"/>
      <c r="M587" s="299"/>
      <c r="N587" s="272">
        <v>0.35</v>
      </c>
      <c r="O587" s="272">
        <v>0.35</v>
      </c>
      <c r="P587" s="272">
        <v>0.35</v>
      </c>
      <c r="Q587" s="272">
        <v>0.35</v>
      </c>
      <c r="R587" s="372">
        <v>0.35</v>
      </c>
      <c r="S587" s="395">
        <v>0.35</v>
      </c>
      <c r="T587" s="272">
        <v>0.35</v>
      </c>
      <c r="U587" s="272">
        <v>0.35</v>
      </c>
      <c r="V587" s="272">
        <v>0.35</v>
      </c>
      <c r="W587" s="272">
        <v>0.35</v>
      </c>
      <c r="X587" s="272">
        <v>0.35</v>
      </c>
      <c r="Y587" s="272">
        <v>0.35</v>
      </c>
      <c r="Z587" s="272">
        <v>0.35</v>
      </c>
      <c r="AA587" s="272">
        <v>0.35</v>
      </c>
      <c r="AB587" s="272">
        <v>0.35</v>
      </c>
      <c r="AC587" s="272">
        <v>0.35</v>
      </c>
      <c r="AD587" s="396">
        <v>0.35</v>
      </c>
      <c r="AE587" s="396">
        <v>0.35</v>
      </c>
      <c r="AF587" s="396">
        <v>0.35</v>
      </c>
      <c r="AG587" s="396">
        <v>0.35</v>
      </c>
      <c r="AH587" s="396">
        <v>0.35</v>
      </c>
      <c r="AI587" s="396">
        <v>0.35</v>
      </c>
      <c r="AJ587" s="396">
        <v>0.35</v>
      </c>
      <c r="AK587" s="396">
        <v>0.35</v>
      </c>
      <c r="AL587" s="396">
        <v>0.35</v>
      </c>
      <c r="AM587" s="396">
        <v>0.35</v>
      </c>
      <c r="AN587" s="396">
        <v>0.35</v>
      </c>
      <c r="AO587" s="396">
        <v>0.35</v>
      </c>
      <c r="AP587" s="396">
        <v>0.35</v>
      </c>
    </row>
    <row r="588" spans="1:42" s="140" customFormat="1" ht="12.75" hidden="1" customHeight="1" outlineLevel="5">
      <c r="A588" s="216"/>
      <c r="B588" s="255" t="s">
        <v>774</v>
      </c>
      <c r="C588" s="290" t="s">
        <v>241</v>
      </c>
      <c r="D588" s="227" t="s">
        <v>231</v>
      </c>
      <c r="E588" s="241"/>
      <c r="F588" s="228">
        <f t="shared" si="1259"/>
        <v>9.0909090909090912E-2</v>
      </c>
      <c r="G588" s="269">
        <f>+F588*G582</f>
        <v>1.2712219761846836E-5</v>
      </c>
      <c r="H588" s="299"/>
      <c r="I588" s="299"/>
      <c r="J588" s="299"/>
      <c r="K588" s="299"/>
      <c r="L588" s="299"/>
      <c r="M588" s="299"/>
      <c r="N588" s="272">
        <v>0.35</v>
      </c>
      <c r="O588" s="272">
        <v>0.35</v>
      </c>
      <c r="P588" s="272">
        <v>0.35</v>
      </c>
      <c r="Q588" s="272">
        <v>0.35</v>
      </c>
      <c r="R588" s="372">
        <v>0.35</v>
      </c>
      <c r="S588" s="395">
        <v>0.35</v>
      </c>
      <c r="T588" s="272">
        <v>0.35</v>
      </c>
      <c r="U588" s="272">
        <v>0.35</v>
      </c>
      <c r="V588" s="272">
        <v>0.35</v>
      </c>
      <c r="W588" s="272">
        <v>0.35</v>
      </c>
      <c r="X588" s="272">
        <v>0.35</v>
      </c>
      <c r="Y588" s="272">
        <v>0.35</v>
      </c>
      <c r="Z588" s="272">
        <v>0.35</v>
      </c>
      <c r="AA588" s="272">
        <v>0.35</v>
      </c>
      <c r="AB588" s="272">
        <v>0.35</v>
      </c>
      <c r="AC588" s="272">
        <v>0.35</v>
      </c>
      <c r="AD588" s="396">
        <v>0.35</v>
      </c>
      <c r="AE588" s="396">
        <v>0.35</v>
      </c>
      <c r="AF588" s="396">
        <v>0.35</v>
      </c>
      <c r="AG588" s="396">
        <v>0.35</v>
      </c>
      <c r="AH588" s="396">
        <v>0.35</v>
      </c>
      <c r="AI588" s="396">
        <v>0.35</v>
      </c>
      <c r="AJ588" s="396">
        <v>0.35</v>
      </c>
      <c r="AK588" s="396">
        <v>0.35</v>
      </c>
      <c r="AL588" s="396">
        <v>0.35</v>
      </c>
      <c r="AM588" s="396">
        <v>0.35</v>
      </c>
      <c r="AN588" s="396">
        <v>0.35</v>
      </c>
      <c r="AO588" s="396">
        <v>0.35</v>
      </c>
      <c r="AP588" s="396">
        <v>0.35</v>
      </c>
    </row>
    <row r="589" spans="1:42" s="140" customFormat="1" ht="12.75" hidden="1" customHeight="1" outlineLevel="5">
      <c r="A589" s="216"/>
      <c r="B589" s="255" t="s">
        <v>775</v>
      </c>
      <c r="C589" s="290" t="s">
        <v>243</v>
      </c>
      <c r="D589" s="227" t="s">
        <v>231</v>
      </c>
      <c r="E589" s="241"/>
      <c r="F589" s="228">
        <f t="shared" si="1259"/>
        <v>9.0909090909090912E-2</v>
      </c>
      <c r="G589" s="269">
        <f>+F589*G582</f>
        <v>1.2712219761846836E-5</v>
      </c>
      <c r="H589" s="299"/>
      <c r="I589" s="299"/>
      <c r="J589" s="299"/>
      <c r="K589" s="299"/>
      <c r="L589" s="299"/>
      <c r="M589" s="299"/>
      <c r="N589" s="272">
        <v>0.35</v>
      </c>
      <c r="O589" s="272">
        <v>0.35</v>
      </c>
      <c r="P589" s="272">
        <v>0.35</v>
      </c>
      <c r="Q589" s="272">
        <v>0.35</v>
      </c>
      <c r="R589" s="372">
        <v>0.35</v>
      </c>
      <c r="S589" s="395">
        <v>0.35</v>
      </c>
      <c r="T589" s="272">
        <v>0.35</v>
      </c>
      <c r="U589" s="272">
        <v>0.35</v>
      </c>
      <c r="V589" s="272">
        <v>0.35</v>
      </c>
      <c r="W589" s="272">
        <v>0.35</v>
      </c>
      <c r="X589" s="272">
        <v>0.35</v>
      </c>
      <c r="Y589" s="272">
        <v>0.35</v>
      </c>
      <c r="Z589" s="272">
        <v>0.35</v>
      </c>
      <c r="AA589" s="272">
        <v>0.35</v>
      </c>
      <c r="AB589" s="272">
        <v>0.35</v>
      </c>
      <c r="AC589" s="272">
        <v>0.35</v>
      </c>
      <c r="AD589" s="396">
        <v>0.35</v>
      </c>
      <c r="AE589" s="396">
        <v>0.35</v>
      </c>
      <c r="AF589" s="396">
        <v>0.35</v>
      </c>
      <c r="AG589" s="396">
        <v>0.35</v>
      </c>
      <c r="AH589" s="396">
        <v>0.35</v>
      </c>
      <c r="AI589" s="396">
        <v>0.35</v>
      </c>
      <c r="AJ589" s="396">
        <v>0.35</v>
      </c>
      <c r="AK589" s="396">
        <v>0.35</v>
      </c>
      <c r="AL589" s="396">
        <v>0.35</v>
      </c>
      <c r="AM589" s="396">
        <v>0.35</v>
      </c>
      <c r="AN589" s="396">
        <v>0.35</v>
      </c>
      <c r="AO589" s="396">
        <v>0.35</v>
      </c>
      <c r="AP589" s="396">
        <v>0.35</v>
      </c>
    </row>
    <row r="590" spans="1:42" s="140" customFormat="1" ht="12.75" hidden="1" customHeight="1" outlineLevel="5">
      <c r="A590" s="216"/>
      <c r="B590" s="255" t="s">
        <v>776</v>
      </c>
      <c r="C590" s="290" t="s">
        <v>245</v>
      </c>
      <c r="D590" s="227" t="s">
        <v>231</v>
      </c>
      <c r="E590" s="241"/>
      <c r="F590" s="228">
        <f t="shared" si="1259"/>
        <v>9.0909090909090912E-2</v>
      </c>
      <c r="G590" s="269">
        <f>+F590*G582</f>
        <v>1.2712219761846836E-5</v>
      </c>
      <c r="H590" s="299"/>
      <c r="I590" s="299"/>
      <c r="J590" s="299"/>
      <c r="K590" s="299"/>
      <c r="L590" s="299"/>
      <c r="M590" s="299"/>
      <c r="N590" s="272">
        <v>0.35</v>
      </c>
      <c r="O590" s="272">
        <v>0.35</v>
      </c>
      <c r="P590" s="272">
        <v>0.35</v>
      </c>
      <c r="Q590" s="272">
        <v>0.35</v>
      </c>
      <c r="R590" s="372">
        <v>0.35</v>
      </c>
      <c r="S590" s="395">
        <v>0.35</v>
      </c>
      <c r="T590" s="272">
        <v>0.35</v>
      </c>
      <c r="U590" s="272">
        <v>0.35</v>
      </c>
      <c r="V590" s="272">
        <v>0.35</v>
      </c>
      <c r="W590" s="272">
        <v>0.35</v>
      </c>
      <c r="X590" s="272">
        <v>0.35</v>
      </c>
      <c r="Y590" s="272">
        <v>0.35</v>
      </c>
      <c r="Z590" s="272">
        <v>0.35</v>
      </c>
      <c r="AA590" s="272">
        <v>0.35</v>
      </c>
      <c r="AB590" s="272">
        <v>0.35</v>
      </c>
      <c r="AC590" s="272">
        <v>0.35</v>
      </c>
      <c r="AD590" s="396">
        <v>0.35</v>
      </c>
      <c r="AE590" s="396">
        <v>0.35</v>
      </c>
      <c r="AF590" s="396">
        <v>0.35</v>
      </c>
      <c r="AG590" s="396">
        <v>0.35</v>
      </c>
      <c r="AH590" s="396">
        <v>0.35</v>
      </c>
      <c r="AI590" s="396">
        <v>0.35</v>
      </c>
      <c r="AJ590" s="396">
        <v>0.35</v>
      </c>
      <c r="AK590" s="396">
        <v>0.35</v>
      </c>
      <c r="AL590" s="396">
        <v>0.35</v>
      </c>
      <c r="AM590" s="396">
        <v>0.35</v>
      </c>
      <c r="AN590" s="396">
        <v>0.35</v>
      </c>
      <c r="AO590" s="396">
        <v>0.35</v>
      </c>
      <c r="AP590" s="396">
        <v>0.35</v>
      </c>
    </row>
    <row r="591" spans="1:42" s="140" customFormat="1" ht="12.75" hidden="1" customHeight="1" outlineLevel="5">
      <c r="A591" s="216"/>
      <c r="B591" s="255" t="s">
        <v>777</v>
      </c>
      <c r="C591" s="290" t="s">
        <v>247</v>
      </c>
      <c r="D591" s="227" t="s">
        <v>231</v>
      </c>
      <c r="E591" s="241"/>
      <c r="F591" s="228">
        <f t="shared" si="1259"/>
        <v>9.0909090909090912E-2</v>
      </c>
      <c r="G591" s="269">
        <f>+F591*G582</f>
        <v>1.2712219761846836E-5</v>
      </c>
      <c r="H591" s="299"/>
      <c r="I591" s="299"/>
      <c r="J591" s="299"/>
      <c r="K591" s="299"/>
      <c r="L591" s="299"/>
      <c r="M591" s="299"/>
      <c r="N591" s="272">
        <v>0.35</v>
      </c>
      <c r="O591" s="272">
        <v>0.35</v>
      </c>
      <c r="P591" s="272">
        <v>0.35</v>
      </c>
      <c r="Q591" s="272">
        <v>0.35</v>
      </c>
      <c r="R591" s="372">
        <v>0.35</v>
      </c>
      <c r="S591" s="395">
        <v>0.35</v>
      </c>
      <c r="T591" s="272">
        <v>0.35</v>
      </c>
      <c r="U591" s="272">
        <v>0.35</v>
      </c>
      <c r="V591" s="272">
        <v>0.35</v>
      </c>
      <c r="W591" s="272">
        <v>0.35</v>
      </c>
      <c r="X591" s="272">
        <v>0.35</v>
      </c>
      <c r="Y591" s="272">
        <v>0.35</v>
      </c>
      <c r="Z591" s="272">
        <v>0.35</v>
      </c>
      <c r="AA591" s="272">
        <v>0.35</v>
      </c>
      <c r="AB591" s="272">
        <v>0.35</v>
      </c>
      <c r="AC591" s="272">
        <v>0.35</v>
      </c>
      <c r="AD591" s="396">
        <v>0.35</v>
      </c>
      <c r="AE591" s="396">
        <v>0.35</v>
      </c>
      <c r="AF591" s="396">
        <v>0.35</v>
      </c>
      <c r="AG591" s="396">
        <v>0.35</v>
      </c>
      <c r="AH591" s="396">
        <v>0.35</v>
      </c>
      <c r="AI591" s="396">
        <v>0.35</v>
      </c>
      <c r="AJ591" s="396">
        <v>0.35</v>
      </c>
      <c r="AK591" s="396">
        <v>0.35</v>
      </c>
      <c r="AL591" s="396">
        <v>0.35</v>
      </c>
      <c r="AM591" s="396">
        <v>0.35</v>
      </c>
      <c r="AN591" s="396">
        <v>0.35</v>
      </c>
      <c r="AO591" s="396">
        <v>0.35</v>
      </c>
      <c r="AP591" s="396">
        <v>0.35</v>
      </c>
    </row>
    <row r="592" spans="1:42" s="140" customFormat="1" ht="12.75" hidden="1" customHeight="1" outlineLevel="5">
      <c r="A592" s="216"/>
      <c r="B592" s="255" t="s">
        <v>778</v>
      </c>
      <c r="C592" s="290" t="s">
        <v>249</v>
      </c>
      <c r="D592" s="227" t="s">
        <v>231</v>
      </c>
      <c r="E592" s="241"/>
      <c r="F592" s="228">
        <f t="shared" si="1259"/>
        <v>9.0909090909090912E-2</v>
      </c>
      <c r="G592" s="269">
        <f>+F592*G582</f>
        <v>1.2712219761846836E-5</v>
      </c>
      <c r="H592" s="299"/>
      <c r="I592" s="299"/>
      <c r="J592" s="299"/>
      <c r="K592" s="299"/>
      <c r="L592" s="299"/>
      <c r="M592" s="299"/>
      <c r="N592" s="272">
        <v>0.35</v>
      </c>
      <c r="O592" s="272">
        <v>0.35</v>
      </c>
      <c r="P592" s="272">
        <v>0.35</v>
      </c>
      <c r="Q592" s="272">
        <v>0.35</v>
      </c>
      <c r="R592" s="372">
        <v>0.35</v>
      </c>
      <c r="S592" s="395">
        <v>0.35</v>
      </c>
      <c r="T592" s="272">
        <v>0.35</v>
      </c>
      <c r="U592" s="272">
        <v>0.35</v>
      </c>
      <c r="V592" s="272">
        <v>0.35</v>
      </c>
      <c r="W592" s="272">
        <v>0.35</v>
      </c>
      <c r="X592" s="272">
        <v>0.35</v>
      </c>
      <c r="Y592" s="272">
        <v>0.35</v>
      </c>
      <c r="Z592" s="272">
        <v>0.35</v>
      </c>
      <c r="AA592" s="272">
        <v>0.35</v>
      </c>
      <c r="AB592" s="272">
        <v>0.35</v>
      </c>
      <c r="AC592" s="272">
        <v>0.35</v>
      </c>
      <c r="AD592" s="396">
        <v>0.35</v>
      </c>
      <c r="AE592" s="396">
        <v>0.35</v>
      </c>
      <c r="AF592" s="396">
        <v>0.35</v>
      </c>
      <c r="AG592" s="396">
        <v>0.35</v>
      </c>
      <c r="AH592" s="396">
        <v>0.35</v>
      </c>
      <c r="AI592" s="396">
        <v>0.35</v>
      </c>
      <c r="AJ592" s="396">
        <v>0.35</v>
      </c>
      <c r="AK592" s="396">
        <v>0.35</v>
      </c>
      <c r="AL592" s="396">
        <v>0.35</v>
      </c>
      <c r="AM592" s="396">
        <v>0.35</v>
      </c>
      <c r="AN592" s="396">
        <v>0.35</v>
      </c>
      <c r="AO592" s="396">
        <v>0.35</v>
      </c>
      <c r="AP592" s="396">
        <v>0.35</v>
      </c>
    </row>
    <row r="593" spans="1:42" s="140" customFormat="1" ht="12.75" hidden="1" customHeight="1" outlineLevel="5">
      <c r="A593" s="216"/>
      <c r="B593" s="255" t="s">
        <v>779</v>
      </c>
      <c r="C593" s="290" t="s">
        <v>251</v>
      </c>
      <c r="D593" s="227" t="s">
        <v>231</v>
      </c>
      <c r="E593" s="241"/>
      <c r="F593" s="228">
        <f t="shared" si="1259"/>
        <v>9.0909090909090912E-2</v>
      </c>
      <c r="G593" s="269">
        <f>+F593*G582</f>
        <v>1.2712219761846836E-5</v>
      </c>
      <c r="H593" s="299"/>
      <c r="I593" s="299"/>
      <c r="J593" s="299"/>
      <c r="K593" s="299"/>
      <c r="L593" s="299"/>
      <c r="M593" s="299"/>
      <c r="N593" s="272">
        <v>0.35</v>
      </c>
      <c r="O593" s="272">
        <v>0.35</v>
      </c>
      <c r="P593" s="272">
        <v>0.35</v>
      </c>
      <c r="Q593" s="272">
        <v>0.35</v>
      </c>
      <c r="R593" s="372">
        <v>0.35</v>
      </c>
      <c r="S593" s="395">
        <v>0.35</v>
      </c>
      <c r="T593" s="272">
        <v>0.35</v>
      </c>
      <c r="U593" s="272">
        <v>0.35</v>
      </c>
      <c r="V593" s="272">
        <v>0.35</v>
      </c>
      <c r="W593" s="272">
        <v>0.35</v>
      </c>
      <c r="X593" s="272">
        <v>0.35</v>
      </c>
      <c r="Y593" s="272">
        <v>0.35</v>
      </c>
      <c r="Z593" s="272">
        <v>0.35</v>
      </c>
      <c r="AA593" s="272">
        <v>0.35</v>
      </c>
      <c r="AB593" s="272">
        <v>0.35</v>
      </c>
      <c r="AC593" s="272">
        <v>0.35</v>
      </c>
      <c r="AD593" s="396">
        <v>0.35</v>
      </c>
      <c r="AE593" s="396">
        <v>0.35</v>
      </c>
      <c r="AF593" s="396">
        <v>0.35</v>
      </c>
      <c r="AG593" s="396">
        <v>0.35</v>
      </c>
      <c r="AH593" s="396">
        <v>0.35</v>
      </c>
      <c r="AI593" s="396">
        <v>0.35</v>
      </c>
      <c r="AJ593" s="396">
        <v>0.35</v>
      </c>
      <c r="AK593" s="396">
        <v>0.35</v>
      </c>
      <c r="AL593" s="396">
        <v>0.35</v>
      </c>
      <c r="AM593" s="396">
        <v>0.35</v>
      </c>
      <c r="AN593" s="396">
        <v>0.35</v>
      </c>
      <c r="AO593" s="396">
        <v>0.35</v>
      </c>
      <c r="AP593" s="396">
        <v>0.35</v>
      </c>
    </row>
    <row r="594" spans="1:42" s="140" customFormat="1" ht="12.75" hidden="1" customHeight="1" outlineLevel="4">
      <c r="A594" s="216"/>
      <c r="B594" s="291" t="s">
        <v>780</v>
      </c>
      <c r="C594" s="292" t="s">
        <v>39</v>
      </c>
      <c r="D594" s="234" t="s">
        <v>33</v>
      </c>
      <c r="E594" s="240"/>
      <c r="F594" s="223">
        <f t="shared" si="1259"/>
        <v>9.6849312518274097E-2</v>
      </c>
      <c r="G594" s="293">
        <f>+F594*G533</f>
        <v>1.4940136097520634E-4</v>
      </c>
      <c r="H594" s="298"/>
      <c r="I594" s="298"/>
      <c r="J594" s="298"/>
      <c r="K594" s="298"/>
      <c r="L594" s="298"/>
      <c r="M594" s="298"/>
      <c r="N594" s="270">
        <f t="shared" ref="N594:R594" si="1352">+SUMPRODUCT($F595:$F606,N595:N606)</f>
        <v>0.8999999999999998</v>
      </c>
      <c r="O594" s="270">
        <f t="shared" si="1352"/>
        <v>0.8999999999999998</v>
      </c>
      <c r="P594" s="270">
        <f t="shared" si="1352"/>
        <v>0.8999999999999998</v>
      </c>
      <c r="Q594" s="270">
        <f t="shared" si="1352"/>
        <v>0.8999999999999998</v>
      </c>
      <c r="R594" s="370">
        <f t="shared" si="1352"/>
        <v>0.8999999999999998</v>
      </c>
      <c r="S594" s="391">
        <f t="shared" ref="S594" si="1353">+SUMPRODUCT($F595:$F606,S595:S606)</f>
        <v>0.8999999999999998</v>
      </c>
      <c r="T594" s="270">
        <f t="shared" ref="T594" si="1354">+SUMPRODUCT($F595:$F606,T595:T606)</f>
        <v>0.8999999999999998</v>
      </c>
      <c r="U594" s="270">
        <f t="shared" ref="U594" si="1355">+SUMPRODUCT($F595:$F606,U595:U606)</f>
        <v>0.8999999999999998</v>
      </c>
      <c r="V594" s="270">
        <f t="shared" ref="V594" si="1356">+SUMPRODUCT($F595:$F606,V595:V606)</f>
        <v>0.8999999999999998</v>
      </c>
      <c r="W594" s="270">
        <f t="shared" ref="W594" si="1357">+SUMPRODUCT($F595:$F606,W595:W606)</f>
        <v>0.8999999999999998</v>
      </c>
      <c r="X594" s="270">
        <f t="shared" ref="X594" si="1358">+SUMPRODUCT($F595:$F606,X595:X606)</f>
        <v>0.8999999999999998</v>
      </c>
      <c r="Y594" s="270">
        <f t="shared" ref="Y594" si="1359">+SUMPRODUCT($F595:$F606,Y595:Y606)</f>
        <v>0.8999999999999998</v>
      </c>
      <c r="Z594" s="270">
        <f t="shared" ref="Z594" si="1360">+SUMPRODUCT($F595:$F606,Z595:Z606)</f>
        <v>0.8999999999999998</v>
      </c>
      <c r="AA594" s="270">
        <f t="shared" ref="AA594" si="1361">+SUMPRODUCT($F595:$F606,AA595:AA606)</f>
        <v>0.8999999999999998</v>
      </c>
      <c r="AB594" s="270">
        <f t="shared" ref="AB594" si="1362">+SUMPRODUCT($F595:$F606,AB595:AB606)</f>
        <v>0.8999999999999998</v>
      </c>
      <c r="AC594" s="270">
        <f t="shared" ref="AC594" si="1363">+SUMPRODUCT($F595:$F606,AC595:AC606)</f>
        <v>0.8999999999999998</v>
      </c>
      <c r="AD594" s="392">
        <f t="shared" ref="AD594:AF594" si="1364">+SUMPRODUCT($F595:$F606,AD595:AD606)</f>
        <v>0.8999999999999998</v>
      </c>
      <c r="AE594" s="392">
        <f t="shared" si="1364"/>
        <v>0.8999999999999998</v>
      </c>
      <c r="AF594" s="392">
        <f t="shared" si="1364"/>
        <v>0.8999999999999998</v>
      </c>
      <c r="AG594" s="392">
        <f t="shared" ref="AG594" si="1365">+SUMPRODUCT($F595:$F606,AG595:AG606)</f>
        <v>0.8999999999999998</v>
      </c>
      <c r="AH594" s="392">
        <f t="shared" ref="AH594" si="1366">+SUMPRODUCT($F595:$F606,AH595:AH606)</f>
        <v>0.8999999999999998</v>
      </c>
      <c r="AI594" s="392">
        <f t="shared" ref="AI594" si="1367">+SUMPRODUCT($F595:$F606,AI595:AI606)</f>
        <v>0.8999999999999998</v>
      </c>
      <c r="AJ594" s="392">
        <f t="shared" ref="AJ594" si="1368">+SUMPRODUCT($F595:$F606,AJ595:AJ606)</f>
        <v>0.8999999999999998</v>
      </c>
      <c r="AK594" s="392">
        <f t="shared" ref="AK594" si="1369">+SUMPRODUCT($F595:$F606,AK595:AK606)</f>
        <v>0.8999999999999998</v>
      </c>
      <c r="AL594" s="392">
        <f t="shared" ref="AL594" si="1370">+SUMPRODUCT($F595:$F606,AL595:AL606)</f>
        <v>0.8999999999999998</v>
      </c>
      <c r="AM594" s="392">
        <f t="shared" ref="AM594" si="1371">+SUMPRODUCT($F595:$F606,AM595:AM606)</f>
        <v>0.8999999999999998</v>
      </c>
      <c r="AN594" s="392">
        <f t="shared" ref="AN594" si="1372">+SUMPRODUCT($F595:$F606,AN595:AN606)</f>
        <v>0.8999999999999998</v>
      </c>
      <c r="AO594" s="392">
        <f t="shared" ref="AO594" si="1373">+SUMPRODUCT($F595:$F606,AO595:AO606)</f>
        <v>0.8999999999999998</v>
      </c>
      <c r="AP594" s="392">
        <f t="shared" ref="AP594" si="1374">+SUMPRODUCT($F595:$F606,AP595:AP606)</f>
        <v>0.8999999999999998</v>
      </c>
    </row>
    <row r="595" spans="1:42" s="140" customFormat="1" ht="12.75" hidden="1" customHeight="1" outlineLevel="5">
      <c r="A595" s="216"/>
      <c r="B595" s="255" t="s">
        <v>781</v>
      </c>
      <c r="C595" s="290" t="s">
        <v>230</v>
      </c>
      <c r="D595" s="227" t="s">
        <v>231</v>
      </c>
      <c r="E595" s="241"/>
      <c r="F595" s="228">
        <f t="shared" si="1259"/>
        <v>8.3333333333333329E-2</v>
      </c>
      <c r="G595" s="269">
        <f>+F595*G594</f>
        <v>1.2450113414600527E-5</v>
      </c>
      <c r="H595" s="299"/>
      <c r="I595" s="299"/>
      <c r="J595" s="299"/>
      <c r="K595" s="299"/>
      <c r="L595" s="299"/>
      <c r="M595" s="299"/>
      <c r="N595" s="272">
        <v>0.9</v>
      </c>
      <c r="O595" s="272">
        <v>0.9</v>
      </c>
      <c r="P595" s="272">
        <v>0.9</v>
      </c>
      <c r="Q595" s="272">
        <v>0.9</v>
      </c>
      <c r="R595" s="372">
        <v>0.9</v>
      </c>
      <c r="S595" s="395">
        <v>0.9</v>
      </c>
      <c r="T595" s="272">
        <v>0.9</v>
      </c>
      <c r="U595" s="272">
        <v>0.9</v>
      </c>
      <c r="V595" s="272">
        <v>0.9</v>
      </c>
      <c r="W595" s="272">
        <v>0.9</v>
      </c>
      <c r="X595" s="272">
        <v>0.9</v>
      </c>
      <c r="Y595" s="272">
        <v>0.9</v>
      </c>
      <c r="Z595" s="272">
        <v>0.9</v>
      </c>
      <c r="AA595" s="272">
        <v>0.9</v>
      </c>
      <c r="AB595" s="272">
        <v>0.9</v>
      </c>
      <c r="AC595" s="272">
        <v>0.9</v>
      </c>
      <c r="AD595" s="396">
        <v>0.9</v>
      </c>
      <c r="AE595" s="396">
        <v>0.9</v>
      </c>
      <c r="AF595" s="396">
        <v>0.9</v>
      </c>
      <c r="AG595" s="396">
        <v>0.9</v>
      </c>
      <c r="AH595" s="396">
        <v>0.9</v>
      </c>
      <c r="AI595" s="396">
        <v>0.9</v>
      </c>
      <c r="AJ595" s="396">
        <v>0.9</v>
      </c>
      <c r="AK595" s="396">
        <v>0.9</v>
      </c>
      <c r="AL595" s="396">
        <v>0.9</v>
      </c>
      <c r="AM595" s="396">
        <v>0.9</v>
      </c>
      <c r="AN595" s="396">
        <v>0.9</v>
      </c>
      <c r="AO595" s="396">
        <v>0.9</v>
      </c>
      <c r="AP595" s="396">
        <v>0.9</v>
      </c>
    </row>
    <row r="596" spans="1:42" s="140" customFormat="1" ht="12.75" hidden="1" customHeight="1" outlineLevel="5">
      <c r="A596" s="216"/>
      <c r="B596" s="255" t="s">
        <v>782</v>
      </c>
      <c r="C596" s="290" t="s">
        <v>233</v>
      </c>
      <c r="D596" s="227" t="s">
        <v>231</v>
      </c>
      <c r="E596" s="241"/>
      <c r="F596" s="228">
        <f t="shared" si="1259"/>
        <v>8.3333333333333329E-2</v>
      </c>
      <c r="G596" s="269">
        <f>+F596*G594</f>
        <v>1.2450113414600527E-5</v>
      </c>
      <c r="H596" s="299"/>
      <c r="I596" s="299"/>
      <c r="J596" s="299"/>
      <c r="K596" s="299"/>
      <c r="L596" s="299"/>
      <c r="M596" s="299"/>
      <c r="N596" s="272">
        <v>0.9</v>
      </c>
      <c r="O596" s="272">
        <v>0.9</v>
      </c>
      <c r="P596" s="272">
        <v>0.9</v>
      </c>
      <c r="Q596" s="272">
        <v>0.9</v>
      </c>
      <c r="R596" s="372">
        <v>0.9</v>
      </c>
      <c r="S596" s="395">
        <v>0.9</v>
      </c>
      <c r="T596" s="272">
        <v>0.9</v>
      </c>
      <c r="U596" s="272">
        <v>0.9</v>
      </c>
      <c r="V596" s="272">
        <v>0.9</v>
      </c>
      <c r="W596" s="272">
        <v>0.9</v>
      </c>
      <c r="X596" s="272">
        <v>0.9</v>
      </c>
      <c r="Y596" s="272">
        <v>0.9</v>
      </c>
      <c r="Z596" s="272">
        <v>0.9</v>
      </c>
      <c r="AA596" s="272">
        <v>0.9</v>
      </c>
      <c r="AB596" s="272">
        <v>0.9</v>
      </c>
      <c r="AC596" s="272">
        <v>0.9</v>
      </c>
      <c r="AD596" s="396">
        <v>0.9</v>
      </c>
      <c r="AE596" s="396">
        <v>0.9</v>
      </c>
      <c r="AF596" s="396">
        <v>0.9</v>
      </c>
      <c r="AG596" s="396">
        <v>0.9</v>
      </c>
      <c r="AH596" s="396">
        <v>0.9</v>
      </c>
      <c r="AI596" s="396">
        <v>0.9</v>
      </c>
      <c r="AJ596" s="396">
        <v>0.9</v>
      </c>
      <c r="AK596" s="396">
        <v>0.9</v>
      </c>
      <c r="AL596" s="396">
        <v>0.9</v>
      </c>
      <c r="AM596" s="396">
        <v>0.9</v>
      </c>
      <c r="AN596" s="396">
        <v>0.9</v>
      </c>
      <c r="AO596" s="396">
        <v>0.9</v>
      </c>
      <c r="AP596" s="396">
        <v>0.9</v>
      </c>
    </row>
    <row r="597" spans="1:42" s="140" customFormat="1" ht="12.75" hidden="1" customHeight="1" outlineLevel="5">
      <c r="A597" s="216"/>
      <c r="B597" s="255" t="s">
        <v>783</v>
      </c>
      <c r="C597" s="290" t="s">
        <v>235</v>
      </c>
      <c r="D597" s="227" t="s">
        <v>231</v>
      </c>
      <c r="E597" s="241"/>
      <c r="F597" s="228">
        <f t="shared" ref="F597:F660" si="1375">F783</f>
        <v>8.3333333333333329E-2</v>
      </c>
      <c r="G597" s="269">
        <f>+F597*G594</f>
        <v>1.2450113414600527E-5</v>
      </c>
      <c r="H597" s="299"/>
      <c r="I597" s="299"/>
      <c r="J597" s="299"/>
      <c r="K597" s="299"/>
      <c r="L597" s="299"/>
      <c r="M597" s="299"/>
      <c r="N597" s="272">
        <v>0.9</v>
      </c>
      <c r="O597" s="272">
        <v>0.9</v>
      </c>
      <c r="P597" s="272">
        <v>0.9</v>
      </c>
      <c r="Q597" s="272">
        <v>0.9</v>
      </c>
      <c r="R597" s="372">
        <v>0.9</v>
      </c>
      <c r="S597" s="395">
        <v>0.9</v>
      </c>
      <c r="T597" s="272">
        <v>0.9</v>
      </c>
      <c r="U597" s="272">
        <v>0.9</v>
      </c>
      <c r="V597" s="272">
        <v>0.9</v>
      </c>
      <c r="W597" s="272">
        <v>0.9</v>
      </c>
      <c r="X597" s="272">
        <v>0.9</v>
      </c>
      <c r="Y597" s="272">
        <v>0.9</v>
      </c>
      <c r="Z597" s="272">
        <v>0.9</v>
      </c>
      <c r="AA597" s="272">
        <v>0.9</v>
      </c>
      <c r="AB597" s="272">
        <v>0.9</v>
      </c>
      <c r="AC597" s="272">
        <v>0.9</v>
      </c>
      <c r="AD597" s="396">
        <v>0.9</v>
      </c>
      <c r="AE597" s="396">
        <v>0.9</v>
      </c>
      <c r="AF597" s="396">
        <v>0.9</v>
      </c>
      <c r="AG597" s="396">
        <v>0.9</v>
      </c>
      <c r="AH597" s="396">
        <v>0.9</v>
      </c>
      <c r="AI597" s="396">
        <v>0.9</v>
      </c>
      <c r="AJ597" s="396">
        <v>0.9</v>
      </c>
      <c r="AK597" s="396">
        <v>0.9</v>
      </c>
      <c r="AL597" s="396">
        <v>0.9</v>
      </c>
      <c r="AM597" s="396">
        <v>0.9</v>
      </c>
      <c r="AN597" s="396">
        <v>0.9</v>
      </c>
      <c r="AO597" s="396">
        <v>0.9</v>
      </c>
      <c r="AP597" s="396">
        <v>0.9</v>
      </c>
    </row>
    <row r="598" spans="1:42" s="140" customFormat="1" ht="12.75" hidden="1" customHeight="1" outlineLevel="5">
      <c r="A598" s="216"/>
      <c r="B598" s="255" t="s">
        <v>784</v>
      </c>
      <c r="C598" s="290" t="s">
        <v>237</v>
      </c>
      <c r="D598" s="227" t="s">
        <v>231</v>
      </c>
      <c r="E598" s="241"/>
      <c r="F598" s="228">
        <f t="shared" si="1375"/>
        <v>8.3333333333333329E-2</v>
      </c>
      <c r="G598" s="269">
        <f>+F598*G594</f>
        <v>1.2450113414600527E-5</v>
      </c>
      <c r="H598" s="299"/>
      <c r="I598" s="299"/>
      <c r="J598" s="299"/>
      <c r="K598" s="299"/>
      <c r="L598" s="299"/>
      <c r="M598" s="299"/>
      <c r="N598" s="272">
        <v>0.9</v>
      </c>
      <c r="O598" s="272">
        <v>0.9</v>
      </c>
      <c r="P598" s="272">
        <v>0.9</v>
      </c>
      <c r="Q598" s="272">
        <v>0.9</v>
      </c>
      <c r="R598" s="372">
        <v>0.9</v>
      </c>
      <c r="S598" s="395">
        <v>0.9</v>
      </c>
      <c r="T598" s="272">
        <v>0.9</v>
      </c>
      <c r="U598" s="272">
        <v>0.9</v>
      </c>
      <c r="V598" s="272">
        <v>0.9</v>
      </c>
      <c r="W598" s="272">
        <v>0.9</v>
      </c>
      <c r="X598" s="272">
        <v>0.9</v>
      </c>
      <c r="Y598" s="272">
        <v>0.9</v>
      </c>
      <c r="Z598" s="272">
        <v>0.9</v>
      </c>
      <c r="AA598" s="272">
        <v>0.9</v>
      </c>
      <c r="AB598" s="272">
        <v>0.9</v>
      </c>
      <c r="AC598" s="272">
        <v>0.9</v>
      </c>
      <c r="AD598" s="396">
        <v>0.9</v>
      </c>
      <c r="AE598" s="396">
        <v>0.9</v>
      </c>
      <c r="AF598" s="396">
        <v>0.9</v>
      </c>
      <c r="AG598" s="396">
        <v>0.9</v>
      </c>
      <c r="AH598" s="396">
        <v>0.9</v>
      </c>
      <c r="AI598" s="396">
        <v>0.9</v>
      </c>
      <c r="AJ598" s="396">
        <v>0.9</v>
      </c>
      <c r="AK598" s="396">
        <v>0.9</v>
      </c>
      <c r="AL598" s="396">
        <v>0.9</v>
      </c>
      <c r="AM598" s="396">
        <v>0.9</v>
      </c>
      <c r="AN598" s="396">
        <v>0.9</v>
      </c>
      <c r="AO598" s="396">
        <v>0.9</v>
      </c>
      <c r="AP598" s="396">
        <v>0.9</v>
      </c>
    </row>
    <row r="599" spans="1:42" s="140" customFormat="1" ht="12.75" hidden="1" customHeight="1" outlineLevel="5">
      <c r="A599" s="216"/>
      <c r="B599" s="255" t="s">
        <v>785</v>
      </c>
      <c r="C599" s="290" t="s">
        <v>239</v>
      </c>
      <c r="D599" s="227" t="s">
        <v>231</v>
      </c>
      <c r="E599" s="241"/>
      <c r="F599" s="228">
        <f t="shared" si="1375"/>
        <v>8.3333333333333329E-2</v>
      </c>
      <c r="G599" s="269">
        <f>+F599*G594</f>
        <v>1.2450113414600527E-5</v>
      </c>
      <c r="H599" s="299"/>
      <c r="I599" s="299"/>
      <c r="J599" s="299"/>
      <c r="K599" s="299"/>
      <c r="L599" s="299"/>
      <c r="M599" s="299"/>
      <c r="N599" s="272">
        <v>0.9</v>
      </c>
      <c r="O599" s="272">
        <v>0.9</v>
      </c>
      <c r="P599" s="272">
        <v>0.9</v>
      </c>
      <c r="Q599" s="272">
        <v>0.9</v>
      </c>
      <c r="R599" s="372">
        <v>0.9</v>
      </c>
      <c r="S599" s="395">
        <v>0.9</v>
      </c>
      <c r="T599" s="272">
        <v>0.9</v>
      </c>
      <c r="U599" s="272">
        <v>0.9</v>
      </c>
      <c r="V599" s="272">
        <v>0.9</v>
      </c>
      <c r="W599" s="272">
        <v>0.9</v>
      </c>
      <c r="X599" s="272">
        <v>0.9</v>
      </c>
      <c r="Y599" s="272">
        <v>0.9</v>
      </c>
      <c r="Z599" s="272">
        <v>0.9</v>
      </c>
      <c r="AA599" s="272">
        <v>0.9</v>
      </c>
      <c r="AB599" s="272">
        <v>0.9</v>
      </c>
      <c r="AC599" s="272">
        <v>0.9</v>
      </c>
      <c r="AD599" s="396">
        <v>0.9</v>
      </c>
      <c r="AE599" s="396">
        <v>0.9</v>
      </c>
      <c r="AF599" s="396">
        <v>0.9</v>
      </c>
      <c r="AG599" s="396">
        <v>0.9</v>
      </c>
      <c r="AH599" s="396">
        <v>0.9</v>
      </c>
      <c r="AI599" s="396">
        <v>0.9</v>
      </c>
      <c r="AJ599" s="396">
        <v>0.9</v>
      </c>
      <c r="AK599" s="396">
        <v>0.9</v>
      </c>
      <c r="AL599" s="396">
        <v>0.9</v>
      </c>
      <c r="AM599" s="396">
        <v>0.9</v>
      </c>
      <c r="AN599" s="396">
        <v>0.9</v>
      </c>
      <c r="AO599" s="396">
        <v>0.9</v>
      </c>
      <c r="AP599" s="396">
        <v>0.9</v>
      </c>
    </row>
    <row r="600" spans="1:42" s="140" customFormat="1" ht="12.75" hidden="1" customHeight="1" outlineLevel="5">
      <c r="A600" s="216"/>
      <c r="B600" s="255" t="s">
        <v>786</v>
      </c>
      <c r="C600" s="290" t="s">
        <v>241</v>
      </c>
      <c r="D600" s="227" t="s">
        <v>231</v>
      </c>
      <c r="E600" s="241"/>
      <c r="F600" s="228">
        <f t="shared" si="1375"/>
        <v>8.3333333333333329E-2</v>
      </c>
      <c r="G600" s="269">
        <f>+F600*G594</f>
        <v>1.2450113414600527E-5</v>
      </c>
      <c r="H600" s="299"/>
      <c r="I600" s="299"/>
      <c r="J600" s="299"/>
      <c r="K600" s="299"/>
      <c r="L600" s="299"/>
      <c r="M600" s="299"/>
      <c r="N600" s="272">
        <v>0.9</v>
      </c>
      <c r="O600" s="272">
        <v>0.9</v>
      </c>
      <c r="P600" s="272">
        <v>0.9</v>
      </c>
      <c r="Q600" s="272">
        <v>0.9</v>
      </c>
      <c r="R600" s="372">
        <v>0.9</v>
      </c>
      <c r="S600" s="395">
        <v>0.9</v>
      </c>
      <c r="T600" s="272">
        <v>0.9</v>
      </c>
      <c r="U600" s="272">
        <v>0.9</v>
      </c>
      <c r="V600" s="272">
        <v>0.9</v>
      </c>
      <c r="W600" s="272">
        <v>0.9</v>
      </c>
      <c r="X600" s="272">
        <v>0.9</v>
      </c>
      <c r="Y600" s="272">
        <v>0.9</v>
      </c>
      <c r="Z600" s="272">
        <v>0.9</v>
      </c>
      <c r="AA600" s="272">
        <v>0.9</v>
      </c>
      <c r="AB600" s="272">
        <v>0.9</v>
      </c>
      <c r="AC600" s="272">
        <v>0.9</v>
      </c>
      <c r="AD600" s="396">
        <v>0.9</v>
      </c>
      <c r="AE600" s="396">
        <v>0.9</v>
      </c>
      <c r="AF600" s="396">
        <v>0.9</v>
      </c>
      <c r="AG600" s="396">
        <v>0.9</v>
      </c>
      <c r="AH600" s="396">
        <v>0.9</v>
      </c>
      <c r="AI600" s="396">
        <v>0.9</v>
      </c>
      <c r="AJ600" s="396">
        <v>0.9</v>
      </c>
      <c r="AK600" s="396">
        <v>0.9</v>
      </c>
      <c r="AL600" s="396">
        <v>0.9</v>
      </c>
      <c r="AM600" s="396">
        <v>0.9</v>
      </c>
      <c r="AN600" s="396">
        <v>0.9</v>
      </c>
      <c r="AO600" s="396">
        <v>0.9</v>
      </c>
      <c r="AP600" s="396">
        <v>0.9</v>
      </c>
    </row>
    <row r="601" spans="1:42" s="140" customFormat="1" ht="12.75" hidden="1" customHeight="1" outlineLevel="5">
      <c r="A601" s="216"/>
      <c r="B601" s="255" t="s">
        <v>787</v>
      </c>
      <c r="C601" s="290" t="s">
        <v>243</v>
      </c>
      <c r="D601" s="227" t="s">
        <v>231</v>
      </c>
      <c r="E601" s="241"/>
      <c r="F601" s="228">
        <f t="shared" si="1375"/>
        <v>8.3333333333333329E-2</v>
      </c>
      <c r="G601" s="269">
        <f>+F601*G594</f>
        <v>1.2450113414600527E-5</v>
      </c>
      <c r="H601" s="299"/>
      <c r="I601" s="299"/>
      <c r="J601" s="299"/>
      <c r="K601" s="299"/>
      <c r="L601" s="299"/>
      <c r="M601" s="299"/>
      <c r="N601" s="272">
        <v>0.9</v>
      </c>
      <c r="O601" s="272">
        <v>0.9</v>
      </c>
      <c r="P601" s="272">
        <v>0.9</v>
      </c>
      <c r="Q601" s="272">
        <v>0.9</v>
      </c>
      <c r="R601" s="372">
        <v>0.9</v>
      </c>
      <c r="S601" s="395">
        <v>0.9</v>
      </c>
      <c r="T601" s="272">
        <v>0.9</v>
      </c>
      <c r="U601" s="272">
        <v>0.9</v>
      </c>
      <c r="V601" s="272">
        <v>0.9</v>
      </c>
      <c r="W601" s="272">
        <v>0.9</v>
      </c>
      <c r="X601" s="272">
        <v>0.9</v>
      </c>
      <c r="Y601" s="272">
        <v>0.9</v>
      </c>
      <c r="Z601" s="272">
        <v>0.9</v>
      </c>
      <c r="AA601" s="272">
        <v>0.9</v>
      </c>
      <c r="AB601" s="272">
        <v>0.9</v>
      </c>
      <c r="AC601" s="272">
        <v>0.9</v>
      </c>
      <c r="AD601" s="396">
        <v>0.9</v>
      </c>
      <c r="AE601" s="396">
        <v>0.9</v>
      </c>
      <c r="AF601" s="396">
        <v>0.9</v>
      </c>
      <c r="AG601" s="396">
        <v>0.9</v>
      </c>
      <c r="AH601" s="396">
        <v>0.9</v>
      </c>
      <c r="AI601" s="396">
        <v>0.9</v>
      </c>
      <c r="AJ601" s="396">
        <v>0.9</v>
      </c>
      <c r="AK601" s="396">
        <v>0.9</v>
      </c>
      <c r="AL601" s="396">
        <v>0.9</v>
      </c>
      <c r="AM601" s="396">
        <v>0.9</v>
      </c>
      <c r="AN601" s="396">
        <v>0.9</v>
      </c>
      <c r="AO601" s="396">
        <v>0.9</v>
      </c>
      <c r="AP601" s="396">
        <v>0.9</v>
      </c>
    </row>
    <row r="602" spans="1:42" s="140" customFormat="1" ht="12.75" hidden="1" customHeight="1" outlineLevel="5">
      <c r="A602" s="216"/>
      <c r="B602" s="255" t="s">
        <v>788</v>
      </c>
      <c r="C602" s="290" t="s">
        <v>245</v>
      </c>
      <c r="D602" s="227" t="s">
        <v>231</v>
      </c>
      <c r="E602" s="241"/>
      <c r="F602" s="228">
        <f t="shared" si="1375"/>
        <v>8.3333333333333329E-2</v>
      </c>
      <c r="G602" s="269">
        <f>+F602*G594</f>
        <v>1.2450113414600527E-5</v>
      </c>
      <c r="H602" s="299"/>
      <c r="I602" s="299"/>
      <c r="J602" s="299"/>
      <c r="K602" s="299"/>
      <c r="L602" s="299"/>
      <c r="M602" s="299"/>
      <c r="N602" s="272">
        <v>0.9</v>
      </c>
      <c r="O602" s="272">
        <v>0.9</v>
      </c>
      <c r="P602" s="272">
        <v>0.9</v>
      </c>
      <c r="Q602" s="272">
        <v>0.9</v>
      </c>
      <c r="R602" s="372">
        <v>0.9</v>
      </c>
      <c r="S602" s="395">
        <v>0.9</v>
      </c>
      <c r="T602" s="272">
        <v>0.9</v>
      </c>
      <c r="U602" s="272">
        <v>0.9</v>
      </c>
      <c r="V602" s="272">
        <v>0.9</v>
      </c>
      <c r="W602" s="272">
        <v>0.9</v>
      </c>
      <c r="X602" s="272">
        <v>0.9</v>
      </c>
      <c r="Y602" s="272">
        <v>0.9</v>
      </c>
      <c r="Z602" s="272">
        <v>0.9</v>
      </c>
      <c r="AA602" s="272">
        <v>0.9</v>
      </c>
      <c r="AB602" s="272">
        <v>0.9</v>
      </c>
      <c r="AC602" s="272">
        <v>0.9</v>
      </c>
      <c r="AD602" s="396">
        <v>0.9</v>
      </c>
      <c r="AE602" s="396">
        <v>0.9</v>
      </c>
      <c r="AF602" s="396">
        <v>0.9</v>
      </c>
      <c r="AG602" s="396">
        <v>0.9</v>
      </c>
      <c r="AH602" s="396">
        <v>0.9</v>
      </c>
      <c r="AI602" s="396">
        <v>0.9</v>
      </c>
      <c r="AJ602" s="396">
        <v>0.9</v>
      </c>
      <c r="AK602" s="396">
        <v>0.9</v>
      </c>
      <c r="AL602" s="396">
        <v>0.9</v>
      </c>
      <c r="AM602" s="396">
        <v>0.9</v>
      </c>
      <c r="AN602" s="396">
        <v>0.9</v>
      </c>
      <c r="AO602" s="396">
        <v>0.9</v>
      </c>
      <c r="AP602" s="396">
        <v>0.9</v>
      </c>
    </row>
    <row r="603" spans="1:42" s="140" customFormat="1" ht="12.75" hidden="1" customHeight="1" outlineLevel="5">
      <c r="A603" s="216"/>
      <c r="B603" s="255" t="s">
        <v>789</v>
      </c>
      <c r="C603" s="290" t="s">
        <v>247</v>
      </c>
      <c r="D603" s="227" t="s">
        <v>231</v>
      </c>
      <c r="E603" s="241"/>
      <c r="F603" s="228">
        <f t="shared" si="1375"/>
        <v>8.3333333333333329E-2</v>
      </c>
      <c r="G603" s="269">
        <f>+F603*G594</f>
        <v>1.2450113414600527E-5</v>
      </c>
      <c r="H603" s="299"/>
      <c r="I603" s="299"/>
      <c r="J603" s="299"/>
      <c r="K603" s="299"/>
      <c r="L603" s="299"/>
      <c r="M603" s="299"/>
      <c r="N603" s="272">
        <v>0.9</v>
      </c>
      <c r="O603" s="272">
        <v>0.9</v>
      </c>
      <c r="P603" s="272">
        <v>0.9</v>
      </c>
      <c r="Q603" s="272">
        <v>0.9</v>
      </c>
      <c r="R603" s="372">
        <v>0.9</v>
      </c>
      <c r="S603" s="395">
        <v>0.9</v>
      </c>
      <c r="T603" s="272">
        <v>0.9</v>
      </c>
      <c r="U603" s="272">
        <v>0.9</v>
      </c>
      <c r="V603" s="272">
        <v>0.9</v>
      </c>
      <c r="W603" s="272">
        <v>0.9</v>
      </c>
      <c r="X603" s="272">
        <v>0.9</v>
      </c>
      <c r="Y603" s="272">
        <v>0.9</v>
      </c>
      <c r="Z603" s="272">
        <v>0.9</v>
      </c>
      <c r="AA603" s="272">
        <v>0.9</v>
      </c>
      <c r="AB603" s="272">
        <v>0.9</v>
      </c>
      <c r="AC603" s="272">
        <v>0.9</v>
      </c>
      <c r="AD603" s="396">
        <v>0.9</v>
      </c>
      <c r="AE603" s="396">
        <v>0.9</v>
      </c>
      <c r="AF603" s="396">
        <v>0.9</v>
      </c>
      <c r="AG603" s="396">
        <v>0.9</v>
      </c>
      <c r="AH603" s="396">
        <v>0.9</v>
      </c>
      <c r="AI603" s="396">
        <v>0.9</v>
      </c>
      <c r="AJ603" s="396">
        <v>0.9</v>
      </c>
      <c r="AK603" s="396">
        <v>0.9</v>
      </c>
      <c r="AL603" s="396">
        <v>0.9</v>
      </c>
      <c r="AM603" s="396">
        <v>0.9</v>
      </c>
      <c r="AN603" s="396">
        <v>0.9</v>
      </c>
      <c r="AO603" s="396">
        <v>0.9</v>
      </c>
      <c r="AP603" s="396">
        <v>0.9</v>
      </c>
    </row>
    <row r="604" spans="1:42" s="140" customFormat="1" ht="12.75" hidden="1" customHeight="1" outlineLevel="5">
      <c r="A604" s="216"/>
      <c r="B604" s="255" t="s">
        <v>790</v>
      </c>
      <c r="C604" s="290" t="s">
        <v>249</v>
      </c>
      <c r="D604" s="227" t="s">
        <v>231</v>
      </c>
      <c r="E604" s="241"/>
      <c r="F604" s="228">
        <f t="shared" si="1375"/>
        <v>8.3333333333333329E-2</v>
      </c>
      <c r="G604" s="269">
        <f>+F604*G594</f>
        <v>1.2450113414600527E-5</v>
      </c>
      <c r="H604" s="299"/>
      <c r="I604" s="299"/>
      <c r="J604" s="299"/>
      <c r="K604" s="299"/>
      <c r="L604" s="299"/>
      <c r="M604" s="299"/>
      <c r="N604" s="272">
        <v>0.9</v>
      </c>
      <c r="O604" s="272">
        <v>0.9</v>
      </c>
      <c r="P604" s="272">
        <v>0.9</v>
      </c>
      <c r="Q604" s="272">
        <v>0.9</v>
      </c>
      <c r="R604" s="372">
        <v>0.9</v>
      </c>
      <c r="S604" s="395">
        <v>0.9</v>
      </c>
      <c r="T604" s="272">
        <v>0.9</v>
      </c>
      <c r="U604" s="272">
        <v>0.9</v>
      </c>
      <c r="V604" s="272">
        <v>0.9</v>
      </c>
      <c r="W604" s="272">
        <v>0.9</v>
      </c>
      <c r="X604" s="272">
        <v>0.9</v>
      </c>
      <c r="Y604" s="272">
        <v>0.9</v>
      </c>
      <c r="Z604" s="272">
        <v>0.9</v>
      </c>
      <c r="AA604" s="272">
        <v>0.9</v>
      </c>
      <c r="AB604" s="272">
        <v>0.9</v>
      </c>
      <c r="AC604" s="272">
        <v>0.9</v>
      </c>
      <c r="AD604" s="396">
        <v>0.9</v>
      </c>
      <c r="AE604" s="396">
        <v>0.9</v>
      </c>
      <c r="AF604" s="396">
        <v>0.9</v>
      </c>
      <c r="AG604" s="396">
        <v>0.9</v>
      </c>
      <c r="AH604" s="396">
        <v>0.9</v>
      </c>
      <c r="AI604" s="396">
        <v>0.9</v>
      </c>
      <c r="AJ604" s="396">
        <v>0.9</v>
      </c>
      <c r="AK604" s="396">
        <v>0.9</v>
      </c>
      <c r="AL604" s="396">
        <v>0.9</v>
      </c>
      <c r="AM604" s="396">
        <v>0.9</v>
      </c>
      <c r="AN604" s="396">
        <v>0.9</v>
      </c>
      <c r="AO604" s="396">
        <v>0.9</v>
      </c>
      <c r="AP604" s="396">
        <v>0.9</v>
      </c>
    </row>
    <row r="605" spans="1:42" s="140" customFormat="1" ht="12.75" hidden="1" customHeight="1" outlineLevel="5">
      <c r="A605" s="216"/>
      <c r="B605" s="255" t="s">
        <v>791</v>
      </c>
      <c r="C605" s="290" t="s">
        <v>251</v>
      </c>
      <c r="D605" s="227" t="s">
        <v>231</v>
      </c>
      <c r="E605" s="241"/>
      <c r="F605" s="228">
        <f t="shared" si="1375"/>
        <v>8.3333333333333329E-2</v>
      </c>
      <c r="G605" s="269">
        <f>+F605*G594</f>
        <v>1.2450113414600527E-5</v>
      </c>
      <c r="H605" s="299"/>
      <c r="I605" s="299"/>
      <c r="J605" s="299"/>
      <c r="K605" s="299"/>
      <c r="L605" s="299"/>
      <c r="M605" s="299"/>
      <c r="N605" s="272">
        <v>0.9</v>
      </c>
      <c r="O605" s="272">
        <v>0.9</v>
      </c>
      <c r="P605" s="272">
        <v>0.9</v>
      </c>
      <c r="Q605" s="272">
        <v>0.9</v>
      </c>
      <c r="R605" s="372">
        <v>0.9</v>
      </c>
      <c r="S605" s="395">
        <v>0.9</v>
      </c>
      <c r="T605" s="272">
        <v>0.9</v>
      </c>
      <c r="U605" s="272">
        <v>0.9</v>
      </c>
      <c r="V605" s="272">
        <v>0.9</v>
      </c>
      <c r="W605" s="272">
        <v>0.9</v>
      </c>
      <c r="X605" s="272">
        <v>0.9</v>
      </c>
      <c r="Y605" s="272">
        <v>0.9</v>
      </c>
      <c r="Z605" s="272">
        <v>0.9</v>
      </c>
      <c r="AA605" s="272">
        <v>0.9</v>
      </c>
      <c r="AB605" s="272">
        <v>0.9</v>
      </c>
      <c r="AC605" s="272">
        <v>0.9</v>
      </c>
      <c r="AD605" s="396">
        <v>0.9</v>
      </c>
      <c r="AE605" s="396">
        <v>0.9</v>
      </c>
      <c r="AF605" s="396">
        <v>0.9</v>
      </c>
      <c r="AG605" s="396">
        <v>0.9</v>
      </c>
      <c r="AH605" s="396">
        <v>0.9</v>
      </c>
      <c r="AI605" s="396">
        <v>0.9</v>
      </c>
      <c r="AJ605" s="396">
        <v>0.9</v>
      </c>
      <c r="AK605" s="396">
        <v>0.9</v>
      </c>
      <c r="AL605" s="396">
        <v>0.9</v>
      </c>
      <c r="AM605" s="396">
        <v>0.9</v>
      </c>
      <c r="AN605" s="396">
        <v>0.9</v>
      </c>
      <c r="AO605" s="396">
        <v>0.9</v>
      </c>
      <c r="AP605" s="396">
        <v>0.9</v>
      </c>
    </row>
    <row r="606" spans="1:42" s="140" customFormat="1" ht="12.75" hidden="1" customHeight="1" outlineLevel="5">
      <c r="A606" s="216"/>
      <c r="B606" s="255" t="s">
        <v>792</v>
      </c>
      <c r="C606" s="290" t="s">
        <v>253</v>
      </c>
      <c r="D606" s="227" t="s">
        <v>231</v>
      </c>
      <c r="E606" s="241"/>
      <c r="F606" s="228">
        <f t="shared" si="1375"/>
        <v>8.3333333333333329E-2</v>
      </c>
      <c r="G606" s="269">
        <f>+F606*G594</f>
        <v>1.2450113414600527E-5</v>
      </c>
      <c r="H606" s="299"/>
      <c r="I606" s="299"/>
      <c r="J606" s="299"/>
      <c r="K606" s="299"/>
      <c r="L606" s="299"/>
      <c r="M606" s="299"/>
      <c r="N606" s="272">
        <v>0.9</v>
      </c>
      <c r="O606" s="272">
        <v>0.9</v>
      </c>
      <c r="P606" s="272">
        <v>0.9</v>
      </c>
      <c r="Q606" s="272">
        <v>0.9</v>
      </c>
      <c r="R606" s="372">
        <v>0.9</v>
      </c>
      <c r="S606" s="395">
        <v>0.9</v>
      </c>
      <c r="T606" s="272">
        <v>0.9</v>
      </c>
      <c r="U606" s="272">
        <v>0.9</v>
      </c>
      <c r="V606" s="272">
        <v>0.9</v>
      </c>
      <c r="W606" s="272">
        <v>0.9</v>
      </c>
      <c r="X606" s="272">
        <v>0.9</v>
      </c>
      <c r="Y606" s="272">
        <v>0.9</v>
      </c>
      <c r="Z606" s="272">
        <v>0.9</v>
      </c>
      <c r="AA606" s="272">
        <v>0.9</v>
      </c>
      <c r="AB606" s="272">
        <v>0.9</v>
      </c>
      <c r="AC606" s="272">
        <v>0.9</v>
      </c>
      <c r="AD606" s="396">
        <v>0.9</v>
      </c>
      <c r="AE606" s="396">
        <v>0.9</v>
      </c>
      <c r="AF606" s="396">
        <v>0.9</v>
      </c>
      <c r="AG606" s="396">
        <v>0.9</v>
      </c>
      <c r="AH606" s="396">
        <v>0.9</v>
      </c>
      <c r="AI606" s="396">
        <v>0.9</v>
      </c>
      <c r="AJ606" s="396">
        <v>0.9</v>
      </c>
      <c r="AK606" s="396">
        <v>0.9</v>
      </c>
      <c r="AL606" s="396">
        <v>0.9</v>
      </c>
      <c r="AM606" s="396">
        <v>0.9</v>
      </c>
      <c r="AN606" s="396">
        <v>0.9</v>
      </c>
      <c r="AO606" s="396">
        <v>0.9</v>
      </c>
      <c r="AP606" s="396">
        <v>0.9</v>
      </c>
    </row>
    <row r="607" spans="1:42" s="140" customFormat="1" ht="12.75" hidden="1" customHeight="1" outlineLevel="4">
      <c r="A607" s="216"/>
      <c r="B607" s="291" t="s">
        <v>793</v>
      </c>
      <c r="C607" s="292" t="s">
        <v>41</v>
      </c>
      <c r="D607" s="234" t="s">
        <v>33</v>
      </c>
      <c r="E607" s="240"/>
      <c r="F607" s="223">
        <f t="shared" si="1375"/>
        <v>0.11049772843953055</v>
      </c>
      <c r="G607" s="293">
        <f>+F607*G533</f>
        <v>1.7045563447256999E-4</v>
      </c>
      <c r="H607" s="298"/>
      <c r="I607" s="298"/>
      <c r="J607" s="298"/>
      <c r="K607" s="298"/>
      <c r="L607" s="298"/>
      <c r="M607" s="298"/>
      <c r="N607" s="270">
        <f t="shared" ref="N607:R607" si="1376">+SUMPRODUCT($F608:$F621,N608:N621)</f>
        <v>0.7213999999999996</v>
      </c>
      <c r="O607" s="270">
        <f t="shared" si="1376"/>
        <v>0.7213999999999996</v>
      </c>
      <c r="P607" s="270">
        <f t="shared" si="1376"/>
        <v>0.7213999999999996</v>
      </c>
      <c r="Q607" s="270">
        <f t="shared" si="1376"/>
        <v>0.7213999999999996</v>
      </c>
      <c r="R607" s="370">
        <f t="shared" si="1376"/>
        <v>0.7213999999999996</v>
      </c>
      <c r="S607" s="391">
        <f t="shared" ref="S607" si="1377">+SUMPRODUCT($F608:$F621,S608:S621)</f>
        <v>0.7213999999999996</v>
      </c>
      <c r="T607" s="270">
        <f t="shared" ref="T607" si="1378">+SUMPRODUCT($F608:$F621,T608:T621)</f>
        <v>0.7213999999999996</v>
      </c>
      <c r="U607" s="270">
        <f t="shared" ref="U607" si="1379">+SUMPRODUCT($F608:$F621,U608:U621)</f>
        <v>0.7213999999999996</v>
      </c>
      <c r="V607" s="270">
        <f t="shared" ref="V607" si="1380">+SUMPRODUCT($F608:$F621,V608:V621)</f>
        <v>0.7213999999999996</v>
      </c>
      <c r="W607" s="270">
        <f t="shared" ref="W607" si="1381">+SUMPRODUCT($F608:$F621,W608:W621)</f>
        <v>0.7213999999999996</v>
      </c>
      <c r="X607" s="270">
        <f t="shared" ref="X607" si="1382">+SUMPRODUCT($F608:$F621,X608:X621)</f>
        <v>0.7213999999999996</v>
      </c>
      <c r="Y607" s="270">
        <f t="shared" ref="Y607" si="1383">+SUMPRODUCT($F608:$F621,Y608:Y621)</f>
        <v>0.7213999999999996</v>
      </c>
      <c r="Z607" s="270">
        <f t="shared" ref="Z607" si="1384">+SUMPRODUCT($F608:$F621,Z608:Z621)</f>
        <v>0.7213999999999996</v>
      </c>
      <c r="AA607" s="270">
        <f t="shared" ref="AA607" si="1385">+SUMPRODUCT($F608:$F621,AA608:AA621)</f>
        <v>0.7213999999999996</v>
      </c>
      <c r="AB607" s="270">
        <f t="shared" ref="AB607" si="1386">+SUMPRODUCT($F608:$F621,AB608:AB621)</f>
        <v>0.7213999999999996</v>
      </c>
      <c r="AC607" s="270">
        <f t="shared" ref="AC607" si="1387">+SUMPRODUCT($F608:$F621,AC608:AC621)</f>
        <v>0.7213999999999996</v>
      </c>
      <c r="AD607" s="392">
        <f t="shared" ref="AD607:AF607" si="1388">+SUMPRODUCT($F608:$F621,AD608:AD621)</f>
        <v>0.7213999999999996</v>
      </c>
      <c r="AE607" s="392">
        <f t="shared" si="1388"/>
        <v>0.7213999999999996</v>
      </c>
      <c r="AF607" s="392">
        <f t="shared" si="1388"/>
        <v>0.7213999999999996</v>
      </c>
      <c r="AG607" s="392">
        <f t="shared" ref="AG607" si="1389">+SUMPRODUCT($F608:$F621,AG608:AG621)</f>
        <v>0.7213999999999996</v>
      </c>
      <c r="AH607" s="392">
        <f t="shared" ref="AH607" si="1390">+SUMPRODUCT($F608:$F621,AH608:AH621)</f>
        <v>0.7213999999999996</v>
      </c>
      <c r="AI607" s="392">
        <f t="shared" ref="AI607" si="1391">+SUMPRODUCT($F608:$F621,AI608:AI621)</f>
        <v>0.7213999999999996</v>
      </c>
      <c r="AJ607" s="392">
        <f t="shared" ref="AJ607" si="1392">+SUMPRODUCT($F608:$F621,AJ608:AJ621)</f>
        <v>0.7213999999999996</v>
      </c>
      <c r="AK607" s="392">
        <f t="shared" ref="AK607" si="1393">+SUMPRODUCT($F608:$F621,AK608:AK621)</f>
        <v>0.7213999999999996</v>
      </c>
      <c r="AL607" s="392">
        <f t="shared" ref="AL607" si="1394">+SUMPRODUCT($F608:$F621,AL608:AL621)</f>
        <v>0.7213999999999996</v>
      </c>
      <c r="AM607" s="392">
        <f t="shared" ref="AM607" si="1395">+SUMPRODUCT($F608:$F621,AM608:AM621)</f>
        <v>0.7213999999999996</v>
      </c>
      <c r="AN607" s="392">
        <f t="shared" ref="AN607" si="1396">+SUMPRODUCT($F608:$F621,AN608:AN621)</f>
        <v>0.7213999999999996</v>
      </c>
      <c r="AO607" s="392">
        <f t="shared" ref="AO607" si="1397">+SUMPRODUCT($F608:$F621,AO608:AO621)</f>
        <v>0.7213999999999996</v>
      </c>
      <c r="AP607" s="392">
        <f t="shared" ref="AP607" si="1398">+SUMPRODUCT($F608:$F621,AP608:AP621)</f>
        <v>0.7213999999999996</v>
      </c>
    </row>
    <row r="608" spans="1:42" s="140" customFormat="1" ht="12.75" hidden="1" customHeight="1" outlineLevel="5">
      <c r="A608" s="216"/>
      <c r="B608" s="255" t="s">
        <v>794</v>
      </c>
      <c r="C608" s="290" t="s">
        <v>230</v>
      </c>
      <c r="D608" s="227" t="s">
        <v>231</v>
      </c>
      <c r="E608" s="241"/>
      <c r="F608" s="228">
        <f t="shared" si="1375"/>
        <v>7.1428571428571411E-2</v>
      </c>
      <c r="G608" s="269">
        <f>+F608*G607</f>
        <v>1.2175402462326425E-5</v>
      </c>
      <c r="H608" s="299"/>
      <c r="I608" s="299"/>
      <c r="J608" s="299"/>
      <c r="K608" s="299"/>
      <c r="L608" s="299"/>
      <c r="M608" s="299"/>
      <c r="N608" s="272">
        <v>0.72140000000000004</v>
      </c>
      <c r="O608" s="272">
        <v>0.72140000000000004</v>
      </c>
      <c r="P608" s="272">
        <v>0.72140000000000004</v>
      </c>
      <c r="Q608" s="272">
        <v>0.72140000000000004</v>
      </c>
      <c r="R608" s="372">
        <v>0.72140000000000004</v>
      </c>
      <c r="S608" s="395">
        <v>0.72140000000000004</v>
      </c>
      <c r="T608" s="272">
        <v>0.72140000000000004</v>
      </c>
      <c r="U608" s="272">
        <v>0.72140000000000004</v>
      </c>
      <c r="V608" s="272">
        <v>0.72140000000000004</v>
      </c>
      <c r="W608" s="272">
        <v>0.72140000000000004</v>
      </c>
      <c r="X608" s="272">
        <v>0.72140000000000004</v>
      </c>
      <c r="Y608" s="272">
        <v>0.72140000000000004</v>
      </c>
      <c r="Z608" s="272">
        <v>0.72140000000000004</v>
      </c>
      <c r="AA608" s="272">
        <v>0.72140000000000004</v>
      </c>
      <c r="AB608" s="272">
        <v>0.72140000000000004</v>
      </c>
      <c r="AC608" s="272">
        <v>0.72140000000000004</v>
      </c>
      <c r="AD608" s="396">
        <v>0.72140000000000004</v>
      </c>
      <c r="AE608" s="396">
        <v>0.72140000000000004</v>
      </c>
      <c r="AF608" s="396">
        <v>0.72140000000000004</v>
      </c>
      <c r="AG608" s="396">
        <v>0.72140000000000004</v>
      </c>
      <c r="AH608" s="396">
        <v>0.72140000000000004</v>
      </c>
      <c r="AI608" s="396">
        <v>0.72140000000000004</v>
      </c>
      <c r="AJ608" s="396">
        <v>0.72140000000000004</v>
      </c>
      <c r="AK608" s="396">
        <v>0.72140000000000004</v>
      </c>
      <c r="AL608" s="396">
        <v>0.72140000000000004</v>
      </c>
      <c r="AM608" s="396">
        <v>0.72140000000000004</v>
      </c>
      <c r="AN608" s="396">
        <v>0.72140000000000004</v>
      </c>
      <c r="AO608" s="396">
        <v>0.72140000000000004</v>
      </c>
      <c r="AP608" s="396">
        <v>0.72140000000000004</v>
      </c>
    </row>
    <row r="609" spans="1:42" s="140" customFormat="1" ht="12.75" hidden="1" customHeight="1" outlineLevel="5">
      <c r="A609" s="216"/>
      <c r="B609" s="255" t="s">
        <v>795</v>
      </c>
      <c r="C609" s="290" t="s">
        <v>233</v>
      </c>
      <c r="D609" s="227" t="s">
        <v>231</v>
      </c>
      <c r="E609" s="241"/>
      <c r="F609" s="228">
        <f t="shared" si="1375"/>
        <v>7.1428571428571411E-2</v>
      </c>
      <c r="G609" s="269">
        <f>+F609*G607</f>
        <v>1.2175402462326425E-5</v>
      </c>
      <c r="H609" s="299"/>
      <c r="I609" s="299"/>
      <c r="J609" s="299"/>
      <c r="K609" s="299"/>
      <c r="L609" s="299"/>
      <c r="M609" s="299"/>
      <c r="N609" s="272">
        <v>0.72140000000000004</v>
      </c>
      <c r="O609" s="272">
        <v>0.72140000000000004</v>
      </c>
      <c r="P609" s="272">
        <v>0.72140000000000004</v>
      </c>
      <c r="Q609" s="272">
        <v>0.72140000000000004</v>
      </c>
      <c r="R609" s="372">
        <v>0.72140000000000004</v>
      </c>
      <c r="S609" s="395">
        <v>0.72140000000000004</v>
      </c>
      <c r="T609" s="272">
        <v>0.72140000000000004</v>
      </c>
      <c r="U609" s="272">
        <v>0.72140000000000004</v>
      </c>
      <c r="V609" s="272">
        <v>0.72140000000000004</v>
      </c>
      <c r="W609" s="272">
        <v>0.72140000000000004</v>
      </c>
      <c r="X609" s="272">
        <v>0.72140000000000004</v>
      </c>
      <c r="Y609" s="272">
        <v>0.72140000000000004</v>
      </c>
      <c r="Z609" s="272">
        <v>0.72140000000000004</v>
      </c>
      <c r="AA609" s="272">
        <v>0.72140000000000004</v>
      </c>
      <c r="AB609" s="272">
        <v>0.72140000000000004</v>
      </c>
      <c r="AC609" s="272">
        <v>0.72140000000000004</v>
      </c>
      <c r="AD609" s="396">
        <v>0.72140000000000004</v>
      </c>
      <c r="AE609" s="396">
        <v>0.72140000000000004</v>
      </c>
      <c r="AF609" s="396">
        <v>0.72140000000000004</v>
      </c>
      <c r="AG609" s="396">
        <v>0.72140000000000004</v>
      </c>
      <c r="AH609" s="396">
        <v>0.72140000000000004</v>
      </c>
      <c r="AI609" s="396">
        <v>0.72140000000000004</v>
      </c>
      <c r="AJ609" s="396">
        <v>0.72140000000000004</v>
      </c>
      <c r="AK609" s="396">
        <v>0.72140000000000004</v>
      </c>
      <c r="AL609" s="396">
        <v>0.72140000000000004</v>
      </c>
      <c r="AM609" s="396">
        <v>0.72140000000000004</v>
      </c>
      <c r="AN609" s="396">
        <v>0.72140000000000004</v>
      </c>
      <c r="AO609" s="396">
        <v>0.72140000000000004</v>
      </c>
      <c r="AP609" s="396">
        <v>0.72140000000000004</v>
      </c>
    </row>
    <row r="610" spans="1:42" s="140" customFormat="1" ht="12.75" hidden="1" customHeight="1" outlineLevel="5">
      <c r="A610" s="216"/>
      <c r="B610" s="255" t="s">
        <v>796</v>
      </c>
      <c r="C610" s="290" t="s">
        <v>235</v>
      </c>
      <c r="D610" s="227" t="s">
        <v>231</v>
      </c>
      <c r="E610" s="241"/>
      <c r="F610" s="228">
        <f t="shared" si="1375"/>
        <v>7.1428571428571411E-2</v>
      </c>
      <c r="G610" s="269">
        <f>+F610*G607</f>
        <v>1.2175402462326425E-5</v>
      </c>
      <c r="H610" s="299"/>
      <c r="I610" s="299"/>
      <c r="J610" s="299"/>
      <c r="K610" s="299"/>
      <c r="L610" s="299"/>
      <c r="M610" s="299"/>
      <c r="N610" s="272">
        <v>0.72140000000000004</v>
      </c>
      <c r="O610" s="272">
        <v>0.72140000000000004</v>
      </c>
      <c r="P610" s="272">
        <v>0.72140000000000004</v>
      </c>
      <c r="Q610" s="272">
        <v>0.72140000000000004</v>
      </c>
      <c r="R610" s="372">
        <v>0.72140000000000004</v>
      </c>
      <c r="S610" s="395">
        <v>0.72140000000000004</v>
      </c>
      <c r="T610" s="272">
        <v>0.72140000000000004</v>
      </c>
      <c r="U610" s="272">
        <v>0.72140000000000004</v>
      </c>
      <c r="V610" s="272">
        <v>0.72140000000000004</v>
      </c>
      <c r="W610" s="272">
        <v>0.72140000000000004</v>
      </c>
      <c r="X610" s="272">
        <v>0.72140000000000004</v>
      </c>
      <c r="Y610" s="272">
        <v>0.72140000000000004</v>
      </c>
      <c r="Z610" s="272">
        <v>0.72140000000000004</v>
      </c>
      <c r="AA610" s="272">
        <v>0.72140000000000004</v>
      </c>
      <c r="AB610" s="272">
        <v>0.72140000000000004</v>
      </c>
      <c r="AC610" s="272">
        <v>0.72140000000000004</v>
      </c>
      <c r="AD610" s="396">
        <v>0.72140000000000004</v>
      </c>
      <c r="AE610" s="396">
        <v>0.72140000000000004</v>
      </c>
      <c r="AF610" s="396">
        <v>0.72140000000000004</v>
      </c>
      <c r="AG610" s="396">
        <v>0.72140000000000004</v>
      </c>
      <c r="AH610" s="396">
        <v>0.72140000000000004</v>
      </c>
      <c r="AI610" s="396">
        <v>0.72140000000000004</v>
      </c>
      <c r="AJ610" s="396">
        <v>0.72140000000000004</v>
      </c>
      <c r="AK610" s="396">
        <v>0.72140000000000004</v>
      </c>
      <c r="AL610" s="396">
        <v>0.72140000000000004</v>
      </c>
      <c r="AM610" s="396">
        <v>0.72140000000000004</v>
      </c>
      <c r="AN610" s="396">
        <v>0.72140000000000004</v>
      </c>
      <c r="AO610" s="396">
        <v>0.72140000000000004</v>
      </c>
      <c r="AP610" s="396">
        <v>0.72140000000000004</v>
      </c>
    </row>
    <row r="611" spans="1:42" s="140" customFormat="1" ht="12.75" hidden="1" customHeight="1" outlineLevel="5">
      <c r="A611" s="216"/>
      <c r="B611" s="255" t="s">
        <v>797</v>
      </c>
      <c r="C611" s="290" t="s">
        <v>237</v>
      </c>
      <c r="D611" s="227" t="s">
        <v>231</v>
      </c>
      <c r="E611" s="241"/>
      <c r="F611" s="228">
        <f t="shared" si="1375"/>
        <v>7.1428571428571411E-2</v>
      </c>
      <c r="G611" s="269">
        <f>+F611*G607</f>
        <v>1.2175402462326425E-5</v>
      </c>
      <c r="H611" s="299"/>
      <c r="I611" s="299"/>
      <c r="J611" s="299"/>
      <c r="K611" s="299"/>
      <c r="L611" s="299"/>
      <c r="M611" s="299"/>
      <c r="N611" s="272">
        <v>0.72140000000000004</v>
      </c>
      <c r="O611" s="272">
        <v>0.72140000000000004</v>
      </c>
      <c r="P611" s="272">
        <v>0.72140000000000004</v>
      </c>
      <c r="Q611" s="272">
        <v>0.72140000000000004</v>
      </c>
      <c r="R611" s="372">
        <v>0.72140000000000004</v>
      </c>
      <c r="S611" s="395">
        <v>0.72140000000000004</v>
      </c>
      <c r="T611" s="272">
        <v>0.72140000000000004</v>
      </c>
      <c r="U611" s="272">
        <v>0.72140000000000004</v>
      </c>
      <c r="V611" s="272">
        <v>0.72140000000000004</v>
      </c>
      <c r="W611" s="272">
        <v>0.72140000000000004</v>
      </c>
      <c r="X611" s="272">
        <v>0.72140000000000004</v>
      </c>
      <c r="Y611" s="272">
        <v>0.72140000000000004</v>
      </c>
      <c r="Z611" s="272">
        <v>0.72140000000000004</v>
      </c>
      <c r="AA611" s="272">
        <v>0.72140000000000004</v>
      </c>
      <c r="AB611" s="272">
        <v>0.72140000000000004</v>
      </c>
      <c r="AC611" s="272">
        <v>0.72140000000000004</v>
      </c>
      <c r="AD611" s="396">
        <v>0.72140000000000004</v>
      </c>
      <c r="AE611" s="396">
        <v>0.72140000000000004</v>
      </c>
      <c r="AF611" s="396">
        <v>0.72140000000000004</v>
      </c>
      <c r="AG611" s="396">
        <v>0.72140000000000004</v>
      </c>
      <c r="AH611" s="396">
        <v>0.72140000000000004</v>
      </c>
      <c r="AI611" s="396">
        <v>0.72140000000000004</v>
      </c>
      <c r="AJ611" s="396">
        <v>0.72140000000000004</v>
      </c>
      <c r="AK611" s="396">
        <v>0.72140000000000004</v>
      </c>
      <c r="AL611" s="396">
        <v>0.72140000000000004</v>
      </c>
      <c r="AM611" s="396">
        <v>0.72140000000000004</v>
      </c>
      <c r="AN611" s="396">
        <v>0.72140000000000004</v>
      </c>
      <c r="AO611" s="396">
        <v>0.72140000000000004</v>
      </c>
      <c r="AP611" s="396">
        <v>0.72140000000000004</v>
      </c>
    </row>
    <row r="612" spans="1:42" s="140" customFormat="1" ht="12.75" hidden="1" customHeight="1" outlineLevel="5">
      <c r="A612" s="216"/>
      <c r="B612" s="255" t="s">
        <v>798</v>
      </c>
      <c r="C612" s="290" t="s">
        <v>239</v>
      </c>
      <c r="D612" s="227" t="s">
        <v>231</v>
      </c>
      <c r="E612" s="241"/>
      <c r="F612" s="228">
        <f t="shared" si="1375"/>
        <v>7.1428571428571411E-2</v>
      </c>
      <c r="G612" s="269">
        <f>+F612*G607</f>
        <v>1.2175402462326425E-5</v>
      </c>
      <c r="H612" s="299"/>
      <c r="I612" s="299"/>
      <c r="J612" s="299"/>
      <c r="K612" s="299"/>
      <c r="L612" s="299"/>
      <c r="M612" s="299"/>
      <c r="N612" s="272">
        <v>0.72140000000000004</v>
      </c>
      <c r="O612" s="272">
        <v>0.72140000000000004</v>
      </c>
      <c r="P612" s="272">
        <v>0.72140000000000004</v>
      </c>
      <c r="Q612" s="272">
        <v>0.72140000000000004</v>
      </c>
      <c r="R612" s="372">
        <v>0.72140000000000004</v>
      </c>
      <c r="S612" s="395">
        <v>0.72140000000000004</v>
      </c>
      <c r="T612" s="272">
        <v>0.72140000000000004</v>
      </c>
      <c r="U612" s="272">
        <v>0.72140000000000004</v>
      </c>
      <c r="V612" s="272">
        <v>0.72140000000000004</v>
      </c>
      <c r="W612" s="272">
        <v>0.72140000000000004</v>
      </c>
      <c r="X612" s="272">
        <v>0.72140000000000004</v>
      </c>
      <c r="Y612" s="272">
        <v>0.72140000000000004</v>
      </c>
      <c r="Z612" s="272">
        <v>0.72140000000000004</v>
      </c>
      <c r="AA612" s="272">
        <v>0.72140000000000004</v>
      </c>
      <c r="AB612" s="272">
        <v>0.72140000000000004</v>
      </c>
      <c r="AC612" s="272">
        <v>0.72140000000000004</v>
      </c>
      <c r="AD612" s="396">
        <v>0.72140000000000004</v>
      </c>
      <c r="AE612" s="396">
        <v>0.72140000000000004</v>
      </c>
      <c r="AF612" s="396">
        <v>0.72140000000000004</v>
      </c>
      <c r="AG612" s="396">
        <v>0.72140000000000004</v>
      </c>
      <c r="AH612" s="396">
        <v>0.72140000000000004</v>
      </c>
      <c r="AI612" s="396">
        <v>0.72140000000000004</v>
      </c>
      <c r="AJ612" s="396">
        <v>0.72140000000000004</v>
      </c>
      <c r="AK612" s="396">
        <v>0.72140000000000004</v>
      </c>
      <c r="AL612" s="396">
        <v>0.72140000000000004</v>
      </c>
      <c r="AM612" s="396">
        <v>0.72140000000000004</v>
      </c>
      <c r="AN612" s="396">
        <v>0.72140000000000004</v>
      </c>
      <c r="AO612" s="396">
        <v>0.72140000000000004</v>
      </c>
      <c r="AP612" s="396">
        <v>0.72140000000000004</v>
      </c>
    </row>
    <row r="613" spans="1:42" s="140" customFormat="1" ht="12.75" hidden="1" customHeight="1" outlineLevel="5">
      <c r="A613" s="216"/>
      <c r="B613" s="255" t="s">
        <v>799</v>
      </c>
      <c r="C613" s="290" t="s">
        <v>241</v>
      </c>
      <c r="D613" s="227" t="s">
        <v>231</v>
      </c>
      <c r="E613" s="241"/>
      <c r="F613" s="228">
        <f t="shared" si="1375"/>
        <v>7.1428571428571411E-2</v>
      </c>
      <c r="G613" s="269">
        <f>+F613*G607</f>
        <v>1.2175402462326425E-5</v>
      </c>
      <c r="H613" s="299"/>
      <c r="I613" s="299"/>
      <c r="J613" s="299"/>
      <c r="K613" s="299"/>
      <c r="L613" s="299"/>
      <c r="M613" s="299"/>
      <c r="N613" s="272">
        <v>0.72140000000000004</v>
      </c>
      <c r="O613" s="272">
        <v>0.72140000000000004</v>
      </c>
      <c r="P613" s="272">
        <v>0.72140000000000004</v>
      </c>
      <c r="Q613" s="272">
        <v>0.72140000000000004</v>
      </c>
      <c r="R613" s="372">
        <v>0.72140000000000004</v>
      </c>
      <c r="S613" s="395">
        <v>0.72140000000000004</v>
      </c>
      <c r="T613" s="272">
        <v>0.72140000000000004</v>
      </c>
      <c r="U613" s="272">
        <v>0.72140000000000004</v>
      </c>
      <c r="V613" s="272">
        <v>0.72140000000000004</v>
      </c>
      <c r="W613" s="272">
        <v>0.72140000000000004</v>
      </c>
      <c r="X613" s="272">
        <v>0.72140000000000004</v>
      </c>
      <c r="Y613" s="272">
        <v>0.72140000000000004</v>
      </c>
      <c r="Z613" s="272">
        <v>0.72140000000000004</v>
      </c>
      <c r="AA613" s="272">
        <v>0.72140000000000004</v>
      </c>
      <c r="AB613" s="272">
        <v>0.72140000000000004</v>
      </c>
      <c r="AC613" s="272">
        <v>0.72140000000000004</v>
      </c>
      <c r="AD613" s="396">
        <v>0.72140000000000004</v>
      </c>
      <c r="AE613" s="396">
        <v>0.72140000000000004</v>
      </c>
      <c r="AF613" s="396">
        <v>0.72140000000000004</v>
      </c>
      <c r="AG613" s="396">
        <v>0.72140000000000004</v>
      </c>
      <c r="AH613" s="396">
        <v>0.72140000000000004</v>
      </c>
      <c r="AI613" s="396">
        <v>0.72140000000000004</v>
      </c>
      <c r="AJ613" s="396">
        <v>0.72140000000000004</v>
      </c>
      <c r="AK613" s="396">
        <v>0.72140000000000004</v>
      </c>
      <c r="AL613" s="396">
        <v>0.72140000000000004</v>
      </c>
      <c r="AM613" s="396">
        <v>0.72140000000000004</v>
      </c>
      <c r="AN613" s="396">
        <v>0.72140000000000004</v>
      </c>
      <c r="AO613" s="396">
        <v>0.72140000000000004</v>
      </c>
      <c r="AP613" s="396">
        <v>0.72140000000000004</v>
      </c>
    </row>
    <row r="614" spans="1:42" s="140" customFormat="1" ht="12.75" hidden="1" customHeight="1" outlineLevel="5">
      <c r="A614" s="216"/>
      <c r="B614" s="255" t="s">
        <v>800</v>
      </c>
      <c r="C614" s="290" t="s">
        <v>243</v>
      </c>
      <c r="D614" s="227" t="s">
        <v>231</v>
      </c>
      <c r="E614" s="241"/>
      <c r="F614" s="228">
        <f t="shared" si="1375"/>
        <v>7.1428571428571411E-2</v>
      </c>
      <c r="G614" s="269">
        <f>+F614*G607</f>
        <v>1.2175402462326425E-5</v>
      </c>
      <c r="H614" s="299"/>
      <c r="I614" s="299"/>
      <c r="J614" s="299"/>
      <c r="K614" s="299"/>
      <c r="L614" s="299"/>
      <c r="M614" s="299"/>
      <c r="N614" s="272">
        <v>0.72140000000000004</v>
      </c>
      <c r="O614" s="272">
        <v>0.72140000000000004</v>
      </c>
      <c r="P614" s="272">
        <v>0.72140000000000004</v>
      </c>
      <c r="Q614" s="272">
        <v>0.72140000000000004</v>
      </c>
      <c r="R614" s="372">
        <v>0.72140000000000004</v>
      </c>
      <c r="S614" s="395">
        <v>0.72140000000000004</v>
      </c>
      <c r="T614" s="272">
        <v>0.72140000000000004</v>
      </c>
      <c r="U614" s="272">
        <v>0.72140000000000004</v>
      </c>
      <c r="V614" s="272">
        <v>0.72140000000000004</v>
      </c>
      <c r="W614" s="272">
        <v>0.72140000000000004</v>
      </c>
      <c r="X614" s="272">
        <v>0.72140000000000004</v>
      </c>
      <c r="Y614" s="272">
        <v>0.72140000000000004</v>
      </c>
      <c r="Z614" s="272">
        <v>0.72140000000000004</v>
      </c>
      <c r="AA614" s="272">
        <v>0.72140000000000004</v>
      </c>
      <c r="AB614" s="272">
        <v>0.72140000000000004</v>
      </c>
      <c r="AC614" s="272">
        <v>0.72140000000000004</v>
      </c>
      <c r="AD614" s="396">
        <v>0.72140000000000004</v>
      </c>
      <c r="AE614" s="396">
        <v>0.72140000000000004</v>
      </c>
      <c r="AF614" s="396">
        <v>0.72140000000000004</v>
      </c>
      <c r="AG614" s="396">
        <v>0.72140000000000004</v>
      </c>
      <c r="AH614" s="396">
        <v>0.72140000000000004</v>
      </c>
      <c r="AI614" s="396">
        <v>0.72140000000000004</v>
      </c>
      <c r="AJ614" s="396">
        <v>0.72140000000000004</v>
      </c>
      <c r="AK614" s="396">
        <v>0.72140000000000004</v>
      </c>
      <c r="AL614" s="396">
        <v>0.72140000000000004</v>
      </c>
      <c r="AM614" s="396">
        <v>0.72140000000000004</v>
      </c>
      <c r="AN614" s="396">
        <v>0.72140000000000004</v>
      </c>
      <c r="AO614" s="396">
        <v>0.72140000000000004</v>
      </c>
      <c r="AP614" s="396">
        <v>0.72140000000000004</v>
      </c>
    </row>
    <row r="615" spans="1:42" s="140" customFormat="1" ht="12.75" hidden="1" customHeight="1" outlineLevel="5">
      <c r="A615" s="216"/>
      <c r="B615" s="255" t="s">
        <v>801</v>
      </c>
      <c r="C615" s="290" t="s">
        <v>245</v>
      </c>
      <c r="D615" s="227" t="s">
        <v>231</v>
      </c>
      <c r="E615" s="241"/>
      <c r="F615" s="228">
        <f t="shared" si="1375"/>
        <v>7.1428571428571411E-2</v>
      </c>
      <c r="G615" s="269">
        <f>+F615*G607</f>
        <v>1.2175402462326425E-5</v>
      </c>
      <c r="H615" s="299"/>
      <c r="I615" s="299"/>
      <c r="J615" s="299"/>
      <c r="K615" s="299"/>
      <c r="L615" s="299"/>
      <c r="M615" s="299"/>
      <c r="N615" s="272">
        <v>0.72140000000000004</v>
      </c>
      <c r="O615" s="272">
        <v>0.72140000000000004</v>
      </c>
      <c r="P615" s="272">
        <v>0.72140000000000004</v>
      </c>
      <c r="Q615" s="272">
        <v>0.72140000000000004</v>
      </c>
      <c r="R615" s="372">
        <v>0.72140000000000004</v>
      </c>
      <c r="S615" s="395">
        <v>0.72140000000000004</v>
      </c>
      <c r="T615" s="272">
        <v>0.72140000000000004</v>
      </c>
      <c r="U615" s="272">
        <v>0.72140000000000004</v>
      </c>
      <c r="V615" s="272">
        <v>0.72140000000000004</v>
      </c>
      <c r="W615" s="272">
        <v>0.72140000000000004</v>
      </c>
      <c r="X615" s="272">
        <v>0.72140000000000004</v>
      </c>
      <c r="Y615" s="272">
        <v>0.72140000000000004</v>
      </c>
      <c r="Z615" s="272">
        <v>0.72140000000000004</v>
      </c>
      <c r="AA615" s="272">
        <v>0.72140000000000004</v>
      </c>
      <c r="AB615" s="272">
        <v>0.72140000000000004</v>
      </c>
      <c r="AC615" s="272">
        <v>0.72140000000000004</v>
      </c>
      <c r="AD615" s="396">
        <v>0.72140000000000004</v>
      </c>
      <c r="AE615" s="396">
        <v>0.72140000000000004</v>
      </c>
      <c r="AF615" s="396">
        <v>0.72140000000000004</v>
      </c>
      <c r="AG615" s="396">
        <v>0.72140000000000004</v>
      </c>
      <c r="AH615" s="396">
        <v>0.72140000000000004</v>
      </c>
      <c r="AI615" s="396">
        <v>0.72140000000000004</v>
      </c>
      <c r="AJ615" s="396">
        <v>0.72140000000000004</v>
      </c>
      <c r="AK615" s="396">
        <v>0.72140000000000004</v>
      </c>
      <c r="AL615" s="396">
        <v>0.72140000000000004</v>
      </c>
      <c r="AM615" s="396">
        <v>0.72140000000000004</v>
      </c>
      <c r="AN615" s="396">
        <v>0.72140000000000004</v>
      </c>
      <c r="AO615" s="396">
        <v>0.72140000000000004</v>
      </c>
      <c r="AP615" s="396">
        <v>0.72140000000000004</v>
      </c>
    </row>
    <row r="616" spans="1:42" s="140" customFormat="1" ht="12.75" hidden="1" customHeight="1" outlineLevel="5">
      <c r="A616" s="216"/>
      <c r="B616" s="255" t="s">
        <v>802</v>
      </c>
      <c r="C616" s="290" t="s">
        <v>247</v>
      </c>
      <c r="D616" s="227" t="s">
        <v>231</v>
      </c>
      <c r="E616" s="241"/>
      <c r="F616" s="228">
        <f t="shared" si="1375"/>
        <v>7.1428571428571411E-2</v>
      </c>
      <c r="G616" s="269">
        <f>+F616*G607</f>
        <v>1.2175402462326425E-5</v>
      </c>
      <c r="H616" s="299"/>
      <c r="I616" s="299"/>
      <c r="J616" s="299"/>
      <c r="K616" s="299"/>
      <c r="L616" s="299"/>
      <c r="M616" s="299"/>
      <c r="N616" s="272">
        <v>0.72140000000000004</v>
      </c>
      <c r="O616" s="272">
        <v>0.72140000000000004</v>
      </c>
      <c r="P616" s="272">
        <v>0.72140000000000004</v>
      </c>
      <c r="Q616" s="272">
        <v>0.72140000000000004</v>
      </c>
      <c r="R616" s="372">
        <v>0.72140000000000004</v>
      </c>
      <c r="S616" s="395">
        <v>0.72140000000000004</v>
      </c>
      <c r="T616" s="272">
        <v>0.72140000000000004</v>
      </c>
      <c r="U616" s="272">
        <v>0.72140000000000004</v>
      </c>
      <c r="V616" s="272">
        <v>0.72140000000000004</v>
      </c>
      <c r="W616" s="272">
        <v>0.72140000000000004</v>
      </c>
      <c r="X616" s="272">
        <v>0.72140000000000004</v>
      </c>
      <c r="Y616" s="272">
        <v>0.72140000000000004</v>
      </c>
      <c r="Z616" s="272">
        <v>0.72140000000000004</v>
      </c>
      <c r="AA616" s="272">
        <v>0.72140000000000004</v>
      </c>
      <c r="AB616" s="272">
        <v>0.72140000000000004</v>
      </c>
      <c r="AC616" s="272">
        <v>0.72140000000000004</v>
      </c>
      <c r="AD616" s="396">
        <v>0.72140000000000004</v>
      </c>
      <c r="AE616" s="396">
        <v>0.72140000000000004</v>
      </c>
      <c r="AF616" s="396">
        <v>0.72140000000000004</v>
      </c>
      <c r="AG616" s="396">
        <v>0.72140000000000004</v>
      </c>
      <c r="AH616" s="396">
        <v>0.72140000000000004</v>
      </c>
      <c r="AI616" s="396">
        <v>0.72140000000000004</v>
      </c>
      <c r="AJ616" s="396">
        <v>0.72140000000000004</v>
      </c>
      <c r="AK616" s="396">
        <v>0.72140000000000004</v>
      </c>
      <c r="AL616" s="396">
        <v>0.72140000000000004</v>
      </c>
      <c r="AM616" s="396">
        <v>0.72140000000000004</v>
      </c>
      <c r="AN616" s="396">
        <v>0.72140000000000004</v>
      </c>
      <c r="AO616" s="396">
        <v>0.72140000000000004</v>
      </c>
      <c r="AP616" s="396">
        <v>0.72140000000000004</v>
      </c>
    </row>
    <row r="617" spans="1:42" s="140" customFormat="1" ht="12.75" hidden="1" customHeight="1" outlineLevel="5">
      <c r="A617" s="216"/>
      <c r="B617" s="255" t="s">
        <v>803</v>
      </c>
      <c r="C617" s="290" t="s">
        <v>249</v>
      </c>
      <c r="D617" s="227" t="s">
        <v>231</v>
      </c>
      <c r="E617" s="241"/>
      <c r="F617" s="228">
        <f t="shared" si="1375"/>
        <v>7.1428571428571411E-2</v>
      </c>
      <c r="G617" s="269">
        <f>+F617*G607</f>
        <v>1.2175402462326425E-5</v>
      </c>
      <c r="H617" s="299"/>
      <c r="I617" s="299"/>
      <c r="J617" s="299"/>
      <c r="K617" s="299"/>
      <c r="L617" s="299"/>
      <c r="M617" s="299"/>
      <c r="N617" s="272">
        <v>0.72140000000000004</v>
      </c>
      <c r="O617" s="272">
        <v>0.72140000000000004</v>
      </c>
      <c r="P617" s="272">
        <v>0.72140000000000004</v>
      </c>
      <c r="Q617" s="272">
        <v>0.72140000000000004</v>
      </c>
      <c r="R617" s="372">
        <v>0.72140000000000004</v>
      </c>
      <c r="S617" s="395">
        <v>0.72140000000000004</v>
      </c>
      <c r="T617" s="272">
        <v>0.72140000000000004</v>
      </c>
      <c r="U617" s="272">
        <v>0.72140000000000004</v>
      </c>
      <c r="V617" s="272">
        <v>0.72140000000000004</v>
      </c>
      <c r="W617" s="272">
        <v>0.72140000000000004</v>
      </c>
      <c r="X617" s="272">
        <v>0.72140000000000004</v>
      </c>
      <c r="Y617" s="272">
        <v>0.72140000000000004</v>
      </c>
      <c r="Z617" s="272">
        <v>0.72140000000000004</v>
      </c>
      <c r="AA617" s="272">
        <v>0.72140000000000004</v>
      </c>
      <c r="AB617" s="272">
        <v>0.72140000000000004</v>
      </c>
      <c r="AC617" s="272">
        <v>0.72140000000000004</v>
      </c>
      <c r="AD617" s="396">
        <v>0.72140000000000004</v>
      </c>
      <c r="AE617" s="396">
        <v>0.72140000000000004</v>
      </c>
      <c r="AF617" s="396">
        <v>0.72140000000000004</v>
      </c>
      <c r="AG617" s="396">
        <v>0.72140000000000004</v>
      </c>
      <c r="AH617" s="396">
        <v>0.72140000000000004</v>
      </c>
      <c r="AI617" s="396">
        <v>0.72140000000000004</v>
      </c>
      <c r="AJ617" s="396">
        <v>0.72140000000000004</v>
      </c>
      <c r="AK617" s="396">
        <v>0.72140000000000004</v>
      </c>
      <c r="AL617" s="396">
        <v>0.72140000000000004</v>
      </c>
      <c r="AM617" s="396">
        <v>0.72140000000000004</v>
      </c>
      <c r="AN617" s="396">
        <v>0.72140000000000004</v>
      </c>
      <c r="AO617" s="396">
        <v>0.72140000000000004</v>
      </c>
      <c r="AP617" s="396">
        <v>0.72140000000000004</v>
      </c>
    </row>
    <row r="618" spans="1:42" s="140" customFormat="1" ht="12.75" hidden="1" customHeight="1" outlineLevel="5">
      <c r="A618" s="216"/>
      <c r="B618" s="255" t="s">
        <v>804</v>
      </c>
      <c r="C618" s="290" t="s">
        <v>251</v>
      </c>
      <c r="D618" s="227" t="s">
        <v>231</v>
      </c>
      <c r="E618" s="241"/>
      <c r="F618" s="228">
        <f t="shared" si="1375"/>
        <v>7.1428571428571411E-2</v>
      </c>
      <c r="G618" s="269">
        <f>+F618*G607</f>
        <v>1.2175402462326425E-5</v>
      </c>
      <c r="H618" s="299"/>
      <c r="I618" s="299"/>
      <c r="J618" s="299"/>
      <c r="K618" s="299"/>
      <c r="L618" s="299"/>
      <c r="M618" s="299"/>
      <c r="N618" s="272">
        <v>0.72140000000000004</v>
      </c>
      <c r="O618" s="272">
        <v>0.72140000000000004</v>
      </c>
      <c r="P618" s="272">
        <v>0.72140000000000004</v>
      </c>
      <c r="Q618" s="272">
        <v>0.72140000000000004</v>
      </c>
      <c r="R618" s="372">
        <v>0.72140000000000004</v>
      </c>
      <c r="S618" s="395">
        <v>0.72140000000000004</v>
      </c>
      <c r="T618" s="272">
        <v>0.72140000000000004</v>
      </c>
      <c r="U618" s="272">
        <v>0.72140000000000004</v>
      </c>
      <c r="V618" s="272">
        <v>0.72140000000000004</v>
      </c>
      <c r="W618" s="272">
        <v>0.72140000000000004</v>
      </c>
      <c r="X618" s="272">
        <v>0.72140000000000004</v>
      </c>
      <c r="Y618" s="272">
        <v>0.72140000000000004</v>
      </c>
      <c r="Z618" s="272">
        <v>0.72140000000000004</v>
      </c>
      <c r="AA618" s="272">
        <v>0.72140000000000004</v>
      </c>
      <c r="AB618" s="272">
        <v>0.72140000000000004</v>
      </c>
      <c r="AC618" s="272">
        <v>0.72140000000000004</v>
      </c>
      <c r="AD618" s="396">
        <v>0.72140000000000004</v>
      </c>
      <c r="AE618" s="396">
        <v>0.72140000000000004</v>
      </c>
      <c r="AF618" s="396">
        <v>0.72140000000000004</v>
      </c>
      <c r="AG618" s="396">
        <v>0.72140000000000004</v>
      </c>
      <c r="AH618" s="396">
        <v>0.72140000000000004</v>
      </c>
      <c r="AI618" s="396">
        <v>0.72140000000000004</v>
      </c>
      <c r="AJ618" s="396">
        <v>0.72140000000000004</v>
      </c>
      <c r="AK618" s="396">
        <v>0.72140000000000004</v>
      </c>
      <c r="AL618" s="396">
        <v>0.72140000000000004</v>
      </c>
      <c r="AM618" s="396">
        <v>0.72140000000000004</v>
      </c>
      <c r="AN618" s="396">
        <v>0.72140000000000004</v>
      </c>
      <c r="AO618" s="396">
        <v>0.72140000000000004</v>
      </c>
      <c r="AP618" s="396">
        <v>0.72140000000000004</v>
      </c>
    </row>
    <row r="619" spans="1:42" s="140" customFormat="1" ht="12.75" hidden="1" customHeight="1" outlineLevel="5">
      <c r="A619" s="216"/>
      <c r="B619" s="255" t="s">
        <v>805</v>
      </c>
      <c r="C619" s="290" t="s">
        <v>253</v>
      </c>
      <c r="D619" s="227" t="s">
        <v>231</v>
      </c>
      <c r="E619" s="241"/>
      <c r="F619" s="228">
        <f t="shared" si="1375"/>
        <v>7.1428571428571411E-2</v>
      </c>
      <c r="G619" s="269">
        <f>+F619*G607</f>
        <v>1.2175402462326425E-5</v>
      </c>
      <c r="H619" s="299"/>
      <c r="I619" s="299"/>
      <c r="J619" s="299"/>
      <c r="K619" s="299"/>
      <c r="L619" s="299"/>
      <c r="M619" s="299"/>
      <c r="N619" s="272">
        <v>0.72140000000000004</v>
      </c>
      <c r="O619" s="272">
        <v>0.72140000000000004</v>
      </c>
      <c r="P619" s="272">
        <v>0.72140000000000004</v>
      </c>
      <c r="Q619" s="272">
        <v>0.72140000000000004</v>
      </c>
      <c r="R619" s="372">
        <v>0.72140000000000004</v>
      </c>
      <c r="S619" s="395">
        <v>0.72140000000000004</v>
      </c>
      <c r="T619" s="272">
        <v>0.72140000000000004</v>
      </c>
      <c r="U619" s="272">
        <v>0.72140000000000004</v>
      </c>
      <c r="V619" s="272">
        <v>0.72140000000000004</v>
      </c>
      <c r="W619" s="272">
        <v>0.72140000000000004</v>
      </c>
      <c r="X619" s="272">
        <v>0.72140000000000004</v>
      </c>
      <c r="Y619" s="272">
        <v>0.72140000000000004</v>
      </c>
      <c r="Z619" s="272">
        <v>0.72140000000000004</v>
      </c>
      <c r="AA619" s="272">
        <v>0.72140000000000004</v>
      </c>
      <c r="AB619" s="272">
        <v>0.72140000000000004</v>
      </c>
      <c r="AC619" s="272">
        <v>0.72140000000000004</v>
      </c>
      <c r="AD619" s="396">
        <v>0.72140000000000004</v>
      </c>
      <c r="AE619" s="396">
        <v>0.72140000000000004</v>
      </c>
      <c r="AF619" s="396">
        <v>0.72140000000000004</v>
      </c>
      <c r="AG619" s="396">
        <v>0.72140000000000004</v>
      </c>
      <c r="AH619" s="396">
        <v>0.72140000000000004</v>
      </c>
      <c r="AI619" s="396">
        <v>0.72140000000000004</v>
      </c>
      <c r="AJ619" s="396">
        <v>0.72140000000000004</v>
      </c>
      <c r="AK619" s="396">
        <v>0.72140000000000004</v>
      </c>
      <c r="AL619" s="396">
        <v>0.72140000000000004</v>
      </c>
      <c r="AM619" s="396">
        <v>0.72140000000000004</v>
      </c>
      <c r="AN619" s="396">
        <v>0.72140000000000004</v>
      </c>
      <c r="AO619" s="396">
        <v>0.72140000000000004</v>
      </c>
      <c r="AP619" s="396">
        <v>0.72140000000000004</v>
      </c>
    </row>
    <row r="620" spans="1:42" s="140" customFormat="1" ht="12.75" hidden="1" customHeight="1" outlineLevel="5">
      <c r="A620" s="216"/>
      <c r="B620" s="255" t="s">
        <v>806</v>
      </c>
      <c r="C620" s="290" t="s">
        <v>285</v>
      </c>
      <c r="D620" s="227" t="s">
        <v>231</v>
      </c>
      <c r="E620" s="241"/>
      <c r="F620" s="228">
        <f t="shared" si="1375"/>
        <v>7.1428571428571411E-2</v>
      </c>
      <c r="G620" s="269">
        <f>+F620*G607</f>
        <v>1.2175402462326425E-5</v>
      </c>
      <c r="H620" s="299"/>
      <c r="I620" s="299"/>
      <c r="J620" s="299"/>
      <c r="K620" s="299"/>
      <c r="L620" s="299"/>
      <c r="M620" s="299"/>
      <c r="N620" s="272">
        <v>0.72140000000000004</v>
      </c>
      <c r="O620" s="272">
        <v>0.72140000000000004</v>
      </c>
      <c r="P620" s="272">
        <v>0.72140000000000004</v>
      </c>
      <c r="Q620" s="272">
        <v>0.72140000000000004</v>
      </c>
      <c r="R620" s="372">
        <v>0.72140000000000004</v>
      </c>
      <c r="S620" s="395">
        <v>0.72140000000000004</v>
      </c>
      <c r="T620" s="272">
        <v>0.72140000000000004</v>
      </c>
      <c r="U620" s="272">
        <v>0.72140000000000004</v>
      </c>
      <c r="V620" s="272">
        <v>0.72140000000000004</v>
      </c>
      <c r="W620" s="272">
        <v>0.72140000000000004</v>
      </c>
      <c r="X620" s="272">
        <v>0.72140000000000004</v>
      </c>
      <c r="Y620" s="272">
        <v>0.72140000000000004</v>
      </c>
      <c r="Z620" s="272">
        <v>0.72140000000000004</v>
      </c>
      <c r="AA620" s="272">
        <v>0.72140000000000004</v>
      </c>
      <c r="AB620" s="272">
        <v>0.72140000000000004</v>
      </c>
      <c r="AC620" s="272">
        <v>0.72140000000000004</v>
      </c>
      <c r="AD620" s="396">
        <v>0.72140000000000004</v>
      </c>
      <c r="AE620" s="396">
        <v>0.72140000000000004</v>
      </c>
      <c r="AF620" s="396">
        <v>0.72140000000000004</v>
      </c>
      <c r="AG620" s="396">
        <v>0.72140000000000004</v>
      </c>
      <c r="AH620" s="396">
        <v>0.72140000000000004</v>
      </c>
      <c r="AI620" s="396">
        <v>0.72140000000000004</v>
      </c>
      <c r="AJ620" s="396">
        <v>0.72140000000000004</v>
      </c>
      <c r="AK620" s="396">
        <v>0.72140000000000004</v>
      </c>
      <c r="AL620" s="396">
        <v>0.72140000000000004</v>
      </c>
      <c r="AM620" s="396">
        <v>0.72140000000000004</v>
      </c>
      <c r="AN620" s="396">
        <v>0.72140000000000004</v>
      </c>
      <c r="AO620" s="396">
        <v>0.72140000000000004</v>
      </c>
      <c r="AP620" s="396">
        <v>0.72140000000000004</v>
      </c>
    </row>
    <row r="621" spans="1:42" s="140" customFormat="1" ht="12.75" hidden="1" customHeight="1" outlineLevel="5">
      <c r="A621" s="216"/>
      <c r="B621" s="255" t="s">
        <v>807</v>
      </c>
      <c r="C621" s="290" t="s">
        <v>287</v>
      </c>
      <c r="D621" s="227" t="s">
        <v>231</v>
      </c>
      <c r="E621" s="241"/>
      <c r="F621" s="228">
        <f t="shared" si="1375"/>
        <v>7.1428571428571411E-2</v>
      </c>
      <c r="G621" s="269">
        <f>+F621*G607</f>
        <v>1.2175402462326425E-5</v>
      </c>
      <c r="H621" s="299"/>
      <c r="I621" s="299"/>
      <c r="J621" s="299"/>
      <c r="K621" s="299"/>
      <c r="L621" s="299"/>
      <c r="M621" s="299"/>
      <c r="N621" s="272">
        <v>0.72140000000000004</v>
      </c>
      <c r="O621" s="272">
        <v>0.72140000000000004</v>
      </c>
      <c r="P621" s="272">
        <v>0.72140000000000004</v>
      </c>
      <c r="Q621" s="272">
        <v>0.72140000000000004</v>
      </c>
      <c r="R621" s="372">
        <v>0.72140000000000004</v>
      </c>
      <c r="S621" s="395">
        <v>0.72140000000000004</v>
      </c>
      <c r="T621" s="272">
        <v>0.72140000000000004</v>
      </c>
      <c r="U621" s="272">
        <v>0.72140000000000004</v>
      </c>
      <c r="V621" s="272">
        <v>0.72140000000000004</v>
      </c>
      <c r="W621" s="272">
        <v>0.72140000000000004</v>
      </c>
      <c r="X621" s="272">
        <v>0.72140000000000004</v>
      </c>
      <c r="Y621" s="272">
        <v>0.72140000000000004</v>
      </c>
      <c r="Z621" s="272">
        <v>0.72140000000000004</v>
      </c>
      <c r="AA621" s="272">
        <v>0.72140000000000004</v>
      </c>
      <c r="AB621" s="272">
        <v>0.72140000000000004</v>
      </c>
      <c r="AC621" s="272">
        <v>0.72140000000000004</v>
      </c>
      <c r="AD621" s="396">
        <v>0.72140000000000004</v>
      </c>
      <c r="AE621" s="396">
        <v>0.72140000000000004</v>
      </c>
      <c r="AF621" s="396">
        <v>0.72140000000000004</v>
      </c>
      <c r="AG621" s="396">
        <v>0.72140000000000004</v>
      </c>
      <c r="AH621" s="396">
        <v>0.72140000000000004</v>
      </c>
      <c r="AI621" s="396">
        <v>0.72140000000000004</v>
      </c>
      <c r="AJ621" s="396">
        <v>0.72140000000000004</v>
      </c>
      <c r="AK621" s="396">
        <v>0.72140000000000004</v>
      </c>
      <c r="AL621" s="396">
        <v>0.72140000000000004</v>
      </c>
      <c r="AM621" s="396">
        <v>0.72140000000000004</v>
      </c>
      <c r="AN621" s="396">
        <v>0.72140000000000004</v>
      </c>
      <c r="AO621" s="396">
        <v>0.72140000000000004</v>
      </c>
      <c r="AP621" s="396">
        <v>0.72140000000000004</v>
      </c>
    </row>
    <row r="622" spans="1:42" s="140" customFormat="1" ht="12.75" hidden="1" customHeight="1" outlineLevel="4">
      <c r="A622" s="216"/>
      <c r="B622" s="291" t="s">
        <v>808</v>
      </c>
      <c r="C622" s="292" t="s">
        <v>43</v>
      </c>
      <c r="D622" s="234" t="s">
        <v>33</v>
      </c>
      <c r="E622" s="240"/>
      <c r="F622" s="223">
        <f t="shared" si="1375"/>
        <v>0.13388996515868054</v>
      </c>
      <c r="G622" s="293">
        <f>+F622*G533</f>
        <v>2.065408880610844E-4</v>
      </c>
      <c r="H622" s="298"/>
      <c r="I622" s="298"/>
      <c r="J622" s="298"/>
      <c r="K622" s="298"/>
      <c r="L622" s="298"/>
      <c r="M622" s="298"/>
      <c r="N622" s="270">
        <f t="shared" ref="N622:R622" si="1399">+SUMPRODUCT($F623:$F639,N623:N639)</f>
        <v>0.72</v>
      </c>
      <c r="O622" s="270">
        <f t="shared" si="1399"/>
        <v>0.72</v>
      </c>
      <c r="P622" s="270">
        <f t="shared" si="1399"/>
        <v>0.72</v>
      </c>
      <c r="Q622" s="270">
        <f t="shared" si="1399"/>
        <v>0.72</v>
      </c>
      <c r="R622" s="370">
        <f t="shared" si="1399"/>
        <v>0.72</v>
      </c>
      <c r="S622" s="391">
        <f t="shared" ref="S622" si="1400">+SUMPRODUCT($F623:$F639,S623:S639)</f>
        <v>0.72</v>
      </c>
      <c r="T622" s="270">
        <f t="shared" ref="T622" si="1401">+SUMPRODUCT($F623:$F639,T623:T639)</f>
        <v>0.72</v>
      </c>
      <c r="U622" s="270">
        <f t="shared" ref="U622" si="1402">+SUMPRODUCT($F623:$F639,U623:U639)</f>
        <v>0.72</v>
      </c>
      <c r="V622" s="270">
        <f t="shared" ref="V622" si="1403">+SUMPRODUCT($F623:$F639,V623:V639)</f>
        <v>0.72</v>
      </c>
      <c r="W622" s="270">
        <f t="shared" ref="W622" si="1404">+SUMPRODUCT($F623:$F639,W623:W639)</f>
        <v>0.72</v>
      </c>
      <c r="X622" s="270">
        <f t="shared" ref="X622" si="1405">+SUMPRODUCT($F623:$F639,X623:X639)</f>
        <v>0.72</v>
      </c>
      <c r="Y622" s="270">
        <f t="shared" ref="Y622" si="1406">+SUMPRODUCT($F623:$F639,Y623:Y639)</f>
        <v>0.72</v>
      </c>
      <c r="Z622" s="270">
        <f t="shared" ref="Z622" si="1407">+SUMPRODUCT($F623:$F639,Z623:Z639)</f>
        <v>0.72</v>
      </c>
      <c r="AA622" s="270">
        <f t="shared" ref="AA622" si="1408">+SUMPRODUCT($F623:$F639,AA623:AA639)</f>
        <v>0.72</v>
      </c>
      <c r="AB622" s="270">
        <f t="shared" ref="AB622" si="1409">+SUMPRODUCT($F623:$F639,AB623:AB639)</f>
        <v>0.72</v>
      </c>
      <c r="AC622" s="270">
        <f t="shared" ref="AC622" si="1410">+SUMPRODUCT($F623:$F639,AC623:AC639)</f>
        <v>0.72</v>
      </c>
      <c r="AD622" s="392">
        <f t="shared" ref="AD622:AF622" si="1411">+SUMPRODUCT($F623:$F639,AD623:AD639)</f>
        <v>0.72</v>
      </c>
      <c r="AE622" s="392">
        <f t="shared" si="1411"/>
        <v>0.72</v>
      </c>
      <c r="AF622" s="392">
        <f t="shared" si="1411"/>
        <v>0.72</v>
      </c>
      <c r="AG622" s="392">
        <f t="shared" ref="AG622" si="1412">+SUMPRODUCT($F623:$F639,AG623:AG639)</f>
        <v>0.72</v>
      </c>
      <c r="AH622" s="392">
        <f t="shared" ref="AH622" si="1413">+SUMPRODUCT($F623:$F639,AH623:AH639)</f>
        <v>0.72</v>
      </c>
      <c r="AI622" s="392">
        <f t="shared" ref="AI622" si="1414">+SUMPRODUCT($F623:$F639,AI623:AI639)</f>
        <v>0.72</v>
      </c>
      <c r="AJ622" s="392">
        <f t="shared" ref="AJ622" si="1415">+SUMPRODUCT($F623:$F639,AJ623:AJ639)</f>
        <v>0.72</v>
      </c>
      <c r="AK622" s="392">
        <f t="shared" ref="AK622" si="1416">+SUMPRODUCT($F623:$F639,AK623:AK639)</f>
        <v>0.72</v>
      </c>
      <c r="AL622" s="392">
        <f t="shared" ref="AL622" si="1417">+SUMPRODUCT($F623:$F639,AL623:AL639)</f>
        <v>0.72</v>
      </c>
      <c r="AM622" s="392">
        <f t="shared" ref="AM622" si="1418">+SUMPRODUCT($F623:$F639,AM623:AM639)</f>
        <v>0.72</v>
      </c>
      <c r="AN622" s="392">
        <f t="shared" ref="AN622" si="1419">+SUMPRODUCT($F623:$F639,AN623:AN639)</f>
        <v>0.72</v>
      </c>
      <c r="AO622" s="392">
        <f t="shared" ref="AO622" si="1420">+SUMPRODUCT($F623:$F639,AO623:AO639)</f>
        <v>0.72</v>
      </c>
      <c r="AP622" s="392">
        <f t="shared" ref="AP622" si="1421">+SUMPRODUCT($F623:$F639,AP623:AP639)</f>
        <v>0.72</v>
      </c>
    </row>
    <row r="623" spans="1:42" s="140" customFormat="1" ht="12.75" hidden="1" customHeight="1" outlineLevel="5">
      <c r="A623" s="216"/>
      <c r="B623" s="255" t="s">
        <v>809</v>
      </c>
      <c r="C623" s="290" t="s">
        <v>230</v>
      </c>
      <c r="D623" s="227" t="s">
        <v>231</v>
      </c>
      <c r="E623" s="241"/>
      <c r="F623" s="228">
        <f t="shared" si="1375"/>
        <v>6.2251019714089834E-2</v>
      </c>
      <c r="G623" s="269">
        <f>+F623*G622</f>
        <v>1.2857380894456186E-5</v>
      </c>
      <c r="H623" s="299"/>
      <c r="I623" s="299"/>
      <c r="J623" s="299"/>
      <c r="K623" s="299"/>
      <c r="L623" s="299"/>
      <c r="M623" s="299"/>
      <c r="N623" s="272">
        <v>0.72</v>
      </c>
      <c r="O623" s="272">
        <v>0.72</v>
      </c>
      <c r="P623" s="272">
        <v>0.72</v>
      </c>
      <c r="Q623" s="272">
        <v>0.72</v>
      </c>
      <c r="R623" s="372">
        <v>0.72</v>
      </c>
      <c r="S623" s="395">
        <v>0.72</v>
      </c>
      <c r="T623" s="272">
        <v>0.72</v>
      </c>
      <c r="U623" s="272">
        <v>0.72</v>
      </c>
      <c r="V623" s="272">
        <v>0.72</v>
      </c>
      <c r="W623" s="272">
        <v>0.72</v>
      </c>
      <c r="X623" s="272">
        <v>0.72</v>
      </c>
      <c r="Y623" s="272">
        <v>0.72</v>
      </c>
      <c r="Z623" s="272">
        <v>0.72</v>
      </c>
      <c r="AA623" s="272">
        <v>0.72</v>
      </c>
      <c r="AB623" s="272">
        <v>0.72</v>
      </c>
      <c r="AC623" s="272">
        <v>0.72</v>
      </c>
      <c r="AD623" s="396">
        <v>0.72</v>
      </c>
      <c r="AE623" s="396">
        <v>0.72</v>
      </c>
      <c r="AF623" s="396">
        <v>0.72</v>
      </c>
      <c r="AG623" s="396">
        <v>0.72</v>
      </c>
      <c r="AH623" s="396">
        <v>0.72</v>
      </c>
      <c r="AI623" s="396">
        <v>0.72</v>
      </c>
      <c r="AJ623" s="396">
        <v>0.72</v>
      </c>
      <c r="AK623" s="396">
        <v>0.72</v>
      </c>
      <c r="AL623" s="396">
        <v>0.72</v>
      </c>
      <c r="AM623" s="396">
        <v>0.72</v>
      </c>
      <c r="AN623" s="396">
        <v>0.72</v>
      </c>
      <c r="AO623" s="396">
        <v>0.72</v>
      </c>
      <c r="AP623" s="396">
        <v>0.72</v>
      </c>
    </row>
    <row r="624" spans="1:42" s="140" customFormat="1" ht="12.75" hidden="1" customHeight="1" outlineLevel="5">
      <c r="A624" s="216"/>
      <c r="B624" s="255" t="s">
        <v>810</v>
      </c>
      <c r="C624" s="290" t="s">
        <v>233</v>
      </c>
      <c r="D624" s="227" t="s">
        <v>231</v>
      </c>
      <c r="E624" s="241"/>
      <c r="F624" s="228">
        <f t="shared" si="1375"/>
        <v>6.2251019714089834E-2</v>
      </c>
      <c r="G624" s="269">
        <f>+F624*G622</f>
        <v>1.2857380894456186E-5</v>
      </c>
      <c r="H624" s="299"/>
      <c r="I624" s="299"/>
      <c r="J624" s="299"/>
      <c r="K624" s="299"/>
      <c r="L624" s="299"/>
      <c r="M624" s="299"/>
      <c r="N624" s="272">
        <v>0.72</v>
      </c>
      <c r="O624" s="272">
        <v>0.72</v>
      </c>
      <c r="P624" s="272">
        <v>0.72</v>
      </c>
      <c r="Q624" s="272">
        <v>0.72</v>
      </c>
      <c r="R624" s="372">
        <v>0.72</v>
      </c>
      <c r="S624" s="395">
        <v>0.72</v>
      </c>
      <c r="T624" s="272">
        <v>0.72</v>
      </c>
      <c r="U624" s="272">
        <v>0.72</v>
      </c>
      <c r="V624" s="272">
        <v>0.72</v>
      </c>
      <c r="W624" s="272">
        <v>0.72</v>
      </c>
      <c r="X624" s="272">
        <v>0.72</v>
      </c>
      <c r="Y624" s="272">
        <v>0.72</v>
      </c>
      <c r="Z624" s="272">
        <v>0.72</v>
      </c>
      <c r="AA624" s="272">
        <v>0.72</v>
      </c>
      <c r="AB624" s="272">
        <v>0.72</v>
      </c>
      <c r="AC624" s="272">
        <v>0.72</v>
      </c>
      <c r="AD624" s="396">
        <v>0.72</v>
      </c>
      <c r="AE624" s="396">
        <v>0.72</v>
      </c>
      <c r="AF624" s="396">
        <v>0.72</v>
      </c>
      <c r="AG624" s="396">
        <v>0.72</v>
      </c>
      <c r="AH624" s="396">
        <v>0.72</v>
      </c>
      <c r="AI624" s="396">
        <v>0.72</v>
      </c>
      <c r="AJ624" s="396">
        <v>0.72</v>
      </c>
      <c r="AK624" s="396">
        <v>0.72</v>
      </c>
      <c r="AL624" s="396">
        <v>0.72</v>
      </c>
      <c r="AM624" s="396">
        <v>0.72</v>
      </c>
      <c r="AN624" s="396">
        <v>0.72</v>
      </c>
      <c r="AO624" s="396">
        <v>0.72</v>
      </c>
      <c r="AP624" s="396">
        <v>0.72</v>
      </c>
    </row>
    <row r="625" spans="1:42" s="140" customFormat="1" ht="12.75" hidden="1" customHeight="1" outlineLevel="5">
      <c r="A625" s="216"/>
      <c r="B625" s="255" t="s">
        <v>811</v>
      </c>
      <c r="C625" s="290" t="s">
        <v>235</v>
      </c>
      <c r="D625" s="227" t="s">
        <v>231</v>
      </c>
      <c r="E625" s="241"/>
      <c r="F625" s="228">
        <f t="shared" si="1375"/>
        <v>6.2251019714089834E-2</v>
      </c>
      <c r="G625" s="269">
        <f>+F625*G622</f>
        <v>1.2857380894456186E-5</v>
      </c>
      <c r="H625" s="299"/>
      <c r="I625" s="299"/>
      <c r="J625" s="299"/>
      <c r="K625" s="299"/>
      <c r="L625" s="299"/>
      <c r="M625" s="299"/>
      <c r="N625" s="272">
        <v>0.72</v>
      </c>
      <c r="O625" s="272">
        <v>0.72</v>
      </c>
      <c r="P625" s="272">
        <v>0.72</v>
      </c>
      <c r="Q625" s="272">
        <v>0.72</v>
      </c>
      <c r="R625" s="372">
        <v>0.72</v>
      </c>
      <c r="S625" s="395">
        <v>0.72</v>
      </c>
      <c r="T625" s="272">
        <v>0.72</v>
      </c>
      <c r="U625" s="272">
        <v>0.72</v>
      </c>
      <c r="V625" s="272">
        <v>0.72</v>
      </c>
      <c r="W625" s="272">
        <v>0.72</v>
      </c>
      <c r="X625" s="272">
        <v>0.72</v>
      </c>
      <c r="Y625" s="272">
        <v>0.72</v>
      </c>
      <c r="Z625" s="272">
        <v>0.72</v>
      </c>
      <c r="AA625" s="272">
        <v>0.72</v>
      </c>
      <c r="AB625" s="272">
        <v>0.72</v>
      </c>
      <c r="AC625" s="272">
        <v>0.72</v>
      </c>
      <c r="AD625" s="396">
        <v>0.72</v>
      </c>
      <c r="AE625" s="396">
        <v>0.72</v>
      </c>
      <c r="AF625" s="396">
        <v>0.72</v>
      </c>
      <c r="AG625" s="396">
        <v>0.72</v>
      </c>
      <c r="AH625" s="396">
        <v>0.72</v>
      </c>
      <c r="AI625" s="396">
        <v>0.72</v>
      </c>
      <c r="AJ625" s="396">
        <v>0.72</v>
      </c>
      <c r="AK625" s="396">
        <v>0.72</v>
      </c>
      <c r="AL625" s="396">
        <v>0.72</v>
      </c>
      <c r="AM625" s="396">
        <v>0.72</v>
      </c>
      <c r="AN625" s="396">
        <v>0.72</v>
      </c>
      <c r="AO625" s="396">
        <v>0.72</v>
      </c>
      <c r="AP625" s="396">
        <v>0.72</v>
      </c>
    </row>
    <row r="626" spans="1:42" s="140" customFormat="1" ht="12.75" hidden="1" customHeight="1" outlineLevel="5">
      <c r="A626" s="216"/>
      <c r="B626" s="255" t="s">
        <v>812</v>
      </c>
      <c r="C626" s="290" t="s">
        <v>237</v>
      </c>
      <c r="D626" s="227" t="s">
        <v>231</v>
      </c>
      <c r="E626" s="241"/>
      <c r="F626" s="228">
        <f t="shared" si="1375"/>
        <v>6.2251019714089834E-2</v>
      </c>
      <c r="G626" s="269">
        <f>+F626*G622</f>
        <v>1.2857380894456186E-5</v>
      </c>
      <c r="H626" s="299"/>
      <c r="I626" s="299"/>
      <c r="J626" s="299"/>
      <c r="K626" s="299"/>
      <c r="L626" s="299"/>
      <c r="M626" s="299"/>
      <c r="N626" s="272">
        <v>0.72</v>
      </c>
      <c r="O626" s="272">
        <v>0.72</v>
      </c>
      <c r="P626" s="272">
        <v>0.72</v>
      </c>
      <c r="Q626" s="272">
        <v>0.72</v>
      </c>
      <c r="R626" s="372">
        <v>0.72</v>
      </c>
      <c r="S626" s="395">
        <v>0.72</v>
      </c>
      <c r="T626" s="272">
        <v>0.72</v>
      </c>
      <c r="U626" s="272">
        <v>0.72</v>
      </c>
      <c r="V626" s="272">
        <v>0.72</v>
      </c>
      <c r="W626" s="272">
        <v>0.72</v>
      </c>
      <c r="X626" s="272">
        <v>0.72</v>
      </c>
      <c r="Y626" s="272">
        <v>0.72</v>
      </c>
      <c r="Z626" s="272">
        <v>0.72</v>
      </c>
      <c r="AA626" s="272">
        <v>0.72</v>
      </c>
      <c r="AB626" s="272">
        <v>0.72</v>
      </c>
      <c r="AC626" s="272">
        <v>0.72</v>
      </c>
      <c r="AD626" s="396">
        <v>0.72</v>
      </c>
      <c r="AE626" s="396">
        <v>0.72</v>
      </c>
      <c r="AF626" s="396">
        <v>0.72</v>
      </c>
      <c r="AG626" s="396">
        <v>0.72</v>
      </c>
      <c r="AH626" s="396">
        <v>0.72</v>
      </c>
      <c r="AI626" s="396">
        <v>0.72</v>
      </c>
      <c r="AJ626" s="396">
        <v>0.72</v>
      </c>
      <c r="AK626" s="396">
        <v>0.72</v>
      </c>
      <c r="AL626" s="396">
        <v>0.72</v>
      </c>
      <c r="AM626" s="396">
        <v>0.72</v>
      </c>
      <c r="AN626" s="396">
        <v>0.72</v>
      </c>
      <c r="AO626" s="396">
        <v>0.72</v>
      </c>
      <c r="AP626" s="396">
        <v>0.72</v>
      </c>
    </row>
    <row r="627" spans="1:42" s="140" customFormat="1" ht="12.75" hidden="1" customHeight="1" outlineLevel="5">
      <c r="A627" s="216"/>
      <c r="B627" s="255" t="s">
        <v>813</v>
      </c>
      <c r="C627" s="290" t="s">
        <v>239</v>
      </c>
      <c r="D627" s="227" t="s">
        <v>231</v>
      </c>
      <c r="E627" s="241"/>
      <c r="F627" s="228">
        <f t="shared" si="1375"/>
        <v>6.2251019714089834E-2</v>
      </c>
      <c r="G627" s="269">
        <f>+F627*G622</f>
        <v>1.2857380894456186E-5</v>
      </c>
      <c r="H627" s="299"/>
      <c r="I627" s="299"/>
      <c r="J627" s="299"/>
      <c r="K627" s="299"/>
      <c r="L627" s="299"/>
      <c r="M627" s="299"/>
      <c r="N627" s="272">
        <v>0.72</v>
      </c>
      <c r="O627" s="272">
        <v>0.72</v>
      </c>
      <c r="P627" s="272">
        <v>0.72</v>
      </c>
      <c r="Q627" s="272">
        <v>0.72</v>
      </c>
      <c r="R627" s="372">
        <v>0.72</v>
      </c>
      <c r="S627" s="395">
        <v>0.72</v>
      </c>
      <c r="T627" s="272">
        <v>0.72</v>
      </c>
      <c r="U627" s="272">
        <v>0.72</v>
      </c>
      <c r="V627" s="272">
        <v>0.72</v>
      </c>
      <c r="W627" s="272">
        <v>0.72</v>
      </c>
      <c r="X627" s="272">
        <v>0.72</v>
      </c>
      <c r="Y627" s="272">
        <v>0.72</v>
      </c>
      <c r="Z627" s="272">
        <v>0.72</v>
      </c>
      <c r="AA627" s="272">
        <v>0.72</v>
      </c>
      <c r="AB627" s="272">
        <v>0.72</v>
      </c>
      <c r="AC627" s="272">
        <v>0.72</v>
      </c>
      <c r="AD627" s="396">
        <v>0.72</v>
      </c>
      <c r="AE627" s="396">
        <v>0.72</v>
      </c>
      <c r="AF627" s="396">
        <v>0.72</v>
      </c>
      <c r="AG627" s="396">
        <v>0.72</v>
      </c>
      <c r="AH627" s="396">
        <v>0.72</v>
      </c>
      <c r="AI627" s="396">
        <v>0.72</v>
      </c>
      <c r="AJ627" s="396">
        <v>0.72</v>
      </c>
      <c r="AK627" s="396">
        <v>0.72</v>
      </c>
      <c r="AL627" s="396">
        <v>0.72</v>
      </c>
      <c r="AM627" s="396">
        <v>0.72</v>
      </c>
      <c r="AN627" s="396">
        <v>0.72</v>
      </c>
      <c r="AO627" s="396">
        <v>0.72</v>
      </c>
      <c r="AP627" s="396">
        <v>0.72</v>
      </c>
    </row>
    <row r="628" spans="1:42" s="140" customFormat="1" ht="12.75" hidden="1" customHeight="1" outlineLevel="5">
      <c r="A628" s="216"/>
      <c r="B628" s="255" t="s">
        <v>814</v>
      </c>
      <c r="C628" s="290" t="s">
        <v>241</v>
      </c>
      <c r="D628" s="227" t="s">
        <v>231</v>
      </c>
      <c r="E628" s="241"/>
      <c r="F628" s="228">
        <f t="shared" si="1375"/>
        <v>6.2251019714089834E-2</v>
      </c>
      <c r="G628" s="269">
        <f>+F628*G622</f>
        <v>1.2857380894456186E-5</v>
      </c>
      <c r="H628" s="299"/>
      <c r="I628" s="299"/>
      <c r="J628" s="299"/>
      <c r="K628" s="299"/>
      <c r="L628" s="299"/>
      <c r="M628" s="299"/>
      <c r="N628" s="272">
        <v>0.72</v>
      </c>
      <c r="O628" s="272">
        <v>0.72</v>
      </c>
      <c r="P628" s="272">
        <v>0.72</v>
      </c>
      <c r="Q628" s="272">
        <v>0.72</v>
      </c>
      <c r="R628" s="372">
        <v>0.72</v>
      </c>
      <c r="S628" s="395">
        <v>0.72</v>
      </c>
      <c r="T628" s="272">
        <v>0.72</v>
      </c>
      <c r="U628" s="272">
        <v>0.72</v>
      </c>
      <c r="V628" s="272">
        <v>0.72</v>
      </c>
      <c r="W628" s="272">
        <v>0.72</v>
      </c>
      <c r="X628" s="272">
        <v>0.72</v>
      </c>
      <c r="Y628" s="272">
        <v>0.72</v>
      </c>
      <c r="Z628" s="272">
        <v>0.72</v>
      </c>
      <c r="AA628" s="272">
        <v>0.72</v>
      </c>
      <c r="AB628" s="272">
        <v>0.72</v>
      </c>
      <c r="AC628" s="272">
        <v>0.72</v>
      </c>
      <c r="AD628" s="396">
        <v>0.72</v>
      </c>
      <c r="AE628" s="396">
        <v>0.72</v>
      </c>
      <c r="AF628" s="396">
        <v>0.72</v>
      </c>
      <c r="AG628" s="396">
        <v>0.72</v>
      </c>
      <c r="AH628" s="396">
        <v>0.72</v>
      </c>
      <c r="AI628" s="396">
        <v>0.72</v>
      </c>
      <c r="AJ628" s="396">
        <v>0.72</v>
      </c>
      <c r="AK628" s="396">
        <v>0.72</v>
      </c>
      <c r="AL628" s="396">
        <v>0.72</v>
      </c>
      <c r="AM628" s="396">
        <v>0.72</v>
      </c>
      <c r="AN628" s="396">
        <v>0.72</v>
      </c>
      <c r="AO628" s="396">
        <v>0.72</v>
      </c>
      <c r="AP628" s="396">
        <v>0.72</v>
      </c>
    </row>
    <row r="629" spans="1:42" s="140" customFormat="1" ht="12.75" hidden="1" customHeight="1" outlineLevel="5">
      <c r="A629" s="216"/>
      <c r="B629" s="255" t="s">
        <v>815</v>
      </c>
      <c r="C629" s="290" t="s">
        <v>243</v>
      </c>
      <c r="D629" s="227" t="s">
        <v>231</v>
      </c>
      <c r="E629" s="241"/>
      <c r="F629" s="228">
        <f t="shared" si="1375"/>
        <v>6.2251019714089834E-2</v>
      </c>
      <c r="G629" s="269">
        <f>+F629*G622</f>
        <v>1.2857380894456186E-5</v>
      </c>
      <c r="H629" s="299"/>
      <c r="I629" s="299"/>
      <c r="J629" s="299"/>
      <c r="K629" s="299"/>
      <c r="L629" s="299"/>
      <c r="M629" s="299"/>
      <c r="N629" s="272">
        <v>0.72</v>
      </c>
      <c r="O629" s="272">
        <v>0.72</v>
      </c>
      <c r="P629" s="272">
        <v>0.72</v>
      </c>
      <c r="Q629" s="272">
        <v>0.72</v>
      </c>
      <c r="R629" s="372">
        <v>0.72</v>
      </c>
      <c r="S629" s="395">
        <v>0.72</v>
      </c>
      <c r="T629" s="272">
        <v>0.72</v>
      </c>
      <c r="U629" s="272">
        <v>0.72</v>
      </c>
      <c r="V629" s="272">
        <v>0.72</v>
      </c>
      <c r="W629" s="272">
        <v>0.72</v>
      </c>
      <c r="X629" s="272">
        <v>0.72</v>
      </c>
      <c r="Y629" s="272">
        <v>0.72</v>
      </c>
      <c r="Z629" s="272">
        <v>0.72</v>
      </c>
      <c r="AA629" s="272">
        <v>0.72</v>
      </c>
      <c r="AB629" s="272">
        <v>0.72</v>
      </c>
      <c r="AC629" s="272">
        <v>0.72</v>
      </c>
      <c r="AD629" s="396">
        <v>0.72</v>
      </c>
      <c r="AE629" s="396">
        <v>0.72</v>
      </c>
      <c r="AF629" s="396">
        <v>0.72</v>
      </c>
      <c r="AG629" s="396">
        <v>0.72</v>
      </c>
      <c r="AH629" s="396">
        <v>0.72</v>
      </c>
      <c r="AI629" s="396">
        <v>0.72</v>
      </c>
      <c r="AJ629" s="396">
        <v>0.72</v>
      </c>
      <c r="AK629" s="396">
        <v>0.72</v>
      </c>
      <c r="AL629" s="396">
        <v>0.72</v>
      </c>
      <c r="AM629" s="396">
        <v>0.72</v>
      </c>
      <c r="AN629" s="396">
        <v>0.72</v>
      </c>
      <c r="AO629" s="396">
        <v>0.72</v>
      </c>
      <c r="AP629" s="396">
        <v>0.72</v>
      </c>
    </row>
    <row r="630" spans="1:42" s="140" customFormat="1" ht="12.75" hidden="1" customHeight="1" outlineLevel="5">
      <c r="A630" s="216"/>
      <c r="B630" s="255" t="s">
        <v>816</v>
      </c>
      <c r="C630" s="290" t="s">
        <v>245</v>
      </c>
      <c r="D630" s="227" t="s">
        <v>231</v>
      </c>
      <c r="E630" s="241"/>
      <c r="F630" s="228">
        <f t="shared" si="1375"/>
        <v>6.2251019714089834E-2</v>
      </c>
      <c r="G630" s="269">
        <f>+F630*G622</f>
        <v>1.2857380894456186E-5</v>
      </c>
      <c r="H630" s="299"/>
      <c r="I630" s="299"/>
      <c r="J630" s="299"/>
      <c r="K630" s="299"/>
      <c r="L630" s="299"/>
      <c r="M630" s="299"/>
      <c r="N630" s="272">
        <v>0.72</v>
      </c>
      <c r="O630" s="272">
        <v>0.72</v>
      </c>
      <c r="P630" s="272">
        <v>0.72</v>
      </c>
      <c r="Q630" s="272">
        <v>0.72</v>
      </c>
      <c r="R630" s="372">
        <v>0.72</v>
      </c>
      <c r="S630" s="395">
        <v>0.72</v>
      </c>
      <c r="T630" s="272">
        <v>0.72</v>
      </c>
      <c r="U630" s="272">
        <v>0.72</v>
      </c>
      <c r="V630" s="272">
        <v>0.72</v>
      </c>
      <c r="W630" s="272">
        <v>0.72</v>
      </c>
      <c r="X630" s="272">
        <v>0.72</v>
      </c>
      <c r="Y630" s="272">
        <v>0.72</v>
      </c>
      <c r="Z630" s="272">
        <v>0.72</v>
      </c>
      <c r="AA630" s="272">
        <v>0.72</v>
      </c>
      <c r="AB630" s="272">
        <v>0.72</v>
      </c>
      <c r="AC630" s="272">
        <v>0.72</v>
      </c>
      <c r="AD630" s="396">
        <v>0.72</v>
      </c>
      <c r="AE630" s="396">
        <v>0.72</v>
      </c>
      <c r="AF630" s="396">
        <v>0.72</v>
      </c>
      <c r="AG630" s="396">
        <v>0.72</v>
      </c>
      <c r="AH630" s="396">
        <v>0.72</v>
      </c>
      <c r="AI630" s="396">
        <v>0.72</v>
      </c>
      <c r="AJ630" s="396">
        <v>0.72</v>
      </c>
      <c r="AK630" s="396">
        <v>0.72</v>
      </c>
      <c r="AL630" s="396">
        <v>0.72</v>
      </c>
      <c r="AM630" s="396">
        <v>0.72</v>
      </c>
      <c r="AN630" s="396">
        <v>0.72</v>
      </c>
      <c r="AO630" s="396">
        <v>0.72</v>
      </c>
      <c r="AP630" s="396">
        <v>0.72</v>
      </c>
    </row>
    <row r="631" spans="1:42" s="140" customFormat="1" ht="12.75" hidden="1" customHeight="1" outlineLevel="5">
      <c r="A631" s="216"/>
      <c r="B631" s="255" t="s">
        <v>817</v>
      </c>
      <c r="C631" s="290" t="s">
        <v>247</v>
      </c>
      <c r="D631" s="227" t="s">
        <v>231</v>
      </c>
      <c r="E631" s="241"/>
      <c r="F631" s="228">
        <f t="shared" si="1375"/>
        <v>6.2251019714089834E-2</v>
      </c>
      <c r="G631" s="269">
        <f>+F631*G622</f>
        <v>1.2857380894456186E-5</v>
      </c>
      <c r="H631" s="299"/>
      <c r="I631" s="299"/>
      <c r="J631" s="299"/>
      <c r="K631" s="299"/>
      <c r="L631" s="299"/>
      <c r="M631" s="299"/>
      <c r="N631" s="272">
        <v>0.72</v>
      </c>
      <c r="O631" s="272">
        <v>0.72</v>
      </c>
      <c r="P631" s="272">
        <v>0.72</v>
      </c>
      <c r="Q631" s="272">
        <v>0.72</v>
      </c>
      <c r="R631" s="372">
        <v>0.72</v>
      </c>
      <c r="S631" s="395">
        <v>0.72</v>
      </c>
      <c r="T631" s="272">
        <v>0.72</v>
      </c>
      <c r="U631" s="272">
        <v>0.72</v>
      </c>
      <c r="V631" s="272">
        <v>0.72</v>
      </c>
      <c r="W631" s="272">
        <v>0.72</v>
      </c>
      <c r="X631" s="272">
        <v>0.72</v>
      </c>
      <c r="Y631" s="272">
        <v>0.72</v>
      </c>
      <c r="Z631" s="272">
        <v>0.72</v>
      </c>
      <c r="AA631" s="272">
        <v>0.72</v>
      </c>
      <c r="AB631" s="272">
        <v>0.72</v>
      </c>
      <c r="AC631" s="272">
        <v>0.72</v>
      </c>
      <c r="AD631" s="396">
        <v>0.72</v>
      </c>
      <c r="AE631" s="396">
        <v>0.72</v>
      </c>
      <c r="AF631" s="396">
        <v>0.72</v>
      </c>
      <c r="AG631" s="396">
        <v>0.72</v>
      </c>
      <c r="AH631" s="396">
        <v>0.72</v>
      </c>
      <c r="AI631" s="396">
        <v>0.72</v>
      </c>
      <c r="AJ631" s="396">
        <v>0.72</v>
      </c>
      <c r="AK631" s="396">
        <v>0.72</v>
      </c>
      <c r="AL631" s="396">
        <v>0.72</v>
      </c>
      <c r="AM631" s="396">
        <v>0.72</v>
      </c>
      <c r="AN631" s="396">
        <v>0.72</v>
      </c>
      <c r="AO631" s="396">
        <v>0.72</v>
      </c>
      <c r="AP631" s="396">
        <v>0.72</v>
      </c>
    </row>
    <row r="632" spans="1:42" s="140" customFormat="1" ht="12.75" hidden="1" customHeight="1" outlineLevel="5">
      <c r="A632" s="216"/>
      <c r="B632" s="255" t="s">
        <v>818</v>
      </c>
      <c r="C632" s="290" t="s">
        <v>249</v>
      </c>
      <c r="D632" s="227" t="s">
        <v>231</v>
      </c>
      <c r="E632" s="241"/>
      <c r="F632" s="228">
        <f t="shared" si="1375"/>
        <v>6.2251019714089834E-2</v>
      </c>
      <c r="G632" s="269">
        <f>+F632*G622</f>
        <v>1.2857380894456186E-5</v>
      </c>
      <c r="H632" s="299"/>
      <c r="I632" s="299"/>
      <c r="J632" s="299"/>
      <c r="K632" s="299"/>
      <c r="L632" s="299"/>
      <c r="M632" s="299"/>
      <c r="N632" s="272">
        <v>0.72</v>
      </c>
      <c r="O632" s="272">
        <v>0.72</v>
      </c>
      <c r="P632" s="272">
        <v>0.72</v>
      </c>
      <c r="Q632" s="272">
        <v>0.72</v>
      </c>
      <c r="R632" s="372">
        <v>0.72</v>
      </c>
      <c r="S632" s="395">
        <v>0.72</v>
      </c>
      <c r="T632" s="272">
        <v>0.72</v>
      </c>
      <c r="U632" s="272">
        <v>0.72</v>
      </c>
      <c r="V632" s="272">
        <v>0.72</v>
      </c>
      <c r="W632" s="272">
        <v>0.72</v>
      </c>
      <c r="X632" s="272">
        <v>0.72</v>
      </c>
      <c r="Y632" s="272">
        <v>0.72</v>
      </c>
      <c r="Z632" s="272">
        <v>0.72</v>
      </c>
      <c r="AA632" s="272">
        <v>0.72</v>
      </c>
      <c r="AB632" s="272">
        <v>0.72</v>
      </c>
      <c r="AC632" s="272">
        <v>0.72</v>
      </c>
      <c r="AD632" s="396">
        <v>0.72</v>
      </c>
      <c r="AE632" s="396">
        <v>0.72</v>
      </c>
      <c r="AF632" s="396">
        <v>0.72</v>
      </c>
      <c r="AG632" s="396">
        <v>0.72</v>
      </c>
      <c r="AH632" s="396">
        <v>0.72</v>
      </c>
      <c r="AI632" s="396">
        <v>0.72</v>
      </c>
      <c r="AJ632" s="396">
        <v>0.72</v>
      </c>
      <c r="AK632" s="396">
        <v>0.72</v>
      </c>
      <c r="AL632" s="396">
        <v>0.72</v>
      </c>
      <c r="AM632" s="396">
        <v>0.72</v>
      </c>
      <c r="AN632" s="396">
        <v>0.72</v>
      </c>
      <c r="AO632" s="396">
        <v>0.72</v>
      </c>
      <c r="AP632" s="396">
        <v>0.72</v>
      </c>
    </row>
    <row r="633" spans="1:42" s="140" customFormat="1" ht="12.75" hidden="1" customHeight="1" outlineLevel="5">
      <c r="A633" s="216"/>
      <c r="B633" s="255" t="s">
        <v>819</v>
      </c>
      <c r="C633" s="290" t="s">
        <v>251</v>
      </c>
      <c r="D633" s="227" t="s">
        <v>231</v>
      </c>
      <c r="E633" s="241"/>
      <c r="F633" s="228">
        <f t="shared" si="1375"/>
        <v>6.2251019714089834E-2</v>
      </c>
      <c r="G633" s="269">
        <f>+F633*G622</f>
        <v>1.2857380894456186E-5</v>
      </c>
      <c r="H633" s="299"/>
      <c r="I633" s="299"/>
      <c r="J633" s="299"/>
      <c r="K633" s="299"/>
      <c r="L633" s="299"/>
      <c r="M633" s="299"/>
      <c r="N633" s="272">
        <v>0.72</v>
      </c>
      <c r="O633" s="272">
        <v>0.72</v>
      </c>
      <c r="P633" s="272">
        <v>0.72</v>
      </c>
      <c r="Q633" s="272">
        <v>0.72</v>
      </c>
      <c r="R633" s="372">
        <v>0.72</v>
      </c>
      <c r="S633" s="395">
        <v>0.72</v>
      </c>
      <c r="T633" s="272">
        <v>0.72</v>
      </c>
      <c r="U633" s="272">
        <v>0.72</v>
      </c>
      <c r="V633" s="272">
        <v>0.72</v>
      </c>
      <c r="W633" s="272">
        <v>0.72</v>
      </c>
      <c r="X633" s="272">
        <v>0.72</v>
      </c>
      <c r="Y633" s="272">
        <v>0.72</v>
      </c>
      <c r="Z633" s="272">
        <v>0.72</v>
      </c>
      <c r="AA633" s="272">
        <v>0.72</v>
      </c>
      <c r="AB633" s="272">
        <v>0.72</v>
      </c>
      <c r="AC633" s="272">
        <v>0.72</v>
      </c>
      <c r="AD633" s="396">
        <v>0.72</v>
      </c>
      <c r="AE633" s="396">
        <v>0.72</v>
      </c>
      <c r="AF633" s="396">
        <v>0.72</v>
      </c>
      <c r="AG633" s="396">
        <v>0.72</v>
      </c>
      <c r="AH633" s="396">
        <v>0.72</v>
      </c>
      <c r="AI633" s="396">
        <v>0.72</v>
      </c>
      <c r="AJ633" s="396">
        <v>0.72</v>
      </c>
      <c r="AK633" s="396">
        <v>0.72</v>
      </c>
      <c r="AL633" s="396">
        <v>0.72</v>
      </c>
      <c r="AM633" s="396">
        <v>0.72</v>
      </c>
      <c r="AN633" s="396">
        <v>0.72</v>
      </c>
      <c r="AO633" s="396">
        <v>0.72</v>
      </c>
      <c r="AP633" s="396">
        <v>0.72</v>
      </c>
    </row>
    <row r="634" spans="1:42" s="140" customFormat="1" ht="12.75" hidden="1" customHeight="1" outlineLevel="5">
      <c r="A634" s="216"/>
      <c r="B634" s="255" t="s">
        <v>820</v>
      </c>
      <c r="C634" s="290" t="s">
        <v>253</v>
      </c>
      <c r="D634" s="227" t="s">
        <v>231</v>
      </c>
      <c r="E634" s="241"/>
      <c r="F634" s="228">
        <f t="shared" si="1375"/>
        <v>6.2251019714089834E-2</v>
      </c>
      <c r="G634" s="269">
        <f>+F634*G622</f>
        <v>1.2857380894456186E-5</v>
      </c>
      <c r="H634" s="299"/>
      <c r="I634" s="299"/>
      <c r="J634" s="299"/>
      <c r="K634" s="299"/>
      <c r="L634" s="299"/>
      <c r="M634" s="299"/>
      <c r="N634" s="272">
        <v>0.72</v>
      </c>
      <c r="O634" s="272">
        <v>0.72</v>
      </c>
      <c r="P634" s="272">
        <v>0.72</v>
      </c>
      <c r="Q634" s="272">
        <v>0.72</v>
      </c>
      <c r="R634" s="372">
        <v>0.72</v>
      </c>
      <c r="S634" s="395">
        <v>0.72</v>
      </c>
      <c r="T634" s="272">
        <v>0.72</v>
      </c>
      <c r="U634" s="272">
        <v>0.72</v>
      </c>
      <c r="V634" s="272">
        <v>0.72</v>
      </c>
      <c r="W634" s="272">
        <v>0.72</v>
      </c>
      <c r="X634" s="272">
        <v>0.72</v>
      </c>
      <c r="Y634" s="272">
        <v>0.72</v>
      </c>
      <c r="Z634" s="272">
        <v>0.72</v>
      </c>
      <c r="AA634" s="272">
        <v>0.72</v>
      </c>
      <c r="AB634" s="272">
        <v>0.72</v>
      </c>
      <c r="AC634" s="272">
        <v>0.72</v>
      </c>
      <c r="AD634" s="396">
        <v>0.72</v>
      </c>
      <c r="AE634" s="396">
        <v>0.72</v>
      </c>
      <c r="AF634" s="396">
        <v>0.72</v>
      </c>
      <c r="AG634" s="396">
        <v>0.72</v>
      </c>
      <c r="AH634" s="396">
        <v>0.72</v>
      </c>
      <c r="AI634" s="396">
        <v>0.72</v>
      </c>
      <c r="AJ634" s="396">
        <v>0.72</v>
      </c>
      <c r="AK634" s="396">
        <v>0.72</v>
      </c>
      <c r="AL634" s="396">
        <v>0.72</v>
      </c>
      <c r="AM634" s="396">
        <v>0.72</v>
      </c>
      <c r="AN634" s="396">
        <v>0.72</v>
      </c>
      <c r="AO634" s="396">
        <v>0.72</v>
      </c>
      <c r="AP634" s="396">
        <v>0.72</v>
      </c>
    </row>
    <row r="635" spans="1:42" s="140" customFormat="1" ht="12.75" hidden="1" customHeight="1" outlineLevel="5">
      <c r="A635" s="216"/>
      <c r="B635" s="255" t="s">
        <v>821</v>
      </c>
      <c r="C635" s="290" t="s">
        <v>285</v>
      </c>
      <c r="D635" s="227" t="s">
        <v>231</v>
      </c>
      <c r="E635" s="241"/>
      <c r="F635" s="228">
        <f t="shared" si="1375"/>
        <v>6.2251019714089834E-2</v>
      </c>
      <c r="G635" s="269">
        <f>+F635*G622</f>
        <v>1.2857380894456186E-5</v>
      </c>
      <c r="H635" s="299"/>
      <c r="I635" s="299"/>
      <c r="J635" s="299"/>
      <c r="K635" s="299"/>
      <c r="L635" s="299"/>
      <c r="M635" s="299"/>
      <c r="N635" s="272">
        <v>0.72</v>
      </c>
      <c r="O635" s="272">
        <v>0.72</v>
      </c>
      <c r="P635" s="272">
        <v>0.72</v>
      </c>
      <c r="Q635" s="272">
        <v>0.72</v>
      </c>
      <c r="R635" s="372">
        <v>0.72</v>
      </c>
      <c r="S635" s="395">
        <v>0.72</v>
      </c>
      <c r="T635" s="272">
        <v>0.72</v>
      </c>
      <c r="U635" s="272">
        <v>0.72</v>
      </c>
      <c r="V635" s="272">
        <v>0.72</v>
      </c>
      <c r="W635" s="272">
        <v>0.72</v>
      </c>
      <c r="X635" s="272">
        <v>0.72</v>
      </c>
      <c r="Y635" s="272">
        <v>0.72</v>
      </c>
      <c r="Z635" s="272">
        <v>0.72</v>
      </c>
      <c r="AA635" s="272">
        <v>0.72</v>
      </c>
      <c r="AB635" s="272">
        <v>0.72</v>
      </c>
      <c r="AC635" s="272">
        <v>0.72</v>
      </c>
      <c r="AD635" s="396">
        <v>0.72</v>
      </c>
      <c r="AE635" s="396">
        <v>0.72</v>
      </c>
      <c r="AF635" s="396">
        <v>0.72</v>
      </c>
      <c r="AG635" s="396">
        <v>0.72</v>
      </c>
      <c r="AH635" s="396">
        <v>0.72</v>
      </c>
      <c r="AI635" s="396">
        <v>0.72</v>
      </c>
      <c r="AJ635" s="396">
        <v>0.72</v>
      </c>
      <c r="AK635" s="396">
        <v>0.72</v>
      </c>
      <c r="AL635" s="396">
        <v>0.72</v>
      </c>
      <c r="AM635" s="396">
        <v>0.72</v>
      </c>
      <c r="AN635" s="396">
        <v>0.72</v>
      </c>
      <c r="AO635" s="396">
        <v>0.72</v>
      </c>
      <c r="AP635" s="396">
        <v>0.72</v>
      </c>
    </row>
    <row r="636" spans="1:42" s="140" customFormat="1" ht="12.75" hidden="1" customHeight="1" outlineLevel="5">
      <c r="A636" s="216"/>
      <c r="B636" s="255" t="s">
        <v>822</v>
      </c>
      <c r="C636" s="290" t="s">
        <v>287</v>
      </c>
      <c r="D636" s="227" t="s">
        <v>231</v>
      </c>
      <c r="E636" s="241"/>
      <c r="F636" s="228">
        <f t="shared" si="1375"/>
        <v>6.2251019714089834E-2</v>
      </c>
      <c r="G636" s="269">
        <f>+F636*G622</f>
        <v>1.2857380894456186E-5</v>
      </c>
      <c r="H636" s="299"/>
      <c r="I636" s="299"/>
      <c r="J636" s="299"/>
      <c r="K636" s="299"/>
      <c r="L636" s="299"/>
      <c r="M636" s="299"/>
      <c r="N636" s="272">
        <v>0.72</v>
      </c>
      <c r="O636" s="272">
        <v>0.72</v>
      </c>
      <c r="P636" s="272">
        <v>0.72</v>
      </c>
      <c r="Q636" s="272">
        <v>0.72</v>
      </c>
      <c r="R636" s="372">
        <v>0.72</v>
      </c>
      <c r="S636" s="395">
        <v>0.72</v>
      </c>
      <c r="T636" s="272">
        <v>0.72</v>
      </c>
      <c r="U636" s="272">
        <v>0.72</v>
      </c>
      <c r="V636" s="272">
        <v>0.72</v>
      </c>
      <c r="W636" s="272">
        <v>0.72</v>
      </c>
      <c r="X636" s="272">
        <v>0.72</v>
      </c>
      <c r="Y636" s="272">
        <v>0.72</v>
      </c>
      <c r="Z636" s="272">
        <v>0.72</v>
      </c>
      <c r="AA636" s="272">
        <v>0.72</v>
      </c>
      <c r="AB636" s="272">
        <v>0.72</v>
      </c>
      <c r="AC636" s="272">
        <v>0.72</v>
      </c>
      <c r="AD636" s="396">
        <v>0.72</v>
      </c>
      <c r="AE636" s="396">
        <v>0.72</v>
      </c>
      <c r="AF636" s="396">
        <v>0.72</v>
      </c>
      <c r="AG636" s="396">
        <v>0.72</v>
      </c>
      <c r="AH636" s="396">
        <v>0.72</v>
      </c>
      <c r="AI636" s="396">
        <v>0.72</v>
      </c>
      <c r="AJ636" s="396">
        <v>0.72</v>
      </c>
      <c r="AK636" s="396">
        <v>0.72</v>
      </c>
      <c r="AL636" s="396">
        <v>0.72</v>
      </c>
      <c r="AM636" s="396">
        <v>0.72</v>
      </c>
      <c r="AN636" s="396">
        <v>0.72</v>
      </c>
      <c r="AO636" s="396">
        <v>0.72</v>
      </c>
      <c r="AP636" s="396">
        <v>0.72</v>
      </c>
    </row>
    <row r="637" spans="1:42" s="140" customFormat="1" ht="12.75" hidden="1" customHeight="1" outlineLevel="5">
      <c r="A637" s="216"/>
      <c r="B637" s="255" t="s">
        <v>823</v>
      </c>
      <c r="C637" s="290" t="s">
        <v>289</v>
      </c>
      <c r="D637" s="227" t="s">
        <v>231</v>
      </c>
      <c r="E637" s="241"/>
      <c r="F637" s="228">
        <f t="shared" si="1375"/>
        <v>6.2251019714089834E-2</v>
      </c>
      <c r="G637" s="269">
        <f>+F637*G622</f>
        <v>1.2857380894456186E-5</v>
      </c>
      <c r="H637" s="299"/>
      <c r="I637" s="299"/>
      <c r="J637" s="299"/>
      <c r="K637" s="299"/>
      <c r="L637" s="299"/>
      <c r="M637" s="299"/>
      <c r="N637" s="272">
        <v>0.72</v>
      </c>
      <c r="O637" s="272">
        <v>0.72</v>
      </c>
      <c r="P637" s="272">
        <v>0.72</v>
      </c>
      <c r="Q637" s="272">
        <v>0.72</v>
      </c>
      <c r="R637" s="372">
        <v>0.72</v>
      </c>
      <c r="S637" s="395">
        <v>0.72</v>
      </c>
      <c r="T637" s="272">
        <v>0.72</v>
      </c>
      <c r="U637" s="272">
        <v>0.72</v>
      </c>
      <c r="V637" s="272">
        <v>0.72</v>
      </c>
      <c r="W637" s="272">
        <v>0.72</v>
      </c>
      <c r="X637" s="272">
        <v>0.72</v>
      </c>
      <c r="Y637" s="272">
        <v>0.72</v>
      </c>
      <c r="Z637" s="272">
        <v>0.72</v>
      </c>
      <c r="AA637" s="272">
        <v>0.72</v>
      </c>
      <c r="AB637" s="272">
        <v>0.72</v>
      </c>
      <c r="AC637" s="272">
        <v>0.72</v>
      </c>
      <c r="AD637" s="396">
        <v>0.72</v>
      </c>
      <c r="AE637" s="396">
        <v>0.72</v>
      </c>
      <c r="AF637" s="396">
        <v>0.72</v>
      </c>
      <c r="AG637" s="396">
        <v>0.72</v>
      </c>
      <c r="AH637" s="396">
        <v>0.72</v>
      </c>
      <c r="AI637" s="396">
        <v>0.72</v>
      </c>
      <c r="AJ637" s="396">
        <v>0.72</v>
      </c>
      <c r="AK637" s="396">
        <v>0.72</v>
      </c>
      <c r="AL637" s="396">
        <v>0.72</v>
      </c>
      <c r="AM637" s="396">
        <v>0.72</v>
      </c>
      <c r="AN637" s="396">
        <v>0.72</v>
      </c>
      <c r="AO637" s="396">
        <v>0.72</v>
      </c>
      <c r="AP637" s="396">
        <v>0.72</v>
      </c>
    </row>
    <row r="638" spans="1:42" s="140" customFormat="1" ht="12.75" hidden="1" customHeight="1" outlineLevel="5">
      <c r="A638" s="216"/>
      <c r="B638" s="255" t="s">
        <v>824</v>
      </c>
      <c r="C638" s="290" t="s">
        <v>291</v>
      </c>
      <c r="D638" s="227" t="s">
        <v>231</v>
      </c>
      <c r="E638" s="241"/>
      <c r="F638" s="228">
        <f t="shared" si="1375"/>
        <v>6.2251019714089834E-2</v>
      </c>
      <c r="G638" s="269">
        <f>+F638*G622</f>
        <v>1.2857380894456186E-5</v>
      </c>
      <c r="H638" s="299"/>
      <c r="I638" s="299"/>
      <c r="J638" s="299"/>
      <c r="K638" s="299"/>
      <c r="L638" s="299"/>
      <c r="M638" s="299"/>
      <c r="N638" s="272">
        <v>0.72</v>
      </c>
      <c r="O638" s="272">
        <v>0.72</v>
      </c>
      <c r="P638" s="272">
        <v>0.72</v>
      </c>
      <c r="Q638" s="272">
        <v>0.72</v>
      </c>
      <c r="R638" s="372">
        <v>0.72</v>
      </c>
      <c r="S638" s="395">
        <v>0.72</v>
      </c>
      <c r="T638" s="272">
        <v>0.72</v>
      </c>
      <c r="U638" s="272">
        <v>0.72</v>
      </c>
      <c r="V638" s="272">
        <v>0.72</v>
      </c>
      <c r="W638" s="272">
        <v>0.72</v>
      </c>
      <c r="X638" s="272">
        <v>0.72</v>
      </c>
      <c r="Y638" s="272">
        <v>0.72</v>
      </c>
      <c r="Z638" s="272">
        <v>0.72</v>
      </c>
      <c r="AA638" s="272">
        <v>0.72</v>
      </c>
      <c r="AB638" s="272">
        <v>0.72</v>
      </c>
      <c r="AC638" s="272">
        <v>0.72</v>
      </c>
      <c r="AD638" s="396">
        <v>0.72</v>
      </c>
      <c r="AE638" s="396">
        <v>0.72</v>
      </c>
      <c r="AF638" s="396">
        <v>0.72</v>
      </c>
      <c r="AG638" s="396">
        <v>0.72</v>
      </c>
      <c r="AH638" s="396">
        <v>0.72</v>
      </c>
      <c r="AI638" s="396">
        <v>0.72</v>
      </c>
      <c r="AJ638" s="396">
        <v>0.72</v>
      </c>
      <c r="AK638" s="396">
        <v>0.72</v>
      </c>
      <c r="AL638" s="396">
        <v>0.72</v>
      </c>
      <c r="AM638" s="396">
        <v>0.72</v>
      </c>
      <c r="AN638" s="396">
        <v>0.72</v>
      </c>
      <c r="AO638" s="396">
        <v>0.72</v>
      </c>
      <c r="AP638" s="396">
        <v>0.72</v>
      </c>
    </row>
    <row r="639" spans="1:42" s="140" customFormat="1" ht="25.5" hidden="1" customHeight="1" outlineLevel="5">
      <c r="A639" s="216"/>
      <c r="B639" s="255" t="s">
        <v>825</v>
      </c>
      <c r="C639" s="290" t="s">
        <v>366</v>
      </c>
      <c r="D639" s="227" t="s">
        <v>367</v>
      </c>
      <c r="E639" s="241"/>
      <c r="F639" s="228">
        <f t="shared" si="1375"/>
        <v>3.9836845745626157E-3</v>
      </c>
      <c r="G639" s="269">
        <f>+F639*G622</f>
        <v>8.2279374978540587E-7</v>
      </c>
      <c r="H639" s="299"/>
      <c r="I639" s="299"/>
      <c r="J639" s="299"/>
      <c r="K639" s="299"/>
      <c r="L639" s="299"/>
      <c r="M639" s="299"/>
      <c r="N639" s="272">
        <v>0.72</v>
      </c>
      <c r="O639" s="272">
        <v>0.72</v>
      </c>
      <c r="P639" s="272">
        <v>0.72</v>
      </c>
      <c r="Q639" s="272">
        <v>0.72</v>
      </c>
      <c r="R639" s="372">
        <v>0.72</v>
      </c>
      <c r="S639" s="395">
        <v>0.72</v>
      </c>
      <c r="T639" s="272">
        <v>0.72</v>
      </c>
      <c r="U639" s="272">
        <v>0.72</v>
      </c>
      <c r="V639" s="272">
        <v>0.72</v>
      </c>
      <c r="W639" s="272">
        <v>0.72</v>
      </c>
      <c r="X639" s="272">
        <v>0.72</v>
      </c>
      <c r="Y639" s="272">
        <v>0.72</v>
      </c>
      <c r="Z639" s="272">
        <v>0.72</v>
      </c>
      <c r="AA639" s="272">
        <v>0.72</v>
      </c>
      <c r="AB639" s="272">
        <v>0.72</v>
      </c>
      <c r="AC639" s="272">
        <v>0.72</v>
      </c>
      <c r="AD639" s="396">
        <v>0.72</v>
      </c>
      <c r="AE639" s="396">
        <v>0.72</v>
      </c>
      <c r="AF639" s="396">
        <v>0.72</v>
      </c>
      <c r="AG639" s="396">
        <v>0.72</v>
      </c>
      <c r="AH639" s="396">
        <v>0.72</v>
      </c>
      <c r="AI639" s="396">
        <v>0.72</v>
      </c>
      <c r="AJ639" s="396">
        <v>0.72</v>
      </c>
      <c r="AK639" s="396">
        <v>0.72</v>
      </c>
      <c r="AL639" s="396">
        <v>0.72</v>
      </c>
      <c r="AM639" s="396">
        <v>0.72</v>
      </c>
      <c r="AN639" s="396">
        <v>0.72</v>
      </c>
      <c r="AO639" s="396">
        <v>0.72</v>
      </c>
      <c r="AP639" s="396">
        <v>0.72</v>
      </c>
    </row>
    <row r="640" spans="1:42" s="140" customFormat="1" ht="12.75" hidden="1" customHeight="1" outlineLevel="4">
      <c r="A640" s="216"/>
      <c r="B640" s="291" t="s">
        <v>826</v>
      </c>
      <c r="C640" s="292" t="s">
        <v>45</v>
      </c>
      <c r="D640" s="234" t="s">
        <v>33</v>
      </c>
      <c r="E640" s="240"/>
      <c r="F640" s="223">
        <f t="shared" si="1375"/>
        <v>0.10189354851165684</v>
      </c>
      <c r="G640" s="293">
        <f>+F640*G533</f>
        <v>1.5718268335009988E-4</v>
      </c>
      <c r="H640" s="298"/>
      <c r="I640" s="298"/>
      <c r="J640" s="298"/>
      <c r="K640" s="298"/>
      <c r="L640" s="298"/>
      <c r="M640" s="298"/>
      <c r="N640" s="270">
        <f t="shared" ref="N640:R640" si="1422">+SUMPRODUCT($F641:$F654,N641:N654)</f>
        <v>0.53419999999999979</v>
      </c>
      <c r="O640" s="270">
        <f t="shared" si="1422"/>
        <v>0.53419999999999979</v>
      </c>
      <c r="P640" s="270">
        <f t="shared" si="1422"/>
        <v>0.53419999999999979</v>
      </c>
      <c r="Q640" s="270">
        <f t="shared" si="1422"/>
        <v>0.53419999999999979</v>
      </c>
      <c r="R640" s="370">
        <f t="shared" si="1422"/>
        <v>0.53419999999999979</v>
      </c>
      <c r="S640" s="391">
        <f t="shared" ref="S640" si="1423">+SUMPRODUCT($F641:$F654,S641:S654)</f>
        <v>0.53419999999999979</v>
      </c>
      <c r="T640" s="270">
        <f t="shared" ref="T640" si="1424">+SUMPRODUCT($F641:$F654,T641:T654)</f>
        <v>0.53419999999999979</v>
      </c>
      <c r="U640" s="270">
        <f t="shared" ref="U640" si="1425">+SUMPRODUCT($F641:$F654,U641:U654)</f>
        <v>0.53419999999999979</v>
      </c>
      <c r="V640" s="270">
        <f t="shared" ref="V640" si="1426">+SUMPRODUCT($F641:$F654,V641:V654)</f>
        <v>0.53419999999999979</v>
      </c>
      <c r="W640" s="270">
        <f t="shared" ref="W640" si="1427">+SUMPRODUCT($F641:$F654,W641:W654)</f>
        <v>0.53419999999999979</v>
      </c>
      <c r="X640" s="270">
        <f t="shared" ref="X640" si="1428">+SUMPRODUCT($F641:$F654,X641:X654)</f>
        <v>0.53419999999999979</v>
      </c>
      <c r="Y640" s="270">
        <f t="shared" ref="Y640" si="1429">+SUMPRODUCT($F641:$F654,Y641:Y654)</f>
        <v>0.53419999999999979</v>
      </c>
      <c r="Z640" s="270">
        <f t="shared" ref="Z640" si="1430">+SUMPRODUCT($F641:$F654,Z641:Z654)</f>
        <v>0.53419999999999979</v>
      </c>
      <c r="AA640" s="270">
        <f t="shared" ref="AA640" si="1431">+SUMPRODUCT($F641:$F654,AA641:AA654)</f>
        <v>0.53419999999999979</v>
      </c>
      <c r="AB640" s="270">
        <f t="shared" ref="AB640" si="1432">+SUMPRODUCT($F641:$F654,AB641:AB654)</f>
        <v>0.53419999999999979</v>
      </c>
      <c r="AC640" s="270">
        <f t="shared" ref="AC640" si="1433">+SUMPRODUCT($F641:$F654,AC641:AC654)</f>
        <v>0.53419999999999979</v>
      </c>
      <c r="AD640" s="392">
        <f t="shared" ref="AD640:AF640" si="1434">+SUMPRODUCT($F641:$F654,AD641:AD654)</f>
        <v>0.53419999999999979</v>
      </c>
      <c r="AE640" s="392">
        <f t="shared" si="1434"/>
        <v>0.53419999999999979</v>
      </c>
      <c r="AF640" s="392">
        <f t="shared" si="1434"/>
        <v>0.53419999999999979</v>
      </c>
      <c r="AG640" s="392">
        <f t="shared" ref="AG640" si="1435">+SUMPRODUCT($F641:$F654,AG641:AG654)</f>
        <v>0.53419999999999979</v>
      </c>
      <c r="AH640" s="392">
        <f t="shared" ref="AH640" si="1436">+SUMPRODUCT($F641:$F654,AH641:AH654)</f>
        <v>0.53419999999999979</v>
      </c>
      <c r="AI640" s="392">
        <f t="shared" ref="AI640" si="1437">+SUMPRODUCT($F641:$F654,AI641:AI654)</f>
        <v>0.53419999999999979</v>
      </c>
      <c r="AJ640" s="392">
        <f t="shared" ref="AJ640" si="1438">+SUMPRODUCT($F641:$F654,AJ641:AJ654)</f>
        <v>0.53419999999999979</v>
      </c>
      <c r="AK640" s="392">
        <f t="shared" ref="AK640" si="1439">+SUMPRODUCT($F641:$F654,AK641:AK654)</f>
        <v>0.53419999999999979</v>
      </c>
      <c r="AL640" s="392">
        <f t="shared" ref="AL640" si="1440">+SUMPRODUCT($F641:$F654,AL641:AL654)</f>
        <v>0.53419999999999979</v>
      </c>
      <c r="AM640" s="392">
        <f t="shared" ref="AM640" si="1441">+SUMPRODUCT($F641:$F654,AM641:AM654)</f>
        <v>0.53419999999999979</v>
      </c>
      <c r="AN640" s="392">
        <f t="shared" ref="AN640" si="1442">+SUMPRODUCT($F641:$F654,AN641:AN654)</f>
        <v>0.53419999999999979</v>
      </c>
      <c r="AO640" s="392">
        <f t="shared" ref="AO640" si="1443">+SUMPRODUCT($F641:$F654,AO641:AO654)</f>
        <v>0.53419999999999979</v>
      </c>
      <c r="AP640" s="392">
        <f t="shared" ref="AP640" si="1444">+SUMPRODUCT($F641:$F654,AP641:AP654)</f>
        <v>0.53419999999999979</v>
      </c>
    </row>
    <row r="641" spans="1:42" s="140" customFormat="1" ht="12.75" hidden="1" customHeight="1" outlineLevel="5">
      <c r="A641" s="216"/>
      <c r="B641" s="255" t="s">
        <v>827</v>
      </c>
      <c r="C641" s="290" t="s">
        <v>230</v>
      </c>
      <c r="D641" s="227" t="s">
        <v>231</v>
      </c>
      <c r="E641" s="241"/>
      <c r="F641" s="228">
        <f t="shared" si="1375"/>
        <v>7.4469037330616245E-2</v>
      </c>
      <c r="G641" s="269">
        <f>+F641*G640</f>
        <v>1.170524311412502E-5</v>
      </c>
      <c r="H641" s="299"/>
      <c r="I641" s="299"/>
      <c r="J641" s="299"/>
      <c r="K641" s="299"/>
      <c r="L641" s="299"/>
      <c r="M641" s="299"/>
      <c r="N641" s="272">
        <v>0.53420000000000001</v>
      </c>
      <c r="O641" s="272">
        <v>0.53420000000000001</v>
      </c>
      <c r="P641" s="272">
        <v>0.53420000000000001</v>
      </c>
      <c r="Q641" s="272">
        <v>0.53420000000000001</v>
      </c>
      <c r="R641" s="372">
        <v>0.53420000000000001</v>
      </c>
      <c r="S641" s="395">
        <v>0.53420000000000001</v>
      </c>
      <c r="T641" s="272">
        <v>0.53420000000000001</v>
      </c>
      <c r="U641" s="272">
        <v>0.53420000000000001</v>
      </c>
      <c r="V641" s="272">
        <v>0.53420000000000001</v>
      </c>
      <c r="W641" s="272">
        <v>0.53420000000000001</v>
      </c>
      <c r="X641" s="272">
        <v>0.53420000000000001</v>
      </c>
      <c r="Y641" s="272">
        <v>0.53420000000000001</v>
      </c>
      <c r="Z641" s="272">
        <v>0.53420000000000001</v>
      </c>
      <c r="AA641" s="272">
        <v>0.53420000000000001</v>
      </c>
      <c r="AB641" s="272">
        <v>0.53420000000000001</v>
      </c>
      <c r="AC641" s="272">
        <v>0.53420000000000001</v>
      </c>
      <c r="AD641" s="396">
        <v>0.53420000000000001</v>
      </c>
      <c r="AE641" s="396">
        <v>0.53420000000000001</v>
      </c>
      <c r="AF641" s="396">
        <v>0.53420000000000001</v>
      </c>
      <c r="AG641" s="396">
        <v>0.53420000000000001</v>
      </c>
      <c r="AH641" s="396">
        <v>0.53420000000000001</v>
      </c>
      <c r="AI641" s="396">
        <v>0.53420000000000001</v>
      </c>
      <c r="AJ641" s="396">
        <v>0.53420000000000001</v>
      </c>
      <c r="AK641" s="396">
        <v>0.53420000000000001</v>
      </c>
      <c r="AL641" s="396">
        <v>0.53420000000000001</v>
      </c>
      <c r="AM641" s="396">
        <v>0.53420000000000001</v>
      </c>
      <c r="AN641" s="396">
        <v>0.53420000000000001</v>
      </c>
      <c r="AO641" s="396">
        <v>0.53420000000000001</v>
      </c>
      <c r="AP641" s="396">
        <v>0.53420000000000001</v>
      </c>
    </row>
    <row r="642" spans="1:42" s="140" customFormat="1" ht="12.75" hidden="1" customHeight="1" outlineLevel="5">
      <c r="A642" s="216"/>
      <c r="B642" s="255" t="s">
        <v>828</v>
      </c>
      <c r="C642" s="290" t="s">
        <v>233</v>
      </c>
      <c r="D642" s="227" t="s">
        <v>231</v>
      </c>
      <c r="E642" s="241"/>
      <c r="F642" s="228">
        <f t="shared" si="1375"/>
        <v>7.4469037330616245E-2</v>
      </c>
      <c r="G642" s="269">
        <f>+F642*G640</f>
        <v>1.170524311412502E-5</v>
      </c>
      <c r="H642" s="299"/>
      <c r="I642" s="299"/>
      <c r="J642" s="299"/>
      <c r="K642" s="299"/>
      <c r="L642" s="299"/>
      <c r="M642" s="299"/>
      <c r="N642" s="272">
        <v>0.53420000000000001</v>
      </c>
      <c r="O642" s="272">
        <v>0.53420000000000001</v>
      </c>
      <c r="P642" s="272">
        <v>0.53420000000000001</v>
      </c>
      <c r="Q642" s="272">
        <v>0.53420000000000001</v>
      </c>
      <c r="R642" s="372">
        <v>0.53420000000000001</v>
      </c>
      <c r="S642" s="395">
        <v>0.53420000000000001</v>
      </c>
      <c r="T642" s="272">
        <v>0.53420000000000001</v>
      </c>
      <c r="U642" s="272">
        <v>0.53420000000000001</v>
      </c>
      <c r="V642" s="272">
        <v>0.53420000000000001</v>
      </c>
      <c r="W642" s="272">
        <v>0.53420000000000001</v>
      </c>
      <c r="X642" s="272">
        <v>0.53420000000000001</v>
      </c>
      <c r="Y642" s="272">
        <v>0.53420000000000001</v>
      </c>
      <c r="Z642" s="272">
        <v>0.53420000000000001</v>
      </c>
      <c r="AA642" s="272">
        <v>0.53420000000000001</v>
      </c>
      <c r="AB642" s="272">
        <v>0.53420000000000001</v>
      </c>
      <c r="AC642" s="272">
        <v>0.53420000000000001</v>
      </c>
      <c r="AD642" s="396">
        <v>0.53420000000000001</v>
      </c>
      <c r="AE642" s="396">
        <v>0.53420000000000001</v>
      </c>
      <c r="AF642" s="396">
        <v>0.53420000000000001</v>
      </c>
      <c r="AG642" s="396">
        <v>0.53420000000000001</v>
      </c>
      <c r="AH642" s="396">
        <v>0.53420000000000001</v>
      </c>
      <c r="AI642" s="396">
        <v>0.53420000000000001</v>
      </c>
      <c r="AJ642" s="396">
        <v>0.53420000000000001</v>
      </c>
      <c r="AK642" s="396">
        <v>0.53420000000000001</v>
      </c>
      <c r="AL642" s="396">
        <v>0.53420000000000001</v>
      </c>
      <c r="AM642" s="396">
        <v>0.53420000000000001</v>
      </c>
      <c r="AN642" s="396">
        <v>0.53420000000000001</v>
      </c>
      <c r="AO642" s="396">
        <v>0.53420000000000001</v>
      </c>
      <c r="AP642" s="396">
        <v>0.53420000000000001</v>
      </c>
    </row>
    <row r="643" spans="1:42" s="140" customFormat="1" ht="12.75" hidden="1" customHeight="1" outlineLevel="5">
      <c r="A643" s="216"/>
      <c r="B643" s="255" t="s">
        <v>829</v>
      </c>
      <c r="C643" s="290" t="s">
        <v>235</v>
      </c>
      <c r="D643" s="227" t="s">
        <v>231</v>
      </c>
      <c r="E643" s="241"/>
      <c r="F643" s="228">
        <f t="shared" si="1375"/>
        <v>7.4469037330616245E-2</v>
      </c>
      <c r="G643" s="269">
        <f>+F643*G640</f>
        <v>1.170524311412502E-5</v>
      </c>
      <c r="H643" s="299"/>
      <c r="I643" s="299"/>
      <c r="J643" s="299"/>
      <c r="K643" s="299"/>
      <c r="L643" s="299"/>
      <c r="M643" s="299"/>
      <c r="N643" s="272">
        <v>0.53420000000000001</v>
      </c>
      <c r="O643" s="272">
        <v>0.53420000000000001</v>
      </c>
      <c r="P643" s="272">
        <v>0.53420000000000001</v>
      </c>
      <c r="Q643" s="272">
        <v>0.53420000000000001</v>
      </c>
      <c r="R643" s="372">
        <v>0.53420000000000001</v>
      </c>
      <c r="S643" s="395">
        <v>0.53420000000000001</v>
      </c>
      <c r="T643" s="272">
        <v>0.53420000000000001</v>
      </c>
      <c r="U643" s="272">
        <v>0.53420000000000001</v>
      </c>
      <c r="V643" s="272">
        <v>0.53420000000000001</v>
      </c>
      <c r="W643" s="272">
        <v>0.53420000000000001</v>
      </c>
      <c r="X643" s="272">
        <v>0.53420000000000001</v>
      </c>
      <c r="Y643" s="272">
        <v>0.53420000000000001</v>
      </c>
      <c r="Z643" s="272">
        <v>0.53420000000000001</v>
      </c>
      <c r="AA643" s="272">
        <v>0.53420000000000001</v>
      </c>
      <c r="AB643" s="272">
        <v>0.53420000000000001</v>
      </c>
      <c r="AC643" s="272">
        <v>0.53420000000000001</v>
      </c>
      <c r="AD643" s="396">
        <v>0.53420000000000001</v>
      </c>
      <c r="AE643" s="396">
        <v>0.53420000000000001</v>
      </c>
      <c r="AF643" s="396">
        <v>0.53420000000000001</v>
      </c>
      <c r="AG643" s="396">
        <v>0.53420000000000001</v>
      </c>
      <c r="AH643" s="396">
        <v>0.53420000000000001</v>
      </c>
      <c r="AI643" s="396">
        <v>0.53420000000000001</v>
      </c>
      <c r="AJ643" s="396">
        <v>0.53420000000000001</v>
      </c>
      <c r="AK643" s="396">
        <v>0.53420000000000001</v>
      </c>
      <c r="AL643" s="396">
        <v>0.53420000000000001</v>
      </c>
      <c r="AM643" s="396">
        <v>0.53420000000000001</v>
      </c>
      <c r="AN643" s="396">
        <v>0.53420000000000001</v>
      </c>
      <c r="AO643" s="396">
        <v>0.53420000000000001</v>
      </c>
      <c r="AP643" s="396">
        <v>0.53420000000000001</v>
      </c>
    </row>
    <row r="644" spans="1:42" s="140" customFormat="1" ht="12.75" hidden="1" customHeight="1" outlineLevel="5">
      <c r="A644" s="216"/>
      <c r="B644" s="255" t="s">
        <v>830</v>
      </c>
      <c r="C644" s="290" t="s">
        <v>237</v>
      </c>
      <c r="D644" s="227" t="s">
        <v>231</v>
      </c>
      <c r="E644" s="241"/>
      <c r="F644" s="228">
        <f t="shared" si="1375"/>
        <v>7.4469037330616245E-2</v>
      </c>
      <c r="G644" s="269">
        <f>+F644*G640</f>
        <v>1.170524311412502E-5</v>
      </c>
      <c r="H644" s="299"/>
      <c r="I644" s="299"/>
      <c r="J644" s="299"/>
      <c r="K644" s="299"/>
      <c r="L644" s="299"/>
      <c r="M644" s="299"/>
      <c r="N644" s="272">
        <v>0.53420000000000001</v>
      </c>
      <c r="O644" s="272">
        <v>0.53420000000000001</v>
      </c>
      <c r="P644" s="272">
        <v>0.53420000000000001</v>
      </c>
      <c r="Q644" s="272">
        <v>0.53420000000000001</v>
      </c>
      <c r="R644" s="372">
        <v>0.53420000000000001</v>
      </c>
      <c r="S644" s="395">
        <v>0.53420000000000001</v>
      </c>
      <c r="T644" s="272">
        <v>0.53420000000000001</v>
      </c>
      <c r="U644" s="272">
        <v>0.53420000000000001</v>
      </c>
      <c r="V644" s="272">
        <v>0.53420000000000001</v>
      </c>
      <c r="W644" s="272">
        <v>0.53420000000000001</v>
      </c>
      <c r="X644" s="272">
        <v>0.53420000000000001</v>
      </c>
      <c r="Y644" s="272">
        <v>0.53420000000000001</v>
      </c>
      <c r="Z644" s="272">
        <v>0.53420000000000001</v>
      </c>
      <c r="AA644" s="272">
        <v>0.53420000000000001</v>
      </c>
      <c r="AB644" s="272">
        <v>0.53420000000000001</v>
      </c>
      <c r="AC644" s="272">
        <v>0.53420000000000001</v>
      </c>
      <c r="AD644" s="396">
        <v>0.53420000000000001</v>
      </c>
      <c r="AE644" s="396">
        <v>0.53420000000000001</v>
      </c>
      <c r="AF644" s="396">
        <v>0.53420000000000001</v>
      </c>
      <c r="AG644" s="396">
        <v>0.53420000000000001</v>
      </c>
      <c r="AH644" s="396">
        <v>0.53420000000000001</v>
      </c>
      <c r="AI644" s="396">
        <v>0.53420000000000001</v>
      </c>
      <c r="AJ644" s="396">
        <v>0.53420000000000001</v>
      </c>
      <c r="AK644" s="396">
        <v>0.53420000000000001</v>
      </c>
      <c r="AL644" s="396">
        <v>0.53420000000000001</v>
      </c>
      <c r="AM644" s="396">
        <v>0.53420000000000001</v>
      </c>
      <c r="AN644" s="396">
        <v>0.53420000000000001</v>
      </c>
      <c r="AO644" s="396">
        <v>0.53420000000000001</v>
      </c>
      <c r="AP644" s="396">
        <v>0.53420000000000001</v>
      </c>
    </row>
    <row r="645" spans="1:42" s="140" customFormat="1" ht="12.75" hidden="1" customHeight="1" outlineLevel="5">
      <c r="A645" s="216"/>
      <c r="B645" s="255" t="s">
        <v>831</v>
      </c>
      <c r="C645" s="290" t="s">
        <v>239</v>
      </c>
      <c r="D645" s="227" t="s">
        <v>231</v>
      </c>
      <c r="E645" s="241"/>
      <c r="F645" s="228">
        <f t="shared" si="1375"/>
        <v>7.4469037330616245E-2</v>
      </c>
      <c r="G645" s="269">
        <f>+F645*G640</f>
        <v>1.170524311412502E-5</v>
      </c>
      <c r="H645" s="299"/>
      <c r="I645" s="299"/>
      <c r="J645" s="299"/>
      <c r="K645" s="299"/>
      <c r="L645" s="299"/>
      <c r="M645" s="299"/>
      <c r="N645" s="272">
        <v>0.53420000000000001</v>
      </c>
      <c r="O645" s="272">
        <v>0.53420000000000001</v>
      </c>
      <c r="P645" s="272">
        <v>0.53420000000000001</v>
      </c>
      <c r="Q645" s="272">
        <v>0.53420000000000001</v>
      </c>
      <c r="R645" s="372">
        <v>0.53420000000000001</v>
      </c>
      <c r="S645" s="395">
        <v>0.53420000000000001</v>
      </c>
      <c r="T645" s="272">
        <v>0.53420000000000001</v>
      </c>
      <c r="U645" s="272">
        <v>0.53420000000000001</v>
      </c>
      <c r="V645" s="272">
        <v>0.53420000000000001</v>
      </c>
      <c r="W645" s="272">
        <v>0.53420000000000001</v>
      </c>
      <c r="X645" s="272">
        <v>0.53420000000000001</v>
      </c>
      <c r="Y645" s="272">
        <v>0.53420000000000001</v>
      </c>
      <c r="Z645" s="272">
        <v>0.53420000000000001</v>
      </c>
      <c r="AA645" s="272">
        <v>0.53420000000000001</v>
      </c>
      <c r="AB645" s="272">
        <v>0.53420000000000001</v>
      </c>
      <c r="AC645" s="272">
        <v>0.53420000000000001</v>
      </c>
      <c r="AD645" s="396">
        <v>0.53420000000000001</v>
      </c>
      <c r="AE645" s="396">
        <v>0.53420000000000001</v>
      </c>
      <c r="AF645" s="396">
        <v>0.53420000000000001</v>
      </c>
      <c r="AG645" s="396">
        <v>0.53420000000000001</v>
      </c>
      <c r="AH645" s="396">
        <v>0.53420000000000001</v>
      </c>
      <c r="AI645" s="396">
        <v>0.53420000000000001</v>
      </c>
      <c r="AJ645" s="396">
        <v>0.53420000000000001</v>
      </c>
      <c r="AK645" s="396">
        <v>0.53420000000000001</v>
      </c>
      <c r="AL645" s="396">
        <v>0.53420000000000001</v>
      </c>
      <c r="AM645" s="396">
        <v>0.53420000000000001</v>
      </c>
      <c r="AN645" s="396">
        <v>0.53420000000000001</v>
      </c>
      <c r="AO645" s="396">
        <v>0.53420000000000001</v>
      </c>
      <c r="AP645" s="396">
        <v>0.53420000000000001</v>
      </c>
    </row>
    <row r="646" spans="1:42" s="140" customFormat="1" ht="12.75" hidden="1" customHeight="1" outlineLevel="5">
      <c r="A646" s="216"/>
      <c r="B646" s="255" t="s">
        <v>832</v>
      </c>
      <c r="C646" s="290" t="s">
        <v>241</v>
      </c>
      <c r="D646" s="227" t="s">
        <v>231</v>
      </c>
      <c r="E646" s="241"/>
      <c r="F646" s="228">
        <f t="shared" si="1375"/>
        <v>7.4469037330616245E-2</v>
      </c>
      <c r="G646" s="269">
        <f>+F646*G640</f>
        <v>1.170524311412502E-5</v>
      </c>
      <c r="H646" s="299"/>
      <c r="I646" s="299"/>
      <c r="J646" s="299"/>
      <c r="K646" s="299"/>
      <c r="L646" s="299"/>
      <c r="M646" s="299"/>
      <c r="N646" s="272">
        <v>0.53420000000000001</v>
      </c>
      <c r="O646" s="272">
        <v>0.53420000000000001</v>
      </c>
      <c r="P646" s="272">
        <v>0.53420000000000001</v>
      </c>
      <c r="Q646" s="272">
        <v>0.53420000000000001</v>
      </c>
      <c r="R646" s="372">
        <v>0.53420000000000001</v>
      </c>
      <c r="S646" s="395">
        <v>0.53420000000000001</v>
      </c>
      <c r="T646" s="272">
        <v>0.53420000000000001</v>
      </c>
      <c r="U646" s="272">
        <v>0.53420000000000001</v>
      </c>
      <c r="V646" s="272">
        <v>0.53420000000000001</v>
      </c>
      <c r="W646" s="272">
        <v>0.53420000000000001</v>
      </c>
      <c r="X646" s="272">
        <v>0.53420000000000001</v>
      </c>
      <c r="Y646" s="272">
        <v>0.53420000000000001</v>
      </c>
      <c r="Z646" s="272">
        <v>0.53420000000000001</v>
      </c>
      <c r="AA646" s="272">
        <v>0.53420000000000001</v>
      </c>
      <c r="AB646" s="272">
        <v>0.53420000000000001</v>
      </c>
      <c r="AC646" s="272">
        <v>0.53420000000000001</v>
      </c>
      <c r="AD646" s="396">
        <v>0.53420000000000001</v>
      </c>
      <c r="AE646" s="396">
        <v>0.53420000000000001</v>
      </c>
      <c r="AF646" s="396">
        <v>0.53420000000000001</v>
      </c>
      <c r="AG646" s="396">
        <v>0.53420000000000001</v>
      </c>
      <c r="AH646" s="396">
        <v>0.53420000000000001</v>
      </c>
      <c r="AI646" s="396">
        <v>0.53420000000000001</v>
      </c>
      <c r="AJ646" s="396">
        <v>0.53420000000000001</v>
      </c>
      <c r="AK646" s="396">
        <v>0.53420000000000001</v>
      </c>
      <c r="AL646" s="396">
        <v>0.53420000000000001</v>
      </c>
      <c r="AM646" s="396">
        <v>0.53420000000000001</v>
      </c>
      <c r="AN646" s="396">
        <v>0.53420000000000001</v>
      </c>
      <c r="AO646" s="396">
        <v>0.53420000000000001</v>
      </c>
      <c r="AP646" s="396">
        <v>0.53420000000000001</v>
      </c>
    </row>
    <row r="647" spans="1:42" s="140" customFormat="1" ht="25.5" hidden="1" customHeight="1" outlineLevel="5">
      <c r="A647" s="216"/>
      <c r="B647" s="255" t="s">
        <v>833</v>
      </c>
      <c r="C647" s="290" t="s">
        <v>376</v>
      </c>
      <c r="D647" s="227" t="s">
        <v>256</v>
      </c>
      <c r="E647" s="241"/>
      <c r="F647" s="228">
        <f t="shared" si="1375"/>
        <v>6.9148222002037796E-2</v>
      </c>
      <c r="G647" s="269">
        <f>+F647*G640</f>
        <v>1.0868903083168717E-5</v>
      </c>
      <c r="H647" s="299"/>
      <c r="I647" s="299"/>
      <c r="J647" s="299"/>
      <c r="K647" s="299"/>
      <c r="L647" s="299"/>
      <c r="M647" s="299"/>
      <c r="N647" s="272">
        <v>0.53420000000000001</v>
      </c>
      <c r="O647" s="272">
        <v>0.53420000000000001</v>
      </c>
      <c r="P647" s="272">
        <v>0.53420000000000001</v>
      </c>
      <c r="Q647" s="272">
        <v>0.53420000000000001</v>
      </c>
      <c r="R647" s="372">
        <v>0.53420000000000001</v>
      </c>
      <c r="S647" s="395">
        <v>0.53420000000000001</v>
      </c>
      <c r="T647" s="272">
        <v>0.53420000000000001</v>
      </c>
      <c r="U647" s="272">
        <v>0.53420000000000001</v>
      </c>
      <c r="V647" s="272">
        <v>0.53420000000000001</v>
      </c>
      <c r="W647" s="272">
        <v>0.53420000000000001</v>
      </c>
      <c r="X647" s="272">
        <v>0.53420000000000001</v>
      </c>
      <c r="Y647" s="272">
        <v>0.53420000000000001</v>
      </c>
      <c r="Z647" s="272">
        <v>0.53420000000000001</v>
      </c>
      <c r="AA647" s="272">
        <v>0.53420000000000001</v>
      </c>
      <c r="AB647" s="272">
        <v>0.53420000000000001</v>
      </c>
      <c r="AC647" s="272">
        <v>0.53420000000000001</v>
      </c>
      <c r="AD647" s="396">
        <v>0.53420000000000001</v>
      </c>
      <c r="AE647" s="396">
        <v>0.53420000000000001</v>
      </c>
      <c r="AF647" s="396">
        <v>0.53420000000000001</v>
      </c>
      <c r="AG647" s="396">
        <v>0.53420000000000001</v>
      </c>
      <c r="AH647" s="396">
        <v>0.53420000000000001</v>
      </c>
      <c r="AI647" s="396">
        <v>0.53420000000000001</v>
      </c>
      <c r="AJ647" s="396">
        <v>0.53420000000000001</v>
      </c>
      <c r="AK647" s="396">
        <v>0.53420000000000001</v>
      </c>
      <c r="AL647" s="396">
        <v>0.53420000000000001</v>
      </c>
      <c r="AM647" s="396">
        <v>0.53420000000000001</v>
      </c>
      <c r="AN647" s="396">
        <v>0.53420000000000001</v>
      </c>
      <c r="AO647" s="396">
        <v>0.53420000000000001</v>
      </c>
      <c r="AP647" s="396">
        <v>0.53420000000000001</v>
      </c>
    </row>
    <row r="648" spans="1:42" s="140" customFormat="1" ht="25.5" hidden="1" customHeight="1" outlineLevel="5">
      <c r="A648" s="216"/>
      <c r="B648" s="255" t="s">
        <v>834</v>
      </c>
      <c r="C648" s="290" t="s">
        <v>378</v>
      </c>
      <c r="D648" s="227" t="s">
        <v>256</v>
      </c>
      <c r="E648" s="241"/>
      <c r="F648" s="228">
        <f t="shared" si="1375"/>
        <v>6.9148222002037796E-2</v>
      </c>
      <c r="G648" s="269">
        <f>+F648*G640</f>
        <v>1.0868903083168717E-5</v>
      </c>
      <c r="H648" s="299"/>
      <c r="I648" s="299"/>
      <c r="J648" s="299"/>
      <c r="K648" s="299"/>
      <c r="L648" s="299"/>
      <c r="M648" s="299"/>
      <c r="N648" s="272">
        <v>0.53420000000000001</v>
      </c>
      <c r="O648" s="272">
        <v>0.53420000000000001</v>
      </c>
      <c r="P648" s="272">
        <v>0.53420000000000001</v>
      </c>
      <c r="Q648" s="272">
        <v>0.53420000000000001</v>
      </c>
      <c r="R648" s="372">
        <v>0.53420000000000001</v>
      </c>
      <c r="S648" s="395">
        <v>0.53420000000000001</v>
      </c>
      <c r="T648" s="272">
        <v>0.53420000000000001</v>
      </c>
      <c r="U648" s="272">
        <v>0.53420000000000001</v>
      </c>
      <c r="V648" s="272">
        <v>0.53420000000000001</v>
      </c>
      <c r="W648" s="272">
        <v>0.53420000000000001</v>
      </c>
      <c r="X648" s="272">
        <v>0.53420000000000001</v>
      </c>
      <c r="Y648" s="272">
        <v>0.53420000000000001</v>
      </c>
      <c r="Z648" s="272">
        <v>0.53420000000000001</v>
      </c>
      <c r="AA648" s="272">
        <v>0.53420000000000001</v>
      </c>
      <c r="AB648" s="272">
        <v>0.53420000000000001</v>
      </c>
      <c r="AC648" s="272">
        <v>0.53420000000000001</v>
      </c>
      <c r="AD648" s="396">
        <v>0.53420000000000001</v>
      </c>
      <c r="AE648" s="396">
        <v>0.53420000000000001</v>
      </c>
      <c r="AF648" s="396">
        <v>0.53420000000000001</v>
      </c>
      <c r="AG648" s="396">
        <v>0.53420000000000001</v>
      </c>
      <c r="AH648" s="396">
        <v>0.53420000000000001</v>
      </c>
      <c r="AI648" s="396">
        <v>0.53420000000000001</v>
      </c>
      <c r="AJ648" s="396">
        <v>0.53420000000000001</v>
      </c>
      <c r="AK648" s="396">
        <v>0.53420000000000001</v>
      </c>
      <c r="AL648" s="396">
        <v>0.53420000000000001</v>
      </c>
      <c r="AM648" s="396">
        <v>0.53420000000000001</v>
      </c>
      <c r="AN648" s="396">
        <v>0.53420000000000001</v>
      </c>
      <c r="AO648" s="396">
        <v>0.53420000000000001</v>
      </c>
      <c r="AP648" s="396">
        <v>0.53420000000000001</v>
      </c>
    </row>
    <row r="649" spans="1:42" s="140" customFormat="1" ht="25.5" hidden="1" customHeight="1" outlineLevel="5">
      <c r="A649" s="216"/>
      <c r="B649" s="255" t="s">
        <v>835</v>
      </c>
      <c r="C649" s="290" t="s">
        <v>380</v>
      </c>
      <c r="D649" s="227" t="s">
        <v>256</v>
      </c>
      <c r="E649" s="241"/>
      <c r="F649" s="228">
        <f t="shared" si="1375"/>
        <v>6.9148222002037796E-2</v>
      </c>
      <c r="G649" s="269">
        <f>+F649*G640</f>
        <v>1.0868903083168717E-5</v>
      </c>
      <c r="H649" s="299"/>
      <c r="I649" s="299"/>
      <c r="J649" s="299"/>
      <c r="K649" s="299"/>
      <c r="L649" s="299"/>
      <c r="M649" s="299"/>
      <c r="N649" s="272">
        <v>0.53420000000000001</v>
      </c>
      <c r="O649" s="272">
        <v>0.53420000000000001</v>
      </c>
      <c r="P649" s="272">
        <v>0.53420000000000001</v>
      </c>
      <c r="Q649" s="272">
        <v>0.53420000000000001</v>
      </c>
      <c r="R649" s="372">
        <v>0.53420000000000001</v>
      </c>
      <c r="S649" s="395">
        <v>0.53420000000000001</v>
      </c>
      <c r="T649" s="272">
        <v>0.53420000000000001</v>
      </c>
      <c r="U649" s="272">
        <v>0.53420000000000001</v>
      </c>
      <c r="V649" s="272">
        <v>0.53420000000000001</v>
      </c>
      <c r="W649" s="272">
        <v>0.53420000000000001</v>
      </c>
      <c r="X649" s="272">
        <v>0.53420000000000001</v>
      </c>
      <c r="Y649" s="272">
        <v>0.53420000000000001</v>
      </c>
      <c r="Z649" s="272">
        <v>0.53420000000000001</v>
      </c>
      <c r="AA649" s="272">
        <v>0.53420000000000001</v>
      </c>
      <c r="AB649" s="272">
        <v>0.53420000000000001</v>
      </c>
      <c r="AC649" s="272">
        <v>0.53420000000000001</v>
      </c>
      <c r="AD649" s="396">
        <v>0.53420000000000001</v>
      </c>
      <c r="AE649" s="396">
        <v>0.53420000000000001</v>
      </c>
      <c r="AF649" s="396">
        <v>0.53420000000000001</v>
      </c>
      <c r="AG649" s="396">
        <v>0.53420000000000001</v>
      </c>
      <c r="AH649" s="396">
        <v>0.53420000000000001</v>
      </c>
      <c r="AI649" s="396">
        <v>0.53420000000000001</v>
      </c>
      <c r="AJ649" s="396">
        <v>0.53420000000000001</v>
      </c>
      <c r="AK649" s="396">
        <v>0.53420000000000001</v>
      </c>
      <c r="AL649" s="396">
        <v>0.53420000000000001</v>
      </c>
      <c r="AM649" s="396">
        <v>0.53420000000000001</v>
      </c>
      <c r="AN649" s="396">
        <v>0.53420000000000001</v>
      </c>
      <c r="AO649" s="396">
        <v>0.53420000000000001</v>
      </c>
      <c r="AP649" s="396">
        <v>0.53420000000000001</v>
      </c>
    </row>
    <row r="650" spans="1:42" s="140" customFormat="1" ht="25.5" hidden="1" customHeight="1" outlineLevel="5">
      <c r="A650" s="216"/>
      <c r="B650" s="255" t="s">
        <v>836</v>
      </c>
      <c r="C650" s="290" t="s">
        <v>382</v>
      </c>
      <c r="D650" s="227" t="s">
        <v>256</v>
      </c>
      <c r="E650" s="241"/>
      <c r="F650" s="228">
        <f t="shared" si="1375"/>
        <v>6.9148222002037796E-2</v>
      </c>
      <c r="G650" s="269">
        <f>+F650*G640</f>
        <v>1.0868903083168717E-5</v>
      </c>
      <c r="H650" s="299"/>
      <c r="I650" s="299"/>
      <c r="J650" s="299"/>
      <c r="K650" s="299"/>
      <c r="L650" s="299"/>
      <c r="M650" s="299"/>
      <c r="N650" s="272">
        <v>0.53420000000000001</v>
      </c>
      <c r="O650" s="272">
        <v>0.53420000000000001</v>
      </c>
      <c r="P650" s="272">
        <v>0.53420000000000001</v>
      </c>
      <c r="Q650" s="272">
        <v>0.53420000000000001</v>
      </c>
      <c r="R650" s="372">
        <v>0.53420000000000001</v>
      </c>
      <c r="S650" s="395">
        <v>0.53420000000000001</v>
      </c>
      <c r="T650" s="272">
        <v>0.53420000000000001</v>
      </c>
      <c r="U650" s="272">
        <v>0.53420000000000001</v>
      </c>
      <c r="V650" s="272">
        <v>0.53420000000000001</v>
      </c>
      <c r="W650" s="272">
        <v>0.53420000000000001</v>
      </c>
      <c r="X650" s="272">
        <v>0.53420000000000001</v>
      </c>
      <c r="Y650" s="272">
        <v>0.53420000000000001</v>
      </c>
      <c r="Z650" s="272">
        <v>0.53420000000000001</v>
      </c>
      <c r="AA650" s="272">
        <v>0.53420000000000001</v>
      </c>
      <c r="AB650" s="272">
        <v>0.53420000000000001</v>
      </c>
      <c r="AC650" s="272">
        <v>0.53420000000000001</v>
      </c>
      <c r="AD650" s="396">
        <v>0.53420000000000001</v>
      </c>
      <c r="AE650" s="396">
        <v>0.53420000000000001</v>
      </c>
      <c r="AF650" s="396">
        <v>0.53420000000000001</v>
      </c>
      <c r="AG650" s="396">
        <v>0.53420000000000001</v>
      </c>
      <c r="AH650" s="396">
        <v>0.53420000000000001</v>
      </c>
      <c r="AI650" s="396">
        <v>0.53420000000000001</v>
      </c>
      <c r="AJ650" s="396">
        <v>0.53420000000000001</v>
      </c>
      <c r="AK650" s="396">
        <v>0.53420000000000001</v>
      </c>
      <c r="AL650" s="396">
        <v>0.53420000000000001</v>
      </c>
      <c r="AM650" s="396">
        <v>0.53420000000000001</v>
      </c>
      <c r="AN650" s="396">
        <v>0.53420000000000001</v>
      </c>
      <c r="AO650" s="396">
        <v>0.53420000000000001</v>
      </c>
      <c r="AP650" s="396">
        <v>0.53420000000000001</v>
      </c>
    </row>
    <row r="651" spans="1:42" s="140" customFormat="1" ht="25.5" hidden="1" customHeight="1" outlineLevel="5">
      <c r="A651" s="216"/>
      <c r="B651" s="255" t="s">
        <v>837</v>
      </c>
      <c r="C651" s="290" t="s">
        <v>384</v>
      </c>
      <c r="D651" s="227" t="s">
        <v>256</v>
      </c>
      <c r="E651" s="241"/>
      <c r="F651" s="228">
        <f t="shared" si="1375"/>
        <v>6.9148222002037796E-2</v>
      </c>
      <c r="G651" s="269">
        <f>+F651*G640</f>
        <v>1.0868903083168717E-5</v>
      </c>
      <c r="H651" s="299"/>
      <c r="I651" s="299"/>
      <c r="J651" s="299"/>
      <c r="K651" s="299"/>
      <c r="L651" s="299"/>
      <c r="M651" s="299"/>
      <c r="N651" s="272">
        <v>0.53420000000000001</v>
      </c>
      <c r="O651" s="272">
        <v>0.53420000000000001</v>
      </c>
      <c r="P651" s="272">
        <v>0.53420000000000001</v>
      </c>
      <c r="Q651" s="272">
        <v>0.53420000000000001</v>
      </c>
      <c r="R651" s="372">
        <v>0.53420000000000001</v>
      </c>
      <c r="S651" s="395">
        <v>0.53420000000000001</v>
      </c>
      <c r="T651" s="272">
        <v>0.53420000000000001</v>
      </c>
      <c r="U651" s="272">
        <v>0.53420000000000001</v>
      </c>
      <c r="V651" s="272">
        <v>0.53420000000000001</v>
      </c>
      <c r="W651" s="272">
        <v>0.53420000000000001</v>
      </c>
      <c r="X651" s="272">
        <v>0.53420000000000001</v>
      </c>
      <c r="Y651" s="272">
        <v>0.53420000000000001</v>
      </c>
      <c r="Z651" s="272">
        <v>0.53420000000000001</v>
      </c>
      <c r="AA651" s="272">
        <v>0.53420000000000001</v>
      </c>
      <c r="AB651" s="272">
        <v>0.53420000000000001</v>
      </c>
      <c r="AC651" s="272">
        <v>0.53420000000000001</v>
      </c>
      <c r="AD651" s="396">
        <v>0.53420000000000001</v>
      </c>
      <c r="AE651" s="396">
        <v>0.53420000000000001</v>
      </c>
      <c r="AF651" s="396">
        <v>0.53420000000000001</v>
      </c>
      <c r="AG651" s="396">
        <v>0.53420000000000001</v>
      </c>
      <c r="AH651" s="396">
        <v>0.53420000000000001</v>
      </c>
      <c r="AI651" s="396">
        <v>0.53420000000000001</v>
      </c>
      <c r="AJ651" s="396">
        <v>0.53420000000000001</v>
      </c>
      <c r="AK651" s="396">
        <v>0.53420000000000001</v>
      </c>
      <c r="AL651" s="396">
        <v>0.53420000000000001</v>
      </c>
      <c r="AM651" s="396">
        <v>0.53420000000000001</v>
      </c>
      <c r="AN651" s="396">
        <v>0.53420000000000001</v>
      </c>
      <c r="AO651" s="396">
        <v>0.53420000000000001</v>
      </c>
      <c r="AP651" s="396">
        <v>0.53420000000000001</v>
      </c>
    </row>
    <row r="652" spans="1:42" s="140" customFormat="1" ht="25.5" hidden="1" customHeight="1" outlineLevel="5">
      <c r="A652" s="216"/>
      <c r="B652" s="255" t="s">
        <v>838</v>
      </c>
      <c r="C652" s="290" t="s">
        <v>386</v>
      </c>
      <c r="D652" s="227" t="s">
        <v>256</v>
      </c>
      <c r="E652" s="241"/>
      <c r="F652" s="228">
        <f t="shared" si="1375"/>
        <v>6.9148222002037796E-2</v>
      </c>
      <c r="G652" s="269">
        <f>+F652*G640</f>
        <v>1.0868903083168717E-5</v>
      </c>
      <c r="H652" s="299"/>
      <c r="I652" s="299"/>
      <c r="J652" s="299"/>
      <c r="K652" s="299"/>
      <c r="L652" s="299"/>
      <c r="M652" s="299"/>
      <c r="N652" s="272">
        <v>0.53420000000000001</v>
      </c>
      <c r="O652" s="272">
        <v>0.53420000000000001</v>
      </c>
      <c r="P652" s="272">
        <v>0.53420000000000001</v>
      </c>
      <c r="Q652" s="272">
        <v>0.53420000000000001</v>
      </c>
      <c r="R652" s="372">
        <v>0.53420000000000001</v>
      </c>
      <c r="S652" s="395">
        <v>0.53420000000000001</v>
      </c>
      <c r="T652" s="272">
        <v>0.53420000000000001</v>
      </c>
      <c r="U652" s="272">
        <v>0.53420000000000001</v>
      </c>
      <c r="V652" s="272">
        <v>0.53420000000000001</v>
      </c>
      <c r="W652" s="272">
        <v>0.53420000000000001</v>
      </c>
      <c r="X652" s="272">
        <v>0.53420000000000001</v>
      </c>
      <c r="Y652" s="272">
        <v>0.53420000000000001</v>
      </c>
      <c r="Z652" s="272">
        <v>0.53420000000000001</v>
      </c>
      <c r="AA652" s="272">
        <v>0.53420000000000001</v>
      </c>
      <c r="AB652" s="272">
        <v>0.53420000000000001</v>
      </c>
      <c r="AC652" s="272">
        <v>0.53420000000000001</v>
      </c>
      <c r="AD652" s="396">
        <v>0.53420000000000001</v>
      </c>
      <c r="AE652" s="396">
        <v>0.53420000000000001</v>
      </c>
      <c r="AF652" s="396">
        <v>0.53420000000000001</v>
      </c>
      <c r="AG652" s="396">
        <v>0.53420000000000001</v>
      </c>
      <c r="AH652" s="396">
        <v>0.53420000000000001</v>
      </c>
      <c r="AI652" s="396">
        <v>0.53420000000000001</v>
      </c>
      <c r="AJ652" s="396">
        <v>0.53420000000000001</v>
      </c>
      <c r="AK652" s="396">
        <v>0.53420000000000001</v>
      </c>
      <c r="AL652" s="396">
        <v>0.53420000000000001</v>
      </c>
      <c r="AM652" s="396">
        <v>0.53420000000000001</v>
      </c>
      <c r="AN652" s="396">
        <v>0.53420000000000001</v>
      </c>
      <c r="AO652" s="396">
        <v>0.53420000000000001</v>
      </c>
      <c r="AP652" s="396">
        <v>0.53420000000000001</v>
      </c>
    </row>
    <row r="653" spans="1:42" s="140" customFormat="1" ht="25.5" hidden="1" customHeight="1" outlineLevel="5">
      <c r="A653" s="216"/>
      <c r="B653" s="255" t="s">
        <v>839</v>
      </c>
      <c r="C653" s="290" t="s">
        <v>388</v>
      </c>
      <c r="D653" s="227" t="s">
        <v>256</v>
      </c>
      <c r="E653" s="241"/>
      <c r="F653" s="228">
        <f t="shared" si="1375"/>
        <v>6.9148222002037796E-2</v>
      </c>
      <c r="G653" s="269">
        <f>+F653*G640</f>
        <v>1.0868903083168717E-5</v>
      </c>
      <c r="H653" s="299"/>
      <c r="I653" s="299"/>
      <c r="J653" s="299"/>
      <c r="K653" s="299"/>
      <c r="L653" s="299"/>
      <c r="M653" s="299"/>
      <c r="N653" s="272">
        <v>0.53420000000000001</v>
      </c>
      <c r="O653" s="272">
        <v>0.53420000000000001</v>
      </c>
      <c r="P653" s="272">
        <v>0.53420000000000001</v>
      </c>
      <c r="Q653" s="272">
        <v>0.53420000000000001</v>
      </c>
      <c r="R653" s="372">
        <v>0.53420000000000001</v>
      </c>
      <c r="S653" s="395">
        <v>0.53420000000000001</v>
      </c>
      <c r="T653" s="272">
        <v>0.53420000000000001</v>
      </c>
      <c r="U653" s="272">
        <v>0.53420000000000001</v>
      </c>
      <c r="V653" s="272">
        <v>0.53420000000000001</v>
      </c>
      <c r="W653" s="272">
        <v>0.53420000000000001</v>
      </c>
      <c r="X653" s="272">
        <v>0.53420000000000001</v>
      </c>
      <c r="Y653" s="272">
        <v>0.53420000000000001</v>
      </c>
      <c r="Z653" s="272">
        <v>0.53420000000000001</v>
      </c>
      <c r="AA653" s="272">
        <v>0.53420000000000001</v>
      </c>
      <c r="AB653" s="272">
        <v>0.53420000000000001</v>
      </c>
      <c r="AC653" s="272">
        <v>0.53420000000000001</v>
      </c>
      <c r="AD653" s="396">
        <v>0.53420000000000001</v>
      </c>
      <c r="AE653" s="396">
        <v>0.53420000000000001</v>
      </c>
      <c r="AF653" s="396">
        <v>0.53420000000000001</v>
      </c>
      <c r="AG653" s="396">
        <v>0.53420000000000001</v>
      </c>
      <c r="AH653" s="396">
        <v>0.53420000000000001</v>
      </c>
      <c r="AI653" s="396">
        <v>0.53420000000000001</v>
      </c>
      <c r="AJ653" s="396">
        <v>0.53420000000000001</v>
      </c>
      <c r="AK653" s="396">
        <v>0.53420000000000001</v>
      </c>
      <c r="AL653" s="396">
        <v>0.53420000000000001</v>
      </c>
      <c r="AM653" s="396">
        <v>0.53420000000000001</v>
      </c>
      <c r="AN653" s="396">
        <v>0.53420000000000001</v>
      </c>
      <c r="AO653" s="396">
        <v>0.53420000000000001</v>
      </c>
      <c r="AP653" s="396">
        <v>0.53420000000000001</v>
      </c>
    </row>
    <row r="654" spans="1:42" s="140" customFormat="1" ht="25.5" hidden="1" customHeight="1" outlineLevel="5">
      <c r="A654" s="216"/>
      <c r="B654" s="255" t="s">
        <v>840</v>
      </c>
      <c r="C654" s="290" t="s">
        <v>390</v>
      </c>
      <c r="D654" s="227" t="s">
        <v>256</v>
      </c>
      <c r="E654" s="241"/>
      <c r="F654" s="228">
        <f t="shared" si="1375"/>
        <v>6.9148222002037796E-2</v>
      </c>
      <c r="G654" s="269">
        <f>+F654*G640</f>
        <v>1.0868903083168717E-5</v>
      </c>
      <c r="H654" s="299"/>
      <c r="I654" s="299"/>
      <c r="J654" s="299"/>
      <c r="K654" s="299"/>
      <c r="L654" s="299"/>
      <c r="M654" s="299"/>
      <c r="N654" s="272">
        <v>0.53420000000000001</v>
      </c>
      <c r="O654" s="272">
        <v>0.53420000000000001</v>
      </c>
      <c r="P654" s="272">
        <v>0.53420000000000001</v>
      </c>
      <c r="Q654" s="272">
        <v>0.53420000000000001</v>
      </c>
      <c r="R654" s="372">
        <v>0.53420000000000001</v>
      </c>
      <c r="S654" s="395">
        <v>0.53420000000000001</v>
      </c>
      <c r="T654" s="272">
        <v>0.53420000000000001</v>
      </c>
      <c r="U654" s="272">
        <v>0.53420000000000001</v>
      </c>
      <c r="V654" s="272">
        <v>0.53420000000000001</v>
      </c>
      <c r="W654" s="272">
        <v>0.53420000000000001</v>
      </c>
      <c r="X654" s="272">
        <v>0.53420000000000001</v>
      </c>
      <c r="Y654" s="272">
        <v>0.53420000000000001</v>
      </c>
      <c r="Z654" s="272">
        <v>0.53420000000000001</v>
      </c>
      <c r="AA654" s="272">
        <v>0.53420000000000001</v>
      </c>
      <c r="AB654" s="272">
        <v>0.53420000000000001</v>
      </c>
      <c r="AC654" s="272">
        <v>0.53420000000000001</v>
      </c>
      <c r="AD654" s="396">
        <v>0.53420000000000001</v>
      </c>
      <c r="AE654" s="396">
        <v>0.53420000000000001</v>
      </c>
      <c r="AF654" s="396">
        <v>0.53420000000000001</v>
      </c>
      <c r="AG654" s="396">
        <v>0.53420000000000001</v>
      </c>
      <c r="AH654" s="396">
        <v>0.53420000000000001</v>
      </c>
      <c r="AI654" s="396">
        <v>0.53420000000000001</v>
      </c>
      <c r="AJ654" s="396">
        <v>0.53420000000000001</v>
      </c>
      <c r="AK654" s="396">
        <v>0.53420000000000001</v>
      </c>
      <c r="AL654" s="396">
        <v>0.53420000000000001</v>
      </c>
      <c r="AM654" s="396">
        <v>0.53420000000000001</v>
      </c>
      <c r="AN654" s="396">
        <v>0.53420000000000001</v>
      </c>
      <c r="AO654" s="396">
        <v>0.53420000000000001</v>
      </c>
      <c r="AP654" s="396">
        <v>0.53420000000000001</v>
      </c>
    </row>
    <row r="655" spans="1:42" s="140" customFormat="1" ht="12.75" hidden="1" customHeight="1" outlineLevel="4">
      <c r="A655" s="216"/>
      <c r="B655" s="291" t="s">
        <v>841</v>
      </c>
      <c r="C655" s="292" t="s">
        <v>170</v>
      </c>
      <c r="D655" s="234" t="s">
        <v>171</v>
      </c>
      <c r="E655" s="240"/>
      <c r="F655" s="223">
        <f t="shared" si="1375"/>
        <v>4.25702422192204E-2</v>
      </c>
      <c r="G655" s="293">
        <f>+F655*G533</f>
        <v>6.5669563977500237E-5</v>
      </c>
      <c r="H655" s="298"/>
      <c r="I655" s="298"/>
      <c r="J655" s="298"/>
      <c r="K655" s="298"/>
      <c r="L655" s="298"/>
      <c r="M655" s="298"/>
      <c r="N655" s="270">
        <v>0</v>
      </c>
      <c r="O655" s="270">
        <v>0</v>
      </c>
      <c r="P655" s="270">
        <v>0</v>
      </c>
      <c r="Q655" s="270">
        <v>0</v>
      </c>
      <c r="R655" s="370">
        <v>0</v>
      </c>
      <c r="S655" s="391">
        <v>0</v>
      </c>
      <c r="T655" s="270">
        <v>0</v>
      </c>
      <c r="U655" s="270">
        <v>0</v>
      </c>
      <c r="V655" s="270">
        <v>0</v>
      </c>
      <c r="W655" s="270">
        <v>0</v>
      </c>
      <c r="X655" s="270">
        <v>0</v>
      </c>
      <c r="Y655" s="270">
        <v>0</v>
      </c>
      <c r="Z655" s="270">
        <v>0</v>
      </c>
      <c r="AA655" s="270">
        <v>0</v>
      </c>
      <c r="AB655" s="270">
        <v>0</v>
      </c>
      <c r="AC655" s="270">
        <v>0</v>
      </c>
      <c r="AD655" s="392">
        <v>0</v>
      </c>
      <c r="AE655" s="392">
        <v>0</v>
      </c>
      <c r="AF655" s="392">
        <v>0</v>
      </c>
      <c r="AG655" s="392"/>
      <c r="AH655" s="392"/>
      <c r="AI655" s="392"/>
      <c r="AJ655" s="392"/>
      <c r="AK655" s="392"/>
      <c r="AL655" s="392"/>
      <c r="AM655" s="392"/>
      <c r="AN655" s="392"/>
      <c r="AO655" s="392"/>
      <c r="AP655" s="392"/>
    </row>
    <row r="656" spans="1:42" s="140" customFormat="1" ht="12.75" hidden="1" customHeight="1" outlineLevel="3">
      <c r="B656" s="300" t="s">
        <v>842</v>
      </c>
      <c r="C656" s="294" t="s">
        <v>392</v>
      </c>
      <c r="D656" s="294" t="s">
        <v>47</v>
      </c>
      <c r="E656" s="295"/>
      <c r="F656" s="296">
        <f t="shared" si="1375"/>
        <v>3.9032542437386124E-2</v>
      </c>
      <c r="G656" s="296">
        <f>+F656*G532</f>
        <v>7.7089271313837614E-5</v>
      </c>
      <c r="H656" s="297"/>
      <c r="I656" s="297"/>
      <c r="J656" s="297"/>
      <c r="K656" s="297"/>
      <c r="L656" s="297"/>
      <c r="M656" s="297"/>
      <c r="N656" s="296">
        <f t="shared" ref="N656:R656" si="1445">+SUMPRODUCT($F657:$F671,N657:N671)</f>
        <v>0</v>
      </c>
      <c r="O656" s="296">
        <f t="shared" si="1445"/>
        <v>0</v>
      </c>
      <c r="P656" s="296">
        <f t="shared" si="1445"/>
        <v>0</v>
      </c>
      <c r="Q656" s="296">
        <f t="shared" si="1445"/>
        <v>0</v>
      </c>
      <c r="R656" s="376">
        <f t="shared" si="1445"/>
        <v>0</v>
      </c>
      <c r="S656" s="403">
        <f t="shared" ref="S656" si="1446">+SUMPRODUCT($F657:$F671,S657:S671)</f>
        <v>0</v>
      </c>
      <c r="T656" s="296">
        <f t="shared" ref="T656" si="1447">+SUMPRODUCT($F657:$F671,T657:T671)</f>
        <v>0</v>
      </c>
      <c r="U656" s="296">
        <f t="shared" ref="U656" si="1448">+SUMPRODUCT($F657:$F671,U657:U671)</f>
        <v>0</v>
      </c>
      <c r="V656" s="296">
        <f t="shared" ref="V656" si="1449">+SUMPRODUCT($F657:$F671,V657:V671)</f>
        <v>0</v>
      </c>
      <c r="W656" s="296">
        <f t="shared" ref="W656" si="1450">+SUMPRODUCT($F657:$F671,W657:W671)</f>
        <v>0</v>
      </c>
      <c r="X656" s="296">
        <f t="shared" ref="X656" si="1451">+SUMPRODUCT($F657:$F671,X657:X671)</f>
        <v>0</v>
      </c>
      <c r="Y656" s="296">
        <f t="shared" ref="Y656" si="1452">+SUMPRODUCT($F657:$F671,Y657:Y671)</f>
        <v>0</v>
      </c>
      <c r="Z656" s="296">
        <f t="shared" ref="Z656" si="1453">+SUMPRODUCT($F657:$F671,Z657:Z671)</f>
        <v>0</v>
      </c>
      <c r="AA656" s="296">
        <f t="shared" ref="AA656" si="1454">+SUMPRODUCT($F657:$F671,AA657:AA671)</f>
        <v>0</v>
      </c>
      <c r="AB656" s="296">
        <f t="shared" ref="AB656" si="1455">+SUMPRODUCT($F657:$F671,AB657:AB671)</f>
        <v>0</v>
      </c>
      <c r="AC656" s="296">
        <f t="shared" ref="AC656" si="1456">+SUMPRODUCT($F657:$F671,AC657:AC671)</f>
        <v>0</v>
      </c>
      <c r="AD656" s="404">
        <f t="shared" ref="AD656:AF656" si="1457">+SUMPRODUCT($F657:$F671,AD657:AD671)</f>
        <v>0</v>
      </c>
      <c r="AE656" s="404">
        <f t="shared" si="1457"/>
        <v>0</v>
      </c>
      <c r="AF656" s="404">
        <f t="shared" si="1457"/>
        <v>0</v>
      </c>
      <c r="AG656" s="404"/>
      <c r="AH656" s="404"/>
      <c r="AI656" s="404"/>
      <c r="AJ656" s="404"/>
      <c r="AK656" s="404"/>
      <c r="AL656" s="404"/>
      <c r="AM656" s="404"/>
      <c r="AN656" s="404"/>
      <c r="AO656" s="404"/>
      <c r="AP656" s="404"/>
    </row>
    <row r="657" spans="1:42" s="140" customFormat="1" ht="12.75" hidden="1" customHeight="1" outlineLevel="4">
      <c r="A657" s="216"/>
      <c r="B657" s="255" t="s">
        <v>843</v>
      </c>
      <c r="C657" s="245" t="s">
        <v>49</v>
      </c>
      <c r="D657" s="227" t="s">
        <v>50</v>
      </c>
      <c r="E657" s="241"/>
      <c r="F657" s="228">
        <f t="shared" si="1375"/>
        <v>9.2877610796635368E-2</v>
      </c>
      <c r="G657" s="269">
        <f>+F657*G656</f>
        <v>7.1598673376828376E-6</v>
      </c>
      <c r="H657" s="299"/>
      <c r="I657" s="299"/>
      <c r="J657" s="299"/>
      <c r="K657" s="299"/>
      <c r="L657" s="299"/>
      <c r="M657" s="299"/>
      <c r="N657" s="272">
        <v>0</v>
      </c>
      <c r="O657" s="272">
        <v>0</v>
      </c>
      <c r="P657" s="272">
        <v>0</v>
      </c>
      <c r="Q657" s="272">
        <v>0</v>
      </c>
      <c r="R657" s="372">
        <v>0</v>
      </c>
      <c r="S657" s="395">
        <v>0</v>
      </c>
      <c r="T657" s="272">
        <v>0</v>
      </c>
      <c r="U657" s="272">
        <v>0</v>
      </c>
      <c r="V657" s="272">
        <v>0</v>
      </c>
      <c r="W657" s="272">
        <v>0</v>
      </c>
      <c r="X657" s="272">
        <v>0</v>
      </c>
      <c r="Y657" s="272">
        <v>0</v>
      </c>
      <c r="Z657" s="272">
        <v>0</v>
      </c>
      <c r="AA657" s="272">
        <v>0</v>
      </c>
      <c r="AB657" s="272">
        <v>0</v>
      </c>
      <c r="AC657" s="272">
        <v>0</v>
      </c>
      <c r="AD657" s="396">
        <v>0</v>
      </c>
      <c r="AE657" s="396">
        <v>0</v>
      </c>
      <c r="AF657" s="396">
        <v>0</v>
      </c>
      <c r="AG657" s="396"/>
      <c r="AH657" s="396"/>
      <c r="AI657" s="396"/>
      <c r="AJ657" s="396"/>
      <c r="AK657" s="396"/>
      <c r="AL657" s="396"/>
      <c r="AM657" s="396"/>
      <c r="AN657" s="396"/>
      <c r="AO657" s="396"/>
      <c r="AP657" s="396"/>
    </row>
    <row r="658" spans="1:42" s="140" customFormat="1" ht="12.75" hidden="1" customHeight="1" outlineLevel="4">
      <c r="A658" s="216"/>
      <c r="B658" s="255" t="s">
        <v>844</v>
      </c>
      <c r="C658" s="245" t="s">
        <v>52</v>
      </c>
      <c r="D658" s="227" t="s">
        <v>53</v>
      </c>
      <c r="E658" s="241"/>
      <c r="F658" s="228">
        <f t="shared" si="1375"/>
        <v>5.8105219309829384E-2</v>
      </c>
      <c r="G658" s="269">
        <f>+F658*G656</f>
        <v>4.479289016125474E-6</v>
      </c>
      <c r="H658" s="299"/>
      <c r="I658" s="299"/>
      <c r="J658" s="299"/>
      <c r="K658" s="299"/>
      <c r="L658" s="299"/>
      <c r="M658" s="299"/>
      <c r="N658" s="272">
        <v>0</v>
      </c>
      <c r="O658" s="272">
        <v>0</v>
      </c>
      <c r="P658" s="272">
        <v>0</v>
      </c>
      <c r="Q658" s="272">
        <v>0</v>
      </c>
      <c r="R658" s="372">
        <v>0</v>
      </c>
      <c r="S658" s="395">
        <v>0</v>
      </c>
      <c r="T658" s="272">
        <v>0</v>
      </c>
      <c r="U658" s="272">
        <v>0</v>
      </c>
      <c r="V658" s="272">
        <v>0</v>
      </c>
      <c r="W658" s="272">
        <v>0</v>
      </c>
      <c r="X658" s="272">
        <v>0</v>
      </c>
      <c r="Y658" s="272">
        <v>0</v>
      </c>
      <c r="Z658" s="272">
        <v>0</v>
      </c>
      <c r="AA658" s="272">
        <v>0</v>
      </c>
      <c r="AB658" s="272">
        <v>0</v>
      </c>
      <c r="AC658" s="272">
        <v>0</v>
      </c>
      <c r="AD658" s="396">
        <v>0</v>
      </c>
      <c r="AE658" s="396">
        <v>0</v>
      </c>
      <c r="AF658" s="396">
        <v>0</v>
      </c>
      <c r="AG658" s="396"/>
      <c r="AH658" s="396"/>
      <c r="AI658" s="396"/>
      <c r="AJ658" s="396"/>
      <c r="AK658" s="396"/>
      <c r="AL658" s="396"/>
      <c r="AM658" s="396"/>
      <c r="AN658" s="396"/>
      <c r="AO658" s="396"/>
      <c r="AP658" s="396"/>
    </row>
    <row r="659" spans="1:42" s="140" customFormat="1" ht="12.75" hidden="1" customHeight="1" outlineLevel="4">
      <c r="A659" s="216"/>
      <c r="B659" s="255" t="s">
        <v>845</v>
      </c>
      <c r="C659" s="245" t="s">
        <v>55</v>
      </c>
      <c r="D659" s="227" t="s">
        <v>56</v>
      </c>
      <c r="E659" s="241"/>
      <c r="F659" s="228">
        <f t="shared" si="1375"/>
        <v>2.7796911320762424E-2</v>
      </c>
      <c r="G659" s="269">
        <f>+F659*G656</f>
        <v>2.1428436384929386E-6</v>
      </c>
      <c r="H659" s="299"/>
      <c r="I659" s="299"/>
      <c r="J659" s="299"/>
      <c r="K659" s="299"/>
      <c r="L659" s="299"/>
      <c r="M659" s="299"/>
      <c r="N659" s="272">
        <v>0</v>
      </c>
      <c r="O659" s="272">
        <v>0</v>
      </c>
      <c r="P659" s="272">
        <v>0</v>
      </c>
      <c r="Q659" s="272">
        <v>0</v>
      </c>
      <c r="R659" s="372">
        <v>0</v>
      </c>
      <c r="S659" s="395">
        <v>0</v>
      </c>
      <c r="T659" s="272">
        <v>0</v>
      </c>
      <c r="U659" s="272">
        <v>0</v>
      </c>
      <c r="V659" s="272">
        <v>0</v>
      </c>
      <c r="W659" s="272">
        <v>0</v>
      </c>
      <c r="X659" s="272">
        <v>0</v>
      </c>
      <c r="Y659" s="272">
        <v>0</v>
      </c>
      <c r="Z659" s="272">
        <v>0</v>
      </c>
      <c r="AA659" s="272">
        <v>0</v>
      </c>
      <c r="AB659" s="272">
        <v>0</v>
      </c>
      <c r="AC659" s="272">
        <v>0</v>
      </c>
      <c r="AD659" s="396">
        <v>0</v>
      </c>
      <c r="AE659" s="396">
        <v>0</v>
      </c>
      <c r="AF659" s="396">
        <v>0</v>
      </c>
      <c r="AG659" s="396"/>
      <c r="AH659" s="396"/>
      <c r="AI659" s="396"/>
      <c r="AJ659" s="396"/>
      <c r="AK659" s="396"/>
      <c r="AL659" s="396"/>
      <c r="AM659" s="396"/>
      <c r="AN659" s="396"/>
      <c r="AO659" s="396"/>
      <c r="AP659" s="396"/>
    </row>
    <row r="660" spans="1:42" s="140" customFormat="1" ht="12.75" hidden="1" customHeight="1" outlineLevel="4">
      <c r="A660" s="216"/>
      <c r="B660" s="255" t="s">
        <v>846</v>
      </c>
      <c r="C660" s="245" t="s">
        <v>58</v>
      </c>
      <c r="D660" s="227" t="s">
        <v>59</v>
      </c>
      <c r="E660" s="241"/>
      <c r="F660" s="228">
        <f t="shared" si="1375"/>
        <v>2.9155300375276354E-2</v>
      </c>
      <c r="G660" s="269">
        <f>+F660*G656</f>
        <v>2.2475608608661104E-6</v>
      </c>
      <c r="H660" s="299"/>
      <c r="I660" s="299"/>
      <c r="J660" s="299"/>
      <c r="K660" s="299"/>
      <c r="L660" s="299"/>
      <c r="M660" s="299"/>
      <c r="N660" s="272">
        <v>0</v>
      </c>
      <c r="O660" s="272">
        <v>0</v>
      </c>
      <c r="P660" s="272">
        <v>0</v>
      </c>
      <c r="Q660" s="272">
        <v>0</v>
      </c>
      <c r="R660" s="372">
        <v>0</v>
      </c>
      <c r="S660" s="395">
        <v>0</v>
      </c>
      <c r="T660" s="272">
        <v>0</v>
      </c>
      <c r="U660" s="272">
        <v>0</v>
      </c>
      <c r="V660" s="272">
        <v>0</v>
      </c>
      <c r="W660" s="272">
        <v>0</v>
      </c>
      <c r="X660" s="272">
        <v>0</v>
      </c>
      <c r="Y660" s="272">
        <v>0</v>
      </c>
      <c r="Z660" s="272">
        <v>0</v>
      </c>
      <c r="AA660" s="272">
        <v>0</v>
      </c>
      <c r="AB660" s="272">
        <v>0</v>
      </c>
      <c r="AC660" s="272">
        <v>0</v>
      </c>
      <c r="AD660" s="396">
        <v>0</v>
      </c>
      <c r="AE660" s="396">
        <v>0</v>
      </c>
      <c r="AF660" s="396">
        <v>0</v>
      </c>
      <c r="AG660" s="396"/>
      <c r="AH660" s="396"/>
      <c r="AI660" s="396"/>
      <c r="AJ660" s="396"/>
      <c r="AK660" s="396"/>
      <c r="AL660" s="396"/>
      <c r="AM660" s="396"/>
      <c r="AN660" s="396"/>
      <c r="AO660" s="396"/>
      <c r="AP660" s="396"/>
    </row>
    <row r="661" spans="1:42" s="140" customFormat="1" ht="12.75" hidden="1" customHeight="1" outlineLevel="4">
      <c r="A661" s="216"/>
      <c r="B661" s="255" t="s">
        <v>847</v>
      </c>
      <c r="C661" s="245" t="s">
        <v>61</v>
      </c>
      <c r="D661" s="227" t="s">
        <v>62</v>
      </c>
      <c r="E661" s="241"/>
      <c r="F661" s="228">
        <f t="shared" ref="F661:F717" si="1458">F847</f>
        <v>4.0182801717972776E-2</v>
      </c>
      <c r="G661" s="269">
        <f>+F661*G656</f>
        <v>3.0976629037869434E-6</v>
      </c>
      <c r="H661" s="299"/>
      <c r="I661" s="299"/>
      <c r="J661" s="299"/>
      <c r="K661" s="299"/>
      <c r="L661" s="299"/>
      <c r="M661" s="299"/>
      <c r="N661" s="272">
        <v>0</v>
      </c>
      <c r="O661" s="272">
        <v>0</v>
      </c>
      <c r="P661" s="272">
        <v>0</v>
      </c>
      <c r="Q661" s="272">
        <v>0</v>
      </c>
      <c r="R661" s="372">
        <v>0</v>
      </c>
      <c r="S661" s="395">
        <v>0</v>
      </c>
      <c r="T661" s="272">
        <v>0</v>
      </c>
      <c r="U661" s="272">
        <v>0</v>
      </c>
      <c r="V661" s="272">
        <v>0</v>
      </c>
      <c r="W661" s="272">
        <v>0</v>
      </c>
      <c r="X661" s="272">
        <v>0</v>
      </c>
      <c r="Y661" s="272">
        <v>0</v>
      </c>
      <c r="Z661" s="272">
        <v>0</v>
      </c>
      <c r="AA661" s="272">
        <v>0</v>
      </c>
      <c r="AB661" s="272">
        <v>0</v>
      </c>
      <c r="AC661" s="272">
        <v>0</v>
      </c>
      <c r="AD661" s="396">
        <v>0</v>
      </c>
      <c r="AE661" s="396">
        <v>0</v>
      </c>
      <c r="AF661" s="396">
        <v>0</v>
      </c>
      <c r="AG661" s="396"/>
      <c r="AH661" s="396"/>
      <c r="AI661" s="396"/>
      <c r="AJ661" s="396"/>
      <c r="AK661" s="396"/>
      <c r="AL661" s="396"/>
      <c r="AM661" s="396"/>
      <c r="AN661" s="396"/>
      <c r="AO661" s="396"/>
      <c r="AP661" s="396"/>
    </row>
    <row r="662" spans="1:42" s="140" customFormat="1" ht="12.75" hidden="1" customHeight="1" outlineLevel="4">
      <c r="A662" s="216"/>
      <c r="B662" s="255" t="s">
        <v>848</v>
      </c>
      <c r="C662" s="245" t="s">
        <v>64</v>
      </c>
      <c r="D662" s="227" t="s">
        <v>65</v>
      </c>
      <c r="E662" s="241"/>
      <c r="F662" s="228">
        <f t="shared" si="1458"/>
        <v>9.8615013818202632E-2</v>
      </c>
      <c r="G662" s="269">
        <f>+F662*G656</f>
        <v>7.602159555849268E-6</v>
      </c>
      <c r="H662" s="299"/>
      <c r="I662" s="299"/>
      <c r="J662" s="299"/>
      <c r="K662" s="299"/>
      <c r="L662" s="299"/>
      <c r="M662" s="299"/>
      <c r="N662" s="272">
        <v>0</v>
      </c>
      <c r="O662" s="272">
        <v>0</v>
      </c>
      <c r="P662" s="272">
        <v>0</v>
      </c>
      <c r="Q662" s="272">
        <v>0</v>
      </c>
      <c r="R662" s="372">
        <v>0</v>
      </c>
      <c r="S662" s="395">
        <v>0</v>
      </c>
      <c r="T662" s="272">
        <v>0</v>
      </c>
      <c r="U662" s="272">
        <v>0</v>
      </c>
      <c r="V662" s="272">
        <v>0</v>
      </c>
      <c r="W662" s="272">
        <v>0</v>
      </c>
      <c r="X662" s="272">
        <v>0</v>
      </c>
      <c r="Y662" s="272">
        <v>0</v>
      </c>
      <c r="Z662" s="272">
        <v>0</v>
      </c>
      <c r="AA662" s="272">
        <v>0</v>
      </c>
      <c r="AB662" s="272">
        <v>0</v>
      </c>
      <c r="AC662" s="272">
        <v>0</v>
      </c>
      <c r="AD662" s="396">
        <v>0</v>
      </c>
      <c r="AE662" s="396">
        <v>0</v>
      </c>
      <c r="AF662" s="396">
        <v>0</v>
      </c>
      <c r="AG662" s="396"/>
      <c r="AH662" s="396"/>
      <c r="AI662" s="396"/>
      <c r="AJ662" s="396"/>
      <c r="AK662" s="396"/>
      <c r="AL662" s="396"/>
      <c r="AM662" s="396"/>
      <c r="AN662" s="396"/>
      <c r="AO662" s="396"/>
      <c r="AP662" s="396"/>
    </row>
    <row r="663" spans="1:42" s="140" customFormat="1" ht="12.75" hidden="1" customHeight="1" outlineLevel="4">
      <c r="A663" s="216"/>
      <c r="B663" s="255" t="s">
        <v>849</v>
      </c>
      <c r="C663" s="245" t="s">
        <v>67</v>
      </c>
      <c r="D663" s="227" t="s">
        <v>68</v>
      </c>
      <c r="E663" s="241"/>
      <c r="F663" s="228">
        <f t="shared" si="1458"/>
        <v>9.164980880972666E-2</v>
      </c>
      <c r="G663" s="269">
        <f>+F663*G656</f>
        <v>7.0652169771943633E-6</v>
      </c>
      <c r="H663" s="299"/>
      <c r="I663" s="299"/>
      <c r="J663" s="299"/>
      <c r="K663" s="299"/>
      <c r="L663" s="299"/>
      <c r="M663" s="299"/>
      <c r="N663" s="272">
        <v>0</v>
      </c>
      <c r="O663" s="272">
        <v>0</v>
      </c>
      <c r="P663" s="272">
        <v>0</v>
      </c>
      <c r="Q663" s="272">
        <v>0</v>
      </c>
      <c r="R663" s="372">
        <v>0</v>
      </c>
      <c r="S663" s="395">
        <v>0</v>
      </c>
      <c r="T663" s="272">
        <v>0</v>
      </c>
      <c r="U663" s="272">
        <v>0</v>
      </c>
      <c r="V663" s="272">
        <v>0</v>
      </c>
      <c r="W663" s="272">
        <v>0</v>
      </c>
      <c r="X663" s="272">
        <v>0</v>
      </c>
      <c r="Y663" s="272">
        <v>0</v>
      </c>
      <c r="Z663" s="272">
        <v>0</v>
      </c>
      <c r="AA663" s="272">
        <v>0</v>
      </c>
      <c r="AB663" s="272">
        <v>0</v>
      </c>
      <c r="AC663" s="272">
        <v>0</v>
      </c>
      <c r="AD663" s="396">
        <v>0</v>
      </c>
      <c r="AE663" s="396">
        <v>0</v>
      </c>
      <c r="AF663" s="396">
        <v>0</v>
      </c>
      <c r="AG663" s="396"/>
      <c r="AH663" s="396"/>
      <c r="AI663" s="396"/>
      <c r="AJ663" s="396"/>
      <c r="AK663" s="396"/>
      <c r="AL663" s="396"/>
      <c r="AM663" s="396"/>
      <c r="AN663" s="396"/>
      <c r="AO663" s="396"/>
      <c r="AP663" s="396"/>
    </row>
    <row r="664" spans="1:42" s="140" customFormat="1" ht="25.5" hidden="1" customHeight="1" outlineLevel="4">
      <c r="A664" s="216"/>
      <c r="B664" s="255" t="s">
        <v>850</v>
      </c>
      <c r="C664" s="245" t="s">
        <v>70</v>
      </c>
      <c r="D664" s="227" t="s">
        <v>71</v>
      </c>
      <c r="E664" s="241"/>
      <c r="F664" s="228">
        <f t="shared" si="1458"/>
        <v>9.2909380612212003E-2</v>
      </c>
      <c r="G664" s="269">
        <f>+F664*G656</f>
        <v>7.162316449615415E-6</v>
      </c>
      <c r="H664" s="299"/>
      <c r="I664" s="299"/>
      <c r="J664" s="299"/>
      <c r="K664" s="299"/>
      <c r="L664" s="299"/>
      <c r="M664" s="299"/>
      <c r="N664" s="272">
        <v>0</v>
      </c>
      <c r="O664" s="272">
        <v>0</v>
      </c>
      <c r="P664" s="272">
        <v>0</v>
      </c>
      <c r="Q664" s="272">
        <v>0</v>
      </c>
      <c r="R664" s="372">
        <v>0</v>
      </c>
      <c r="S664" s="395">
        <v>0</v>
      </c>
      <c r="T664" s="272">
        <v>0</v>
      </c>
      <c r="U664" s="272">
        <v>0</v>
      </c>
      <c r="V664" s="272">
        <v>0</v>
      </c>
      <c r="W664" s="272">
        <v>0</v>
      </c>
      <c r="X664" s="272">
        <v>0</v>
      </c>
      <c r="Y664" s="272">
        <v>0</v>
      </c>
      <c r="Z664" s="272">
        <v>0</v>
      </c>
      <c r="AA664" s="272">
        <v>0</v>
      </c>
      <c r="AB664" s="272">
        <v>0</v>
      </c>
      <c r="AC664" s="272">
        <v>0</v>
      </c>
      <c r="AD664" s="396">
        <v>0</v>
      </c>
      <c r="AE664" s="396">
        <v>0</v>
      </c>
      <c r="AF664" s="396">
        <v>0</v>
      </c>
      <c r="AG664" s="396"/>
      <c r="AH664" s="396"/>
      <c r="AI664" s="396"/>
      <c r="AJ664" s="396"/>
      <c r="AK664" s="396"/>
      <c r="AL664" s="396"/>
      <c r="AM664" s="396"/>
      <c r="AN664" s="396"/>
      <c r="AO664" s="396"/>
      <c r="AP664" s="396"/>
    </row>
    <row r="665" spans="1:42" s="140" customFormat="1" ht="12.75" hidden="1" customHeight="1" outlineLevel="4">
      <c r="A665" s="216"/>
      <c r="B665" s="255" t="s">
        <v>851</v>
      </c>
      <c r="C665" s="245" t="s">
        <v>73</v>
      </c>
      <c r="D665" s="227" t="s">
        <v>74</v>
      </c>
      <c r="E665" s="241"/>
      <c r="F665" s="228">
        <f t="shared" si="1458"/>
        <v>8.0887028733242702E-2</v>
      </c>
      <c r="G665" s="269">
        <f>+F665*G656</f>
        <v>6.2355221037871258E-6</v>
      </c>
      <c r="H665" s="299"/>
      <c r="I665" s="299"/>
      <c r="J665" s="299"/>
      <c r="K665" s="299"/>
      <c r="L665" s="299"/>
      <c r="M665" s="299"/>
      <c r="N665" s="272">
        <v>0</v>
      </c>
      <c r="O665" s="272">
        <v>0</v>
      </c>
      <c r="P665" s="272">
        <v>0</v>
      </c>
      <c r="Q665" s="272">
        <v>0</v>
      </c>
      <c r="R665" s="372">
        <v>0</v>
      </c>
      <c r="S665" s="395">
        <v>0</v>
      </c>
      <c r="T665" s="272">
        <v>0</v>
      </c>
      <c r="U665" s="272">
        <v>0</v>
      </c>
      <c r="V665" s="272">
        <v>0</v>
      </c>
      <c r="W665" s="272">
        <v>0</v>
      </c>
      <c r="X665" s="272">
        <v>0</v>
      </c>
      <c r="Y665" s="272">
        <v>0</v>
      </c>
      <c r="Z665" s="272">
        <v>0</v>
      </c>
      <c r="AA665" s="272">
        <v>0</v>
      </c>
      <c r="AB665" s="272">
        <v>0</v>
      </c>
      <c r="AC665" s="272">
        <v>0</v>
      </c>
      <c r="AD665" s="396">
        <v>0</v>
      </c>
      <c r="AE665" s="396">
        <v>0</v>
      </c>
      <c r="AF665" s="396">
        <v>0</v>
      </c>
      <c r="AG665" s="396"/>
      <c r="AH665" s="396"/>
      <c r="AI665" s="396"/>
      <c r="AJ665" s="396"/>
      <c r="AK665" s="396"/>
      <c r="AL665" s="396"/>
      <c r="AM665" s="396"/>
      <c r="AN665" s="396"/>
      <c r="AO665" s="396"/>
      <c r="AP665" s="396"/>
    </row>
    <row r="666" spans="1:42" s="140" customFormat="1" ht="12.75" hidden="1" customHeight="1" outlineLevel="4">
      <c r="A666" s="216"/>
      <c r="B666" s="255" t="s">
        <v>852</v>
      </c>
      <c r="C666" s="245" t="s">
        <v>76</v>
      </c>
      <c r="D666" s="227" t="s">
        <v>77</v>
      </c>
      <c r="E666" s="241"/>
      <c r="F666" s="228">
        <f t="shared" si="1458"/>
        <v>0.11788367881609482</v>
      </c>
      <c r="G666" s="269">
        <f>+F666*G656</f>
        <v>9.0875668997272256E-6</v>
      </c>
      <c r="H666" s="299"/>
      <c r="I666" s="299"/>
      <c r="J666" s="299"/>
      <c r="K666" s="299"/>
      <c r="L666" s="299"/>
      <c r="M666" s="299"/>
      <c r="N666" s="272">
        <v>0</v>
      </c>
      <c r="O666" s="272">
        <v>0</v>
      </c>
      <c r="P666" s="272">
        <v>0</v>
      </c>
      <c r="Q666" s="272">
        <v>0</v>
      </c>
      <c r="R666" s="372">
        <v>0</v>
      </c>
      <c r="S666" s="395">
        <v>0</v>
      </c>
      <c r="T666" s="272">
        <v>0</v>
      </c>
      <c r="U666" s="272">
        <v>0</v>
      </c>
      <c r="V666" s="272">
        <v>0</v>
      </c>
      <c r="W666" s="272">
        <v>0</v>
      </c>
      <c r="X666" s="272">
        <v>0</v>
      </c>
      <c r="Y666" s="272">
        <v>0</v>
      </c>
      <c r="Z666" s="272">
        <v>0</v>
      </c>
      <c r="AA666" s="272">
        <v>0</v>
      </c>
      <c r="AB666" s="272">
        <v>0</v>
      </c>
      <c r="AC666" s="272">
        <v>0</v>
      </c>
      <c r="AD666" s="396">
        <v>0</v>
      </c>
      <c r="AE666" s="396">
        <v>0</v>
      </c>
      <c r="AF666" s="396">
        <v>0</v>
      </c>
      <c r="AG666" s="396"/>
      <c r="AH666" s="396"/>
      <c r="AI666" s="396"/>
      <c r="AJ666" s="396"/>
      <c r="AK666" s="396"/>
      <c r="AL666" s="396"/>
      <c r="AM666" s="396"/>
      <c r="AN666" s="396"/>
      <c r="AO666" s="396"/>
      <c r="AP666" s="396"/>
    </row>
    <row r="667" spans="1:42" s="140" customFormat="1" ht="12.75" hidden="1" customHeight="1" outlineLevel="4">
      <c r="A667" s="216"/>
      <c r="B667" s="255" t="s">
        <v>853</v>
      </c>
      <c r="C667" s="245" t="s">
        <v>79</v>
      </c>
      <c r="D667" s="227" t="s">
        <v>80</v>
      </c>
      <c r="E667" s="241"/>
      <c r="F667" s="228">
        <f t="shared" si="1458"/>
        <v>4.1046638926131508E-2</v>
      </c>
      <c r="G667" s="269">
        <f>+F667*G656</f>
        <v>3.1642554846976801E-6</v>
      </c>
      <c r="H667" s="299"/>
      <c r="I667" s="299"/>
      <c r="J667" s="299"/>
      <c r="K667" s="299"/>
      <c r="L667" s="299"/>
      <c r="M667" s="299"/>
      <c r="N667" s="272">
        <v>0</v>
      </c>
      <c r="O667" s="272">
        <v>0</v>
      </c>
      <c r="P667" s="272">
        <v>0</v>
      </c>
      <c r="Q667" s="272">
        <v>0</v>
      </c>
      <c r="R667" s="372">
        <v>0</v>
      </c>
      <c r="S667" s="395">
        <v>0</v>
      </c>
      <c r="T667" s="272">
        <v>0</v>
      </c>
      <c r="U667" s="272">
        <v>0</v>
      </c>
      <c r="V667" s="272">
        <v>0</v>
      </c>
      <c r="W667" s="272">
        <v>0</v>
      </c>
      <c r="X667" s="272">
        <v>0</v>
      </c>
      <c r="Y667" s="272">
        <v>0</v>
      </c>
      <c r="Z667" s="272">
        <v>0</v>
      </c>
      <c r="AA667" s="272">
        <v>0</v>
      </c>
      <c r="AB667" s="272">
        <v>0</v>
      </c>
      <c r="AC667" s="272">
        <v>0</v>
      </c>
      <c r="AD667" s="396">
        <v>0</v>
      </c>
      <c r="AE667" s="396">
        <v>0</v>
      </c>
      <c r="AF667" s="396">
        <v>0</v>
      </c>
      <c r="AG667" s="396"/>
      <c r="AH667" s="396"/>
      <c r="AI667" s="396"/>
      <c r="AJ667" s="396"/>
      <c r="AK667" s="396"/>
      <c r="AL667" s="396"/>
      <c r="AM667" s="396"/>
      <c r="AN667" s="396"/>
      <c r="AO667" s="396"/>
      <c r="AP667" s="396"/>
    </row>
    <row r="668" spans="1:42" s="140" customFormat="1" ht="12.75" hidden="1" customHeight="1" outlineLevel="4">
      <c r="A668" s="216"/>
      <c r="B668" s="255" t="s">
        <v>854</v>
      </c>
      <c r="C668" s="245" t="s">
        <v>82</v>
      </c>
      <c r="D668" s="227" t="s">
        <v>83</v>
      </c>
      <c r="E668" s="241"/>
      <c r="F668" s="228">
        <f t="shared" si="1458"/>
        <v>5.3741978219236555E-2</v>
      </c>
      <c r="G668" s="269">
        <f>+F668*G656</f>
        <v>4.1429299398850783E-6</v>
      </c>
      <c r="H668" s="299"/>
      <c r="I668" s="299"/>
      <c r="J668" s="299"/>
      <c r="K668" s="299"/>
      <c r="L668" s="299"/>
      <c r="M668" s="299"/>
      <c r="N668" s="272">
        <v>0</v>
      </c>
      <c r="O668" s="272">
        <v>0</v>
      </c>
      <c r="P668" s="272">
        <v>0</v>
      </c>
      <c r="Q668" s="272">
        <v>0</v>
      </c>
      <c r="R668" s="372">
        <v>0</v>
      </c>
      <c r="S668" s="395">
        <v>0</v>
      </c>
      <c r="T668" s="272">
        <v>0</v>
      </c>
      <c r="U668" s="272">
        <v>0</v>
      </c>
      <c r="V668" s="272">
        <v>0</v>
      </c>
      <c r="W668" s="272">
        <v>0</v>
      </c>
      <c r="X668" s="272">
        <v>0</v>
      </c>
      <c r="Y668" s="272">
        <v>0</v>
      </c>
      <c r="Z668" s="272">
        <v>0</v>
      </c>
      <c r="AA668" s="272">
        <v>0</v>
      </c>
      <c r="AB668" s="272">
        <v>0</v>
      </c>
      <c r="AC668" s="272">
        <v>0</v>
      </c>
      <c r="AD668" s="396">
        <v>0</v>
      </c>
      <c r="AE668" s="396">
        <v>0</v>
      </c>
      <c r="AF668" s="396">
        <v>0</v>
      </c>
      <c r="AG668" s="396"/>
      <c r="AH668" s="396"/>
      <c r="AI668" s="396"/>
      <c r="AJ668" s="396"/>
      <c r="AK668" s="396"/>
      <c r="AL668" s="396"/>
      <c r="AM668" s="396"/>
      <c r="AN668" s="396"/>
      <c r="AO668" s="396"/>
      <c r="AP668" s="396"/>
    </row>
    <row r="669" spans="1:42" s="140" customFormat="1" ht="12.75" hidden="1" customHeight="1" outlineLevel="4">
      <c r="A669" s="216"/>
      <c r="B669" s="255" t="s">
        <v>855</v>
      </c>
      <c r="C669" s="245" t="s">
        <v>85</v>
      </c>
      <c r="D669" s="227" t="s">
        <v>86</v>
      </c>
      <c r="E669" s="241"/>
      <c r="F669" s="228">
        <f t="shared" si="1458"/>
        <v>5.8057394561842592E-2</v>
      </c>
      <c r="G669" s="269">
        <f>+F669*G656</f>
        <v>4.475602241152404E-6</v>
      </c>
      <c r="H669" s="299"/>
      <c r="I669" s="299"/>
      <c r="J669" s="299"/>
      <c r="K669" s="299"/>
      <c r="L669" s="299"/>
      <c r="M669" s="299"/>
      <c r="N669" s="272">
        <v>0</v>
      </c>
      <c r="O669" s="272">
        <v>0</v>
      </c>
      <c r="P669" s="272">
        <v>0</v>
      </c>
      <c r="Q669" s="272">
        <v>0</v>
      </c>
      <c r="R669" s="372">
        <v>0</v>
      </c>
      <c r="S669" s="395">
        <v>0</v>
      </c>
      <c r="T669" s="272">
        <v>0</v>
      </c>
      <c r="U669" s="272">
        <v>0</v>
      </c>
      <c r="V669" s="272">
        <v>0</v>
      </c>
      <c r="W669" s="272">
        <v>0</v>
      </c>
      <c r="X669" s="272">
        <v>0</v>
      </c>
      <c r="Y669" s="272">
        <v>0</v>
      </c>
      <c r="Z669" s="272">
        <v>0</v>
      </c>
      <c r="AA669" s="272">
        <v>0</v>
      </c>
      <c r="AB669" s="272">
        <v>0</v>
      </c>
      <c r="AC669" s="272">
        <v>0</v>
      </c>
      <c r="AD669" s="396">
        <v>0</v>
      </c>
      <c r="AE669" s="396">
        <v>0</v>
      </c>
      <c r="AF669" s="396">
        <v>0</v>
      </c>
      <c r="AG669" s="396"/>
      <c r="AH669" s="396"/>
      <c r="AI669" s="396"/>
      <c r="AJ669" s="396"/>
      <c r="AK669" s="396"/>
      <c r="AL669" s="396"/>
      <c r="AM669" s="396"/>
      <c r="AN669" s="396"/>
      <c r="AO669" s="396"/>
      <c r="AP669" s="396"/>
    </row>
    <row r="670" spans="1:42" s="140" customFormat="1" ht="12.75" hidden="1" customHeight="1" outlineLevel="4">
      <c r="A670" s="216"/>
      <c r="B670" s="255" t="s">
        <v>856</v>
      </c>
      <c r="C670" s="245" t="s">
        <v>88</v>
      </c>
      <c r="D670" s="227" t="s">
        <v>89</v>
      </c>
      <c r="E670" s="241"/>
      <c r="F670" s="228">
        <f t="shared" si="1458"/>
        <v>6.1612726844928238E-2</v>
      </c>
      <c r="G670" s="269">
        <f>+F670*G656</f>
        <v>4.7496802161340394E-6</v>
      </c>
      <c r="H670" s="299"/>
      <c r="I670" s="299"/>
      <c r="J670" s="299"/>
      <c r="K670" s="299"/>
      <c r="L670" s="299"/>
      <c r="M670" s="299"/>
      <c r="N670" s="272">
        <v>0</v>
      </c>
      <c r="O670" s="272">
        <v>0</v>
      </c>
      <c r="P670" s="272">
        <v>0</v>
      </c>
      <c r="Q670" s="272">
        <v>0</v>
      </c>
      <c r="R670" s="372">
        <v>0</v>
      </c>
      <c r="S670" s="395">
        <v>0</v>
      </c>
      <c r="T670" s="272">
        <v>0</v>
      </c>
      <c r="U670" s="272">
        <v>0</v>
      </c>
      <c r="V670" s="272">
        <v>0</v>
      </c>
      <c r="W670" s="272">
        <v>0</v>
      </c>
      <c r="X670" s="272">
        <v>0</v>
      </c>
      <c r="Y670" s="272">
        <v>0</v>
      </c>
      <c r="Z670" s="272">
        <v>0</v>
      </c>
      <c r="AA670" s="272">
        <v>0</v>
      </c>
      <c r="AB670" s="272">
        <v>0</v>
      </c>
      <c r="AC670" s="272">
        <v>0</v>
      </c>
      <c r="AD670" s="396">
        <v>0</v>
      </c>
      <c r="AE670" s="396">
        <v>0</v>
      </c>
      <c r="AF670" s="396">
        <v>0</v>
      </c>
      <c r="AG670" s="396"/>
      <c r="AH670" s="396"/>
      <c r="AI670" s="396"/>
      <c r="AJ670" s="396"/>
      <c r="AK670" s="396"/>
      <c r="AL670" s="396"/>
      <c r="AM670" s="396"/>
      <c r="AN670" s="396"/>
      <c r="AO670" s="396"/>
      <c r="AP670" s="396"/>
    </row>
    <row r="671" spans="1:42" s="140" customFormat="1" ht="12.75" hidden="1" customHeight="1" outlineLevel="4">
      <c r="A671" s="216"/>
      <c r="B671" s="255" t="s">
        <v>857</v>
      </c>
      <c r="C671" s="245" t="s">
        <v>91</v>
      </c>
      <c r="D671" s="227" t="s">
        <v>92</v>
      </c>
      <c r="E671" s="241"/>
      <c r="F671" s="228">
        <f t="shared" si="1458"/>
        <v>5.5478507137905975E-2</v>
      </c>
      <c r="G671" s="269">
        <f>+F671*G656</f>
        <v>4.2767976888407102E-6</v>
      </c>
      <c r="H671" s="299"/>
      <c r="I671" s="299"/>
      <c r="J671" s="299"/>
      <c r="K671" s="299"/>
      <c r="L671" s="299"/>
      <c r="M671" s="299"/>
      <c r="N671" s="272">
        <v>0</v>
      </c>
      <c r="O671" s="272">
        <v>0</v>
      </c>
      <c r="P671" s="272">
        <v>0</v>
      </c>
      <c r="Q671" s="272">
        <v>0</v>
      </c>
      <c r="R671" s="372">
        <v>0</v>
      </c>
      <c r="S671" s="395">
        <v>0</v>
      </c>
      <c r="T671" s="272">
        <v>0</v>
      </c>
      <c r="U671" s="272">
        <v>0</v>
      </c>
      <c r="V671" s="272">
        <v>0</v>
      </c>
      <c r="W671" s="272">
        <v>0</v>
      </c>
      <c r="X671" s="272">
        <v>0</v>
      </c>
      <c r="Y671" s="272">
        <v>0</v>
      </c>
      <c r="Z671" s="272">
        <v>0</v>
      </c>
      <c r="AA671" s="272">
        <v>0</v>
      </c>
      <c r="AB671" s="272">
        <v>0</v>
      </c>
      <c r="AC671" s="272">
        <v>0</v>
      </c>
      <c r="AD671" s="396">
        <v>0</v>
      </c>
      <c r="AE671" s="396">
        <v>0</v>
      </c>
      <c r="AF671" s="396">
        <v>0</v>
      </c>
      <c r="AG671" s="396"/>
      <c r="AH671" s="396"/>
      <c r="AI671" s="396"/>
      <c r="AJ671" s="396"/>
      <c r="AK671" s="396"/>
      <c r="AL671" s="396"/>
      <c r="AM671" s="396"/>
      <c r="AN671" s="396"/>
      <c r="AO671" s="396"/>
      <c r="AP671" s="396"/>
    </row>
    <row r="672" spans="1:42" s="140" customFormat="1" ht="12.75" hidden="1" customHeight="1" outlineLevel="4">
      <c r="A672" s="216"/>
      <c r="B672" s="300" t="s">
        <v>858</v>
      </c>
      <c r="C672" s="294"/>
      <c r="D672" s="294" t="s">
        <v>94</v>
      </c>
      <c r="E672" s="295"/>
      <c r="F672" s="296">
        <f t="shared" si="1458"/>
        <v>0.17989574156721069</v>
      </c>
      <c r="G672" s="296">
        <f>+F672*G532</f>
        <v>3.5529408959524125E-4</v>
      </c>
      <c r="H672" s="297"/>
      <c r="I672" s="297"/>
      <c r="J672" s="297"/>
      <c r="K672" s="297"/>
      <c r="L672" s="297"/>
      <c r="M672" s="297"/>
      <c r="N672" s="296">
        <f t="shared" ref="N672:R672" si="1459">+$F673*N673+$F685*N685+$F693*N693+$F699*N699+$F703*N703</f>
        <v>0</v>
      </c>
      <c r="O672" s="296">
        <f t="shared" si="1459"/>
        <v>0</v>
      </c>
      <c r="P672" s="296">
        <f t="shared" si="1459"/>
        <v>0</v>
      </c>
      <c r="Q672" s="296">
        <f t="shared" si="1459"/>
        <v>0</v>
      </c>
      <c r="R672" s="376">
        <f t="shared" si="1459"/>
        <v>0</v>
      </c>
      <c r="S672" s="403">
        <f t="shared" ref="S672" si="1460">+$F673*S673+$F685*S685+$F693*S693+$F699*S699+$F703*S703</f>
        <v>0</v>
      </c>
      <c r="T672" s="296">
        <f t="shared" ref="T672" si="1461">+$F673*T673+$F685*T685+$F693*T693+$F699*T699+$F703*T703</f>
        <v>0</v>
      </c>
      <c r="U672" s="296">
        <f t="shared" ref="U672" si="1462">+$F673*U673+$F685*U685+$F693*U693+$F699*U699+$F703*U703</f>
        <v>0</v>
      </c>
      <c r="V672" s="296">
        <f t="shared" ref="V672" si="1463">+$F673*V673+$F685*V685+$F693*V693+$F699*V699+$F703*V703</f>
        <v>0</v>
      </c>
      <c r="W672" s="296">
        <f t="shared" ref="W672" si="1464">+$F673*W673+$F685*W685+$F693*W693+$F699*W699+$F703*W703</f>
        <v>0</v>
      </c>
      <c r="X672" s="296">
        <f t="shared" ref="X672" si="1465">+$F673*X673+$F685*X685+$F693*X693+$F699*X699+$F703*X703</f>
        <v>0</v>
      </c>
      <c r="Y672" s="296">
        <f t="shared" ref="Y672" si="1466">+$F673*Y673+$F685*Y685+$F693*Y693+$F699*Y699+$F703*Y703</f>
        <v>0</v>
      </c>
      <c r="Z672" s="296">
        <f t="shared" ref="Z672" si="1467">+$F673*Z673+$F685*Z685+$F693*Z693+$F699*Z699+$F703*Z703</f>
        <v>0</v>
      </c>
      <c r="AA672" s="296">
        <f t="shared" ref="AA672" si="1468">+$F673*AA673+$F685*AA685+$F693*AA693+$F699*AA699+$F703*AA703</f>
        <v>0</v>
      </c>
      <c r="AB672" s="296">
        <f t="shared" ref="AB672" si="1469">+$F673*AB673+$F685*AB685+$F693*AB693+$F699*AB699+$F703*AB703</f>
        <v>0</v>
      </c>
      <c r="AC672" s="296">
        <f t="shared" ref="AC672" si="1470">+$F673*AC673+$F685*AC685+$F693*AC693+$F699*AC699+$F703*AC703</f>
        <v>0</v>
      </c>
      <c r="AD672" s="404">
        <f t="shared" ref="AD672:AF672" si="1471">+$F673*AD673+$F685*AD685+$F693*AD693+$F699*AD699+$F703*AD703</f>
        <v>0</v>
      </c>
      <c r="AE672" s="404">
        <f t="shared" si="1471"/>
        <v>0</v>
      </c>
      <c r="AF672" s="404">
        <f t="shared" si="1471"/>
        <v>0</v>
      </c>
      <c r="AG672" s="404"/>
      <c r="AH672" s="404"/>
      <c r="AI672" s="404"/>
      <c r="AJ672" s="404"/>
      <c r="AK672" s="404"/>
      <c r="AL672" s="404"/>
      <c r="AM672" s="404"/>
      <c r="AN672" s="404"/>
      <c r="AO672" s="404"/>
      <c r="AP672" s="404"/>
    </row>
    <row r="673" spans="1:42" s="140" customFormat="1" ht="12.75" hidden="1" customHeight="1" outlineLevel="4">
      <c r="B673" s="301" t="s">
        <v>859</v>
      </c>
      <c r="C673" s="251"/>
      <c r="D673" s="236" t="s">
        <v>97</v>
      </c>
      <c r="E673" s="242"/>
      <c r="F673" s="232">
        <f t="shared" si="1458"/>
        <v>0.2064703407829992</v>
      </c>
      <c r="G673" s="232">
        <f>+F673*G672</f>
        <v>7.3357691756914916E-5</v>
      </c>
      <c r="H673" s="321"/>
      <c r="I673" s="321"/>
      <c r="J673" s="321"/>
      <c r="K673" s="321"/>
      <c r="L673" s="321"/>
      <c r="M673" s="321"/>
      <c r="N673" s="274">
        <f t="shared" ref="N673:R673" si="1472">+SUMPRODUCT($F674:$F684,N674:N684)</f>
        <v>0</v>
      </c>
      <c r="O673" s="274">
        <f t="shared" si="1472"/>
        <v>0</v>
      </c>
      <c r="P673" s="274">
        <f t="shared" si="1472"/>
        <v>0</v>
      </c>
      <c r="Q673" s="274">
        <f t="shared" si="1472"/>
        <v>0</v>
      </c>
      <c r="R673" s="375">
        <f t="shared" si="1472"/>
        <v>0</v>
      </c>
      <c r="S673" s="401">
        <f t="shared" ref="S673" si="1473">+SUMPRODUCT($F674:$F684,S674:S684)</f>
        <v>0</v>
      </c>
      <c r="T673" s="274">
        <f t="shared" ref="T673" si="1474">+SUMPRODUCT($F674:$F684,T674:T684)</f>
        <v>0</v>
      </c>
      <c r="U673" s="274">
        <f t="shared" ref="U673" si="1475">+SUMPRODUCT($F674:$F684,U674:U684)</f>
        <v>0</v>
      </c>
      <c r="V673" s="274">
        <f t="shared" ref="V673" si="1476">+SUMPRODUCT($F674:$F684,V674:V684)</f>
        <v>0</v>
      </c>
      <c r="W673" s="274">
        <f t="shared" ref="W673" si="1477">+SUMPRODUCT($F674:$F684,W674:W684)</f>
        <v>0</v>
      </c>
      <c r="X673" s="274">
        <f t="shared" ref="X673" si="1478">+SUMPRODUCT($F674:$F684,X674:X684)</f>
        <v>0</v>
      </c>
      <c r="Y673" s="274">
        <f t="shared" ref="Y673" si="1479">+SUMPRODUCT($F674:$F684,Y674:Y684)</f>
        <v>0</v>
      </c>
      <c r="Z673" s="274">
        <f t="shared" ref="Z673" si="1480">+SUMPRODUCT($F674:$F684,Z674:Z684)</f>
        <v>0</v>
      </c>
      <c r="AA673" s="274">
        <f t="shared" ref="AA673" si="1481">+SUMPRODUCT($F674:$F684,AA674:AA684)</f>
        <v>0</v>
      </c>
      <c r="AB673" s="274">
        <f t="shared" ref="AB673" si="1482">+SUMPRODUCT($F674:$F684,AB674:AB684)</f>
        <v>0</v>
      </c>
      <c r="AC673" s="274">
        <f t="shared" ref="AC673" si="1483">+SUMPRODUCT($F674:$F684,AC674:AC684)</f>
        <v>0</v>
      </c>
      <c r="AD673" s="402">
        <f t="shared" ref="AD673:AF673" si="1484">+SUMPRODUCT($F674:$F684,AD674:AD684)</f>
        <v>0</v>
      </c>
      <c r="AE673" s="402">
        <f t="shared" si="1484"/>
        <v>0</v>
      </c>
      <c r="AF673" s="402">
        <f t="shared" si="1484"/>
        <v>0</v>
      </c>
      <c r="AG673" s="402"/>
      <c r="AH673" s="402"/>
      <c r="AI673" s="402"/>
      <c r="AJ673" s="402"/>
      <c r="AK673" s="402"/>
      <c r="AL673" s="402"/>
      <c r="AM673" s="402"/>
      <c r="AN673" s="402"/>
      <c r="AO673" s="402"/>
      <c r="AP673" s="402"/>
    </row>
    <row r="674" spans="1:42" s="140" customFormat="1" ht="25.5" hidden="1" customHeight="1" outlineLevel="5">
      <c r="A674" s="216"/>
      <c r="B674" s="255" t="s">
        <v>860</v>
      </c>
      <c r="C674" s="245" t="s">
        <v>99</v>
      </c>
      <c r="D674" s="227" t="s">
        <v>100</v>
      </c>
      <c r="E674" s="241"/>
      <c r="F674" s="228">
        <f t="shared" si="1458"/>
        <v>5.8885812178438031E-2</v>
      </c>
      <c r="G674" s="269">
        <f>+F674*G673</f>
        <v>4.3197272586414435E-6</v>
      </c>
      <c r="H674" s="299"/>
      <c r="I674" s="299"/>
      <c r="J674" s="299"/>
      <c r="K674" s="299"/>
      <c r="L674" s="299"/>
      <c r="M674" s="299"/>
      <c r="N674" s="272">
        <v>0</v>
      </c>
      <c r="O674" s="272">
        <v>0</v>
      </c>
      <c r="P674" s="272">
        <v>0</v>
      </c>
      <c r="Q674" s="272">
        <v>0</v>
      </c>
      <c r="R674" s="372">
        <v>0</v>
      </c>
      <c r="S674" s="395">
        <v>0</v>
      </c>
      <c r="T674" s="272">
        <v>0</v>
      </c>
      <c r="U674" s="272">
        <v>0</v>
      </c>
      <c r="V674" s="272">
        <v>0</v>
      </c>
      <c r="W674" s="272">
        <v>0</v>
      </c>
      <c r="X674" s="272">
        <v>0</v>
      </c>
      <c r="Y674" s="272">
        <v>0</v>
      </c>
      <c r="Z674" s="272">
        <v>0</v>
      </c>
      <c r="AA674" s="272">
        <v>0</v>
      </c>
      <c r="AB674" s="272">
        <v>0</v>
      </c>
      <c r="AC674" s="272">
        <v>0</v>
      </c>
      <c r="AD674" s="396">
        <v>0</v>
      </c>
      <c r="AE674" s="396">
        <v>0</v>
      </c>
      <c r="AF674" s="396">
        <v>0</v>
      </c>
      <c r="AG674" s="396"/>
      <c r="AH674" s="396"/>
      <c r="AI674" s="396"/>
      <c r="AJ674" s="396"/>
      <c r="AK674" s="396"/>
      <c r="AL674" s="396"/>
      <c r="AM674" s="396"/>
      <c r="AN674" s="396"/>
      <c r="AO674" s="396"/>
      <c r="AP674" s="396"/>
    </row>
    <row r="675" spans="1:42" s="140" customFormat="1" ht="25.5" hidden="1" customHeight="1" outlineLevel="5">
      <c r="A675" s="216"/>
      <c r="B675" s="255" t="s">
        <v>861</v>
      </c>
      <c r="C675" s="245" t="s">
        <v>102</v>
      </c>
      <c r="D675" s="227" t="s">
        <v>103</v>
      </c>
      <c r="E675" s="241"/>
      <c r="F675" s="228">
        <f t="shared" si="1458"/>
        <v>9.5476860808951347E-2</v>
      </c>
      <c r="G675" s="269">
        <f>+F675*G673</f>
        <v>7.0039621251409233E-6</v>
      </c>
      <c r="H675" s="299"/>
      <c r="I675" s="299"/>
      <c r="J675" s="299"/>
      <c r="K675" s="299"/>
      <c r="L675" s="299"/>
      <c r="M675" s="299"/>
      <c r="N675" s="272">
        <v>0</v>
      </c>
      <c r="O675" s="272">
        <v>0</v>
      </c>
      <c r="P675" s="272">
        <v>0</v>
      </c>
      <c r="Q675" s="272">
        <v>0</v>
      </c>
      <c r="R675" s="372">
        <v>0</v>
      </c>
      <c r="S675" s="395">
        <v>0</v>
      </c>
      <c r="T675" s="272">
        <v>0</v>
      </c>
      <c r="U675" s="272">
        <v>0</v>
      </c>
      <c r="V675" s="272">
        <v>0</v>
      </c>
      <c r="W675" s="272">
        <v>0</v>
      </c>
      <c r="X675" s="272">
        <v>0</v>
      </c>
      <c r="Y675" s="272">
        <v>0</v>
      </c>
      <c r="Z675" s="272">
        <v>0</v>
      </c>
      <c r="AA675" s="272">
        <v>0</v>
      </c>
      <c r="AB675" s="272">
        <v>0</v>
      </c>
      <c r="AC675" s="272">
        <v>0</v>
      </c>
      <c r="AD675" s="396">
        <v>0</v>
      </c>
      <c r="AE675" s="396">
        <v>0</v>
      </c>
      <c r="AF675" s="396">
        <v>0</v>
      </c>
      <c r="AG675" s="396"/>
      <c r="AH675" s="396"/>
      <c r="AI675" s="396"/>
      <c r="AJ675" s="396"/>
      <c r="AK675" s="396"/>
      <c r="AL675" s="396"/>
      <c r="AM675" s="396"/>
      <c r="AN675" s="396"/>
      <c r="AO675" s="396"/>
      <c r="AP675" s="396"/>
    </row>
    <row r="676" spans="1:42" s="140" customFormat="1" ht="25.5" hidden="1" customHeight="1" outlineLevel="5">
      <c r="A676" s="216"/>
      <c r="B676" s="255" t="s">
        <v>862</v>
      </c>
      <c r="C676" s="245" t="s">
        <v>105</v>
      </c>
      <c r="D676" s="227" t="s">
        <v>106</v>
      </c>
      <c r="E676" s="241"/>
      <c r="F676" s="228">
        <f t="shared" si="1458"/>
        <v>7.7851641421759807E-2</v>
      </c>
      <c r="G676" s="269">
        <f>+F676*G673</f>
        <v>5.711016714187325E-6</v>
      </c>
      <c r="H676" s="299"/>
      <c r="I676" s="299"/>
      <c r="J676" s="299"/>
      <c r="K676" s="299"/>
      <c r="L676" s="299"/>
      <c r="M676" s="299"/>
      <c r="N676" s="272">
        <v>0</v>
      </c>
      <c r="O676" s="272">
        <v>0</v>
      </c>
      <c r="P676" s="272">
        <v>0</v>
      </c>
      <c r="Q676" s="272">
        <v>0</v>
      </c>
      <c r="R676" s="372">
        <v>0</v>
      </c>
      <c r="S676" s="395">
        <v>0</v>
      </c>
      <c r="T676" s="272">
        <v>0</v>
      </c>
      <c r="U676" s="272">
        <v>0</v>
      </c>
      <c r="V676" s="272">
        <v>0</v>
      </c>
      <c r="W676" s="272">
        <v>0</v>
      </c>
      <c r="X676" s="272">
        <v>0</v>
      </c>
      <c r="Y676" s="272">
        <v>0</v>
      </c>
      <c r="Z676" s="272">
        <v>0</v>
      </c>
      <c r="AA676" s="272">
        <v>0</v>
      </c>
      <c r="AB676" s="272">
        <v>0</v>
      </c>
      <c r="AC676" s="272">
        <v>0</v>
      </c>
      <c r="AD676" s="396">
        <v>0</v>
      </c>
      <c r="AE676" s="396">
        <v>0</v>
      </c>
      <c r="AF676" s="396">
        <v>0</v>
      </c>
      <c r="AG676" s="396"/>
      <c r="AH676" s="396"/>
      <c r="AI676" s="396"/>
      <c r="AJ676" s="396"/>
      <c r="AK676" s="396"/>
      <c r="AL676" s="396"/>
      <c r="AM676" s="396"/>
      <c r="AN676" s="396"/>
      <c r="AO676" s="396"/>
      <c r="AP676" s="396"/>
    </row>
    <row r="677" spans="1:42" s="140" customFormat="1" ht="25.5" hidden="1" customHeight="1" outlineLevel="5">
      <c r="A677" s="216"/>
      <c r="B677" s="255" t="s">
        <v>863</v>
      </c>
      <c r="C677" s="245" t="s">
        <v>108</v>
      </c>
      <c r="D677" s="227" t="s">
        <v>109</v>
      </c>
      <c r="E677" s="241"/>
      <c r="F677" s="228">
        <f t="shared" si="1458"/>
        <v>9.6299858611877787E-2</v>
      </c>
      <c r="G677" s="269">
        <f>+F677*G673</f>
        <v>7.0643353442846189E-6</v>
      </c>
      <c r="H677" s="299"/>
      <c r="I677" s="299"/>
      <c r="J677" s="299"/>
      <c r="K677" s="299"/>
      <c r="L677" s="299"/>
      <c r="M677" s="299"/>
      <c r="N677" s="272">
        <v>0</v>
      </c>
      <c r="O677" s="272">
        <v>0</v>
      </c>
      <c r="P677" s="272">
        <v>0</v>
      </c>
      <c r="Q677" s="272">
        <v>0</v>
      </c>
      <c r="R677" s="372">
        <v>0</v>
      </c>
      <c r="S677" s="395">
        <v>0</v>
      </c>
      <c r="T677" s="272">
        <v>0</v>
      </c>
      <c r="U677" s="272">
        <v>0</v>
      </c>
      <c r="V677" s="272">
        <v>0</v>
      </c>
      <c r="W677" s="272">
        <v>0</v>
      </c>
      <c r="X677" s="272">
        <v>0</v>
      </c>
      <c r="Y677" s="272">
        <v>0</v>
      </c>
      <c r="Z677" s="272">
        <v>0</v>
      </c>
      <c r="AA677" s="272">
        <v>0</v>
      </c>
      <c r="AB677" s="272">
        <v>0</v>
      </c>
      <c r="AC677" s="272">
        <v>0</v>
      </c>
      <c r="AD677" s="396">
        <v>0</v>
      </c>
      <c r="AE677" s="396">
        <v>0</v>
      </c>
      <c r="AF677" s="396">
        <v>0</v>
      </c>
      <c r="AG677" s="396"/>
      <c r="AH677" s="396"/>
      <c r="AI677" s="396"/>
      <c r="AJ677" s="396"/>
      <c r="AK677" s="396"/>
      <c r="AL677" s="396"/>
      <c r="AM677" s="396"/>
      <c r="AN677" s="396"/>
      <c r="AO677" s="396"/>
      <c r="AP677" s="396"/>
    </row>
    <row r="678" spans="1:42" s="140" customFormat="1" ht="38.25" hidden="1" customHeight="1" outlineLevel="5">
      <c r="A678" s="216"/>
      <c r="B678" s="255" t="s">
        <v>864</v>
      </c>
      <c r="C678" s="245" t="s">
        <v>111</v>
      </c>
      <c r="D678" s="227" t="s">
        <v>112</v>
      </c>
      <c r="E678" s="241"/>
      <c r="F678" s="228">
        <f t="shared" si="1458"/>
        <v>0.2149063701910354</v>
      </c>
      <c r="G678" s="269">
        <f>+F678*G673</f>
        <v>1.5765035261071422E-5</v>
      </c>
      <c r="H678" s="299"/>
      <c r="I678" s="299"/>
      <c r="J678" s="299"/>
      <c r="K678" s="299"/>
      <c r="L678" s="299"/>
      <c r="M678" s="299"/>
      <c r="N678" s="272">
        <v>0</v>
      </c>
      <c r="O678" s="272">
        <v>0</v>
      </c>
      <c r="P678" s="272">
        <v>0</v>
      </c>
      <c r="Q678" s="272">
        <v>0</v>
      </c>
      <c r="R678" s="372">
        <v>0</v>
      </c>
      <c r="S678" s="395">
        <v>0</v>
      </c>
      <c r="T678" s="272">
        <v>0</v>
      </c>
      <c r="U678" s="272">
        <v>0</v>
      </c>
      <c r="V678" s="272">
        <v>0</v>
      </c>
      <c r="W678" s="272">
        <v>0</v>
      </c>
      <c r="X678" s="272">
        <v>0</v>
      </c>
      <c r="Y678" s="272">
        <v>0</v>
      </c>
      <c r="Z678" s="272">
        <v>0</v>
      </c>
      <c r="AA678" s="272">
        <v>0</v>
      </c>
      <c r="AB678" s="272">
        <v>0</v>
      </c>
      <c r="AC678" s="272">
        <v>0</v>
      </c>
      <c r="AD678" s="396">
        <v>0</v>
      </c>
      <c r="AE678" s="396">
        <v>0</v>
      </c>
      <c r="AF678" s="396">
        <v>0</v>
      </c>
      <c r="AG678" s="396"/>
      <c r="AH678" s="396"/>
      <c r="AI678" s="396"/>
      <c r="AJ678" s="396"/>
      <c r="AK678" s="396"/>
      <c r="AL678" s="396"/>
      <c r="AM678" s="396"/>
      <c r="AN678" s="396"/>
      <c r="AO678" s="396"/>
      <c r="AP678" s="396"/>
    </row>
    <row r="679" spans="1:42" s="140" customFormat="1" ht="38.25" hidden="1" customHeight="1" outlineLevel="5">
      <c r="A679" s="216"/>
      <c r="B679" s="255" t="s">
        <v>865</v>
      </c>
      <c r="C679" s="245" t="s">
        <v>114</v>
      </c>
      <c r="D679" s="227" t="s">
        <v>115</v>
      </c>
      <c r="E679" s="241"/>
      <c r="F679" s="228">
        <f t="shared" si="1458"/>
        <v>0.11738040352185054</v>
      </c>
      <c r="G679" s="269">
        <f>+F679*G673</f>
        <v>8.6107554598582029E-6</v>
      </c>
      <c r="H679" s="299"/>
      <c r="I679" s="299"/>
      <c r="J679" s="299"/>
      <c r="K679" s="299"/>
      <c r="L679" s="299"/>
      <c r="M679" s="299"/>
      <c r="N679" s="272">
        <v>0</v>
      </c>
      <c r="O679" s="272">
        <v>0</v>
      </c>
      <c r="P679" s="272">
        <v>0</v>
      </c>
      <c r="Q679" s="272">
        <v>0</v>
      </c>
      <c r="R679" s="372">
        <v>0</v>
      </c>
      <c r="S679" s="395">
        <v>0</v>
      </c>
      <c r="T679" s="272">
        <v>0</v>
      </c>
      <c r="U679" s="272">
        <v>0</v>
      </c>
      <c r="V679" s="272">
        <v>0</v>
      </c>
      <c r="W679" s="272">
        <v>0</v>
      </c>
      <c r="X679" s="272">
        <v>0</v>
      </c>
      <c r="Y679" s="272">
        <v>0</v>
      </c>
      <c r="Z679" s="272">
        <v>0</v>
      </c>
      <c r="AA679" s="272">
        <v>0</v>
      </c>
      <c r="AB679" s="272">
        <v>0</v>
      </c>
      <c r="AC679" s="272">
        <v>0</v>
      </c>
      <c r="AD679" s="396">
        <v>0</v>
      </c>
      <c r="AE679" s="396">
        <v>0</v>
      </c>
      <c r="AF679" s="396">
        <v>0</v>
      </c>
      <c r="AG679" s="396"/>
      <c r="AH679" s="396"/>
      <c r="AI679" s="396"/>
      <c r="AJ679" s="396"/>
      <c r="AK679" s="396"/>
      <c r="AL679" s="396"/>
      <c r="AM679" s="396"/>
      <c r="AN679" s="396"/>
      <c r="AO679" s="396"/>
      <c r="AP679" s="396"/>
    </row>
    <row r="680" spans="1:42" s="140" customFormat="1" ht="38.25" hidden="1" customHeight="1" outlineLevel="5">
      <c r="A680" s="216"/>
      <c r="B680" s="255" t="s">
        <v>866</v>
      </c>
      <c r="C680" s="245" t="s">
        <v>117</v>
      </c>
      <c r="D680" s="227" t="s">
        <v>118</v>
      </c>
      <c r="E680" s="241"/>
      <c r="F680" s="228">
        <f t="shared" si="1458"/>
        <v>0.11930471289964986</v>
      </c>
      <c r="G680" s="269">
        <f>+F680*G673</f>
        <v>8.7519183540397456E-6</v>
      </c>
      <c r="H680" s="299"/>
      <c r="I680" s="299"/>
      <c r="J680" s="299"/>
      <c r="K680" s="299"/>
      <c r="L680" s="299"/>
      <c r="M680" s="299"/>
      <c r="N680" s="272">
        <v>0</v>
      </c>
      <c r="O680" s="272">
        <v>0</v>
      </c>
      <c r="P680" s="272">
        <v>0</v>
      </c>
      <c r="Q680" s="272">
        <v>0</v>
      </c>
      <c r="R680" s="372">
        <v>0</v>
      </c>
      <c r="S680" s="395">
        <v>0</v>
      </c>
      <c r="T680" s="272">
        <v>0</v>
      </c>
      <c r="U680" s="272">
        <v>0</v>
      </c>
      <c r="V680" s="272">
        <v>0</v>
      </c>
      <c r="W680" s="272">
        <v>0</v>
      </c>
      <c r="X680" s="272">
        <v>0</v>
      </c>
      <c r="Y680" s="272">
        <v>0</v>
      </c>
      <c r="Z680" s="272">
        <v>0</v>
      </c>
      <c r="AA680" s="272">
        <v>0</v>
      </c>
      <c r="AB680" s="272">
        <v>0</v>
      </c>
      <c r="AC680" s="272">
        <v>0</v>
      </c>
      <c r="AD680" s="396">
        <v>0</v>
      </c>
      <c r="AE680" s="396">
        <v>0</v>
      </c>
      <c r="AF680" s="396">
        <v>0</v>
      </c>
      <c r="AG680" s="396"/>
      <c r="AH680" s="396"/>
      <c r="AI680" s="396"/>
      <c r="AJ680" s="396"/>
      <c r="AK680" s="396"/>
      <c r="AL680" s="396"/>
      <c r="AM680" s="396"/>
      <c r="AN680" s="396"/>
      <c r="AO680" s="396"/>
      <c r="AP680" s="396"/>
    </row>
    <row r="681" spans="1:42" s="140" customFormat="1" ht="38.25" hidden="1" customHeight="1" outlineLevel="5">
      <c r="A681" s="216"/>
      <c r="B681" s="255" t="s">
        <v>867</v>
      </c>
      <c r="C681" s="245" t="s">
        <v>120</v>
      </c>
      <c r="D681" s="227" t="s">
        <v>121</v>
      </c>
      <c r="E681" s="241"/>
      <c r="F681" s="228">
        <f t="shared" si="1458"/>
        <v>0.19167132064328818</v>
      </c>
      <c r="G681" s="269">
        <f>+F681*G673</f>
        <v>1.4060565658391137E-5</v>
      </c>
      <c r="H681" s="299"/>
      <c r="I681" s="299"/>
      <c r="J681" s="299"/>
      <c r="K681" s="299"/>
      <c r="L681" s="299"/>
      <c r="M681" s="299"/>
      <c r="N681" s="272">
        <v>0</v>
      </c>
      <c r="O681" s="272">
        <v>0</v>
      </c>
      <c r="P681" s="272">
        <v>0</v>
      </c>
      <c r="Q681" s="272">
        <v>0</v>
      </c>
      <c r="R681" s="372">
        <v>0</v>
      </c>
      <c r="S681" s="395">
        <v>0</v>
      </c>
      <c r="T681" s="272">
        <v>0</v>
      </c>
      <c r="U681" s="272">
        <v>0</v>
      </c>
      <c r="V681" s="272">
        <v>0</v>
      </c>
      <c r="W681" s="272">
        <v>0</v>
      </c>
      <c r="X681" s="272">
        <v>0</v>
      </c>
      <c r="Y681" s="272">
        <v>0</v>
      </c>
      <c r="Z681" s="272">
        <v>0</v>
      </c>
      <c r="AA681" s="272">
        <v>0</v>
      </c>
      <c r="AB681" s="272">
        <v>0</v>
      </c>
      <c r="AC681" s="272">
        <v>0</v>
      </c>
      <c r="AD681" s="396">
        <v>0</v>
      </c>
      <c r="AE681" s="396">
        <v>0</v>
      </c>
      <c r="AF681" s="396">
        <v>0</v>
      </c>
      <c r="AG681" s="396"/>
      <c r="AH681" s="396"/>
      <c r="AI681" s="396"/>
      <c r="AJ681" s="396"/>
      <c r="AK681" s="396"/>
      <c r="AL681" s="396"/>
      <c r="AM681" s="396"/>
      <c r="AN681" s="396"/>
      <c r="AO681" s="396"/>
      <c r="AP681" s="396"/>
    </row>
    <row r="682" spans="1:42" s="140" customFormat="1" ht="25.5" hidden="1" customHeight="1" outlineLevel="5">
      <c r="A682" s="216"/>
      <c r="B682" s="255" t="s">
        <v>868</v>
      </c>
      <c r="C682" s="245" t="s">
        <v>123</v>
      </c>
      <c r="D682" s="227" t="s">
        <v>124</v>
      </c>
      <c r="E682" s="241"/>
      <c r="F682" s="228">
        <f t="shared" si="1458"/>
        <v>5.2427274764052581E-3</v>
      </c>
      <c r="G682" s="269">
        <f>+F682*G673</f>
        <v>3.8459438617964532E-7</v>
      </c>
      <c r="H682" s="299"/>
      <c r="I682" s="299"/>
      <c r="J682" s="299"/>
      <c r="K682" s="299"/>
      <c r="L682" s="299"/>
      <c r="M682" s="299"/>
      <c r="N682" s="272"/>
      <c r="O682" s="272"/>
      <c r="P682" s="272"/>
      <c r="Q682" s="272"/>
      <c r="R682" s="372"/>
      <c r="S682" s="395"/>
      <c r="T682" s="272"/>
      <c r="U682" s="272"/>
      <c r="V682" s="272"/>
      <c r="W682" s="272"/>
      <c r="X682" s="272"/>
      <c r="Y682" s="272"/>
      <c r="Z682" s="272"/>
      <c r="AA682" s="272"/>
      <c r="AB682" s="272"/>
      <c r="AC682" s="272"/>
      <c r="AD682" s="396"/>
      <c r="AE682" s="396"/>
      <c r="AF682" s="396"/>
      <c r="AG682" s="396"/>
      <c r="AH682" s="396"/>
      <c r="AI682" s="396"/>
      <c r="AJ682" s="396"/>
      <c r="AK682" s="396"/>
      <c r="AL682" s="396"/>
      <c r="AM682" s="396"/>
      <c r="AN682" s="396"/>
      <c r="AO682" s="396"/>
      <c r="AP682" s="396"/>
    </row>
    <row r="683" spans="1:42" s="140" customFormat="1" ht="25.5" hidden="1" customHeight="1" outlineLevel="5">
      <c r="A683" s="216"/>
      <c r="B683" s="255" t="s">
        <v>869</v>
      </c>
      <c r="C683" s="245" t="s">
        <v>126</v>
      </c>
      <c r="D683" s="227" t="s">
        <v>127</v>
      </c>
      <c r="E683" s="241"/>
      <c r="F683" s="228">
        <f t="shared" si="1458"/>
        <v>0</v>
      </c>
      <c r="G683" s="269">
        <f>+F683*G673</f>
        <v>0</v>
      </c>
      <c r="H683" s="299"/>
      <c r="I683" s="299"/>
      <c r="J683" s="299"/>
      <c r="K683" s="299"/>
      <c r="L683" s="299"/>
      <c r="M683" s="299"/>
      <c r="N683" s="272"/>
      <c r="O683" s="272"/>
      <c r="P683" s="272"/>
      <c r="Q683" s="272"/>
      <c r="R683" s="372"/>
      <c r="S683" s="395"/>
      <c r="T683" s="272"/>
      <c r="U683" s="272"/>
      <c r="V683" s="272"/>
      <c r="W683" s="272"/>
      <c r="X683" s="272"/>
      <c r="Y683" s="272"/>
      <c r="Z683" s="272"/>
      <c r="AA683" s="272"/>
      <c r="AB683" s="272"/>
      <c r="AC683" s="272"/>
      <c r="AD683" s="396"/>
      <c r="AE683" s="396"/>
      <c r="AF683" s="396"/>
      <c r="AG683" s="396"/>
      <c r="AH683" s="396"/>
      <c r="AI683" s="396"/>
      <c r="AJ683" s="396"/>
      <c r="AK683" s="396"/>
      <c r="AL683" s="396"/>
      <c r="AM683" s="396"/>
      <c r="AN683" s="396"/>
      <c r="AO683" s="396"/>
      <c r="AP683" s="396"/>
    </row>
    <row r="684" spans="1:42" s="140" customFormat="1" ht="38.25" hidden="1" customHeight="1" outlineLevel="5">
      <c r="A684" s="216"/>
      <c r="B684" s="255" t="s">
        <v>870</v>
      </c>
      <c r="C684" s="245" t="s">
        <v>129</v>
      </c>
      <c r="D684" s="227" t="s">
        <v>130</v>
      </c>
      <c r="E684" s="241"/>
      <c r="F684" s="228">
        <f t="shared" si="1458"/>
        <v>2.2980292246743819E-2</v>
      </c>
      <c r="G684" s="269">
        <f>+F684*G673</f>
        <v>1.6857811951204547E-6</v>
      </c>
      <c r="H684" s="299"/>
      <c r="I684" s="299"/>
      <c r="J684" s="299"/>
      <c r="K684" s="299"/>
      <c r="L684" s="299"/>
      <c r="M684" s="299"/>
      <c r="N684" s="272"/>
      <c r="O684" s="272"/>
      <c r="P684" s="272"/>
      <c r="Q684" s="272"/>
      <c r="R684" s="372"/>
      <c r="S684" s="395"/>
      <c r="T684" s="272"/>
      <c r="U684" s="272"/>
      <c r="V684" s="272"/>
      <c r="W684" s="272"/>
      <c r="X684" s="272"/>
      <c r="Y684" s="272"/>
      <c r="Z684" s="272"/>
      <c r="AA684" s="272"/>
      <c r="AB684" s="272"/>
      <c r="AC684" s="272"/>
      <c r="AD684" s="396"/>
      <c r="AE684" s="396"/>
      <c r="AF684" s="396"/>
      <c r="AG684" s="396"/>
      <c r="AH684" s="396"/>
      <c r="AI684" s="396"/>
      <c r="AJ684" s="396"/>
      <c r="AK684" s="396"/>
      <c r="AL684" s="396"/>
      <c r="AM684" s="396"/>
      <c r="AN684" s="396"/>
      <c r="AO684" s="396"/>
      <c r="AP684" s="396"/>
    </row>
    <row r="685" spans="1:42" s="140" customFormat="1" ht="25.5" hidden="1" customHeight="1" outlineLevel="4">
      <c r="B685" s="301" t="s">
        <v>871</v>
      </c>
      <c r="C685" s="251"/>
      <c r="D685" s="236" t="s">
        <v>133</v>
      </c>
      <c r="E685" s="242"/>
      <c r="F685" s="232">
        <f t="shared" si="1458"/>
        <v>0.15364965195292599</v>
      </c>
      <c r="G685" s="232">
        <f>+F685*G672</f>
        <v>5.4590813207240517E-5</v>
      </c>
      <c r="H685" s="321"/>
      <c r="I685" s="321"/>
      <c r="J685" s="321"/>
      <c r="K685" s="321"/>
      <c r="L685" s="321"/>
      <c r="M685" s="321"/>
      <c r="N685" s="274">
        <f t="shared" ref="N685:R685" si="1485">+SUMPRODUCT($F686:$F692,N686:N692)</f>
        <v>0</v>
      </c>
      <c r="O685" s="274">
        <f t="shared" si="1485"/>
        <v>0</v>
      </c>
      <c r="P685" s="274">
        <f t="shared" si="1485"/>
        <v>0</v>
      </c>
      <c r="Q685" s="274">
        <f t="shared" si="1485"/>
        <v>0</v>
      </c>
      <c r="R685" s="375">
        <f t="shared" si="1485"/>
        <v>0</v>
      </c>
      <c r="S685" s="401">
        <f t="shared" ref="S685" si="1486">+SUMPRODUCT($F686:$F692,S686:S692)</f>
        <v>0</v>
      </c>
      <c r="T685" s="274">
        <f t="shared" ref="T685" si="1487">+SUMPRODUCT($F686:$F692,T686:T692)</f>
        <v>0</v>
      </c>
      <c r="U685" s="274">
        <f t="shared" ref="U685" si="1488">+SUMPRODUCT($F686:$F692,U686:U692)</f>
        <v>0</v>
      </c>
      <c r="V685" s="274">
        <f t="shared" ref="V685" si="1489">+SUMPRODUCT($F686:$F692,V686:V692)</f>
        <v>0</v>
      </c>
      <c r="W685" s="274">
        <f t="shared" ref="W685" si="1490">+SUMPRODUCT($F686:$F692,W686:W692)</f>
        <v>0</v>
      </c>
      <c r="X685" s="274">
        <f t="shared" ref="X685" si="1491">+SUMPRODUCT($F686:$F692,X686:X692)</f>
        <v>0</v>
      </c>
      <c r="Y685" s="274">
        <f t="shared" ref="Y685" si="1492">+SUMPRODUCT($F686:$F692,Y686:Y692)</f>
        <v>0</v>
      </c>
      <c r="Z685" s="274">
        <f t="shared" ref="Z685" si="1493">+SUMPRODUCT($F686:$F692,Z686:Z692)</f>
        <v>0</v>
      </c>
      <c r="AA685" s="274">
        <f t="shared" ref="AA685" si="1494">+SUMPRODUCT($F686:$F692,AA686:AA692)</f>
        <v>0</v>
      </c>
      <c r="AB685" s="274">
        <f t="shared" ref="AB685" si="1495">+SUMPRODUCT($F686:$F692,AB686:AB692)</f>
        <v>0</v>
      </c>
      <c r="AC685" s="274">
        <f t="shared" ref="AC685" si="1496">+SUMPRODUCT($F686:$F692,AC686:AC692)</f>
        <v>0</v>
      </c>
      <c r="AD685" s="402">
        <f t="shared" ref="AD685:AF685" si="1497">+SUMPRODUCT($F686:$F692,AD686:AD692)</f>
        <v>0</v>
      </c>
      <c r="AE685" s="402">
        <f t="shared" si="1497"/>
        <v>0</v>
      </c>
      <c r="AF685" s="402">
        <f t="shared" si="1497"/>
        <v>0</v>
      </c>
      <c r="AG685" s="402"/>
      <c r="AH685" s="402"/>
      <c r="AI685" s="402"/>
      <c r="AJ685" s="402"/>
      <c r="AK685" s="402"/>
      <c r="AL685" s="402"/>
      <c r="AM685" s="402"/>
      <c r="AN685" s="402"/>
      <c r="AO685" s="402"/>
      <c r="AP685" s="402"/>
    </row>
    <row r="686" spans="1:42" s="140" customFormat="1" ht="25.5" hidden="1" customHeight="1" outlineLevel="5">
      <c r="A686" s="216"/>
      <c r="B686" s="255" t="s">
        <v>872</v>
      </c>
      <c r="C686" s="245" t="s">
        <v>135</v>
      </c>
      <c r="D686" s="227" t="s">
        <v>136</v>
      </c>
      <c r="E686" s="241"/>
      <c r="F686" s="228">
        <f t="shared" si="1458"/>
        <v>7.1676986389805894E-2</v>
      </c>
      <c r="G686" s="269">
        <f>+F686*G685</f>
        <v>3.9129049752638145E-6</v>
      </c>
      <c r="H686" s="299"/>
      <c r="I686" s="299"/>
      <c r="J686" s="299"/>
      <c r="K686" s="299"/>
      <c r="L686" s="299"/>
      <c r="M686" s="299"/>
      <c r="N686" s="272">
        <v>0</v>
      </c>
      <c r="O686" s="272">
        <v>0</v>
      </c>
      <c r="P686" s="272">
        <v>0</v>
      </c>
      <c r="Q686" s="272">
        <v>0</v>
      </c>
      <c r="R686" s="372">
        <v>0</v>
      </c>
      <c r="S686" s="395">
        <v>0</v>
      </c>
      <c r="T686" s="272">
        <v>0</v>
      </c>
      <c r="U686" s="272">
        <v>0</v>
      </c>
      <c r="V686" s="272">
        <v>0</v>
      </c>
      <c r="W686" s="272">
        <v>0</v>
      </c>
      <c r="X686" s="272">
        <v>0</v>
      </c>
      <c r="Y686" s="272">
        <v>0</v>
      </c>
      <c r="Z686" s="272">
        <v>0</v>
      </c>
      <c r="AA686" s="272">
        <v>0</v>
      </c>
      <c r="AB686" s="272">
        <v>0</v>
      </c>
      <c r="AC686" s="272">
        <v>0</v>
      </c>
      <c r="AD686" s="396">
        <v>0</v>
      </c>
      <c r="AE686" s="396">
        <v>0</v>
      </c>
      <c r="AF686" s="396">
        <v>0</v>
      </c>
      <c r="AG686" s="396"/>
      <c r="AH686" s="396"/>
      <c r="AI686" s="396"/>
      <c r="AJ686" s="396"/>
      <c r="AK686" s="396"/>
      <c r="AL686" s="396"/>
      <c r="AM686" s="396"/>
      <c r="AN686" s="396"/>
      <c r="AO686" s="396"/>
      <c r="AP686" s="396"/>
    </row>
    <row r="687" spans="1:42" s="140" customFormat="1" ht="25.5" hidden="1" customHeight="1" outlineLevel="5">
      <c r="A687" s="216"/>
      <c r="B687" s="255" t="s">
        <v>873</v>
      </c>
      <c r="C687" s="245" t="s">
        <v>138</v>
      </c>
      <c r="D687" s="227" t="s">
        <v>139</v>
      </c>
      <c r="E687" s="241"/>
      <c r="F687" s="228">
        <f t="shared" si="1458"/>
        <v>0.15362856123913068</v>
      </c>
      <c r="G687" s="269">
        <f>+F687*G685</f>
        <v>8.3867080899024938E-6</v>
      </c>
      <c r="H687" s="299"/>
      <c r="I687" s="299"/>
      <c r="J687" s="299"/>
      <c r="K687" s="299"/>
      <c r="L687" s="299"/>
      <c r="M687" s="299"/>
      <c r="N687" s="272">
        <v>0</v>
      </c>
      <c r="O687" s="272">
        <v>0</v>
      </c>
      <c r="P687" s="272">
        <v>0</v>
      </c>
      <c r="Q687" s="272">
        <v>0</v>
      </c>
      <c r="R687" s="372">
        <v>0</v>
      </c>
      <c r="S687" s="395">
        <v>0</v>
      </c>
      <c r="T687" s="272">
        <v>0</v>
      </c>
      <c r="U687" s="272">
        <v>0</v>
      </c>
      <c r="V687" s="272">
        <v>0</v>
      </c>
      <c r="W687" s="272">
        <v>0</v>
      </c>
      <c r="X687" s="272">
        <v>0</v>
      </c>
      <c r="Y687" s="272">
        <v>0</v>
      </c>
      <c r="Z687" s="272">
        <v>0</v>
      </c>
      <c r="AA687" s="272">
        <v>0</v>
      </c>
      <c r="AB687" s="272">
        <v>0</v>
      </c>
      <c r="AC687" s="272">
        <v>0</v>
      </c>
      <c r="AD687" s="396">
        <v>0</v>
      </c>
      <c r="AE687" s="396">
        <v>0</v>
      </c>
      <c r="AF687" s="396">
        <v>0</v>
      </c>
      <c r="AG687" s="396"/>
      <c r="AH687" s="396"/>
      <c r="AI687" s="396"/>
      <c r="AJ687" s="396"/>
      <c r="AK687" s="396"/>
      <c r="AL687" s="396"/>
      <c r="AM687" s="396"/>
      <c r="AN687" s="396"/>
      <c r="AO687" s="396"/>
      <c r="AP687" s="396"/>
    </row>
    <row r="688" spans="1:42" s="140" customFormat="1" ht="25.5" hidden="1" customHeight="1" outlineLevel="5">
      <c r="A688" s="216"/>
      <c r="B688" s="255" t="s">
        <v>874</v>
      </c>
      <c r="C688" s="245" t="s">
        <v>141</v>
      </c>
      <c r="D688" s="227" t="s">
        <v>142</v>
      </c>
      <c r="E688" s="241"/>
      <c r="F688" s="228">
        <f t="shared" si="1458"/>
        <v>0.20080921506999638</v>
      </c>
      <c r="G688" s="269">
        <f>+F688*G685</f>
        <v>1.0962338350178759E-5</v>
      </c>
      <c r="H688" s="299"/>
      <c r="I688" s="299"/>
      <c r="J688" s="299"/>
      <c r="K688" s="299"/>
      <c r="L688" s="299"/>
      <c r="M688" s="299"/>
      <c r="N688" s="272">
        <v>0</v>
      </c>
      <c r="O688" s="272">
        <v>0</v>
      </c>
      <c r="P688" s="272">
        <v>0</v>
      </c>
      <c r="Q688" s="272">
        <v>0</v>
      </c>
      <c r="R688" s="372">
        <v>0</v>
      </c>
      <c r="S688" s="395">
        <v>0</v>
      </c>
      <c r="T688" s="272">
        <v>0</v>
      </c>
      <c r="U688" s="272">
        <v>0</v>
      </c>
      <c r="V688" s="272">
        <v>0</v>
      </c>
      <c r="W688" s="272">
        <v>0</v>
      </c>
      <c r="X688" s="272">
        <v>0</v>
      </c>
      <c r="Y688" s="272">
        <v>0</v>
      </c>
      <c r="Z688" s="272">
        <v>0</v>
      </c>
      <c r="AA688" s="272">
        <v>0</v>
      </c>
      <c r="AB688" s="272">
        <v>0</v>
      </c>
      <c r="AC688" s="272">
        <v>0</v>
      </c>
      <c r="AD688" s="396">
        <v>0</v>
      </c>
      <c r="AE688" s="396">
        <v>0</v>
      </c>
      <c r="AF688" s="396">
        <v>0</v>
      </c>
      <c r="AG688" s="396"/>
      <c r="AH688" s="396"/>
      <c r="AI688" s="396"/>
      <c r="AJ688" s="396"/>
      <c r="AK688" s="396"/>
      <c r="AL688" s="396"/>
      <c r="AM688" s="396"/>
      <c r="AN688" s="396"/>
      <c r="AO688" s="396"/>
      <c r="AP688" s="396"/>
    </row>
    <row r="689" spans="1:42" s="140" customFormat="1" ht="25.5" hidden="1" customHeight="1" outlineLevel="5">
      <c r="A689" s="216"/>
      <c r="B689" s="255" t="s">
        <v>875</v>
      </c>
      <c r="C689" s="245" t="s">
        <v>144</v>
      </c>
      <c r="D689" s="227" t="s">
        <v>145</v>
      </c>
      <c r="E689" s="241"/>
      <c r="F689" s="228">
        <f t="shared" si="1458"/>
        <v>0.2365874770023029</v>
      </c>
      <c r="G689" s="269">
        <f>+F689*G685</f>
        <v>1.291550276420503E-5</v>
      </c>
      <c r="H689" s="299"/>
      <c r="I689" s="299"/>
      <c r="J689" s="299"/>
      <c r="K689" s="299"/>
      <c r="L689" s="299"/>
      <c r="M689" s="299"/>
      <c r="N689" s="272">
        <v>0</v>
      </c>
      <c r="O689" s="272">
        <v>0</v>
      </c>
      <c r="P689" s="272">
        <v>0</v>
      </c>
      <c r="Q689" s="272">
        <v>0</v>
      </c>
      <c r="R689" s="372">
        <v>0</v>
      </c>
      <c r="S689" s="395">
        <v>0</v>
      </c>
      <c r="T689" s="272">
        <v>0</v>
      </c>
      <c r="U689" s="272">
        <v>0</v>
      </c>
      <c r="V689" s="272">
        <v>0</v>
      </c>
      <c r="W689" s="272">
        <v>0</v>
      </c>
      <c r="X689" s="272">
        <v>0</v>
      </c>
      <c r="Y689" s="272">
        <v>0</v>
      </c>
      <c r="Z689" s="272">
        <v>0</v>
      </c>
      <c r="AA689" s="272">
        <v>0</v>
      </c>
      <c r="AB689" s="272">
        <v>0</v>
      </c>
      <c r="AC689" s="272">
        <v>0</v>
      </c>
      <c r="AD689" s="396">
        <v>0</v>
      </c>
      <c r="AE689" s="396">
        <v>0</v>
      </c>
      <c r="AF689" s="396">
        <v>0</v>
      </c>
      <c r="AG689" s="396"/>
      <c r="AH689" s="396"/>
      <c r="AI689" s="396"/>
      <c r="AJ689" s="396"/>
      <c r="AK689" s="396"/>
      <c r="AL689" s="396"/>
      <c r="AM689" s="396"/>
      <c r="AN689" s="396"/>
      <c r="AO689" s="396"/>
      <c r="AP689" s="396"/>
    </row>
    <row r="690" spans="1:42" s="140" customFormat="1" ht="12.75" hidden="1" customHeight="1" outlineLevel="5">
      <c r="A690" s="216"/>
      <c r="B690" s="255" t="s">
        <v>876</v>
      </c>
      <c r="C690" s="245" t="s">
        <v>147</v>
      </c>
      <c r="D690" s="227" t="s">
        <v>148</v>
      </c>
      <c r="E690" s="241"/>
      <c r="F690" s="228">
        <f t="shared" si="1458"/>
        <v>0.13605594911200233</v>
      </c>
      <c r="G690" s="269">
        <f>+F690*G685</f>
        <v>7.4274049037071403E-6</v>
      </c>
      <c r="H690" s="299"/>
      <c r="I690" s="299"/>
      <c r="J690" s="299"/>
      <c r="K690" s="299"/>
      <c r="L690" s="299"/>
      <c r="M690" s="299"/>
      <c r="N690" s="272">
        <v>0</v>
      </c>
      <c r="O690" s="272">
        <v>0</v>
      </c>
      <c r="P690" s="272">
        <v>0</v>
      </c>
      <c r="Q690" s="272">
        <v>0</v>
      </c>
      <c r="R690" s="372">
        <v>0</v>
      </c>
      <c r="S690" s="395">
        <v>0</v>
      </c>
      <c r="T690" s="272">
        <v>0</v>
      </c>
      <c r="U690" s="272">
        <v>0</v>
      </c>
      <c r="V690" s="272">
        <v>0</v>
      </c>
      <c r="W690" s="272">
        <v>0</v>
      </c>
      <c r="X690" s="272">
        <v>0</v>
      </c>
      <c r="Y690" s="272">
        <v>0</v>
      </c>
      <c r="Z690" s="272">
        <v>0</v>
      </c>
      <c r="AA690" s="272">
        <v>0</v>
      </c>
      <c r="AB690" s="272">
        <v>0</v>
      </c>
      <c r="AC690" s="272">
        <v>0</v>
      </c>
      <c r="AD690" s="396">
        <v>0</v>
      </c>
      <c r="AE690" s="396">
        <v>0</v>
      </c>
      <c r="AF690" s="396">
        <v>0</v>
      </c>
      <c r="AG690" s="396"/>
      <c r="AH690" s="396"/>
      <c r="AI690" s="396"/>
      <c r="AJ690" s="396"/>
      <c r="AK690" s="396"/>
      <c r="AL690" s="396"/>
      <c r="AM690" s="396"/>
      <c r="AN690" s="396"/>
      <c r="AO690" s="396"/>
      <c r="AP690" s="396"/>
    </row>
    <row r="691" spans="1:42" s="140" customFormat="1" ht="12.75" hidden="1" customHeight="1" outlineLevel="5">
      <c r="A691" s="216"/>
      <c r="B691" s="255" t="s">
        <v>877</v>
      </c>
      <c r="C691" s="245" t="s">
        <v>150</v>
      </c>
      <c r="D691" s="227" t="s">
        <v>151</v>
      </c>
      <c r="E691" s="241"/>
      <c r="F691" s="228">
        <f t="shared" si="1458"/>
        <v>0.10923085522251913</v>
      </c>
      <c r="G691" s="269">
        <f>+F691*G685</f>
        <v>5.963001213919674E-6</v>
      </c>
      <c r="H691" s="299"/>
      <c r="I691" s="299"/>
      <c r="J691" s="299"/>
      <c r="K691" s="299"/>
      <c r="L691" s="299"/>
      <c r="M691" s="299"/>
      <c r="N691" s="272"/>
      <c r="O691" s="272"/>
      <c r="P691" s="272"/>
      <c r="Q691" s="272"/>
      <c r="R691" s="372"/>
      <c r="S691" s="395"/>
      <c r="T691" s="272"/>
      <c r="U691" s="272"/>
      <c r="V691" s="272"/>
      <c r="W691" s="272"/>
      <c r="X691" s="272"/>
      <c r="Y691" s="272"/>
      <c r="Z691" s="272"/>
      <c r="AA691" s="272"/>
      <c r="AB691" s="272"/>
      <c r="AC691" s="272"/>
      <c r="AD691" s="396"/>
      <c r="AE691" s="396"/>
      <c r="AF691" s="396"/>
      <c r="AG691" s="396"/>
      <c r="AH691" s="396"/>
      <c r="AI691" s="396"/>
      <c r="AJ691" s="396"/>
      <c r="AK691" s="396"/>
      <c r="AL691" s="396"/>
      <c r="AM691" s="396"/>
      <c r="AN691" s="396"/>
      <c r="AO691" s="396"/>
      <c r="AP691" s="396"/>
    </row>
    <row r="692" spans="1:42" s="140" customFormat="1" ht="25.5" hidden="1" customHeight="1" outlineLevel="5">
      <c r="A692" s="216"/>
      <c r="B692" s="255" t="s">
        <v>878</v>
      </c>
      <c r="C692" s="245" t="s">
        <v>153</v>
      </c>
      <c r="D692" s="227" t="s">
        <v>154</v>
      </c>
      <c r="E692" s="241"/>
      <c r="F692" s="228">
        <f t="shared" si="1458"/>
        <v>9.2010955964242705E-2</v>
      </c>
      <c r="G692" s="269">
        <f>+F692*G685</f>
        <v>5.0229529100636059E-6</v>
      </c>
      <c r="H692" s="299"/>
      <c r="I692" s="299"/>
      <c r="J692" s="299"/>
      <c r="K692" s="299"/>
      <c r="L692" s="299"/>
      <c r="M692" s="299"/>
      <c r="N692" s="272">
        <v>0</v>
      </c>
      <c r="O692" s="272">
        <v>0</v>
      </c>
      <c r="P692" s="272">
        <v>0</v>
      </c>
      <c r="Q692" s="272">
        <v>0</v>
      </c>
      <c r="R692" s="372">
        <v>0</v>
      </c>
      <c r="S692" s="395">
        <v>0</v>
      </c>
      <c r="T692" s="272">
        <v>0</v>
      </c>
      <c r="U692" s="272">
        <v>0</v>
      </c>
      <c r="V692" s="272">
        <v>0</v>
      </c>
      <c r="W692" s="272">
        <v>0</v>
      </c>
      <c r="X692" s="272">
        <v>0</v>
      </c>
      <c r="Y692" s="272">
        <v>0</v>
      </c>
      <c r="Z692" s="272">
        <v>0</v>
      </c>
      <c r="AA692" s="272">
        <v>0</v>
      </c>
      <c r="AB692" s="272">
        <v>0</v>
      </c>
      <c r="AC692" s="272">
        <v>0</v>
      </c>
      <c r="AD692" s="396">
        <v>0</v>
      </c>
      <c r="AE692" s="396">
        <v>0</v>
      </c>
      <c r="AF692" s="396">
        <v>0</v>
      </c>
      <c r="AG692" s="396"/>
      <c r="AH692" s="396"/>
      <c r="AI692" s="396"/>
      <c r="AJ692" s="396"/>
      <c r="AK692" s="396"/>
      <c r="AL692" s="396"/>
      <c r="AM692" s="396"/>
      <c r="AN692" s="396"/>
      <c r="AO692" s="396"/>
      <c r="AP692" s="396"/>
    </row>
    <row r="693" spans="1:42" s="140" customFormat="1" ht="25.5" hidden="1" customHeight="1" outlineLevel="3">
      <c r="B693" s="301" t="s">
        <v>879</v>
      </c>
      <c r="C693" s="251"/>
      <c r="D693" s="236" t="s">
        <v>157</v>
      </c>
      <c r="E693" s="242"/>
      <c r="F693" s="232">
        <f t="shared" si="1458"/>
        <v>0.15245155571846505</v>
      </c>
      <c r="G693" s="232">
        <f>+F693*G672</f>
        <v>5.4165136696370234E-5</v>
      </c>
      <c r="H693" s="321"/>
      <c r="I693" s="321"/>
      <c r="J693" s="321"/>
      <c r="K693" s="321"/>
      <c r="L693" s="321"/>
      <c r="M693" s="321"/>
      <c r="N693" s="274">
        <f t="shared" ref="N693:R693" si="1498">+SUMPRODUCT($F694:$F698,N694:N698)</f>
        <v>0</v>
      </c>
      <c r="O693" s="274">
        <f t="shared" si="1498"/>
        <v>0</v>
      </c>
      <c r="P693" s="274">
        <f t="shared" si="1498"/>
        <v>0</v>
      </c>
      <c r="Q693" s="274">
        <f t="shared" si="1498"/>
        <v>0</v>
      </c>
      <c r="R693" s="375">
        <f t="shared" si="1498"/>
        <v>0</v>
      </c>
      <c r="S693" s="401">
        <f t="shared" ref="S693" si="1499">+SUMPRODUCT($F694:$F698,S694:S698)</f>
        <v>0</v>
      </c>
      <c r="T693" s="274">
        <f t="shared" ref="T693" si="1500">+SUMPRODUCT($F694:$F698,T694:T698)</f>
        <v>0</v>
      </c>
      <c r="U693" s="274">
        <f t="shared" ref="U693" si="1501">+SUMPRODUCT($F694:$F698,U694:U698)</f>
        <v>0</v>
      </c>
      <c r="V693" s="274">
        <f t="shared" ref="V693" si="1502">+SUMPRODUCT($F694:$F698,V694:V698)</f>
        <v>0</v>
      </c>
      <c r="W693" s="274">
        <f t="shared" ref="W693" si="1503">+SUMPRODUCT($F694:$F698,W694:W698)</f>
        <v>0</v>
      </c>
      <c r="X693" s="274">
        <f t="shared" ref="X693" si="1504">+SUMPRODUCT($F694:$F698,X694:X698)</f>
        <v>0</v>
      </c>
      <c r="Y693" s="274">
        <f t="shared" ref="Y693" si="1505">+SUMPRODUCT($F694:$F698,Y694:Y698)</f>
        <v>0</v>
      </c>
      <c r="Z693" s="274">
        <f t="shared" ref="Z693" si="1506">+SUMPRODUCT($F694:$F698,Z694:Z698)</f>
        <v>0</v>
      </c>
      <c r="AA693" s="274">
        <f t="shared" ref="AA693" si="1507">+SUMPRODUCT($F694:$F698,AA694:AA698)</f>
        <v>0</v>
      </c>
      <c r="AB693" s="274">
        <f t="shared" ref="AB693" si="1508">+SUMPRODUCT($F694:$F698,AB694:AB698)</f>
        <v>0</v>
      </c>
      <c r="AC693" s="274">
        <f t="shared" ref="AC693" si="1509">+SUMPRODUCT($F694:$F698,AC694:AC698)</f>
        <v>0</v>
      </c>
      <c r="AD693" s="402">
        <f t="shared" ref="AD693:AF693" si="1510">+SUMPRODUCT($F694:$F698,AD694:AD698)</f>
        <v>0</v>
      </c>
      <c r="AE693" s="402">
        <f t="shared" si="1510"/>
        <v>0</v>
      </c>
      <c r="AF693" s="402">
        <f t="shared" si="1510"/>
        <v>0</v>
      </c>
      <c r="AG693" s="402"/>
      <c r="AH693" s="402"/>
      <c r="AI693" s="402"/>
      <c r="AJ693" s="402"/>
      <c r="AK693" s="402"/>
      <c r="AL693" s="402"/>
      <c r="AM693" s="402"/>
      <c r="AN693" s="402"/>
      <c r="AO693" s="402"/>
      <c r="AP693" s="402"/>
    </row>
    <row r="694" spans="1:42" s="140" customFormat="1" ht="12.75" hidden="1" customHeight="1" outlineLevel="4">
      <c r="A694" s="216"/>
      <c r="B694" s="255" t="s">
        <v>880</v>
      </c>
      <c r="C694" s="245" t="s">
        <v>181</v>
      </c>
      <c r="D694" s="227" t="s">
        <v>182</v>
      </c>
      <c r="E694" s="241"/>
      <c r="F694" s="228">
        <f t="shared" si="1458"/>
        <v>0.81307686435397697</v>
      </c>
      <c r="G694" s="269">
        <f>+F694*G693</f>
        <v>4.4040419502389239E-5</v>
      </c>
      <c r="H694" s="299"/>
      <c r="I694" s="299"/>
      <c r="J694" s="299"/>
      <c r="K694" s="299"/>
      <c r="L694" s="299"/>
      <c r="M694" s="299"/>
      <c r="N694" s="272">
        <v>0</v>
      </c>
      <c r="O694" s="272">
        <v>0</v>
      </c>
      <c r="P694" s="272">
        <v>0</v>
      </c>
      <c r="Q694" s="272">
        <v>0</v>
      </c>
      <c r="R694" s="372">
        <v>0</v>
      </c>
      <c r="S694" s="395">
        <v>0</v>
      </c>
      <c r="T694" s="272">
        <v>0</v>
      </c>
      <c r="U694" s="272">
        <v>0</v>
      </c>
      <c r="V694" s="272">
        <v>0</v>
      </c>
      <c r="W694" s="272">
        <v>0</v>
      </c>
      <c r="X694" s="272">
        <v>0</v>
      </c>
      <c r="Y694" s="272">
        <v>0</v>
      </c>
      <c r="Z694" s="272">
        <v>0</v>
      </c>
      <c r="AA694" s="272">
        <v>0</v>
      </c>
      <c r="AB694" s="272">
        <v>0</v>
      </c>
      <c r="AC694" s="272">
        <v>0</v>
      </c>
      <c r="AD694" s="396">
        <v>0</v>
      </c>
      <c r="AE694" s="396">
        <v>0</v>
      </c>
      <c r="AF694" s="396">
        <v>0</v>
      </c>
      <c r="AG694" s="396"/>
      <c r="AH694" s="396"/>
      <c r="AI694" s="396"/>
      <c r="AJ694" s="396"/>
      <c r="AK694" s="396"/>
      <c r="AL694" s="396"/>
      <c r="AM694" s="396"/>
      <c r="AN694" s="396"/>
      <c r="AO694" s="396"/>
      <c r="AP694" s="396"/>
    </row>
    <row r="695" spans="1:42" s="140" customFormat="1" ht="12.75" hidden="1" customHeight="1" outlineLevel="4">
      <c r="A695" s="216"/>
      <c r="B695" s="255" t="s">
        <v>881</v>
      </c>
      <c r="C695" s="245" t="s">
        <v>159</v>
      </c>
      <c r="D695" s="227" t="s">
        <v>160</v>
      </c>
      <c r="E695" s="241"/>
      <c r="F695" s="228">
        <f t="shared" si="1458"/>
        <v>9.3460693266385869E-2</v>
      </c>
      <c r="G695" s="269">
        <f>+F695*G693</f>
        <v>5.0623112265113196E-6</v>
      </c>
      <c r="H695" s="299"/>
      <c r="I695" s="299"/>
      <c r="J695" s="299"/>
      <c r="K695" s="299"/>
      <c r="L695" s="299"/>
      <c r="M695" s="299"/>
      <c r="N695" s="272">
        <v>0</v>
      </c>
      <c r="O695" s="272">
        <v>0</v>
      </c>
      <c r="P695" s="272">
        <v>0</v>
      </c>
      <c r="Q695" s="272">
        <v>0</v>
      </c>
      <c r="R695" s="372">
        <v>0</v>
      </c>
      <c r="S695" s="395">
        <v>0</v>
      </c>
      <c r="T695" s="272">
        <v>0</v>
      </c>
      <c r="U695" s="272">
        <v>0</v>
      </c>
      <c r="V695" s="272">
        <v>0</v>
      </c>
      <c r="W695" s="272">
        <v>0</v>
      </c>
      <c r="X695" s="272">
        <v>0</v>
      </c>
      <c r="Y695" s="272">
        <v>0</v>
      </c>
      <c r="Z695" s="272">
        <v>0</v>
      </c>
      <c r="AA695" s="272">
        <v>0</v>
      </c>
      <c r="AB695" s="272">
        <v>0</v>
      </c>
      <c r="AC695" s="272">
        <v>0</v>
      </c>
      <c r="AD695" s="396">
        <v>0</v>
      </c>
      <c r="AE695" s="396">
        <v>0</v>
      </c>
      <c r="AF695" s="396">
        <v>0</v>
      </c>
      <c r="AG695" s="396"/>
      <c r="AH695" s="396"/>
      <c r="AI695" s="396"/>
      <c r="AJ695" s="396"/>
      <c r="AK695" s="396"/>
      <c r="AL695" s="396"/>
      <c r="AM695" s="396"/>
      <c r="AN695" s="396"/>
      <c r="AO695" s="396"/>
      <c r="AP695" s="396"/>
    </row>
    <row r="696" spans="1:42" s="140" customFormat="1" ht="25.5" hidden="1" customHeight="1" outlineLevel="4">
      <c r="A696" s="216"/>
      <c r="B696" s="255" t="s">
        <v>882</v>
      </c>
      <c r="C696" s="245" t="s">
        <v>162</v>
      </c>
      <c r="D696" s="227" t="s">
        <v>163</v>
      </c>
      <c r="E696" s="241"/>
      <c r="F696" s="228">
        <f t="shared" si="1458"/>
        <v>3.036845712708507E-2</v>
      </c>
      <c r="G696" s="269">
        <f>+F696*G693</f>
        <v>1.6449116315464217E-6</v>
      </c>
      <c r="H696" s="299"/>
      <c r="I696" s="299"/>
      <c r="J696" s="299"/>
      <c r="K696" s="299"/>
      <c r="L696" s="299"/>
      <c r="M696" s="299"/>
      <c r="N696" s="272">
        <v>0</v>
      </c>
      <c r="O696" s="272">
        <v>0</v>
      </c>
      <c r="P696" s="272">
        <v>0</v>
      </c>
      <c r="Q696" s="272">
        <v>0</v>
      </c>
      <c r="R696" s="372">
        <v>0</v>
      </c>
      <c r="S696" s="395">
        <v>0</v>
      </c>
      <c r="T696" s="272">
        <v>0</v>
      </c>
      <c r="U696" s="272">
        <v>0</v>
      </c>
      <c r="V696" s="272">
        <v>0</v>
      </c>
      <c r="W696" s="272">
        <v>0</v>
      </c>
      <c r="X696" s="272">
        <v>0</v>
      </c>
      <c r="Y696" s="272">
        <v>0</v>
      </c>
      <c r="Z696" s="272">
        <v>0</v>
      </c>
      <c r="AA696" s="272">
        <v>0</v>
      </c>
      <c r="AB696" s="272">
        <v>0</v>
      </c>
      <c r="AC696" s="272">
        <v>0</v>
      </c>
      <c r="AD696" s="396">
        <v>0</v>
      </c>
      <c r="AE696" s="396">
        <v>0</v>
      </c>
      <c r="AF696" s="396">
        <v>0</v>
      </c>
      <c r="AG696" s="396"/>
      <c r="AH696" s="396"/>
      <c r="AI696" s="396"/>
      <c r="AJ696" s="396"/>
      <c r="AK696" s="396"/>
      <c r="AL696" s="396"/>
      <c r="AM696" s="396"/>
      <c r="AN696" s="396"/>
      <c r="AO696" s="396"/>
      <c r="AP696" s="396"/>
    </row>
    <row r="697" spans="1:42" s="140" customFormat="1" ht="12.75" hidden="1" customHeight="1" outlineLevel="4">
      <c r="A697" s="216"/>
      <c r="B697" s="255" t="s">
        <v>883</v>
      </c>
      <c r="C697" s="245" t="s">
        <v>165</v>
      </c>
      <c r="D697" s="227" t="s">
        <v>166</v>
      </c>
      <c r="E697" s="241"/>
      <c r="F697" s="228">
        <f t="shared" si="1458"/>
        <v>3.6002086533741685E-2</v>
      </c>
      <c r="G697" s="269">
        <f>+F697*G693</f>
        <v>1.9500579384546685E-6</v>
      </c>
      <c r="H697" s="299"/>
      <c r="I697" s="299"/>
      <c r="J697" s="299"/>
      <c r="K697" s="299"/>
      <c r="L697" s="299"/>
      <c r="M697" s="299"/>
      <c r="N697" s="272">
        <v>0</v>
      </c>
      <c r="O697" s="272">
        <v>0</v>
      </c>
      <c r="P697" s="272">
        <v>0</v>
      </c>
      <c r="Q697" s="272">
        <v>0</v>
      </c>
      <c r="R697" s="372">
        <v>0</v>
      </c>
      <c r="S697" s="395">
        <v>0</v>
      </c>
      <c r="T697" s="272">
        <v>0</v>
      </c>
      <c r="U697" s="272">
        <v>0</v>
      </c>
      <c r="V697" s="272">
        <v>0</v>
      </c>
      <c r="W697" s="272">
        <v>0</v>
      </c>
      <c r="X697" s="272">
        <v>0</v>
      </c>
      <c r="Y697" s="272">
        <v>0</v>
      </c>
      <c r="Z697" s="272">
        <v>0</v>
      </c>
      <c r="AA697" s="272">
        <v>0</v>
      </c>
      <c r="AB697" s="272">
        <v>0</v>
      </c>
      <c r="AC697" s="272">
        <v>0</v>
      </c>
      <c r="AD697" s="396">
        <v>0</v>
      </c>
      <c r="AE697" s="396">
        <v>0</v>
      </c>
      <c r="AF697" s="396">
        <v>0</v>
      </c>
      <c r="AG697" s="396"/>
      <c r="AH697" s="396"/>
      <c r="AI697" s="396"/>
      <c r="AJ697" s="396"/>
      <c r="AK697" s="396"/>
      <c r="AL697" s="396"/>
      <c r="AM697" s="396"/>
      <c r="AN697" s="396"/>
      <c r="AO697" s="396"/>
      <c r="AP697" s="396"/>
    </row>
    <row r="698" spans="1:42" s="140" customFormat="1" ht="12.75" hidden="1" customHeight="1" outlineLevel="4">
      <c r="A698" s="216"/>
      <c r="B698" s="255" t="s">
        <v>884</v>
      </c>
      <c r="C698" s="245" t="s">
        <v>168</v>
      </c>
      <c r="D698" s="227" t="s">
        <v>169</v>
      </c>
      <c r="E698" s="241"/>
      <c r="F698" s="228">
        <f t="shared" si="1458"/>
        <v>2.7091898718810414E-2</v>
      </c>
      <c r="G698" s="269">
        <f>+F698*G693</f>
        <v>1.4674363974685836E-6</v>
      </c>
      <c r="H698" s="299"/>
      <c r="I698" s="299"/>
      <c r="J698" s="299"/>
      <c r="K698" s="299"/>
      <c r="L698" s="299"/>
      <c r="M698" s="299"/>
      <c r="N698" s="272">
        <v>0</v>
      </c>
      <c r="O698" s="272">
        <v>0</v>
      </c>
      <c r="P698" s="272">
        <v>0</v>
      </c>
      <c r="Q698" s="272">
        <v>0</v>
      </c>
      <c r="R698" s="372">
        <v>0</v>
      </c>
      <c r="S698" s="395">
        <v>0</v>
      </c>
      <c r="T698" s="272">
        <v>0</v>
      </c>
      <c r="U698" s="272">
        <v>0</v>
      </c>
      <c r="V698" s="272">
        <v>0</v>
      </c>
      <c r="W698" s="272">
        <v>0</v>
      </c>
      <c r="X698" s="272">
        <v>0</v>
      </c>
      <c r="Y698" s="272">
        <v>0</v>
      </c>
      <c r="Z698" s="272">
        <v>0</v>
      </c>
      <c r="AA698" s="272">
        <v>0</v>
      </c>
      <c r="AB698" s="272">
        <v>0</v>
      </c>
      <c r="AC698" s="272">
        <v>0</v>
      </c>
      <c r="AD698" s="396">
        <v>0</v>
      </c>
      <c r="AE698" s="396">
        <v>0</v>
      </c>
      <c r="AF698" s="396">
        <v>0</v>
      </c>
      <c r="AG698" s="396"/>
      <c r="AH698" s="396"/>
      <c r="AI698" s="396"/>
      <c r="AJ698" s="396"/>
      <c r="AK698" s="396"/>
      <c r="AL698" s="396"/>
      <c r="AM698" s="396"/>
      <c r="AN698" s="396"/>
      <c r="AO698" s="396"/>
      <c r="AP698" s="396"/>
    </row>
    <row r="699" spans="1:42" s="140" customFormat="1" ht="25.5" hidden="1" customHeight="1" outlineLevel="3">
      <c r="B699" s="301" t="s">
        <v>885</v>
      </c>
      <c r="C699" s="251"/>
      <c r="D699" s="236" t="s">
        <v>173</v>
      </c>
      <c r="E699" s="242"/>
      <c r="F699" s="232">
        <f t="shared" si="1458"/>
        <v>0.30792579068332282</v>
      </c>
      <c r="G699" s="232">
        <f>+F699*G672</f>
        <v>1.09404213463726E-4</v>
      </c>
      <c r="H699" s="321"/>
      <c r="I699" s="321"/>
      <c r="J699" s="321"/>
      <c r="K699" s="321"/>
      <c r="L699" s="321"/>
      <c r="M699" s="321"/>
      <c r="N699" s="274">
        <f t="shared" ref="N699:R699" si="1511">+SUMPRODUCT($F700:$F702,N700:N702)</f>
        <v>0</v>
      </c>
      <c r="O699" s="274">
        <f t="shared" si="1511"/>
        <v>0</v>
      </c>
      <c r="P699" s="274">
        <f t="shared" si="1511"/>
        <v>0</v>
      </c>
      <c r="Q699" s="274">
        <f t="shared" si="1511"/>
        <v>0</v>
      </c>
      <c r="R699" s="375">
        <f t="shared" si="1511"/>
        <v>0</v>
      </c>
      <c r="S699" s="401">
        <f t="shared" ref="S699" si="1512">+SUMPRODUCT($F700:$F702,S700:S702)</f>
        <v>0</v>
      </c>
      <c r="T699" s="274">
        <f t="shared" ref="T699" si="1513">+SUMPRODUCT($F700:$F702,T700:T702)</f>
        <v>0</v>
      </c>
      <c r="U699" s="274">
        <f t="shared" ref="U699" si="1514">+SUMPRODUCT($F700:$F702,U700:U702)</f>
        <v>0</v>
      </c>
      <c r="V699" s="274">
        <f t="shared" ref="V699" si="1515">+SUMPRODUCT($F700:$F702,V700:V702)</f>
        <v>0</v>
      </c>
      <c r="W699" s="274">
        <f t="shared" ref="W699" si="1516">+SUMPRODUCT($F700:$F702,W700:W702)</f>
        <v>0</v>
      </c>
      <c r="X699" s="274">
        <f t="shared" ref="X699" si="1517">+SUMPRODUCT($F700:$F702,X700:X702)</f>
        <v>0</v>
      </c>
      <c r="Y699" s="274">
        <f t="shared" ref="Y699" si="1518">+SUMPRODUCT($F700:$F702,Y700:Y702)</f>
        <v>0</v>
      </c>
      <c r="Z699" s="274">
        <f t="shared" ref="Z699" si="1519">+SUMPRODUCT($F700:$F702,Z700:Z702)</f>
        <v>0</v>
      </c>
      <c r="AA699" s="274">
        <f t="shared" ref="AA699" si="1520">+SUMPRODUCT($F700:$F702,AA700:AA702)</f>
        <v>0</v>
      </c>
      <c r="AB699" s="274">
        <f t="shared" ref="AB699" si="1521">+SUMPRODUCT($F700:$F702,AB700:AB702)</f>
        <v>0</v>
      </c>
      <c r="AC699" s="274">
        <f t="shared" ref="AC699" si="1522">+SUMPRODUCT($F700:$F702,AC700:AC702)</f>
        <v>0</v>
      </c>
      <c r="AD699" s="402">
        <f t="shared" ref="AD699:AF699" si="1523">+SUMPRODUCT($F700:$F702,AD700:AD702)</f>
        <v>0</v>
      </c>
      <c r="AE699" s="402">
        <f t="shared" si="1523"/>
        <v>0</v>
      </c>
      <c r="AF699" s="402">
        <f t="shared" si="1523"/>
        <v>0</v>
      </c>
      <c r="AG699" s="402"/>
      <c r="AH699" s="402"/>
      <c r="AI699" s="402"/>
      <c r="AJ699" s="402"/>
      <c r="AK699" s="402"/>
      <c r="AL699" s="402"/>
      <c r="AM699" s="402"/>
      <c r="AN699" s="402"/>
      <c r="AO699" s="402"/>
      <c r="AP699" s="402"/>
    </row>
    <row r="700" spans="1:42" s="140" customFormat="1" ht="25.5" hidden="1" customHeight="1" outlineLevel="4">
      <c r="A700" s="216"/>
      <c r="B700" s="255" t="s">
        <v>886</v>
      </c>
      <c r="C700" s="245" t="s">
        <v>175</v>
      </c>
      <c r="D700" s="227" t="s">
        <v>176</v>
      </c>
      <c r="E700" s="241"/>
      <c r="F700" s="228">
        <f t="shared" si="1458"/>
        <v>0.16618782649623062</v>
      </c>
      <c r="G700" s="269">
        <f>+F700*G699</f>
        <v>1.8181648445066273E-5</v>
      </c>
      <c r="H700" s="299"/>
      <c r="I700" s="299"/>
      <c r="J700" s="299"/>
      <c r="K700" s="299"/>
      <c r="L700" s="299"/>
      <c r="M700" s="299"/>
      <c r="N700" s="272">
        <v>0</v>
      </c>
      <c r="O700" s="272">
        <v>0</v>
      </c>
      <c r="P700" s="272">
        <v>0</v>
      </c>
      <c r="Q700" s="272">
        <v>0</v>
      </c>
      <c r="R700" s="372">
        <v>0</v>
      </c>
      <c r="S700" s="395">
        <v>0</v>
      </c>
      <c r="T700" s="272">
        <v>0</v>
      </c>
      <c r="U700" s="272">
        <v>0</v>
      </c>
      <c r="V700" s="272">
        <v>0</v>
      </c>
      <c r="W700" s="272">
        <v>0</v>
      </c>
      <c r="X700" s="272">
        <v>0</v>
      </c>
      <c r="Y700" s="272">
        <v>0</v>
      </c>
      <c r="Z700" s="272">
        <v>0</v>
      </c>
      <c r="AA700" s="272">
        <v>0</v>
      </c>
      <c r="AB700" s="272">
        <v>0</v>
      </c>
      <c r="AC700" s="272">
        <v>0</v>
      </c>
      <c r="AD700" s="396">
        <v>0</v>
      </c>
      <c r="AE700" s="396">
        <v>0</v>
      </c>
      <c r="AF700" s="396">
        <v>0</v>
      </c>
      <c r="AG700" s="396"/>
      <c r="AH700" s="396"/>
      <c r="AI700" s="396"/>
      <c r="AJ700" s="396"/>
      <c r="AK700" s="396"/>
      <c r="AL700" s="396"/>
      <c r="AM700" s="396"/>
      <c r="AN700" s="396"/>
      <c r="AO700" s="396"/>
      <c r="AP700" s="396"/>
    </row>
    <row r="701" spans="1:42" s="140" customFormat="1" ht="25.5" hidden="1" customHeight="1" outlineLevel="4">
      <c r="A701" s="216"/>
      <c r="B701" s="255" t="s">
        <v>887</v>
      </c>
      <c r="C701" s="245" t="s">
        <v>178</v>
      </c>
      <c r="D701" s="227" t="s">
        <v>179</v>
      </c>
      <c r="E701" s="241"/>
      <c r="F701" s="228">
        <f t="shared" si="1458"/>
        <v>0.36085232777611836</v>
      </c>
      <c r="G701" s="269">
        <f>+F701*G699</f>
        <v>3.9478765096900877E-5</v>
      </c>
      <c r="H701" s="299"/>
      <c r="I701" s="299"/>
      <c r="J701" s="299"/>
      <c r="K701" s="299"/>
      <c r="L701" s="299"/>
      <c r="M701" s="299"/>
      <c r="N701" s="272">
        <v>0</v>
      </c>
      <c r="O701" s="272">
        <v>0</v>
      </c>
      <c r="P701" s="272">
        <v>0</v>
      </c>
      <c r="Q701" s="272">
        <v>0</v>
      </c>
      <c r="R701" s="372">
        <v>0</v>
      </c>
      <c r="S701" s="395">
        <v>0</v>
      </c>
      <c r="T701" s="272">
        <v>0</v>
      </c>
      <c r="U701" s="272">
        <v>0</v>
      </c>
      <c r="V701" s="272">
        <v>0</v>
      </c>
      <c r="W701" s="272">
        <v>0</v>
      </c>
      <c r="X701" s="272">
        <v>0</v>
      </c>
      <c r="Y701" s="272">
        <v>0</v>
      </c>
      <c r="Z701" s="272">
        <v>0</v>
      </c>
      <c r="AA701" s="272">
        <v>0</v>
      </c>
      <c r="AB701" s="272">
        <v>0</v>
      </c>
      <c r="AC701" s="272">
        <v>0</v>
      </c>
      <c r="AD701" s="396">
        <v>0</v>
      </c>
      <c r="AE701" s="396">
        <v>0</v>
      </c>
      <c r="AF701" s="396">
        <v>0</v>
      </c>
      <c r="AG701" s="396"/>
      <c r="AH701" s="396"/>
      <c r="AI701" s="396"/>
      <c r="AJ701" s="396"/>
      <c r="AK701" s="396"/>
      <c r="AL701" s="396"/>
      <c r="AM701" s="396"/>
      <c r="AN701" s="396"/>
      <c r="AO701" s="396"/>
      <c r="AP701" s="396"/>
    </row>
    <row r="702" spans="1:42" s="140" customFormat="1" ht="25.5" hidden="1" customHeight="1" outlineLevel="4">
      <c r="A702" s="216"/>
      <c r="B702" s="255" t="s">
        <v>888</v>
      </c>
      <c r="C702" s="245"/>
      <c r="D702" s="227" t="s">
        <v>439</v>
      </c>
      <c r="E702" s="241"/>
      <c r="F702" s="228">
        <f t="shared" si="1458"/>
        <v>0.47295984572765098</v>
      </c>
      <c r="G702" s="269">
        <f>+F702*G699</f>
        <v>5.1743799921758846E-5</v>
      </c>
      <c r="H702" s="299"/>
      <c r="I702" s="299"/>
      <c r="J702" s="299"/>
      <c r="K702" s="299"/>
      <c r="L702" s="299"/>
      <c r="M702" s="299"/>
      <c r="N702" s="272">
        <v>0</v>
      </c>
      <c r="O702" s="272">
        <v>0</v>
      </c>
      <c r="P702" s="272">
        <v>0</v>
      </c>
      <c r="Q702" s="272">
        <v>0</v>
      </c>
      <c r="R702" s="372">
        <v>0</v>
      </c>
      <c r="S702" s="395">
        <v>0</v>
      </c>
      <c r="T702" s="272">
        <v>0</v>
      </c>
      <c r="U702" s="272">
        <v>0</v>
      </c>
      <c r="V702" s="272">
        <v>0</v>
      </c>
      <c r="W702" s="272">
        <v>0</v>
      </c>
      <c r="X702" s="272">
        <v>0</v>
      </c>
      <c r="Y702" s="272">
        <v>0</v>
      </c>
      <c r="Z702" s="272">
        <v>0</v>
      </c>
      <c r="AA702" s="272">
        <v>0</v>
      </c>
      <c r="AB702" s="272">
        <v>0</v>
      </c>
      <c r="AC702" s="272">
        <v>0</v>
      </c>
      <c r="AD702" s="396">
        <v>0</v>
      </c>
      <c r="AE702" s="396">
        <v>0</v>
      </c>
      <c r="AF702" s="396">
        <v>0</v>
      </c>
      <c r="AG702" s="396"/>
      <c r="AH702" s="396"/>
      <c r="AI702" s="396"/>
      <c r="AJ702" s="396"/>
      <c r="AK702" s="396"/>
      <c r="AL702" s="396"/>
      <c r="AM702" s="396"/>
      <c r="AN702" s="396"/>
      <c r="AO702" s="396"/>
      <c r="AP702" s="396"/>
    </row>
    <row r="703" spans="1:42" s="140" customFormat="1" ht="12.75" hidden="1" customHeight="1" outlineLevel="3">
      <c r="B703" s="301" t="s">
        <v>889</v>
      </c>
      <c r="C703" s="251"/>
      <c r="D703" s="236" t="s">
        <v>441</v>
      </c>
      <c r="E703" s="242"/>
      <c r="F703" s="232">
        <f t="shared" si="1458"/>
        <v>0.17950266086228694</v>
      </c>
      <c r="G703" s="232">
        <f>+F703*G672</f>
        <v>6.3776234470989588E-5</v>
      </c>
      <c r="H703" s="321"/>
      <c r="I703" s="321"/>
      <c r="J703" s="321"/>
      <c r="K703" s="321"/>
      <c r="L703" s="321"/>
      <c r="M703" s="321"/>
      <c r="N703" s="274">
        <f t="shared" ref="N703:R703" si="1524">+SUMPRODUCT($F704:$F704,N704:N704)</f>
        <v>0</v>
      </c>
      <c r="O703" s="274">
        <f t="shared" si="1524"/>
        <v>0</v>
      </c>
      <c r="P703" s="274">
        <f t="shared" si="1524"/>
        <v>0</v>
      </c>
      <c r="Q703" s="274">
        <f t="shared" si="1524"/>
        <v>0</v>
      </c>
      <c r="R703" s="375">
        <f t="shared" si="1524"/>
        <v>0</v>
      </c>
      <c r="S703" s="401">
        <f t="shared" ref="S703" si="1525">+SUMPRODUCT($F704:$F704,S704:S704)</f>
        <v>0</v>
      </c>
      <c r="T703" s="274">
        <f t="shared" ref="T703" si="1526">+SUMPRODUCT($F704:$F704,T704:T704)</f>
        <v>0</v>
      </c>
      <c r="U703" s="274">
        <f t="shared" ref="U703" si="1527">+SUMPRODUCT($F704:$F704,U704:U704)</f>
        <v>0</v>
      </c>
      <c r="V703" s="274">
        <f t="shared" ref="V703" si="1528">+SUMPRODUCT($F704:$F704,V704:V704)</f>
        <v>0</v>
      </c>
      <c r="W703" s="274">
        <f t="shared" ref="W703" si="1529">+SUMPRODUCT($F704:$F704,W704:W704)</f>
        <v>0</v>
      </c>
      <c r="X703" s="274">
        <f t="shared" ref="X703" si="1530">+SUMPRODUCT($F704:$F704,X704:X704)</f>
        <v>0</v>
      </c>
      <c r="Y703" s="274">
        <f t="shared" ref="Y703" si="1531">+SUMPRODUCT($F704:$F704,Y704:Y704)</f>
        <v>0</v>
      </c>
      <c r="Z703" s="274">
        <f t="shared" ref="Z703" si="1532">+SUMPRODUCT($F704:$F704,Z704:Z704)</f>
        <v>0</v>
      </c>
      <c r="AA703" s="274">
        <f t="shared" ref="AA703" si="1533">+SUMPRODUCT($F704:$F704,AA704:AA704)</f>
        <v>0</v>
      </c>
      <c r="AB703" s="274">
        <f t="shared" ref="AB703" si="1534">+SUMPRODUCT($F704:$F704,AB704:AB704)</f>
        <v>0</v>
      </c>
      <c r="AC703" s="274">
        <f t="shared" ref="AC703" si="1535">+SUMPRODUCT($F704:$F704,AC704:AC704)</f>
        <v>0</v>
      </c>
      <c r="AD703" s="402">
        <f t="shared" ref="AD703:AF703" si="1536">+SUMPRODUCT($F704:$F704,AD704:AD704)</f>
        <v>0</v>
      </c>
      <c r="AE703" s="402">
        <f t="shared" si="1536"/>
        <v>0</v>
      </c>
      <c r="AF703" s="402">
        <f t="shared" si="1536"/>
        <v>0</v>
      </c>
      <c r="AG703" s="402"/>
      <c r="AH703" s="402"/>
      <c r="AI703" s="402"/>
      <c r="AJ703" s="402"/>
      <c r="AK703" s="402"/>
      <c r="AL703" s="402"/>
      <c r="AM703" s="402"/>
      <c r="AN703" s="402"/>
      <c r="AO703" s="402"/>
      <c r="AP703" s="402"/>
    </row>
    <row r="704" spans="1:42" s="140" customFormat="1" ht="12.75" hidden="1" customHeight="1" outlineLevel="4">
      <c r="A704" s="216"/>
      <c r="B704" s="255" t="s">
        <v>890</v>
      </c>
      <c r="C704" s="245" t="s">
        <v>187</v>
      </c>
      <c r="D704" s="227" t="s">
        <v>443</v>
      </c>
      <c r="E704" s="241"/>
      <c r="F704" s="228">
        <f t="shared" si="1458"/>
        <v>1</v>
      </c>
      <c r="G704" s="269">
        <f>+F704*G703</f>
        <v>6.3776234470989588E-5</v>
      </c>
      <c r="H704" s="299"/>
      <c r="I704" s="299"/>
      <c r="J704" s="299"/>
      <c r="K704" s="299"/>
      <c r="L704" s="299"/>
      <c r="M704" s="299"/>
      <c r="N704" s="272">
        <v>0</v>
      </c>
      <c r="O704" s="272">
        <v>0</v>
      </c>
      <c r="P704" s="272">
        <v>0</v>
      </c>
      <c r="Q704" s="272">
        <v>0</v>
      </c>
      <c r="R704" s="372">
        <v>0</v>
      </c>
      <c r="S704" s="395">
        <v>0</v>
      </c>
      <c r="T704" s="272">
        <v>0</v>
      </c>
      <c r="U704" s="272">
        <v>0</v>
      </c>
      <c r="V704" s="272">
        <v>0</v>
      </c>
      <c r="W704" s="272">
        <v>0</v>
      </c>
      <c r="X704" s="272">
        <v>0</v>
      </c>
      <c r="Y704" s="272">
        <v>0</v>
      </c>
      <c r="Z704" s="272">
        <v>0</v>
      </c>
      <c r="AA704" s="272">
        <v>0</v>
      </c>
      <c r="AB704" s="272">
        <v>0</v>
      </c>
      <c r="AC704" s="272">
        <v>0</v>
      </c>
      <c r="AD704" s="396">
        <v>0</v>
      </c>
      <c r="AE704" s="396">
        <v>0</v>
      </c>
      <c r="AF704" s="396">
        <v>0</v>
      </c>
      <c r="AG704" s="396"/>
      <c r="AH704" s="396"/>
      <c r="AI704" s="396"/>
      <c r="AJ704" s="396"/>
      <c r="AK704" s="396"/>
      <c r="AL704" s="396"/>
      <c r="AM704" s="396"/>
      <c r="AN704" s="396"/>
      <c r="AO704" s="396"/>
      <c r="AP704" s="396"/>
    </row>
    <row r="705" spans="1:42" s="140" customFormat="1" ht="12.75" hidden="1" customHeight="1" outlineLevel="3">
      <c r="B705" s="300" t="s">
        <v>891</v>
      </c>
      <c r="C705" s="294"/>
      <c r="D705" s="294" t="s">
        <v>193</v>
      </c>
      <c r="E705" s="295"/>
      <c r="F705" s="296">
        <f t="shared" si="1458"/>
        <v>7.0876940001895719E-2</v>
      </c>
      <c r="G705" s="296">
        <f>+F705*G532</f>
        <v>1.3998195650374409E-4</v>
      </c>
      <c r="H705" s="297"/>
      <c r="I705" s="297"/>
      <c r="J705" s="297"/>
      <c r="K705" s="297"/>
      <c r="L705" s="297"/>
      <c r="M705" s="297"/>
      <c r="N705" s="296">
        <f t="shared" ref="N705:R705" si="1537">+SUMPRODUCT($F706:$F717,N706:N717)</f>
        <v>0</v>
      </c>
      <c r="O705" s="296">
        <f t="shared" si="1537"/>
        <v>0</v>
      </c>
      <c r="P705" s="296">
        <f t="shared" si="1537"/>
        <v>0</v>
      </c>
      <c r="Q705" s="296">
        <f t="shared" si="1537"/>
        <v>0</v>
      </c>
      <c r="R705" s="376">
        <f t="shared" si="1537"/>
        <v>0</v>
      </c>
      <c r="S705" s="403">
        <f t="shared" ref="S705" si="1538">+SUMPRODUCT($F706:$F717,S706:S717)</f>
        <v>0</v>
      </c>
      <c r="T705" s="296">
        <f t="shared" ref="T705" si="1539">+SUMPRODUCT($F706:$F717,T706:T717)</f>
        <v>0</v>
      </c>
      <c r="U705" s="296">
        <f t="shared" ref="U705" si="1540">+SUMPRODUCT($F706:$F717,U706:U717)</f>
        <v>0</v>
      </c>
      <c r="V705" s="296">
        <f t="shared" ref="V705" si="1541">+SUMPRODUCT($F706:$F717,V706:V717)</f>
        <v>0</v>
      </c>
      <c r="W705" s="296">
        <f t="shared" ref="W705" si="1542">+SUMPRODUCT($F706:$F717,W706:W717)</f>
        <v>0</v>
      </c>
      <c r="X705" s="296">
        <f t="shared" ref="X705" si="1543">+SUMPRODUCT($F706:$F717,X706:X717)</f>
        <v>0</v>
      </c>
      <c r="Y705" s="296">
        <f t="shared" ref="Y705" si="1544">+SUMPRODUCT($F706:$F717,Y706:Y717)</f>
        <v>0</v>
      </c>
      <c r="Z705" s="296">
        <f t="shared" ref="Z705" si="1545">+SUMPRODUCT($F706:$F717,Z706:Z717)</f>
        <v>0</v>
      </c>
      <c r="AA705" s="296">
        <f t="shared" ref="AA705" si="1546">+SUMPRODUCT($F706:$F717,AA706:AA717)</f>
        <v>0</v>
      </c>
      <c r="AB705" s="296">
        <f t="shared" ref="AB705" si="1547">+SUMPRODUCT($F706:$F717,AB706:AB717)</f>
        <v>0</v>
      </c>
      <c r="AC705" s="296">
        <f t="shared" ref="AC705" si="1548">+SUMPRODUCT($F706:$F717,AC706:AC717)</f>
        <v>0</v>
      </c>
      <c r="AD705" s="404">
        <f t="shared" ref="AD705:AF705" si="1549">+SUMPRODUCT($F706:$F717,AD706:AD717)</f>
        <v>0</v>
      </c>
      <c r="AE705" s="404">
        <f t="shared" si="1549"/>
        <v>0</v>
      </c>
      <c r="AF705" s="404">
        <f t="shared" si="1549"/>
        <v>0</v>
      </c>
      <c r="AG705" s="404"/>
      <c r="AH705" s="404"/>
      <c r="AI705" s="404"/>
      <c r="AJ705" s="404"/>
      <c r="AK705" s="404"/>
      <c r="AL705" s="404"/>
      <c r="AM705" s="404"/>
      <c r="AN705" s="404"/>
      <c r="AO705" s="404"/>
      <c r="AP705" s="404"/>
    </row>
    <row r="706" spans="1:42" s="140" customFormat="1" ht="12.75" hidden="1" customHeight="1" outlineLevel="3">
      <c r="A706" s="216"/>
      <c r="B706" s="255" t="s">
        <v>892</v>
      </c>
      <c r="C706" s="245" t="s">
        <v>195</v>
      </c>
      <c r="D706" s="227" t="s">
        <v>196</v>
      </c>
      <c r="E706" s="241"/>
      <c r="F706" s="228">
        <f t="shared" si="1458"/>
        <v>0.11462043390407546</v>
      </c>
      <c r="G706" s="269">
        <f>+F706*G705</f>
        <v>1.6044792593200565E-5</v>
      </c>
      <c r="H706" s="299"/>
      <c r="I706" s="299"/>
      <c r="J706" s="299"/>
      <c r="K706" s="299"/>
      <c r="L706" s="299"/>
      <c r="M706" s="299"/>
      <c r="N706" s="272">
        <v>0</v>
      </c>
      <c r="O706" s="272">
        <v>0</v>
      </c>
      <c r="P706" s="272">
        <v>0</v>
      </c>
      <c r="Q706" s="272">
        <v>0</v>
      </c>
      <c r="R706" s="372">
        <v>0</v>
      </c>
      <c r="S706" s="395">
        <v>0</v>
      </c>
      <c r="T706" s="272">
        <v>0</v>
      </c>
      <c r="U706" s="272">
        <v>0</v>
      </c>
      <c r="V706" s="272">
        <v>0</v>
      </c>
      <c r="W706" s="272">
        <v>0</v>
      </c>
      <c r="X706" s="272">
        <v>0</v>
      </c>
      <c r="Y706" s="272">
        <v>0</v>
      </c>
      <c r="Z706" s="272">
        <v>0</v>
      </c>
      <c r="AA706" s="272">
        <v>0</v>
      </c>
      <c r="AB706" s="272">
        <v>0</v>
      </c>
      <c r="AC706" s="272">
        <v>0</v>
      </c>
      <c r="AD706" s="396">
        <v>0</v>
      </c>
      <c r="AE706" s="396">
        <v>0</v>
      </c>
      <c r="AF706" s="396">
        <v>0</v>
      </c>
      <c r="AG706" s="396"/>
      <c r="AH706" s="396"/>
      <c r="AI706" s="396"/>
      <c r="AJ706" s="396"/>
      <c r="AK706" s="396"/>
      <c r="AL706" s="396"/>
      <c r="AM706" s="396"/>
      <c r="AN706" s="396"/>
      <c r="AO706" s="396"/>
      <c r="AP706" s="396"/>
    </row>
    <row r="707" spans="1:42" s="140" customFormat="1" ht="12.75" hidden="1" customHeight="1" outlineLevel="3">
      <c r="A707" s="216"/>
      <c r="B707" s="255" t="s">
        <v>893</v>
      </c>
      <c r="C707" s="245" t="s">
        <v>198</v>
      </c>
      <c r="D707" s="227" t="s">
        <v>199</v>
      </c>
      <c r="E707" s="241"/>
      <c r="F707" s="228">
        <f t="shared" si="1458"/>
        <v>0.16914444012256166</v>
      </c>
      <c r="G707" s="269">
        <f>+F707*G705</f>
        <v>2.3677169660086572E-5</v>
      </c>
      <c r="H707" s="299"/>
      <c r="I707" s="299"/>
      <c r="J707" s="299"/>
      <c r="K707" s="299"/>
      <c r="L707" s="299"/>
      <c r="M707" s="299"/>
      <c r="N707" s="272">
        <v>0</v>
      </c>
      <c r="O707" s="272">
        <v>0</v>
      </c>
      <c r="P707" s="272">
        <v>0</v>
      </c>
      <c r="Q707" s="272">
        <v>0</v>
      </c>
      <c r="R707" s="372">
        <v>0</v>
      </c>
      <c r="S707" s="395">
        <v>0</v>
      </c>
      <c r="T707" s="272">
        <v>0</v>
      </c>
      <c r="U707" s="272">
        <v>0</v>
      </c>
      <c r="V707" s="272">
        <v>0</v>
      </c>
      <c r="W707" s="272">
        <v>0</v>
      </c>
      <c r="X707" s="272">
        <v>0</v>
      </c>
      <c r="Y707" s="272">
        <v>0</v>
      </c>
      <c r="Z707" s="272">
        <v>0</v>
      </c>
      <c r="AA707" s="272">
        <v>0</v>
      </c>
      <c r="AB707" s="272">
        <v>0</v>
      </c>
      <c r="AC707" s="272">
        <v>0</v>
      </c>
      <c r="AD707" s="396">
        <v>0</v>
      </c>
      <c r="AE707" s="396">
        <v>0</v>
      </c>
      <c r="AF707" s="396">
        <v>0</v>
      </c>
      <c r="AG707" s="396"/>
      <c r="AH707" s="396"/>
      <c r="AI707" s="396"/>
      <c r="AJ707" s="396"/>
      <c r="AK707" s="396"/>
      <c r="AL707" s="396"/>
      <c r="AM707" s="396"/>
      <c r="AN707" s="396"/>
      <c r="AO707" s="396"/>
      <c r="AP707" s="396"/>
    </row>
    <row r="708" spans="1:42" s="140" customFormat="1" ht="12.75" hidden="1" customHeight="1" outlineLevel="3">
      <c r="A708" s="216"/>
      <c r="B708" s="255" t="s">
        <v>894</v>
      </c>
      <c r="C708" s="245" t="s">
        <v>201</v>
      </c>
      <c r="D708" s="227" t="s">
        <v>202</v>
      </c>
      <c r="E708" s="241"/>
      <c r="F708" s="228">
        <f t="shared" si="1458"/>
        <v>0.15393682703771108</v>
      </c>
      <c r="G708" s="269">
        <f>+F708*G705</f>
        <v>2.154837822671725E-5</v>
      </c>
      <c r="H708" s="299"/>
      <c r="I708" s="299"/>
      <c r="J708" s="299"/>
      <c r="K708" s="299"/>
      <c r="L708" s="299"/>
      <c r="M708" s="299"/>
      <c r="N708" s="272">
        <v>0</v>
      </c>
      <c r="O708" s="272">
        <v>0</v>
      </c>
      <c r="P708" s="272">
        <v>0</v>
      </c>
      <c r="Q708" s="272">
        <v>0</v>
      </c>
      <c r="R708" s="372">
        <v>0</v>
      </c>
      <c r="S708" s="395">
        <v>0</v>
      </c>
      <c r="T708" s="272">
        <v>0</v>
      </c>
      <c r="U708" s="272">
        <v>0</v>
      </c>
      <c r="V708" s="272">
        <v>0</v>
      </c>
      <c r="W708" s="272">
        <v>0</v>
      </c>
      <c r="X708" s="272">
        <v>0</v>
      </c>
      <c r="Y708" s="272">
        <v>0</v>
      </c>
      <c r="Z708" s="272">
        <v>0</v>
      </c>
      <c r="AA708" s="272">
        <v>0</v>
      </c>
      <c r="AB708" s="272">
        <v>0</v>
      </c>
      <c r="AC708" s="272">
        <v>0</v>
      </c>
      <c r="AD708" s="396">
        <v>0</v>
      </c>
      <c r="AE708" s="396">
        <v>0</v>
      </c>
      <c r="AF708" s="396">
        <v>0</v>
      </c>
      <c r="AG708" s="396"/>
      <c r="AH708" s="396"/>
      <c r="AI708" s="396"/>
      <c r="AJ708" s="396"/>
      <c r="AK708" s="396"/>
      <c r="AL708" s="396"/>
      <c r="AM708" s="396"/>
      <c r="AN708" s="396"/>
      <c r="AO708" s="396"/>
      <c r="AP708" s="396"/>
    </row>
    <row r="709" spans="1:42" s="140" customFormat="1" ht="12.75" hidden="1" customHeight="1" outlineLevel="3">
      <c r="A709" s="216"/>
      <c r="B709" s="255" t="s">
        <v>895</v>
      </c>
      <c r="C709" s="245" t="s">
        <v>204</v>
      </c>
      <c r="D709" s="227" t="s">
        <v>205</v>
      </c>
      <c r="E709" s="241"/>
      <c r="F709" s="228">
        <f t="shared" si="1458"/>
        <v>3.9190487501575728E-2</v>
      </c>
      <c r="G709" s="269">
        <f>+F709*G705</f>
        <v>5.4859611168060997E-6</v>
      </c>
      <c r="H709" s="299"/>
      <c r="I709" s="299"/>
      <c r="J709" s="299"/>
      <c r="K709" s="299"/>
      <c r="L709" s="299"/>
      <c r="M709" s="299"/>
      <c r="N709" s="272">
        <v>0</v>
      </c>
      <c r="O709" s="272">
        <v>0</v>
      </c>
      <c r="P709" s="272">
        <v>0</v>
      </c>
      <c r="Q709" s="272">
        <v>0</v>
      </c>
      <c r="R709" s="372">
        <v>0</v>
      </c>
      <c r="S709" s="395">
        <v>0</v>
      </c>
      <c r="T709" s="272">
        <v>0</v>
      </c>
      <c r="U709" s="272">
        <v>0</v>
      </c>
      <c r="V709" s="272">
        <v>0</v>
      </c>
      <c r="W709" s="272">
        <v>0</v>
      </c>
      <c r="X709" s="272">
        <v>0</v>
      </c>
      <c r="Y709" s="272">
        <v>0</v>
      </c>
      <c r="Z709" s="272">
        <v>0</v>
      </c>
      <c r="AA709" s="272">
        <v>0</v>
      </c>
      <c r="AB709" s="272">
        <v>0</v>
      </c>
      <c r="AC709" s="272">
        <v>0</v>
      </c>
      <c r="AD709" s="396">
        <v>0</v>
      </c>
      <c r="AE709" s="396">
        <v>0</v>
      </c>
      <c r="AF709" s="396">
        <v>0</v>
      </c>
      <c r="AG709" s="396"/>
      <c r="AH709" s="396"/>
      <c r="AI709" s="396"/>
      <c r="AJ709" s="396"/>
      <c r="AK709" s="396"/>
      <c r="AL709" s="396"/>
      <c r="AM709" s="396"/>
      <c r="AN709" s="396"/>
      <c r="AO709" s="396"/>
      <c r="AP709" s="396"/>
    </row>
    <row r="710" spans="1:42" s="140" customFormat="1" ht="12.75" hidden="1" customHeight="1" outlineLevel="3">
      <c r="A710" s="216"/>
      <c r="B710" s="255" t="s">
        <v>896</v>
      </c>
      <c r="C710" s="245" t="s">
        <v>207</v>
      </c>
      <c r="D710" s="227" t="s">
        <v>205</v>
      </c>
      <c r="E710" s="241"/>
      <c r="F710" s="228">
        <f t="shared" si="1458"/>
        <v>3.9190487501575728E-2</v>
      </c>
      <c r="G710" s="269">
        <f>+F710*G705</f>
        <v>5.4859611168060997E-6</v>
      </c>
      <c r="H710" s="299"/>
      <c r="I710" s="299"/>
      <c r="J710" s="299"/>
      <c r="K710" s="299"/>
      <c r="L710" s="299"/>
      <c r="M710" s="299"/>
      <c r="N710" s="272">
        <v>0</v>
      </c>
      <c r="O710" s="272">
        <v>0</v>
      </c>
      <c r="P710" s="272">
        <v>0</v>
      </c>
      <c r="Q710" s="272">
        <v>0</v>
      </c>
      <c r="R710" s="372">
        <v>0</v>
      </c>
      <c r="S710" s="395">
        <v>0</v>
      </c>
      <c r="T710" s="272">
        <v>0</v>
      </c>
      <c r="U710" s="272">
        <v>0</v>
      </c>
      <c r="V710" s="272">
        <v>0</v>
      </c>
      <c r="W710" s="272">
        <v>0</v>
      </c>
      <c r="X710" s="272">
        <v>0</v>
      </c>
      <c r="Y710" s="272">
        <v>0</v>
      </c>
      <c r="Z710" s="272">
        <v>0</v>
      </c>
      <c r="AA710" s="272">
        <v>0</v>
      </c>
      <c r="AB710" s="272">
        <v>0</v>
      </c>
      <c r="AC710" s="272">
        <v>0</v>
      </c>
      <c r="AD710" s="396">
        <v>0</v>
      </c>
      <c r="AE710" s="396">
        <v>0</v>
      </c>
      <c r="AF710" s="396">
        <v>0</v>
      </c>
      <c r="AG710" s="396"/>
      <c r="AH710" s="396"/>
      <c r="AI710" s="396"/>
      <c r="AJ710" s="396"/>
      <c r="AK710" s="396"/>
      <c r="AL710" s="396"/>
      <c r="AM710" s="396"/>
      <c r="AN710" s="396"/>
      <c r="AO710" s="396"/>
      <c r="AP710" s="396"/>
    </row>
    <row r="711" spans="1:42" s="140" customFormat="1" ht="12.75" hidden="1" customHeight="1" outlineLevel="3">
      <c r="A711" s="216"/>
      <c r="B711" s="255" t="s">
        <v>897</v>
      </c>
      <c r="C711" s="245" t="s">
        <v>209</v>
      </c>
      <c r="D711" s="227" t="s">
        <v>205</v>
      </c>
      <c r="E711" s="241"/>
      <c r="F711" s="228">
        <f t="shared" si="1458"/>
        <v>3.9190487501575728E-2</v>
      </c>
      <c r="G711" s="269">
        <f>+F711*G705</f>
        <v>5.4859611168060997E-6</v>
      </c>
      <c r="H711" s="299"/>
      <c r="I711" s="299"/>
      <c r="J711" s="299"/>
      <c r="K711" s="299"/>
      <c r="L711" s="299"/>
      <c r="M711" s="299"/>
      <c r="N711" s="272">
        <v>0</v>
      </c>
      <c r="O711" s="272">
        <v>0</v>
      </c>
      <c r="P711" s="272">
        <v>0</v>
      </c>
      <c r="Q711" s="272">
        <v>0</v>
      </c>
      <c r="R711" s="372">
        <v>0</v>
      </c>
      <c r="S711" s="395">
        <v>0</v>
      </c>
      <c r="T711" s="272">
        <v>0</v>
      </c>
      <c r="U711" s="272">
        <v>0</v>
      </c>
      <c r="V711" s="272">
        <v>0</v>
      </c>
      <c r="W711" s="272">
        <v>0</v>
      </c>
      <c r="X711" s="272">
        <v>0</v>
      </c>
      <c r="Y711" s="272">
        <v>0</v>
      </c>
      <c r="Z711" s="272">
        <v>0</v>
      </c>
      <c r="AA711" s="272">
        <v>0</v>
      </c>
      <c r="AB711" s="272">
        <v>0</v>
      </c>
      <c r="AC711" s="272">
        <v>0</v>
      </c>
      <c r="AD711" s="396">
        <v>0</v>
      </c>
      <c r="AE711" s="396">
        <v>0</v>
      </c>
      <c r="AF711" s="396">
        <v>0</v>
      </c>
      <c r="AG711" s="396"/>
      <c r="AH711" s="396"/>
      <c r="AI711" s="396"/>
      <c r="AJ711" s="396"/>
      <c r="AK711" s="396"/>
      <c r="AL711" s="396"/>
      <c r="AM711" s="396"/>
      <c r="AN711" s="396"/>
      <c r="AO711" s="396"/>
      <c r="AP711" s="396"/>
    </row>
    <row r="712" spans="1:42" s="140" customFormat="1" ht="12.75" hidden="1" customHeight="1" outlineLevel="3">
      <c r="A712" s="216"/>
      <c r="B712" s="255" t="s">
        <v>898</v>
      </c>
      <c r="C712" s="245" t="s">
        <v>211</v>
      </c>
      <c r="D712" s="227" t="s">
        <v>205</v>
      </c>
      <c r="E712" s="241"/>
      <c r="F712" s="228">
        <f t="shared" si="1458"/>
        <v>3.9190487501575728E-2</v>
      </c>
      <c r="G712" s="269">
        <f>+F712*G705</f>
        <v>5.4859611168060997E-6</v>
      </c>
      <c r="H712" s="299"/>
      <c r="I712" s="299"/>
      <c r="J712" s="299"/>
      <c r="K712" s="299"/>
      <c r="L712" s="299"/>
      <c r="M712" s="299"/>
      <c r="N712" s="272">
        <v>0</v>
      </c>
      <c r="O712" s="272">
        <v>0</v>
      </c>
      <c r="P712" s="272">
        <v>0</v>
      </c>
      <c r="Q712" s="272">
        <v>0</v>
      </c>
      <c r="R712" s="372">
        <v>0</v>
      </c>
      <c r="S712" s="395">
        <v>0</v>
      </c>
      <c r="T712" s="272">
        <v>0</v>
      </c>
      <c r="U712" s="272">
        <v>0</v>
      </c>
      <c r="V712" s="272">
        <v>0</v>
      </c>
      <c r="W712" s="272">
        <v>0</v>
      </c>
      <c r="X712" s="272">
        <v>0</v>
      </c>
      <c r="Y712" s="272">
        <v>0</v>
      </c>
      <c r="Z712" s="272">
        <v>0</v>
      </c>
      <c r="AA712" s="272">
        <v>0</v>
      </c>
      <c r="AB712" s="272">
        <v>0</v>
      </c>
      <c r="AC712" s="272">
        <v>0</v>
      </c>
      <c r="AD712" s="396">
        <v>0</v>
      </c>
      <c r="AE712" s="396">
        <v>0</v>
      </c>
      <c r="AF712" s="396">
        <v>0</v>
      </c>
      <c r="AG712" s="396"/>
      <c r="AH712" s="396"/>
      <c r="AI712" s="396"/>
      <c r="AJ712" s="396"/>
      <c r="AK712" s="396"/>
      <c r="AL712" s="396"/>
      <c r="AM712" s="396"/>
      <c r="AN712" s="396"/>
      <c r="AO712" s="396"/>
      <c r="AP712" s="396"/>
    </row>
    <row r="713" spans="1:42" s="140" customFormat="1" ht="12.75" hidden="1" customHeight="1" outlineLevel="3">
      <c r="A713" s="216"/>
      <c r="B713" s="255" t="s">
        <v>899</v>
      </c>
      <c r="C713" s="245" t="s">
        <v>213</v>
      </c>
      <c r="D713" s="227" t="s">
        <v>205</v>
      </c>
      <c r="E713" s="241"/>
      <c r="F713" s="228">
        <f t="shared" si="1458"/>
        <v>3.9190487501575728E-2</v>
      </c>
      <c r="G713" s="269">
        <f>+F713*G705</f>
        <v>5.4859611168060997E-6</v>
      </c>
      <c r="H713" s="299"/>
      <c r="I713" s="299"/>
      <c r="J713" s="299"/>
      <c r="K713" s="299"/>
      <c r="L713" s="299"/>
      <c r="M713" s="299"/>
      <c r="N713" s="272">
        <v>0</v>
      </c>
      <c r="O713" s="272">
        <v>0</v>
      </c>
      <c r="P713" s="272">
        <v>0</v>
      </c>
      <c r="Q713" s="272">
        <v>0</v>
      </c>
      <c r="R713" s="372">
        <v>0</v>
      </c>
      <c r="S713" s="395">
        <v>0</v>
      </c>
      <c r="T713" s="272">
        <v>0</v>
      </c>
      <c r="U713" s="272">
        <v>0</v>
      </c>
      <c r="V713" s="272">
        <v>0</v>
      </c>
      <c r="W713" s="272">
        <v>0</v>
      </c>
      <c r="X713" s="272">
        <v>0</v>
      </c>
      <c r="Y713" s="272">
        <v>0</v>
      </c>
      <c r="Z713" s="272">
        <v>0</v>
      </c>
      <c r="AA713" s="272">
        <v>0</v>
      </c>
      <c r="AB713" s="272">
        <v>0</v>
      </c>
      <c r="AC713" s="272">
        <v>0</v>
      </c>
      <c r="AD713" s="396">
        <v>0</v>
      </c>
      <c r="AE713" s="396">
        <v>0</v>
      </c>
      <c r="AF713" s="396">
        <v>0</v>
      </c>
      <c r="AG713" s="396"/>
      <c r="AH713" s="396"/>
      <c r="AI713" s="396"/>
      <c r="AJ713" s="396"/>
      <c r="AK713" s="396"/>
      <c r="AL713" s="396"/>
      <c r="AM713" s="396"/>
      <c r="AN713" s="396"/>
      <c r="AO713" s="396"/>
      <c r="AP713" s="396"/>
    </row>
    <row r="714" spans="1:42" s="140" customFormat="1" ht="12.75" hidden="1" customHeight="1" outlineLevel="3">
      <c r="A714" s="216"/>
      <c r="B714" s="255" t="s">
        <v>900</v>
      </c>
      <c r="C714" s="281" t="s">
        <v>215</v>
      </c>
      <c r="D714" s="282" t="s">
        <v>216</v>
      </c>
      <c r="E714" s="283"/>
      <c r="F714" s="284">
        <f t="shared" si="1458"/>
        <v>4.0894421740774678E-2</v>
      </c>
      <c r="G714" s="285">
        <f>+F714*G705</f>
        <v>5.7244811653628877E-6</v>
      </c>
      <c r="H714" s="322"/>
      <c r="I714" s="322"/>
      <c r="J714" s="322"/>
      <c r="K714" s="322"/>
      <c r="L714" s="322"/>
      <c r="M714" s="322"/>
      <c r="N714" s="287">
        <v>0</v>
      </c>
      <c r="O714" s="287">
        <v>0</v>
      </c>
      <c r="P714" s="287">
        <v>0</v>
      </c>
      <c r="Q714" s="287">
        <v>0</v>
      </c>
      <c r="R714" s="377">
        <v>0</v>
      </c>
      <c r="S714" s="405">
        <v>0</v>
      </c>
      <c r="T714" s="287">
        <v>0</v>
      </c>
      <c r="U714" s="287">
        <v>0</v>
      </c>
      <c r="V714" s="287">
        <v>0</v>
      </c>
      <c r="W714" s="287">
        <v>0</v>
      </c>
      <c r="X714" s="287">
        <v>0</v>
      </c>
      <c r="Y714" s="287">
        <v>0</v>
      </c>
      <c r="Z714" s="287">
        <v>0</v>
      </c>
      <c r="AA714" s="287">
        <v>0</v>
      </c>
      <c r="AB714" s="287">
        <v>0</v>
      </c>
      <c r="AC714" s="287">
        <v>0</v>
      </c>
      <c r="AD714" s="406">
        <v>0</v>
      </c>
      <c r="AE714" s="406">
        <v>0</v>
      </c>
      <c r="AF714" s="406">
        <v>0</v>
      </c>
      <c r="AG714" s="406"/>
      <c r="AH714" s="406"/>
      <c r="AI714" s="406"/>
      <c r="AJ714" s="406"/>
      <c r="AK714" s="406"/>
      <c r="AL714" s="406"/>
      <c r="AM714" s="406"/>
      <c r="AN714" s="406"/>
      <c r="AO714" s="406"/>
      <c r="AP714" s="406"/>
    </row>
    <row r="715" spans="1:42" s="140" customFormat="1" ht="12.75" hidden="1" customHeight="1" outlineLevel="3">
      <c r="A715" s="216"/>
      <c r="B715" s="255" t="s">
        <v>901</v>
      </c>
      <c r="C715" s="281" t="s">
        <v>218</v>
      </c>
      <c r="D715" s="282" t="s">
        <v>219</v>
      </c>
      <c r="E715" s="283"/>
      <c r="F715" s="284">
        <f t="shared" si="1458"/>
        <v>0.13120293641831876</v>
      </c>
      <c r="G715" s="285">
        <f>+F715*G705</f>
        <v>1.8366043738872597E-5</v>
      </c>
      <c r="H715" s="322"/>
      <c r="I715" s="322"/>
      <c r="J715" s="322"/>
      <c r="K715" s="322"/>
      <c r="L715" s="322"/>
      <c r="M715" s="322"/>
      <c r="N715" s="287">
        <v>0</v>
      </c>
      <c r="O715" s="287">
        <v>0</v>
      </c>
      <c r="P715" s="287">
        <v>0</v>
      </c>
      <c r="Q715" s="287">
        <v>0</v>
      </c>
      <c r="R715" s="377">
        <v>0</v>
      </c>
      <c r="S715" s="405">
        <v>0</v>
      </c>
      <c r="T715" s="287">
        <v>0</v>
      </c>
      <c r="U715" s="287">
        <v>0</v>
      </c>
      <c r="V715" s="287">
        <v>0</v>
      </c>
      <c r="W715" s="287">
        <v>0</v>
      </c>
      <c r="X715" s="287">
        <v>0</v>
      </c>
      <c r="Y715" s="287">
        <v>0</v>
      </c>
      <c r="Z715" s="287">
        <v>0</v>
      </c>
      <c r="AA715" s="287">
        <v>0</v>
      </c>
      <c r="AB715" s="287">
        <v>0</v>
      </c>
      <c r="AC715" s="287">
        <v>0</v>
      </c>
      <c r="AD715" s="406">
        <v>0</v>
      </c>
      <c r="AE715" s="406">
        <v>0</v>
      </c>
      <c r="AF715" s="406">
        <v>0</v>
      </c>
      <c r="AG715" s="406"/>
      <c r="AH715" s="406"/>
      <c r="AI715" s="406"/>
      <c r="AJ715" s="406"/>
      <c r="AK715" s="406"/>
      <c r="AL715" s="406"/>
      <c r="AM715" s="406"/>
      <c r="AN715" s="406"/>
      <c r="AO715" s="406"/>
      <c r="AP715" s="406"/>
    </row>
    <row r="716" spans="1:42" s="140" customFormat="1" ht="12.75" hidden="1" customHeight="1" outlineLevel="3">
      <c r="A716" s="216"/>
      <c r="B716" s="255" t="s">
        <v>902</v>
      </c>
      <c r="C716" s="281" t="s">
        <v>221</v>
      </c>
      <c r="D716" s="282" t="s">
        <v>222</v>
      </c>
      <c r="E716" s="283"/>
      <c r="F716" s="284">
        <f t="shared" si="1458"/>
        <v>0.17039342391989448</v>
      </c>
      <c r="G716" s="285">
        <f>+F716*G705</f>
        <v>2.3852004855678696E-5</v>
      </c>
      <c r="H716" s="322"/>
      <c r="I716" s="322"/>
      <c r="J716" s="322"/>
      <c r="K716" s="322"/>
      <c r="L716" s="322"/>
      <c r="M716" s="322"/>
      <c r="N716" s="287">
        <v>0</v>
      </c>
      <c r="O716" s="287">
        <v>0</v>
      </c>
      <c r="P716" s="287">
        <v>0</v>
      </c>
      <c r="Q716" s="287">
        <v>0</v>
      </c>
      <c r="R716" s="377">
        <v>0</v>
      </c>
      <c r="S716" s="405">
        <v>0</v>
      </c>
      <c r="T716" s="287">
        <v>0</v>
      </c>
      <c r="U716" s="287">
        <v>0</v>
      </c>
      <c r="V716" s="287">
        <v>0</v>
      </c>
      <c r="W716" s="287">
        <v>0</v>
      </c>
      <c r="X716" s="287">
        <v>0</v>
      </c>
      <c r="Y716" s="287">
        <v>0</v>
      </c>
      <c r="Z716" s="287">
        <v>0</v>
      </c>
      <c r="AA716" s="287">
        <v>0</v>
      </c>
      <c r="AB716" s="287">
        <v>0</v>
      </c>
      <c r="AC716" s="287">
        <v>0</v>
      </c>
      <c r="AD716" s="406">
        <v>0</v>
      </c>
      <c r="AE716" s="406">
        <v>0</v>
      </c>
      <c r="AF716" s="406">
        <v>0</v>
      </c>
      <c r="AG716" s="406"/>
      <c r="AH716" s="406"/>
      <c r="AI716" s="406"/>
      <c r="AJ716" s="406"/>
      <c r="AK716" s="406"/>
      <c r="AL716" s="406"/>
      <c r="AM716" s="406"/>
      <c r="AN716" s="406"/>
      <c r="AO716" s="406"/>
      <c r="AP716" s="406"/>
    </row>
    <row r="717" spans="1:42" s="140" customFormat="1" ht="12.75" hidden="1" customHeight="1" outlineLevel="3">
      <c r="A717" s="216"/>
      <c r="B717" s="255" t="s">
        <v>903</v>
      </c>
      <c r="C717" s="281" t="s">
        <v>224</v>
      </c>
      <c r="D717" s="282" t="s">
        <v>225</v>
      </c>
      <c r="E717" s="283"/>
      <c r="F717" s="284">
        <f t="shared" si="1458"/>
        <v>2.3855079348785228E-2</v>
      </c>
      <c r="G717" s="285">
        <f>+F717*G705</f>
        <v>3.3392806797950178E-6</v>
      </c>
      <c r="H717" s="322"/>
      <c r="I717" s="322"/>
      <c r="J717" s="322"/>
      <c r="K717" s="322"/>
      <c r="L717" s="322"/>
      <c r="M717" s="322"/>
      <c r="N717" s="287">
        <v>0</v>
      </c>
      <c r="O717" s="287">
        <v>0</v>
      </c>
      <c r="P717" s="287">
        <v>0</v>
      </c>
      <c r="Q717" s="287">
        <v>0</v>
      </c>
      <c r="R717" s="377">
        <v>0</v>
      </c>
      <c r="S717" s="405">
        <v>0</v>
      </c>
      <c r="T717" s="287">
        <v>0</v>
      </c>
      <c r="U717" s="287">
        <v>0</v>
      </c>
      <c r="V717" s="287">
        <v>0</v>
      </c>
      <c r="W717" s="287">
        <v>0</v>
      </c>
      <c r="X717" s="287">
        <v>0</v>
      </c>
      <c r="Y717" s="287">
        <v>0</v>
      </c>
      <c r="Z717" s="287">
        <v>0</v>
      </c>
      <c r="AA717" s="287">
        <v>0</v>
      </c>
      <c r="AB717" s="287">
        <v>0</v>
      </c>
      <c r="AC717" s="287">
        <v>0</v>
      </c>
      <c r="AD717" s="406">
        <v>0</v>
      </c>
      <c r="AE717" s="406">
        <v>0</v>
      </c>
      <c r="AF717" s="406">
        <v>0</v>
      </c>
      <c r="AG717" s="406"/>
      <c r="AH717" s="406"/>
      <c r="AI717" s="406"/>
      <c r="AJ717" s="406"/>
      <c r="AK717" s="406"/>
      <c r="AL717" s="406"/>
      <c r="AM717" s="406"/>
      <c r="AN717" s="406"/>
      <c r="AO717" s="406"/>
      <c r="AP717" s="406"/>
    </row>
    <row r="718" spans="1:42" s="140" customFormat="1" ht="12.75" hidden="1" outlineLevel="1" collapsed="1">
      <c r="B718" s="279">
        <v>5.2</v>
      </c>
      <c r="C718" s="279"/>
      <c r="D718" s="279" t="s">
        <v>904</v>
      </c>
      <c r="E718" s="278">
        <f>+SUM(E719,E842,E858)</f>
        <v>2484067916240.3301</v>
      </c>
      <c r="F718" s="280">
        <v>0.95</v>
      </c>
      <c r="G718" s="280">
        <f>+F718*$G$528</f>
        <v>0.75049999999999994</v>
      </c>
      <c r="H718" s="354">
        <v>45884</v>
      </c>
      <c r="I718" s="354">
        <v>46552</v>
      </c>
      <c r="J718" s="354">
        <v>45885</v>
      </c>
      <c r="K718" s="354">
        <v>46758</v>
      </c>
      <c r="L718" s="354">
        <v>45885</v>
      </c>
      <c r="M718" s="354">
        <v>46758</v>
      </c>
      <c r="N718" s="280">
        <f t="shared" ref="N718:R718" si="1550">+($F719*N719+$F842*N842+$F858*N858)</f>
        <v>5.4254572833850254E-2</v>
      </c>
      <c r="O718" s="280">
        <f t="shared" si="1550"/>
        <v>0.19222522481284449</v>
      </c>
      <c r="P718" s="280">
        <f t="shared" si="1550"/>
        <v>0.27423252747660792</v>
      </c>
      <c r="Q718" s="280">
        <f t="shared" si="1550"/>
        <v>0.3340099980441299</v>
      </c>
      <c r="R718" s="379">
        <f t="shared" si="1550"/>
        <v>0.39122873060205232</v>
      </c>
      <c r="S718" s="409">
        <f t="shared" ref="S718" si="1551">+($F719*S719+$F842*S842+$F858*S858)</f>
        <v>0.44571439866338114</v>
      </c>
      <c r="T718" s="280">
        <f t="shared" ref="T718" si="1552">+($F719*T719+$F842*T842+$F858*T858)</f>
        <v>0.47010018868435011</v>
      </c>
      <c r="U718" s="280">
        <f t="shared" ref="U718" si="1553">+($F719*U719+$F842*U842+$F858*U858)</f>
        <v>0.50444245094973339</v>
      </c>
      <c r="V718" s="280">
        <f t="shared" ref="V718" si="1554">+($F719*V719+$F842*V842+$F858*V858)</f>
        <v>0.56334619106244144</v>
      </c>
      <c r="W718" s="280">
        <f t="shared" ref="W718" si="1555">+($F719*W719+$F842*W842+$F858*W858)</f>
        <v>0.62917278591093373</v>
      </c>
      <c r="X718" s="280">
        <f t="shared" ref="X718" si="1556">+($F719*X719+$F842*X842+$F858*X858)</f>
        <v>0.70441931789498624</v>
      </c>
      <c r="Y718" s="280">
        <f t="shared" ref="Y718" si="1557">+($F719*Y719+$F842*Y842+$F858*Y858)</f>
        <v>0.78115005253787118</v>
      </c>
      <c r="Z718" s="280">
        <f t="shared" ref="Z718" si="1558">+($F719*Z719+$F842*Z842+$F858*Z858)</f>
        <v>0.82553499663281038</v>
      </c>
      <c r="AA718" s="280">
        <f t="shared" ref="AA718" si="1559">+($F719*AA719+$F842*AA842+$F858*AA858)</f>
        <v>0.85100633680190074</v>
      </c>
      <c r="AB718" s="280">
        <f t="shared" ref="AB718" si="1560">+($F719*AB719+$F842*AB842+$F858*AB858)</f>
        <v>0.8688127943428956</v>
      </c>
      <c r="AC718" s="280">
        <f t="shared" ref="AC718" si="1561">+($F719*AC719+$F842*AC842+$F858*AC858)</f>
        <v>0.88276810615815415</v>
      </c>
      <c r="AD718" s="410">
        <f t="shared" ref="AD718:AF718" si="1562">+($F719*AD719+$F842*AD842+$F858*AD858)</f>
        <v>0.89115397172343958</v>
      </c>
      <c r="AE718" s="410">
        <f t="shared" si="1562"/>
        <v>0.89253252948202755</v>
      </c>
      <c r="AF718" s="410">
        <f t="shared" si="1562"/>
        <v>0.8930257103412611</v>
      </c>
      <c r="AG718" s="410">
        <f t="shared" ref="AG718" si="1563">+($F719*AG719+$F842*AG842+$F858*AG858)</f>
        <v>0.89351889120049455</v>
      </c>
      <c r="AH718" s="410">
        <f t="shared" ref="AH718" si="1564">+($F719*AH719+$F842*AH842+$F858*AH858)</f>
        <v>0.8940120720597281</v>
      </c>
      <c r="AI718" s="410">
        <f t="shared" ref="AI718" si="1565">+($F719*AI719+$F842*AI842+$F858*AI858)</f>
        <v>0.89475184334857827</v>
      </c>
      <c r="AJ718" s="410">
        <f t="shared" ref="AJ718" si="1566">+($F719*AJ719+$F842*AJ842+$F858*AJ858)</f>
        <v>0.89549161463742843</v>
      </c>
      <c r="AK718" s="410">
        <f t="shared" ref="AK718" si="1567">+($F719*AK719+$F842*AK842+$F858*AK858)</f>
        <v>0.89647797635589543</v>
      </c>
      <c r="AL718" s="410">
        <f t="shared" ref="AL718" si="1568">+($F719*AL719+$F842*AL842+$F858*AL858)</f>
        <v>0.89734104285955407</v>
      </c>
      <c r="AM718" s="410">
        <f t="shared" ref="AM718" si="1569">+($F719*AM719+$F842*AM842+$F858*AM858)</f>
        <v>0.89734104285955407</v>
      </c>
      <c r="AN718" s="410">
        <f t="shared" ref="AN718" si="1570">+($F719*AN719+$F842*AN842+$F858*AN858)</f>
        <v>0.89734104285955407</v>
      </c>
      <c r="AO718" s="410">
        <f t="shared" ref="AO718" si="1571">+($F719*AO719+$F842*AO842+$F858*AO858)</f>
        <v>0.89734104285955407</v>
      </c>
      <c r="AP718" s="410">
        <f t="shared" ref="AP718" si="1572">+($F719*AP719+$F842*AP842+$F858*AP858)</f>
        <v>0.89734104285955407</v>
      </c>
    </row>
    <row r="719" spans="1:42" s="140" customFormat="1" ht="12.75" hidden="1" outlineLevel="1">
      <c r="B719" s="294" t="s">
        <v>905</v>
      </c>
      <c r="C719" s="294"/>
      <c r="D719" s="294" t="s">
        <v>31</v>
      </c>
      <c r="E719" s="295">
        <f>SUM(E720,E741,E768,E780,E793,E808,E826,E841)</f>
        <v>1940235189986.96</v>
      </c>
      <c r="F719" s="296">
        <f>+E719/$E$718</f>
        <v>0.78107171599540315</v>
      </c>
      <c r="G719" s="296">
        <f t="shared" ref="G719:G864" si="1573">+E719*$G$718/$E$718</f>
        <v>0.58619432285454998</v>
      </c>
      <c r="H719" s="297">
        <v>45884</v>
      </c>
      <c r="I719" s="297">
        <v>46552</v>
      </c>
      <c r="J719" s="297">
        <v>45885</v>
      </c>
      <c r="K719" s="297">
        <v>46758</v>
      </c>
      <c r="L719" s="297">
        <v>45885</v>
      </c>
      <c r="M719" s="297">
        <v>46758</v>
      </c>
      <c r="N719" s="296">
        <f t="shared" ref="N719" si="1574">$F720*N720+$F741*N741+$F768*N768+$F780*N780+$F793*N793+$F808*N808+$F826*N826+$F841*N841</f>
        <v>4.9969198256832568E-2</v>
      </c>
      <c r="O719" s="296">
        <f t="shared" ref="O719:Q719" si="1575">$F720*O720+$F741*O741+$F768*O768+$F780*O780+$F793*O793+$F808*O808+$F826*O826+$F841*O841</f>
        <v>0.20271775286060811</v>
      </c>
      <c r="P719" s="296">
        <f t="shared" si="1575"/>
        <v>0.27393088192667275</v>
      </c>
      <c r="Q719" s="296">
        <f t="shared" si="1575"/>
        <v>0.32865187763054698</v>
      </c>
      <c r="R719" s="376">
        <f t="shared" ref="R719:AC719" si="1576">$F720*R720+$F741*R741+$F768*R768+$F780*R780+$F793*R793+$F808*R808+$F826*R826+$F841*R841</f>
        <v>0.36637618294744317</v>
      </c>
      <c r="S719" s="403">
        <f t="shared" si="1576"/>
        <v>0.39017679646950676</v>
      </c>
      <c r="T719" s="296">
        <f t="shared" si="1576"/>
        <v>0.41490123483877739</v>
      </c>
      <c r="U719" s="296">
        <f t="shared" ref="U719:Y719" si="1577">$F720*U720+$F741*U741+$F768*U768+$F780*U780+$F793*U793+$F808*U808+$F826*U826+$F841*U841</f>
        <v>0.45337232780234288</v>
      </c>
      <c r="V719" s="296">
        <f t="shared" si="1577"/>
        <v>0.52228982730140894</v>
      </c>
      <c r="W719" s="296">
        <f t="shared" si="1577"/>
        <v>0.60546769564652203</v>
      </c>
      <c r="X719" s="296">
        <f t="shared" si="1577"/>
        <v>0.69695372810119027</v>
      </c>
      <c r="Y719" s="296">
        <f t="shared" si="1577"/>
        <v>0.7848599491869378</v>
      </c>
      <c r="Z719" s="296">
        <f t="shared" si="1576"/>
        <v>0.83510621561318188</v>
      </c>
      <c r="AA719" s="296">
        <f t="shared" si="1576"/>
        <v>0.86200713958994557</v>
      </c>
      <c r="AB719" s="296">
        <f t="shared" si="1576"/>
        <v>0.87909477437555328</v>
      </c>
      <c r="AC719" s="296">
        <f t="shared" si="1576"/>
        <v>0.89125181745380599</v>
      </c>
      <c r="AD719" s="404">
        <f t="shared" ref="AD719:AE719" si="1578">$F720*AD720+$F741*AD741+$F768*AD768+$F780*AD780+$F793*AD793+$F808*AD808+$F826*AD826+$F841*AD841</f>
        <v>0.90198817545212173</v>
      </c>
      <c r="AE719" s="404">
        <f t="shared" si="1578"/>
        <v>0.90375313215245634</v>
      </c>
      <c r="AF719" s="404">
        <f t="shared" ref="AF719:AP719" si="1579">$F720*AF720+$F741*AF741+$F768*AF768+$F780*AF780+$F793*AF793+$F808*AF808+$F826*AF826+$F841*AF841</f>
        <v>0.90438454774353949</v>
      </c>
      <c r="AG719" s="404">
        <f t="shared" si="1579"/>
        <v>0.90501596333462242</v>
      </c>
      <c r="AH719" s="404">
        <f t="shared" si="1579"/>
        <v>0.90564737892570557</v>
      </c>
      <c r="AI719" s="404">
        <f t="shared" si="1579"/>
        <v>0.90659450231233008</v>
      </c>
      <c r="AJ719" s="404">
        <f t="shared" si="1579"/>
        <v>0.90754162569895458</v>
      </c>
      <c r="AK719" s="404">
        <f t="shared" si="1579"/>
        <v>0.90880445688112066</v>
      </c>
      <c r="AL719" s="404">
        <f t="shared" si="1579"/>
        <v>0.90990943416551606</v>
      </c>
      <c r="AM719" s="404">
        <f t="shared" si="1579"/>
        <v>0.90990943416551606</v>
      </c>
      <c r="AN719" s="404">
        <f t="shared" si="1579"/>
        <v>0.90990943416551606</v>
      </c>
      <c r="AO719" s="404">
        <f t="shared" si="1579"/>
        <v>0.90990943416551606</v>
      </c>
      <c r="AP719" s="404">
        <f t="shared" si="1579"/>
        <v>0.90990943416551606</v>
      </c>
    </row>
    <row r="720" spans="1:42" s="216" customFormat="1" ht="25.5" hidden="1" outlineLevel="2">
      <c r="B720" s="291" t="s">
        <v>906</v>
      </c>
      <c r="C720" s="292" t="s">
        <v>32</v>
      </c>
      <c r="D720" s="234" t="s">
        <v>33</v>
      </c>
      <c r="E720" s="240">
        <f>SUM(E721:E740)</f>
        <v>373298048361</v>
      </c>
      <c r="F720" s="223">
        <f t="shared" ref="F720:F841" si="1580">E720/$E$719</f>
        <v>0.19239834958539684</v>
      </c>
      <c r="G720" s="293">
        <f t="shared" si="1573"/>
        <v>0.1127828202535447</v>
      </c>
      <c r="H720" s="298">
        <v>45884</v>
      </c>
      <c r="I720" s="298">
        <v>46501</v>
      </c>
      <c r="J720" s="298">
        <v>45885</v>
      </c>
      <c r="K720" s="298">
        <v>46758</v>
      </c>
      <c r="L720" s="298">
        <f>MIN(L721:L740)</f>
        <v>45885</v>
      </c>
      <c r="M720" s="298">
        <v>46783</v>
      </c>
      <c r="N720" s="270">
        <v>0</v>
      </c>
      <c r="O720" s="270">
        <v>5.9999999999999672E-2</v>
      </c>
      <c r="P720" s="270">
        <v>0.24015781787527957</v>
      </c>
      <c r="Q720" s="270">
        <v>0.29907418133132679</v>
      </c>
      <c r="R720" s="370">
        <v>0.35209890844176928</v>
      </c>
      <c r="S720" s="391">
        <v>0.38744872651539758</v>
      </c>
      <c r="T720" s="270">
        <v>0.43458181728023537</v>
      </c>
      <c r="U720" s="270">
        <v>0.48636508997144462</v>
      </c>
      <c r="V720" s="270">
        <v>0.59209890844176816</v>
      </c>
      <c r="W720" s="270">
        <v>0.7125618177761035</v>
      </c>
      <c r="X720" s="270">
        <v>0.81976854533282817</v>
      </c>
      <c r="Y720" s="270">
        <v>0.93224618202554099</v>
      </c>
      <c r="Z720" s="270">
        <v>0.94108363654394811</v>
      </c>
      <c r="AA720" s="270">
        <v>0.95433981832155879</v>
      </c>
      <c r="AB720" s="270">
        <v>0.96759600009916946</v>
      </c>
      <c r="AC720" s="270">
        <v>0.98085218187678014</v>
      </c>
      <c r="AD720" s="392">
        <v>0.99410836365439081</v>
      </c>
      <c r="AE720" s="392">
        <v>0.99999999999999556</v>
      </c>
      <c r="AF720" s="392">
        <v>0.99999999999999556</v>
      </c>
      <c r="AG720" s="392">
        <v>0.99999999999999556</v>
      </c>
      <c r="AH720" s="392">
        <v>0.99999999999999556</v>
      </c>
      <c r="AI720" s="392">
        <v>0.99999999999999556</v>
      </c>
      <c r="AJ720" s="392">
        <v>0.99999999999999556</v>
      </c>
      <c r="AK720" s="392">
        <v>0.99999999999999556</v>
      </c>
      <c r="AL720" s="392">
        <v>0.99999999999999556</v>
      </c>
      <c r="AM720" s="392">
        <v>0.99999999999999556</v>
      </c>
      <c r="AN720" s="392">
        <v>0.99999999999999556</v>
      </c>
      <c r="AO720" s="392">
        <v>0.99999999999999556</v>
      </c>
      <c r="AP720" s="392">
        <v>0.99999999999999556</v>
      </c>
    </row>
    <row r="721" spans="2:42" s="216" customFormat="1" ht="25.5" hidden="1" outlineLevel="3">
      <c r="B721" s="255" t="s">
        <v>907</v>
      </c>
      <c r="C721" s="290" t="s">
        <v>230</v>
      </c>
      <c r="D721" s="227" t="s">
        <v>231</v>
      </c>
      <c r="E721" s="241">
        <v>16642305388</v>
      </c>
      <c r="F721" s="228">
        <f>E721/$E$720</f>
        <v>4.4581817293365446E-2</v>
      </c>
      <c r="G721" s="269">
        <f>+E721*$G$718/$E$718</f>
        <v>5.0280630863740053E-3</v>
      </c>
      <c r="H721" s="299">
        <v>45884</v>
      </c>
      <c r="I721" s="299">
        <v>46334</v>
      </c>
      <c r="J721" s="299">
        <v>45885</v>
      </c>
      <c r="K721" s="299">
        <v>46578</v>
      </c>
      <c r="L721" s="299">
        <v>45885</v>
      </c>
      <c r="M721" s="299">
        <v>46599</v>
      </c>
      <c r="N721" s="336">
        <v>0</v>
      </c>
      <c r="O721" s="336">
        <v>0.06</v>
      </c>
      <c r="P721" s="336">
        <v>0.31</v>
      </c>
      <c r="Q721" s="336">
        <v>0.39</v>
      </c>
      <c r="R721" s="373">
        <v>0.46</v>
      </c>
      <c r="S721" s="397">
        <v>0.52</v>
      </c>
      <c r="T721" s="336">
        <v>0.6</v>
      </c>
      <c r="U721" s="336">
        <v>0.65999999999999992</v>
      </c>
      <c r="V721" s="336">
        <v>0.73999999999999988</v>
      </c>
      <c r="W721" s="336">
        <v>0.83999999999999986</v>
      </c>
      <c r="X721" s="336">
        <v>0.91999999999999982</v>
      </c>
      <c r="Y721" s="336">
        <v>0.99999999999999978</v>
      </c>
      <c r="Z721" s="336">
        <v>0.99999999999999978</v>
      </c>
      <c r="AA721" s="336">
        <v>0.99999999999999978</v>
      </c>
      <c r="AB721" s="336">
        <v>0.99999999999999978</v>
      </c>
      <c r="AC721" s="336">
        <v>0.99999999999999978</v>
      </c>
      <c r="AD721" s="398">
        <v>0.99999999999999978</v>
      </c>
      <c r="AE721" s="398">
        <v>0.99999999999999978</v>
      </c>
      <c r="AF721" s="398">
        <v>0.99999999999999978</v>
      </c>
      <c r="AG721" s="398">
        <v>0.99999999999999978</v>
      </c>
      <c r="AH721" s="398">
        <v>0.99999999999999978</v>
      </c>
      <c r="AI721" s="398">
        <v>0.99999999999999978</v>
      </c>
      <c r="AJ721" s="398">
        <v>0.99999999999999978</v>
      </c>
      <c r="AK721" s="398">
        <v>0.99999999999999978</v>
      </c>
      <c r="AL721" s="398">
        <v>0.99999999999999978</v>
      </c>
      <c r="AM721" s="398">
        <v>0.99999999999999978</v>
      </c>
      <c r="AN721" s="398">
        <v>0.99999999999999978</v>
      </c>
      <c r="AO721" s="398">
        <v>0.99999999999999978</v>
      </c>
      <c r="AP721" s="398">
        <v>0.99999999999999978</v>
      </c>
    </row>
    <row r="722" spans="2:42" s="216" customFormat="1" ht="25.5" hidden="1" outlineLevel="3">
      <c r="B722" s="255" t="s">
        <v>908</v>
      </c>
      <c r="C722" s="290" t="s">
        <v>233</v>
      </c>
      <c r="D722" s="227" t="s">
        <v>231</v>
      </c>
      <c r="E722" s="241">
        <v>16642305388</v>
      </c>
      <c r="F722" s="228">
        <f t="shared" ref="F722:F740" si="1581">E722/$E$720</f>
        <v>4.4581817293365446E-2</v>
      </c>
      <c r="G722" s="269">
        <f t="shared" si="1573"/>
        <v>5.0280630863740053E-3</v>
      </c>
      <c r="H722" s="299">
        <v>45884</v>
      </c>
      <c r="I722" s="299">
        <v>46334</v>
      </c>
      <c r="J722" s="299">
        <v>45885</v>
      </c>
      <c r="K722" s="299">
        <v>46578</v>
      </c>
      <c r="L722" s="299">
        <v>45885</v>
      </c>
      <c r="M722" s="299">
        <v>46599</v>
      </c>
      <c r="N722" s="336">
        <v>0</v>
      </c>
      <c r="O722" s="336">
        <v>0.06</v>
      </c>
      <c r="P722" s="336">
        <v>0.31</v>
      </c>
      <c r="Q722" s="336">
        <v>0.39</v>
      </c>
      <c r="R722" s="373">
        <v>0.46</v>
      </c>
      <c r="S722" s="397">
        <v>0.52</v>
      </c>
      <c r="T722" s="336">
        <v>0.6</v>
      </c>
      <c r="U722" s="336">
        <v>0.65999999999999992</v>
      </c>
      <c r="V722" s="336">
        <v>0.73999999999999988</v>
      </c>
      <c r="W722" s="336">
        <v>0.83999999999999986</v>
      </c>
      <c r="X722" s="336">
        <v>0.91999999999999982</v>
      </c>
      <c r="Y722" s="336">
        <v>0.99999999999999978</v>
      </c>
      <c r="Z722" s="336">
        <v>0.99999999999999978</v>
      </c>
      <c r="AA722" s="336">
        <v>0.99999999999999978</v>
      </c>
      <c r="AB722" s="336">
        <v>0.99999999999999978</v>
      </c>
      <c r="AC722" s="336">
        <v>0.99999999999999978</v>
      </c>
      <c r="AD722" s="398">
        <v>0.99999999999999978</v>
      </c>
      <c r="AE722" s="398">
        <v>0.99999999999999978</v>
      </c>
      <c r="AF722" s="398">
        <v>0.99999999999999978</v>
      </c>
      <c r="AG722" s="398">
        <v>0.99999999999999978</v>
      </c>
      <c r="AH722" s="398">
        <v>0.99999999999999978</v>
      </c>
      <c r="AI722" s="398">
        <v>0.99999999999999978</v>
      </c>
      <c r="AJ722" s="398">
        <v>0.99999999999999978</v>
      </c>
      <c r="AK722" s="398">
        <v>0.99999999999999978</v>
      </c>
      <c r="AL722" s="398">
        <v>0.99999999999999978</v>
      </c>
      <c r="AM722" s="398">
        <v>0.99999999999999978</v>
      </c>
      <c r="AN722" s="398">
        <v>0.99999999999999978</v>
      </c>
      <c r="AO722" s="398">
        <v>0.99999999999999978</v>
      </c>
      <c r="AP722" s="398">
        <v>0.99999999999999978</v>
      </c>
    </row>
    <row r="723" spans="2:42" s="216" customFormat="1" ht="25.5" hidden="1" outlineLevel="3">
      <c r="B723" s="255" t="s">
        <v>909</v>
      </c>
      <c r="C723" s="290" t="s">
        <v>235</v>
      </c>
      <c r="D723" s="227" t="s">
        <v>231</v>
      </c>
      <c r="E723" s="241">
        <v>16642305388</v>
      </c>
      <c r="F723" s="228">
        <f t="shared" si="1581"/>
        <v>4.4581817293365446E-2</v>
      </c>
      <c r="G723" s="269">
        <f t="shared" si="1573"/>
        <v>5.0280630863740053E-3</v>
      </c>
      <c r="H723" s="299">
        <v>45901</v>
      </c>
      <c r="I723" s="299">
        <v>46497</v>
      </c>
      <c r="J723" s="299">
        <v>45885</v>
      </c>
      <c r="K723" s="299">
        <v>46578</v>
      </c>
      <c r="L723" s="299">
        <v>45885</v>
      </c>
      <c r="M723" s="299">
        <v>46599</v>
      </c>
      <c r="N723" s="336">
        <v>0</v>
      </c>
      <c r="O723" s="336">
        <v>0.06</v>
      </c>
      <c r="P723" s="336">
        <v>0.31</v>
      </c>
      <c r="Q723" s="336">
        <v>0.39</v>
      </c>
      <c r="R723" s="373">
        <v>0.46</v>
      </c>
      <c r="S723" s="397">
        <v>0.52</v>
      </c>
      <c r="T723" s="336">
        <v>0.6</v>
      </c>
      <c r="U723" s="336">
        <v>0.65999999999999992</v>
      </c>
      <c r="V723" s="336">
        <v>0.73999999999999988</v>
      </c>
      <c r="W723" s="336">
        <v>0.83999999999999986</v>
      </c>
      <c r="X723" s="336">
        <v>0.91999999999999982</v>
      </c>
      <c r="Y723" s="336">
        <v>0.99999999999999978</v>
      </c>
      <c r="Z723" s="336">
        <v>0.99999999999999978</v>
      </c>
      <c r="AA723" s="336">
        <v>0.99999999999999978</v>
      </c>
      <c r="AB723" s="336">
        <v>0.99999999999999978</v>
      </c>
      <c r="AC723" s="336">
        <v>0.99999999999999978</v>
      </c>
      <c r="AD723" s="398">
        <v>0.99999999999999978</v>
      </c>
      <c r="AE723" s="398">
        <v>0.99999999999999978</v>
      </c>
      <c r="AF723" s="398">
        <v>0.99999999999999978</v>
      </c>
      <c r="AG723" s="398">
        <v>0.99999999999999978</v>
      </c>
      <c r="AH723" s="398">
        <v>0.99999999999999978</v>
      </c>
      <c r="AI723" s="398">
        <v>0.99999999999999978</v>
      </c>
      <c r="AJ723" s="398">
        <v>0.99999999999999978</v>
      </c>
      <c r="AK723" s="398">
        <v>0.99999999999999978</v>
      </c>
      <c r="AL723" s="398">
        <v>0.99999999999999978</v>
      </c>
      <c r="AM723" s="398">
        <v>0.99999999999999978</v>
      </c>
      <c r="AN723" s="398">
        <v>0.99999999999999978</v>
      </c>
      <c r="AO723" s="398">
        <v>0.99999999999999978</v>
      </c>
      <c r="AP723" s="398">
        <v>0.99999999999999978</v>
      </c>
    </row>
    <row r="724" spans="2:42" s="216" customFormat="1" ht="25.5" hidden="1" outlineLevel="3">
      <c r="B724" s="255" t="s">
        <v>910</v>
      </c>
      <c r="C724" s="290" t="s">
        <v>237</v>
      </c>
      <c r="D724" s="227" t="s">
        <v>231</v>
      </c>
      <c r="E724" s="241">
        <v>16642305388</v>
      </c>
      <c r="F724" s="228">
        <f t="shared" si="1581"/>
        <v>4.4581817293365446E-2</v>
      </c>
      <c r="G724" s="269">
        <f t="shared" si="1573"/>
        <v>5.0280630863740053E-3</v>
      </c>
      <c r="H724" s="299">
        <v>45901</v>
      </c>
      <c r="I724" s="299">
        <v>46497</v>
      </c>
      <c r="J724" s="299">
        <v>45885</v>
      </c>
      <c r="K724" s="299">
        <v>46578</v>
      </c>
      <c r="L724" s="299">
        <v>45885</v>
      </c>
      <c r="M724" s="299">
        <v>46599</v>
      </c>
      <c r="N724" s="336">
        <v>0</v>
      </c>
      <c r="O724" s="336">
        <v>0.06</v>
      </c>
      <c r="P724" s="336">
        <v>0.31</v>
      </c>
      <c r="Q724" s="336">
        <v>0.39</v>
      </c>
      <c r="R724" s="373">
        <v>0.46</v>
      </c>
      <c r="S724" s="397">
        <v>0.52</v>
      </c>
      <c r="T724" s="336">
        <v>0.6</v>
      </c>
      <c r="U724" s="336">
        <v>0.65999999999999992</v>
      </c>
      <c r="V724" s="336">
        <v>0.73999999999999988</v>
      </c>
      <c r="W724" s="336">
        <v>0.83999999999999986</v>
      </c>
      <c r="X724" s="336">
        <v>0.91999999999999982</v>
      </c>
      <c r="Y724" s="336">
        <v>0.99999999999999978</v>
      </c>
      <c r="Z724" s="336">
        <v>0.99999999999999978</v>
      </c>
      <c r="AA724" s="336">
        <v>0.99999999999999978</v>
      </c>
      <c r="AB724" s="336">
        <v>0.99999999999999978</v>
      </c>
      <c r="AC724" s="336">
        <v>0.99999999999999978</v>
      </c>
      <c r="AD724" s="398">
        <v>0.99999999999999978</v>
      </c>
      <c r="AE724" s="398">
        <v>0.99999999999999978</v>
      </c>
      <c r="AF724" s="398">
        <v>0.99999999999999978</v>
      </c>
      <c r="AG724" s="398">
        <v>0.99999999999999978</v>
      </c>
      <c r="AH724" s="398">
        <v>0.99999999999999978</v>
      </c>
      <c r="AI724" s="398">
        <v>0.99999999999999978</v>
      </c>
      <c r="AJ724" s="398">
        <v>0.99999999999999978</v>
      </c>
      <c r="AK724" s="398">
        <v>0.99999999999999978</v>
      </c>
      <c r="AL724" s="398">
        <v>0.99999999999999978</v>
      </c>
      <c r="AM724" s="398">
        <v>0.99999999999999978</v>
      </c>
      <c r="AN724" s="398">
        <v>0.99999999999999978</v>
      </c>
      <c r="AO724" s="398">
        <v>0.99999999999999978</v>
      </c>
      <c r="AP724" s="398">
        <v>0.99999999999999978</v>
      </c>
    </row>
    <row r="725" spans="2:42" s="216" customFormat="1" ht="25.5" hidden="1" outlineLevel="3">
      <c r="B725" s="255" t="s">
        <v>911</v>
      </c>
      <c r="C725" s="290" t="s">
        <v>239</v>
      </c>
      <c r="D725" s="227" t="s">
        <v>231</v>
      </c>
      <c r="E725" s="241">
        <v>16642305388</v>
      </c>
      <c r="F725" s="228">
        <f t="shared" si="1581"/>
        <v>4.4581817293365446E-2</v>
      </c>
      <c r="G725" s="269">
        <f t="shared" si="1573"/>
        <v>5.0280630863740053E-3</v>
      </c>
      <c r="H725" s="299">
        <v>45901</v>
      </c>
      <c r="I725" s="299">
        <v>46497</v>
      </c>
      <c r="J725" s="299">
        <v>45885</v>
      </c>
      <c r="K725" s="299">
        <v>46622</v>
      </c>
      <c r="L725" s="299">
        <v>45885</v>
      </c>
      <c r="M725" s="299">
        <v>46599</v>
      </c>
      <c r="N725" s="336">
        <v>0</v>
      </c>
      <c r="O725" s="336">
        <v>0.06</v>
      </c>
      <c r="P725" s="336">
        <v>0.14000000000000001</v>
      </c>
      <c r="Q725" s="336">
        <v>0.14000000000000001</v>
      </c>
      <c r="R725" s="373">
        <v>0.14000000000000001</v>
      </c>
      <c r="S725" s="397">
        <v>0.14000000000000001</v>
      </c>
      <c r="T725" s="336">
        <v>0.14000000000000001</v>
      </c>
      <c r="U725" s="336">
        <v>0.18000000000000002</v>
      </c>
      <c r="V725" s="336">
        <v>0.38</v>
      </c>
      <c r="W725" s="336">
        <v>0.58000000000000007</v>
      </c>
      <c r="X725" s="336">
        <v>0.78</v>
      </c>
      <c r="Y725" s="336">
        <v>1</v>
      </c>
      <c r="Z725" s="336">
        <v>1</v>
      </c>
      <c r="AA725" s="336">
        <v>1</v>
      </c>
      <c r="AB725" s="336">
        <v>1</v>
      </c>
      <c r="AC725" s="336">
        <v>1</v>
      </c>
      <c r="AD725" s="398">
        <v>1</v>
      </c>
      <c r="AE725" s="398">
        <v>1</v>
      </c>
      <c r="AF725" s="398">
        <v>1</v>
      </c>
      <c r="AG725" s="398">
        <v>1</v>
      </c>
      <c r="AH725" s="398">
        <v>1</v>
      </c>
      <c r="AI725" s="398">
        <v>1</v>
      </c>
      <c r="AJ725" s="398">
        <v>1</v>
      </c>
      <c r="AK725" s="398">
        <v>1</v>
      </c>
      <c r="AL725" s="398">
        <v>1</v>
      </c>
      <c r="AM725" s="398">
        <v>1</v>
      </c>
      <c r="AN725" s="398">
        <v>1</v>
      </c>
      <c r="AO725" s="398">
        <v>1</v>
      </c>
      <c r="AP725" s="398">
        <v>1</v>
      </c>
    </row>
    <row r="726" spans="2:42" s="216" customFormat="1" ht="25.5" hidden="1" outlineLevel="3">
      <c r="B726" s="255" t="s">
        <v>912</v>
      </c>
      <c r="C726" s="290" t="s">
        <v>241</v>
      </c>
      <c r="D726" s="227" t="s">
        <v>231</v>
      </c>
      <c r="E726" s="241">
        <v>16642305388</v>
      </c>
      <c r="F726" s="228">
        <f t="shared" si="1581"/>
        <v>4.4581817293365446E-2</v>
      </c>
      <c r="G726" s="269">
        <f t="shared" si="1573"/>
        <v>5.0280630863740053E-3</v>
      </c>
      <c r="H726" s="299">
        <v>45884</v>
      </c>
      <c r="I726" s="299">
        <v>46334</v>
      </c>
      <c r="J726" s="299">
        <v>45885</v>
      </c>
      <c r="K726" s="299">
        <v>46622</v>
      </c>
      <c r="L726" s="299">
        <v>45885</v>
      </c>
      <c r="M726" s="299">
        <v>46599</v>
      </c>
      <c r="N726" s="336">
        <v>0</v>
      </c>
      <c r="O726" s="336">
        <v>0.06</v>
      </c>
      <c r="P726" s="336">
        <v>0.14000000000000001</v>
      </c>
      <c r="Q726" s="336">
        <v>0.14000000000000001</v>
      </c>
      <c r="R726" s="373">
        <v>0.14000000000000001</v>
      </c>
      <c r="S726" s="397">
        <v>0.14000000000000001</v>
      </c>
      <c r="T726" s="336">
        <v>0.14000000000000001</v>
      </c>
      <c r="U726" s="336">
        <v>0.18000000000000002</v>
      </c>
      <c r="V726" s="336">
        <v>0.38</v>
      </c>
      <c r="W726" s="336">
        <v>0.58000000000000007</v>
      </c>
      <c r="X726" s="336">
        <v>0.78</v>
      </c>
      <c r="Y726" s="336">
        <v>1</v>
      </c>
      <c r="Z726" s="336">
        <v>1</v>
      </c>
      <c r="AA726" s="336">
        <v>1</v>
      </c>
      <c r="AB726" s="336">
        <v>1</v>
      </c>
      <c r="AC726" s="336">
        <v>1</v>
      </c>
      <c r="AD726" s="398">
        <v>1</v>
      </c>
      <c r="AE726" s="398">
        <v>1</v>
      </c>
      <c r="AF726" s="398">
        <v>1</v>
      </c>
      <c r="AG726" s="398">
        <v>1</v>
      </c>
      <c r="AH726" s="398">
        <v>1</v>
      </c>
      <c r="AI726" s="398">
        <v>1</v>
      </c>
      <c r="AJ726" s="398">
        <v>1</v>
      </c>
      <c r="AK726" s="398">
        <v>1</v>
      </c>
      <c r="AL726" s="398">
        <v>1</v>
      </c>
      <c r="AM726" s="398">
        <v>1</v>
      </c>
      <c r="AN726" s="398">
        <v>1</v>
      </c>
      <c r="AO726" s="398">
        <v>1</v>
      </c>
      <c r="AP726" s="398">
        <v>1</v>
      </c>
    </row>
    <row r="727" spans="2:42" s="216" customFormat="1" ht="25.5" hidden="1" outlineLevel="3">
      <c r="B727" s="255" t="s">
        <v>913</v>
      </c>
      <c r="C727" s="290" t="s">
        <v>243</v>
      </c>
      <c r="D727" s="227" t="s">
        <v>231</v>
      </c>
      <c r="E727" s="241">
        <v>16642305388</v>
      </c>
      <c r="F727" s="228">
        <f t="shared" si="1581"/>
        <v>4.4581817293365446E-2</v>
      </c>
      <c r="G727" s="269">
        <f t="shared" si="1573"/>
        <v>5.0280630863740053E-3</v>
      </c>
      <c r="H727" s="299">
        <v>45911</v>
      </c>
      <c r="I727" s="299">
        <v>46497</v>
      </c>
      <c r="J727" s="299">
        <v>46228</v>
      </c>
      <c r="K727" s="299">
        <v>46758</v>
      </c>
      <c r="L727" s="299">
        <v>46228</v>
      </c>
      <c r="M727" s="299">
        <v>46783</v>
      </c>
      <c r="N727" s="336">
        <v>0</v>
      </c>
      <c r="O727" s="336">
        <v>0.06</v>
      </c>
      <c r="P727" s="336">
        <v>0.14000000000000001</v>
      </c>
      <c r="Q727" s="336">
        <v>0.22000000000000003</v>
      </c>
      <c r="R727" s="373">
        <v>0.30000000000000004</v>
      </c>
      <c r="S727" s="397">
        <v>0.30000000000000004</v>
      </c>
      <c r="T727" s="336">
        <v>0.30000000000000004</v>
      </c>
      <c r="U727" s="336">
        <v>0.34</v>
      </c>
      <c r="V727" s="336">
        <v>0.38</v>
      </c>
      <c r="W727" s="336">
        <v>0.44</v>
      </c>
      <c r="X727" s="336">
        <v>0.49</v>
      </c>
      <c r="Y727" s="336">
        <v>0.54</v>
      </c>
      <c r="Z727" s="336">
        <v>0.60000000000000009</v>
      </c>
      <c r="AA727" s="336">
        <v>0.69000000000000006</v>
      </c>
      <c r="AB727" s="336">
        <v>0.78</v>
      </c>
      <c r="AC727" s="336">
        <v>0.87</v>
      </c>
      <c r="AD727" s="398">
        <v>0.96</v>
      </c>
      <c r="AE727" s="398">
        <v>1</v>
      </c>
      <c r="AF727" s="398">
        <v>1</v>
      </c>
      <c r="AG727" s="398">
        <v>1</v>
      </c>
      <c r="AH727" s="398">
        <v>1</v>
      </c>
      <c r="AI727" s="398">
        <v>1</v>
      </c>
      <c r="AJ727" s="398">
        <v>1</v>
      </c>
      <c r="AK727" s="398">
        <v>1</v>
      </c>
      <c r="AL727" s="398">
        <v>1</v>
      </c>
      <c r="AM727" s="398">
        <v>1</v>
      </c>
      <c r="AN727" s="398">
        <v>1</v>
      </c>
      <c r="AO727" s="398">
        <v>1</v>
      </c>
      <c r="AP727" s="398">
        <v>1</v>
      </c>
    </row>
    <row r="728" spans="2:42" s="216" customFormat="1" ht="25.5" hidden="1" outlineLevel="3">
      <c r="B728" s="255" t="s">
        <v>914</v>
      </c>
      <c r="C728" s="290" t="s">
        <v>245</v>
      </c>
      <c r="D728" s="227" t="s">
        <v>231</v>
      </c>
      <c r="E728" s="241">
        <v>16642305388</v>
      </c>
      <c r="F728" s="228">
        <f t="shared" si="1581"/>
        <v>4.4581817293365446E-2</v>
      </c>
      <c r="G728" s="269">
        <f t="shared" si="1573"/>
        <v>5.0280630863740053E-3</v>
      </c>
      <c r="H728" s="299">
        <v>45890</v>
      </c>
      <c r="I728" s="299">
        <v>46334</v>
      </c>
      <c r="J728" s="299">
        <v>46228</v>
      </c>
      <c r="K728" s="299">
        <v>46758</v>
      </c>
      <c r="L728" s="299">
        <v>46228</v>
      </c>
      <c r="M728" s="299">
        <v>46783</v>
      </c>
      <c r="N728" s="336">
        <v>0</v>
      </c>
      <c r="O728" s="336">
        <v>0.06</v>
      </c>
      <c r="P728" s="336">
        <v>0.14000000000000001</v>
      </c>
      <c r="Q728" s="336">
        <v>0.22000000000000003</v>
      </c>
      <c r="R728" s="373">
        <v>0.30000000000000004</v>
      </c>
      <c r="S728" s="397">
        <v>0.30000000000000004</v>
      </c>
      <c r="T728" s="336">
        <v>0.30000000000000004</v>
      </c>
      <c r="U728" s="336">
        <v>0.34</v>
      </c>
      <c r="V728" s="336">
        <v>0.38</v>
      </c>
      <c r="W728" s="336">
        <v>0.44</v>
      </c>
      <c r="X728" s="336">
        <v>0.49</v>
      </c>
      <c r="Y728" s="336">
        <v>0.54</v>
      </c>
      <c r="Z728" s="336">
        <v>0.60000000000000009</v>
      </c>
      <c r="AA728" s="336">
        <v>0.69000000000000006</v>
      </c>
      <c r="AB728" s="336">
        <v>0.78</v>
      </c>
      <c r="AC728" s="336">
        <v>0.87</v>
      </c>
      <c r="AD728" s="398">
        <v>0.96</v>
      </c>
      <c r="AE728" s="398">
        <v>1</v>
      </c>
      <c r="AF728" s="398">
        <v>1</v>
      </c>
      <c r="AG728" s="398">
        <v>1</v>
      </c>
      <c r="AH728" s="398">
        <v>1</v>
      </c>
      <c r="AI728" s="398">
        <v>1</v>
      </c>
      <c r="AJ728" s="398">
        <v>1</v>
      </c>
      <c r="AK728" s="398">
        <v>1</v>
      </c>
      <c r="AL728" s="398">
        <v>1</v>
      </c>
      <c r="AM728" s="398">
        <v>1</v>
      </c>
      <c r="AN728" s="398">
        <v>1</v>
      </c>
      <c r="AO728" s="398">
        <v>1</v>
      </c>
      <c r="AP728" s="398">
        <v>1</v>
      </c>
    </row>
    <row r="729" spans="2:42" s="216" customFormat="1" ht="25.5" hidden="1" outlineLevel="3">
      <c r="B729" s="255" t="s">
        <v>915</v>
      </c>
      <c r="C729" s="290" t="s">
        <v>247</v>
      </c>
      <c r="D729" s="227" t="s">
        <v>231</v>
      </c>
      <c r="E729" s="241">
        <v>16642305388</v>
      </c>
      <c r="F729" s="228">
        <f t="shared" si="1581"/>
        <v>4.4581817293365446E-2</v>
      </c>
      <c r="G729" s="269">
        <f t="shared" si="1573"/>
        <v>5.0280630863740053E-3</v>
      </c>
      <c r="H729" s="299">
        <v>45890</v>
      </c>
      <c r="I729" s="299">
        <v>46334</v>
      </c>
      <c r="J729" s="299">
        <v>45885</v>
      </c>
      <c r="K729" s="299">
        <v>46577</v>
      </c>
      <c r="L729" s="299">
        <v>45885</v>
      </c>
      <c r="M729" s="299">
        <v>46599</v>
      </c>
      <c r="N729" s="336">
        <v>0</v>
      </c>
      <c r="O729" s="336">
        <v>0.06</v>
      </c>
      <c r="P729" s="336">
        <v>0.31</v>
      </c>
      <c r="Q729" s="336">
        <v>0.39</v>
      </c>
      <c r="R729" s="373">
        <v>0.46</v>
      </c>
      <c r="S729" s="397">
        <v>0.52</v>
      </c>
      <c r="T729" s="336">
        <v>0.6</v>
      </c>
      <c r="U729" s="336">
        <v>0.65999999999999992</v>
      </c>
      <c r="V729" s="336">
        <v>0.73999999999999988</v>
      </c>
      <c r="W729" s="336">
        <v>0.83999999999999986</v>
      </c>
      <c r="X729" s="336">
        <v>0.91999999999999982</v>
      </c>
      <c r="Y729" s="336">
        <v>0.99999999999999978</v>
      </c>
      <c r="Z729" s="336">
        <v>0.99999999999999978</v>
      </c>
      <c r="AA729" s="336">
        <v>0.99999999999999978</v>
      </c>
      <c r="AB729" s="336">
        <v>0.99999999999999978</v>
      </c>
      <c r="AC729" s="336">
        <v>0.99999999999999978</v>
      </c>
      <c r="AD729" s="398">
        <v>0.99999999999999978</v>
      </c>
      <c r="AE729" s="398">
        <v>0.99999999999999978</v>
      </c>
      <c r="AF729" s="398">
        <v>0.99999999999999978</v>
      </c>
      <c r="AG729" s="398">
        <v>0.99999999999999978</v>
      </c>
      <c r="AH729" s="398">
        <v>0.99999999999999978</v>
      </c>
      <c r="AI729" s="398">
        <v>0.99999999999999978</v>
      </c>
      <c r="AJ729" s="398">
        <v>0.99999999999999978</v>
      </c>
      <c r="AK729" s="398">
        <v>0.99999999999999978</v>
      </c>
      <c r="AL729" s="398">
        <v>0.99999999999999978</v>
      </c>
      <c r="AM729" s="398">
        <v>0.99999999999999978</v>
      </c>
      <c r="AN729" s="398">
        <v>0.99999999999999978</v>
      </c>
      <c r="AO729" s="398">
        <v>0.99999999999999978</v>
      </c>
      <c r="AP729" s="398">
        <v>0.99999999999999978</v>
      </c>
    </row>
    <row r="730" spans="2:42" s="216" customFormat="1" ht="25.5" hidden="1" outlineLevel="3">
      <c r="B730" s="255" t="s">
        <v>916</v>
      </c>
      <c r="C730" s="290" t="s">
        <v>249</v>
      </c>
      <c r="D730" s="227" t="s">
        <v>231</v>
      </c>
      <c r="E730" s="241">
        <v>16642305388</v>
      </c>
      <c r="F730" s="228">
        <f t="shared" si="1581"/>
        <v>4.4581817293365446E-2</v>
      </c>
      <c r="G730" s="269">
        <f t="shared" si="1573"/>
        <v>5.0280630863740053E-3</v>
      </c>
      <c r="H730" s="299">
        <v>45911</v>
      </c>
      <c r="I730" s="299">
        <v>46497</v>
      </c>
      <c r="J730" s="299">
        <v>45885</v>
      </c>
      <c r="K730" s="299">
        <v>46577</v>
      </c>
      <c r="L730" s="299">
        <v>45885</v>
      </c>
      <c r="M730" s="299">
        <v>46599</v>
      </c>
      <c r="N730" s="336">
        <v>0</v>
      </c>
      <c r="O730" s="336">
        <v>0.06</v>
      </c>
      <c r="P730" s="336">
        <v>0.31</v>
      </c>
      <c r="Q730" s="336">
        <v>0.39</v>
      </c>
      <c r="R730" s="373">
        <v>0.46</v>
      </c>
      <c r="S730" s="397">
        <v>0.52</v>
      </c>
      <c r="T730" s="336">
        <v>0.6</v>
      </c>
      <c r="U730" s="336">
        <v>0.65999999999999992</v>
      </c>
      <c r="V730" s="336">
        <v>0.73999999999999988</v>
      </c>
      <c r="W730" s="336">
        <v>0.83999999999999986</v>
      </c>
      <c r="X730" s="336">
        <v>0.91999999999999982</v>
      </c>
      <c r="Y730" s="336">
        <v>0.99999999999999978</v>
      </c>
      <c r="Z730" s="336">
        <v>0.99999999999999978</v>
      </c>
      <c r="AA730" s="336">
        <v>0.99999999999999978</v>
      </c>
      <c r="AB730" s="336">
        <v>0.99999999999999978</v>
      </c>
      <c r="AC730" s="336">
        <v>0.99999999999999978</v>
      </c>
      <c r="AD730" s="398">
        <v>0.99999999999999978</v>
      </c>
      <c r="AE730" s="398">
        <v>0.99999999999999978</v>
      </c>
      <c r="AF730" s="398">
        <v>0.99999999999999978</v>
      </c>
      <c r="AG730" s="398">
        <v>0.99999999999999978</v>
      </c>
      <c r="AH730" s="398">
        <v>0.99999999999999978</v>
      </c>
      <c r="AI730" s="398">
        <v>0.99999999999999978</v>
      </c>
      <c r="AJ730" s="398">
        <v>0.99999999999999978</v>
      </c>
      <c r="AK730" s="398">
        <v>0.99999999999999978</v>
      </c>
      <c r="AL730" s="398">
        <v>0.99999999999999978</v>
      </c>
      <c r="AM730" s="398">
        <v>0.99999999999999978</v>
      </c>
      <c r="AN730" s="398">
        <v>0.99999999999999978</v>
      </c>
      <c r="AO730" s="398">
        <v>0.99999999999999978</v>
      </c>
      <c r="AP730" s="398">
        <v>0.99999999999999978</v>
      </c>
    </row>
    <row r="731" spans="2:42" s="216" customFormat="1" ht="25.5" hidden="1" outlineLevel="3">
      <c r="B731" s="255" t="s">
        <v>917</v>
      </c>
      <c r="C731" s="290" t="s">
        <v>251</v>
      </c>
      <c r="D731" s="227" t="s">
        <v>231</v>
      </c>
      <c r="E731" s="241">
        <v>16642305388</v>
      </c>
      <c r="F731" s="228">
        <f t="shared" si="1581"/>
        <v>4.4581817293365446E-2</v>
      </c>
      <c r="G731" s="269">
        <f t="shared" si="1573"/>
        <v>5.0280630863740053E-3</v>
      </c>
      <c r="H731" s="299">
        <v>45890</v>
      </c>
      <c r="I731" s="299">
        <v>46334</v>
      </c>
      <c r="J731" s="299">
        <v>45885</v>
      </c>
      <c r="K731" s="299">
        <v>46587</v>
      </c>
      <c r="L731" s="299">
        <v>45885</v>
      </c>
      <c r="M731" s="299">
        <v>46599</v>
      </c>
      <c r="N731" s="336">
        <v>0</v>
      </c>
      <c r="O731" s="336">
        <v>0.06</v>
      </c>
      <c r="P731" s="336">
        <v>0.31</v>
      </c>
      <c r="Q731" s="336">
        <v>0.39</v>
      </c>
      <c r="R731" s="373">
        <v>0.46</v>
      </c>
      <c r="S731" s="397">
        <v>0.52</v>
      </c>
      <c r="T731" s="336">
        <v>0.6</v>
      </c>
      <c r="U731" s="336">
        <v>0.65999999999999992</v>
      </c>
      <c r="V731" s="336">
        <v>0.73999999999999988</v>
      </c>
      <c r="W731" s="336">
        <v>0.83999999999999986</v>
      </c>
      <c r="X731" s="336">
        <v>0.91999999999999982</v>
      </c>
      <c r="Y731" s="336">
        <v>0.99999999999999978</v>
      </c>
      <c r="Z731" s="336">
        <v>0.99999999999999978</v>
      </c>
      <c r="AA731" s="336">
        <v>0.99999999999999978</v>
      </c>
      <c r="AB731" s="336">
        <v>0.99999999999999978</v>
      </c>
      <c r="AC731" s="336">
        <v>0.99999999999999978</v>
      </c>
      <c r="AD731" s="398">
        <v>0.99999999999999978</v>
      </c>
      <c r="AE731" s="398">
        <v>0.99999999999999978</v>
      </c>
      <c r="AF731" s="398">
        <v>0.99999999999999978</v>
      </c>
      <c r="AG731" s="398">
        <v>0.99999999999999978</v>
      </c>
      <c r="AH731" s="398">
        <v>0.99999999999999978</v>
      </c>
      <c r="AI731" s="398">
        <v>0.99999999999999978</v>
      </c>
      <c r="AJ731" s="398">
        <v>0.99999999999999978</v>
      </c>
      <c r="AK731" s="398">
        <v>0.99999999999999978</v>
      </c>
      <c r="AL731" s="398">
        <v>0.99999999999999978</v>
      </c>
      <c r="AM731" s="398">
        <v>0.99999999999999978</v>
      </c>
      <c r="AN731" s="398">
        <v>0.99999999999999978</v>
      </c>
      <c r="AO731" s="398">
        <v>0.99999999999999978</v>
      </c>
      <c r="AP731" s="398">
        <v>0.99999999999999978</v>
      </c>
    </row>
    <row r="732" spans="2:42" s="216" customFormat="1" ht="25.5" hidden="1" outlineLevel="3">
      <c r="B732" s="255" t="s">
        <v>918</v>
      </c>
      <c r="C732" s="290" t="s">
        <v>253</v>
      </c>
      <c r="D732" s="227" t="s">
        <v>231</v>
      </c>
      <c r="E732" s="241">
        <v>16642305388</v>
      </c>
      <c r="F732" s="228">
        <f t="shared" si="1581"/>
        <v>4.4581817293365446E-2</v>
      </c>
      <c r="G732" s="269">
        <f t="shared" si="1573"/>
        <v>5.0280630863740053E-3</v>
      </c>
      <c r="H732" s="299">
        <v>45911</v>
      </c>
      <c r="I732" s="299">
        <v>46497</v>
      </c>
      <c r="J732" s="299">
        <v>45885</v>
      </c>
      <c r="K732" s="299">
        <v>46587</v>
      </c>
      <c r="L732" s="299">
        <v>45885</v>
      </c>
      <c r="M732" s="299">
        <v>46599</v>
      </c>
      <c r="N732" s="336">
        <v>0</v>
      </c>
      <c r="O732" s="336">
        <v>0.06</v>
      </c>
      <c r="P732" s="336">
        <v>0.31</v>
      </c>
      <c r="Q732" s="336">
        <v>0.39</v>
      </c>
      <c r="R732" s="373">
        <v>0.46</v>
      </c>
      <c r="S732" s="397">
        <v>0.52</v>
      </c>
      <c r="T732" s="336">
        <v>0.6</v>
      </c>
      <c r="U732" s="336">
        <v>0.65999999999999992</v>
      </c>
      <c r="V732" s="336">
        <v>0.73999999999999988</v>
      </c>
      <c r="W732" s="336">
        <v>0.83999999999999986</v>
      </c>
      <c r="X732" s="336">
        <v>0.91999999999999982</v>
      </c>
      <c r="Y732" s="336">
        <v>0.99999999999999978</v>
      </c>
      <c r="Z732" s="336">
        <v>0.99999999999999978</v>
      </c>
      <c r="AA732" s="336">
        <v>0.99999999999999978</v>
      </c>
      <c r="AB732" s="336">
        <v>0.99999999999999978</v>
      </c>
      <c r="AC732" s="336">
        <v>0.99999999999999978</v>
      </c>
      <c r="AD732" s="398">
        <v>0.99999999999999978</v>
      </c>
      <c r="AE732" s="398">
        <v>0.99999999999999978</v>
      </c>
      <c r="AF732" s="398">
        <v>0.99999999999999978</v>
      </c>
      <c r="AG732" s="398">
        <v>0.99999999999999978</v>
      </c>
      <c r="AH732" s="398">
        <v>0.99999999999999978</v>
      </c>
      <c r="AI732" s="398">
        <v>0.99999999999999978</v>
      </c>
      <c r="AJ732" s="398">
        <v>0.99999999999999978</v>
      </c>
      <c r="AK732" s="398">
        <v>0.99999999999999978</v>
      </c>
      <c r="AL732" s="398">
        <v>0.99999999999999978</v>
      </c>
      <c r="AM732" s="398">
        <v>0.99999999999999978</v>
      </c>
      <c r="AN732" s="398">
        <v>0.99999999999999978</v>
      </c>
      <c r="AO732" s="398">
        <v>0.99999999999999978</v>
      </c>
      <c r="AP732" s="398">
        <v>0.99999999999999978</v>
      </c>
    </row>
    <row r="733" spans="2:42" s="216" customFormat="1" ht="25.5" hidden="1" outlineLevel="3">
      <c r="B733" s="255" t="s">
        <v>919</v>
      </c>
      <c r="C733" s="290" t="s">
        <v>255</v>
      </c>
      <c r="D733" s="227" t="s">
        <v>256</v>
      </c>
      <c r="E733" s="241">
        <v>21698797963</v>
      </c>
      <c r="F733" s="228">
        <f t="shared" si="1581"/>
        <v>5.8127274059616978E-2</v>
      </c>
      <c r="G733" s="269">
        <f t="shared" si="1573"/>
        <v>6.555757902094313E-3</v>
      </c>
      <c r="H733" s="299">
        <v>45911</v>
      </c>
      <c r="I733" s="299">
        <v>46501</v>
      </c>
      <c r="J733" s="299">
        <v>45885</v>
      </c>
      <c r="K733" s="299">
        <v>46548</v>
      </c>
      <c r="L733" s="299">
        <v>45885</v>
      </c>
      <c r="M733" s="299">
        <v>46599</v>
      </c>
      <c r="N733" s="336">
        <v>0</v>
      </c>
      <c r="O733" s="336">
        <v>0.06</v>
      </c>
      <c r="P733" s="336">
        <v>0.14000000000000001</v>
      </c>
      <c r="Q733" s="336">
        <v>0.14000000000000001</v>
      </c>
      <c r="R733" s="373">
        <v>0.14000000000000001</v>
      </c>
      <c r="S733" s="397">
        <v>0.14000000000000001</v>
      </c>
      <c r="T733" s="336">
        <v>0.14000000000000001</v>
      </c>
      <c r="U733" s="336">
        <v>0.18000000000000002</v>
      </c>
      <c r="V733" s="336">
        <v>0.38</v>
      </c>
      <c r="W733" s="336">
        <v>0.58000000000000007</v>
      </c>
      <c r="X733" s="336">
        <v>0.78</v>
      </c>
      <c r="Y733" s="336">
        <v>1</v>
      </c>
      <c r="Z733" s="336">
        <v>1</v>
      </c>
      <c r="AA733" s="336">
        <v>1</v>
      </c>
      <c r="AB733" s="336">
        <v>1</v>
      </c>
      <c r="AC733" s="336">
        <v>1</v>
      </c>
      <c r="AD733" s="398">
        <v>1</v>
      </c>
      <c r="AE733" s="398">
        <v>1</v>
      </c>
      <c r="AF733" s="398">
        <v>1</v>
      </c>
      <c r="AG733" s="398">
        <v>1</v>
      </c>
      <c r="AH733" s="398">
        <v>1</v>
      </c>
      <c r="AI733" s="398">
        <v>1</v>
      </c>
      <c r="AJ733" s="398">
        <v>1</v>
      </c>
      <c r="AK733" s="398">
        <v>1</v>
      </c>
      <c r="AL733" s="398">
        <v>1</v>
      </c>
      <c r="AM733" s="398">
        <v>1</v>
      </c>
      <c r="AN733" s="398">
        <v>1</v>
      </c>
      <c r="AO733" s="398">
        <v>1</v>
      </c>
      <c r="AP733" s="398">
        <v>1</v>
      </c>
    </row>
    <row r="734" spans="2:42" s="216" customFormat="1" ht="25.5" hidden="1" outlineLevel="3">
      <c r="B734" s="255" t="s">
        <v>920</v>
      </c>
      <c r="C734" s="290" t="s">
        <v>258</v>
      </c>
      <c r="D734" s="227" t="s">
        <v>256</v>
      </c>
      <c r="E734" s="241">
        <v>21698797963</v>
      </c>
      <c r="F734" s="228">
        <f t="shared" si="1581"/>
        <v>5.8127274059616978E-2</v>
      </c>
      <c r="G734" s="269">
        <f t="shared" si="1573"/>
        <v>6.555757902094313E-3</v>
      </c>
      <c r="H734" s="299">
        <v>45890</v>
      </c>
      <c r="I734" s="299">
        <v>46365</v>
      </c>
      <c r="J734" s="299">
        <v>45885</v>
      </c>
      <c r="K734" s="299">
        <v>46548</v>
      </c>
      <c r="L734" s="299">
        <v>45885</v>
      </c>
      <c r="M734" s="299">
        <v>46599</v>
      </c>
      <c r="N734" s="336">
        <v>0</v>
      </c>
      <c r="O734" s="336">
        <v>0.06</v>
      </c>
      <c r="P734" s="336">
        <v>0.14000000000000001</v>
      </c>
      <c r="Q734" s="336">
        <v>0.14000000000000001</v>
      </c>
      <c r="R734" s="373">
        <v>0.14000000000000001</v>
      </c>
      <c r="S734" s="397">
        <v>0.14000000000000001</v>
      </c>
      <c r="T734" s="336">
        <v>0.14000000000000001</v>
      </c>
      <c r="U734" s="336">
        <v>0.18000000000000002</v>
      </c>
      <c r="V734" s="336">
        <v>0.38</v>
      </c>
      <c r="W734" s="336">
        <v>0.58000000000000007</v>
      </c>
      <c r="X734" s="336">
        <v>0.78</v>
      </c>
      <c r="Y734" s="336">
        <v>1</v>
      </c>
      <c r="Z734" s="336">
        <v>1</v>
      </c>
      <c r="AA734" s="336">
        <v>1</v>
      </c>
      <c r="AB734" s="336">
        <v>1</v>
      </c>
      <c r="AC734" s="336">
        <v>1</v>
      </c>
      <c r="AD734" s="398">
        <v>1</v>
      </c>
      <c r="AE734" s="398">
        <v>1</v>
      </c>
      <c r="AF734" s="398">
        <v>1</v>
      </c>
      <c r="AG734" s="398">
        <v>1</v>
      </c>
      <c r="AH734" s="398">
        <v>1</v>
      </c>
      <c r="AI734" s="398">
        <v>1</v>
      </c>
      <c r="AJ734" s="398">
        <v>1</v>
      </c>
      <c r="AK734" s="398">
        <v>1</v>
      </c>
      <c r="AL734" s="398">
        <v>1</v>
      </c>
      <c r="AM734" s="398">
        <v>1</v>
      </c>
      <c r="AN734" s="398">
        <v>1</v>
      </c>
      <c r="AO734" s="398">
        <v>1</v>
      </c>
      <c r="AP734" s="398">
        <v>1</v>
      </c>
    </row>
    <row r="735" spans="2:42" s="216" customFormat="1" ht="25.5" hidden="1" outlineLevel="3">
      <c r="B735" s="255" t="s">
        <v>921</v>
      </c>
      <c r="C735" s="290" t="s">
        <v>260</v>
      </c>
      <c r="D735" s="227" t="s">
        <v>256</v>
      </c>
      <c r="E735" s="241">
        <v>21698797963</v>
      </c>
      <c r="F735" s="228">
        <f t="shared" si="1581"/>
        <v>5.8127274059616978E-2</v>
      </c>
      <c r="G735" s="269">
        <f t="shared" si="1573"/>
        <v>6.555757902094313E-3</v>
      </c>
      <c r="H735" s="299">
        <v>45911</v>
      </c>
      <c r="I735" s="299">
        <v>46501</v>
      </c>
      <c r="J735" s="299">
        <v>46174</v>
      </c>
      <c r="K735" s="299">
        <v>46758</v>
      </c>
      <c r="L735" s="299">
        <v>46174</v>
      </c>
      <c r="M735" s="299">
        <v>46783</v>
      </c>
      <c r="N735" s="336">
        <v>0</v>
      </c>
      <c r="O735" s="336">
        <v>0.06</v>
      </c>
      <c r="P735" s="336">
        <v>0.14000000000000001</v>
      </c>
      <c r="Q735" s="336">
        <v>0.22000000000000003</v>
      </c>
      <c r="R735" s="373">
        <v>0.30000000000000004</v>
      </c>
      <c r="S735" s="397">
        <v>0.30000000000000004</v>
      </c>
      <c r="T735" s="336">
        <v>0.30000000000000004</v>
      </c>
      <c r="U735" s="336">
        <v>0.34</v>
      </c>
      <c r="V735" s="336">
        <v>0.38</v>
      </c>
      <c r="W735" s="336">
        <v>0.44</v>
      </c>
      <c r="X735" s="336">
        <v>0.49</v>
      </c>
      <c r="Y735" s="336">
        <v>0.54</v>
      </c>
      <c r="Z735" s="336">
        <v>0.60000000000000009</v>
      </c>
      <c r="AA735" s="336">
        <v>0.69000000000000006</v>
      </c>
      <c r="AB735" s="336">
        <v>0.78</v>
      </c>
      <c r="AC735" s="336">
        <v>0.87</v>
      </c>
      <c r="AD735" s="398">
        <v>0.96</v>
      </c>
      <c r="AE735" s="398">
        <v>1</v>
      </c>
      <c r="AF735" s="398">
        <v>1</v>
      </c>
      <c r="AG735" s="398">
        <v>1</v>
      </c>
      <c r="AH735" s="398">
        <v>1</v>
      </c>
      <c r="AI735" s="398">
        <v>1</v>
      </c>
      <c r="AJ735" s="398">
        <v>1</v>
      </c>
      <c r="AK735" s="398">
        <v>1</v>
      </c>
      <c r="AL735" s="398">
        <v>1</v>
      </c>
      <c r="AM735" s="398">
        <v>1</v>
      </c>
      <c r="AN735" s="398">
        <v>1</v>
      </c>
      <c r="AO735" s="398">
        <v>1</v>
      </c>
      <c r="AP735" s="398">
        <v>1</v>
      </c>
    </row>
    <row r="736" spans="2:42" s="216" customFormat="1" ht="25.5" hidden="1" outlineLevel="3">
      <c r="B736" s="255" t="s">
        <v>922</v>
      </c>
      <c r="C736" s="290" t="s">
        <v>262</v>
      </c>
      <c r="D736" s="227" t="s">
        <v>256</v>
      </c>
      <c r="E736" s="241">
        <v>21698797963</v>
      </c>
      <c r="F736" s="228">
        <f t="shared" si="1581"/>
        <v>5.8127274059616978E-2</v>
      </c>
      <c r="G736" s="269">
        <f t="shared" si="1573"/>
        <v>6.555757902094313E-3</v>
      </c>
      <c r="H736" s="299">
        <v>45890</v>
      </c>
      <c r="I736" s="299">
        <v>46365</v>
      </c>
      <c r="J736" s="299">
        <v>45885</v>
      </c>
      <c r="K736" s="299">
        <v>46548</v>
      </c>
      <c r="L736" s="299">
        <v>45885</v>
      </c>
      <c r="M736" s="299">
        <v>46599</v>
      </c>
      <c r="N736" s="336">
        <v>0</v>
      </c>
      <c r="O736" s="336">
        <v>0.06</v>
      </c>
      <c r="P736" s="336">
        <v>0.14000000000000001</v>
      </c>
      <c r="Q736" s="336">
        <v>0.14000000000000001</v>
      </c>
      <c r="R736" s="373">
        <v>0.14000000000000001</v>
      </c>
      <c r="S736" s="397">
        <v>0.14000000000000001</v>
      </c>
      <c r="T736" s="336">
        <v>0.14000000000000001</v>
      </c>
      <c r="U736" s="336">
        <v>0.18000000000000002</v>
      </c>
      <c r="V736" s="336">
        <v>0.38</v>
      </c>
      <c r="W736" s="336">
        <v>0.58000000000000007</v>
      </c>
      <c r="X736" s="336">
        <v>0.78</v>
      </c>
      <c r="Y736" s="336">
        <v>1</v>
      </c>
      <c r="Z736" s="336">
        <v>1</v>
      </c>
      <c r="AA736" s="336">
        <v>1</v>
      </c>
      <c r="AB736" s="336">
        <v>1</v>
      </c>
      <c r="AC736" s="336">
        <v>1</v>
      </c>
      <c r="AD736" s="398">
        <v>1</v>
      </c>
      <c r="AE736" s="398">
        <v>1</v>
      </c>
      <c r="AF736" s="398">
        <v>1</v>
      </c>
      <c r="AG736" s="398">
        <v>1</v>
      </c>
      <c r="AH736" s="398">
        <v>1</v>
      </c>
      <c r="AI736" s="398">
        <v>1</v>
      </c>
      <c r="AJ736" s="398">
        <v>1</v>
      </c>
      <c r="AK736" s="398">
        <v>1</v>
      </c>
      <c r="AL736" s="398">
        <v>1</v>
      </c>
      <c r="AM736" s="398">
        <v>1</v>
      </c>
      <c r="AN736" s="398">
        <v>1</v>
      </c>
      <c r="AO736" s="398">
        <v>1</v>
      </c>
      <c r="AP736" s="398">
        <v>1</v>
      </c>
    </row>
    <row r="737" spans="2:42" s="216" customFormat="1" ht="25.5" hidden="1" outlineLevel="3">
      <c r="B737" s="255" t="s">
        <v>923</v>
      </c>
      <c r="C737" s="290" t="s">
        <v>264</v>
      </c>
      <c r="D737" s="227" t="s">
        <v>256</v>
      </c>
      <c r="E737" s="241">
        <v>21698797963</v>
      </c>
      <c r="F737" s="228">
        <f t="shared" si="1581"/>
        <v>5.8127274059616978E-2</v>
      </c>
      <c r="G737" s="269">
        <f t="shared" si="1573"/>
        <v>6.555757902094313E-3</v>
      </c>
      <c r="H737" s="299">
        <v>45890</v>
      </c>
      <c r="I737" s="299">
        <v>46365</v>
      </c>
      <c r="J737" s="299">
        <v>45885</v>
      </c>
      <c r="K737" s="299">
        <v>46587</v>
      </c>
      <c r="L737" s="299">
        <v>45885</v>
      </c>
      <c r="M737" s="299">
        <v>46599</v>
      </c>
      <c r="N737" s="336">
        <v>0</v>
      </c>
      <c r="O737" s="336">
        <v>0.06</v>
      </c>
      <c r="P737" s="336">
        <v>0.31</v>
      </c>
      <c r="Q737" s="336">
        <v>0.39</v>
      </c>
      <c r="R737" s="373">
        <v>0.46</v>
      </c>
      <c r="S737" s="397">
        <v>0.52</v>
      </c>
      <c r="T737" s="336">
        <v>0.6</v>
      </c>
      <c r="U737" s="336">
        <v>0.65999999999999992</v>
      </c>
      <c r="V737" s="336">
        <v>0.73999999999999988</v>
      </c>
      <c r="W737" s="336">
        <v>0.83999999999999986</v>
      </c>
      <c r="X737" s="336">
        <v>0.91999999999999982</v>
      </c>
      <c r="Y737" s="336">
        <v>0.99999999999999978</v>
      </c>
      <c r="Z737" s="336">
        <v>0.99999999999999978</v>
      </c>
      <c r="AA737" s="336">
        <v>0.99999999999999978</v>
      </c>
      <c r="AB737" s="336">
        <v>0.99999999999999978</v>
      </c>
      <c r="AC737" s="336">
        <v>0.99999999999999978</v>
      </c>
      <c r="AD737" s="398">
        <v>0.99999999999999978</v>
      </c>
      <c r="AE737" s="398">
        <v>0.99999999999999978</v>
      </c>
      <c r="AF737" s="398">
        <v>0.99999999999999978</v>
      </c>
      <c r="AG737" s="398">
        <v>0.99999999999999978</v>
      </c>
      <c r="AH737" s="398">
        <v>0.99999999999999978</v>
      </c>
      <c r="AI737" s="398">
        <v>0.99999999999999978</v>
      </c>
      <c r="AJ737" s="398">
        <v>0.99999999999999978</v>
      </c>
      <c r="AK737" s="398">
        <v>0.99999999999999978</v>
      </c>
      <c r="AL737" s="398">
        <v>0.99999999999999978</v>
      </c>
      <c r="AM737" s="398">
        <v>0.99999999999999978</v>
      </c>
      <c r="AN737" s="398">
        <v>0.99999999999999978</v>
      </c>
      <c r="AO737" s="398">
        <v>0.99999999999999978</v>
      </c>
      <c r="AP737" s="398">
        <v>0.99999999999999978</v>
      </c>
    </row>
    <row r="738" spans="2:42" s="216" customFormat="1" ht="25.5" hidden="1" outlineLevel="3">
      <c r="B738" s="255" t="s">
        <v>924</v>
      </c>
      <c r="C738" s="290" t="s">
        <v>266</v>
      </c>
      <c r="D738" s="227" t="s">
        <v>256</v>
      </c>
      <c r="E738" s="241">
        <v>21698797963</v>
      </c>
      <c r="F738" s="228">
        <f t="shared" si="1581"/>
        <v>5.8127274059616978E-2</v>
      </c>
      <c r="G738" s="269">
        <f t="shared" si="1573"/>
        <v>6.555757902094313E-3</v>
      </c>
      <c r="H738" s="299">
        <v>45911</v>
      </c>
      <c r="I738" s="299">
        <v>46501</v>
      </c>
      <c r="J738" s="299">
        <v>45885</v>
      </c>
      <c r="K738" s="299">
        <v>46587</v>
      </c>
      <c r="L738" s="299">
        <v>45885</v>
      </c>
      <c r="M738" s="299">
        <v>46599</v>
      </c>
      <c r="N738" s="336">
        <v>0</v>
      </c>
      <c r="O738" s="336">
        <v>0.06</v>
      </c>
      <c r="P738" s="336">
        <v>0.31</v>
      </c>
      <c r="Q738" s="336">
        <v>0.39</v>
      </c>
      <c r="R738" s="373">
        <v>0.46</v>
      </c>
      <c r="S738" s="397">
        <v>0.52</v>
      </c>
      <c r="T738" s="336">
        <v>0.6</v>
      </c>
      <c r="U738" s="336">
        <v>0.65999999999999992</v>
      </c>
      <c r="V738" s="336">
        <v>0.73999999999999988</v>
      </c>
      <c r="W738" s="336">
        <v>0.83999999999999986</v>
      </c>
      <c r="X738" s="336">
        <v>0.91999999999999982</v>
      </c>
      <c r="Y738" s="336">
        <v>0.99999999999999978</v>
      </c>
      <c r="Z738" s="336">
        <v>0.99999999999999978</v>
      </c>
      <c r="AA738" s="336">
        <v>0.99999999999999978</v>
      </c>
      <c r="AB738" s="336">
        <v>0.99999999999999978</v>
      </c>
      <c r="AC738" s="336">
        <v>0.99999999999999978</v>
      </c>
      <c r="AD738" s="398">
        <v>0.99999999999999978</v>
      </c>
      <c r="AE738" s="398">
        <v>0.99999999999999978</v>
      </c>
      <c r="AF738" s="398">
        <v>0.99999999999999978</v>
      </c>
      <c r="AG738" s="398">
        <v>0.99999999999999978</v>
      </c>
      <c r="AH738" s="398">
        <v>0.99999999999999978</v>
      </c>
      <c r="AI738" s="398">
        <v>0.99999999999999978</v>
      </c>
      <c r="AJ738" s="398">
        <v>0.99999999999999978</v>
      </c>
      <c r="AK738" s="398">
        <v>0.99999999999999978</v>
      </c>
      <c r="AL738" s="398">
        <v>0.99999999999999978</v>
      </c>
      <c r="AM738" s="398">
        <v>0.99999999999999978</v>
      </c>
      <c r="AN738" s="398">
        <v>0.99999999999999978</v>
      </c>
      <c r="AO738" s="398">
        <v>0.99999999999999978</v>
      </c>
      <c r="AP738" s="398">
        <v>0.99999999999999978</v>
      </c>
    </row>
    <row r="739" spans="2:42" s="216" customFormat="1" ht="25.5" hidden="1" outlineLevel="3">
      <c r="B739" s="255" t="s">
        <v>925</v>
      </c>
      <c r="C739" s="290" t="s">
        <v>268</v>
      </c>
      <c r="D739" s="227" t="s">
        <v>256</v>
      </c>
      <c r="E739" s="241">
        <v>21698797963</v>
      </c>
      <c r="F739" s="228">
        <f t="shared" si="1581"/>
        <v>5.8127274059616978E-2</v>
      </c>
      <c r="G739" s="269">
        <f t="shared" si="1573"/>
        <v>6.555757902094313E-3</v>
      </c>
      <c r="H739" s="299">
        <v>45890</v>
      </c>
      <c r="I739" s="299">
        <v>46365</v>
      </c>
      <c r="J739" s="299">
        <v>45885</v>
      </c>
      <c r="K739" s="299">
        <v>46599</v>
      </c>
      <c r="L739" s="299">
        <v>45885</v>
      </c>
      <c r="M739" s="299">
        <v>46599</v>
      </c>
      <c r="N739" s="336">
        <v>0</v>
      </c>
      <c r="O739" s="336">
        <v>0.06</v>
      </c>
      <c r="P739" s="336">
        <v>0.31</v>
      </c>
      <c r="Q739" s="336">
        <v>0.39</v>
      </c>
      <c r="R739" s="373">
        <v>0.46</v>
      </c>
      <c r="S739" s="397">
        <v>0.52</v>
      </c>
      <c r="T739" s="336">
        <v>0.6</v>
      </c>
      <c r="U739" s="336">
        <v>0.65999999999999992</v>
      </c>
      <c r="V739" s="336">
        <v>0.73999999999999988</v>
      </c>
      <c r="W739" s="336">
        <v>0.83999999999999986</v>
      </c>
      <c r="X739" s="336">
        <v>0.91999999999999982</v>
      </c>
      <c r="Y739" s="336">
        <v>0.99999999999999978</v>
      </c>
      <c r="Z739" s="336">
        <v>0.99999999999999978</v>
      </c>
      <c r="AA739" s="336">
        <v>0.99999999999999978</v>
      </c>
      <c r="AB739" s="336">
        <v>0.99999999999999978</v>
      </c>
      <c r="AC739" s="336">
        <v>0.99999999999999978</v>
      </c>
      <c r="AD739" s="398">
        <v>0.99999999999999978</v>
      </c>
      <c r="AE739" s="398">
        <v>0.99999999999999978</v>
      </c>
      <c r="AF739" s="398">
        <v>0.99999999999999978</v>
      </c>
      <c r="AG739" s="398">
        <v>0.99999999999999978</v>
      </c>
      <c r="AH739" s="398">
        <v>0.99999999999999978</v>
      </c>
      <c r="AI739" s="398">
        <v>0.99999999999999978</v>
      </c>
      <c r="AJ739" s="398">
        <v>0.99999999999999978</v>
      </c>
      <c r="AK739" s="398">
        <v>0.99999999999999978</v>
      </c>
      <c r="AL739" s="398">
        <v>0.99999999999999978</v>
      </c>
      <c r="AM739" s="398">
        <v>0.99999999999999978</v>
      </c>
      <c r="AN739" s="398">
        <v>0.99999999999999978</v>
      </c>
      <c r="AO739" s="398">
        <v>0.99999999999999978</v>
      </c>
      <c r="AP739" s="398">
        <v>0.99999999999999978</v>
      </c>
    </row>
    <row r="740" spans="2:42" s="216" customFormat="1" ht="25.5" hidden="1" outlineLevel="3">
      <c r="B740" s="255" t="s">
        <v>926</v>
      </c>
      <c r="C740" s="290" t="s">
        <v>270</v>
      </c>
      <c r="D740" s="227" t="s">
        <v>256</v>
      </c>
      <c r="E740" s="241">
        <v>21698797964</v>
      </c>
      <c r="F740" s="228">
        <f t="shared" si="1581"/>
        <v>5.8127274062295807E-2</v>
      </c>
      <c r="G740" s="269">
        <f t="shared" si="1573"/>
        <v>6.5557579023964386E-3</v>
      </c>
      <c r="H740" s="299">
        <v>45911</v>
      </c>
      <c r="I740" s="299">
        <v>46501</v>
      </c>
      <c r="J740" s="299">
        <v>45885</v>
      </c>
      <c r="K740" s="299">
        <v>46599</v>
      </c>
      <c r="L740" s="299">
        <v>45885</v>
      </c>
      <c r="M740" s="299">
        <v>46599</v>
      </c>
      <c r="N740" s="336">
        <v>0</v>
      </c>
      <c r="O740" s="336">
        <v>0.06</v>
      </c>
      <c r="P740" s="336">
        <v>0.31</v>
      </c>
      <c r="Q740" s="336">
        <v>0.39</v>
      </c>
      <c r="R740" s="373">
        <v>0.46</v>
      </c>
      <c r="S740" s="397">
        <v>0.52</v>
      </c>
      <c r="T740" s="336">
        <v>0.6</v>
      </c>
      <c r="U740" s="336">
        <v>0.65999999999999992</v>
      </c>
      <c r="V740" s="336">
        <v>0.73999999999999988</v>
      </c>
      <c r="W740" s="336">
        <v>0.83999999999999986</v>
      </c>
      <c r="X740" s="336">
        <v>0.91999999999999982</v>
      </c>
      <c r="Y740" s="336">
        <v>0.99999999999999978</v>
      </c>
      <c r="Z740" s="336">
        <v>0.99999999999999978</v>
      </c>
      <c r="AA740" s="336">
        <v>0.99999999999999978</v>
      </c>
      <c r="AB740" s="336">
        <v>0.99999999999999978</v>
      </c>
      <c r="AC740" s="336">
        <v>0.99999999999999978</v>
      </c>
      <c r="AD740" s="398">
        <v>0.99999999999999978</v>
      </c>
      <c r="AE740" s="398">
        <v>0.99999999999999978</v>
      </c>
      <c r="AF740" s="398">
        <v>0.99999999999999978</v>
      </c>
      <c r="AG740" s="398">
        <v>0.99999999999999978</v>
      </c>
      <c r="AH740" s="398">
        <v>0.99999999999999978</v>
      </c>
      <c r="AI740" s="398">
        <v>0.99999999999999978</v>
      </c>
      <c r="AJ740" s="398">
        <v>0.99999999999999978</v>
      </c>
      <c r="AK740" s="398">
        <v>0.99999999999999978</v>
      </c>
      <c r="AL740" s="398">
        <v>0.99999999999999978</v>
      </c>
      <c r="AM740" s="398">
        <v>0.99999999999999978</v>
      </c>
      <c r="AN740" s="398">
        <v>0.99999999999999978</v>
      </c>
      <c r="AO740" s="398">
        <v>0.99999999999999978</v>
      </c>
      <c r="AP740" s="398">
        <v>0.99999999999999978</v>
      </c>
    </row>
    <row r="741" spans="2:42" s="216" customFormat="1" ht="25.5" hidden="1" outlineLevel="2">
      <c r="B741" s="291" t="s">
        <v>927</v>
      </c>
      <c r="C741" s="292" t="s">
        <v>35</v>
      </c>
      <c r="D741" s="234" t="s">
        <v>33</v>
      </c>
      <c r="E741" s="240">
        <f>SUM(E742:E767)</f>
        <v>448685799322</v>
      </c>
      <c r="F741" s="223">
        <f t="shared" si="1580"/>
        <v>0.23125330456717236</v>
      </c>
      <c r="G741" s="293">
        <f t="shared" si="1573"/>
        <v>0.1355593742786306</v>
      </c>
      <c r="H741" s="298">
        <v>45901</v>
      </c>
      <c r="I741" s="298">
        <v>46507</v>
      </c>
      <c r="J741" s="298">
        <v>45926</v>
      </c>
      <c r="K741" s="298">
        <v>46731</v>
      </c>
      <c r="L741" s="298">
        <f>MIN(L742:L767)</f>
        <v>45926</v>
      </c>
      <c r="M741" s="298">
        <v>46660</v>
      </c>
      <c r="N741" s="270">
        <v>0</v>
      </c>
      <c r="O741" s="270">
        <v>0.28999899340143009</v>
      </c>
      <c r="P741" s="270">
        <v>0.32238889167827611</v>
      </c>
      <c r="Q741" s="270">
        <v>0.35953565255324532</v>
      </c>
      <c r="R741" s="370">
        <v>0.38506681871186726</v>
      </c>
      <c r="S741" s="391">
        <v>0.39391679563860804</v>
      </c>
      <c r="T741" s="270">
        <v>0.3983417841019784</v>
      </c>
      <c r="U741" s="270">
        <v>0.44612911631881563</v>
      </c>
      <c r="V741" s="270">
        <v>0.52612883863645155</v>
      </c>
      <c r="W741" s="270">
        <v>0.63949093941784985</v>
      </c>
      <c r="X741" s="270">
        <v>0.77506546501034235</v>
      </c>
      <c r="Y741" s="270">
        <v>0.91400247319748362</v>
      </c>
      <c r="Z741" s="270">
        <v>0.98408971271965728</v>
      </c>
      <c r="AA741" s="270">
        <v>0.99966465483569589</v>
      </c>
      <c r="AB741" s="270">
        <v>0.99966465483569589</v>
      </c>
      <c r="AC741" s="270">
        <v>0.99966465483569589</v>
      </c>
      <c r="AD741" s="392">
        <v>0.99966465483569589</v>
      </c>
      <c r="AE741" s="392">
        <v>0.99966465483569589</v>
      </c>
      <c r="AF741" s="392">
        <v>0.99966465483569589</v>
      </c>
      <c r="AG741" s="392">
        <v>0.99966465483569589</v>
      </c>
      <c r="AH741" s="392">
        <v>0.99966465483569589</v>
      </c>
      <c r="AI741" s="392">
        <v>0.99966465483569589</v>
      </c>
      <c r="AJ741" s="392">
        <v>0.99966465483569589</v>
      </c>
      <c r="AK741" s="392">
        <v>0.99966465483569589</v>
      </c>
      <c r="AL741" s="392">
        <v>0.99966465483569589</v>
      </c>
      <c r="AM741" s="392">
        <v>0.99966465483569589</v>
      </c>
      <c r="AN741" s="392">
        <v>0.99966465483569589</v>
      </c>
      <c r="AO741" s="392">
        <v>0.99966465483569589</v>
      </c>
      <c r="AP741" s="392">
        <v>0.99966465483569589</v>
      </c>
    </row>
    <row r="742" spans="2:42" s="216" customFormat="1" ht="25.5" hidden="1" outlineLevel="3">
      <c r="B742" s="255" t="s">
        <v>907</v>
      </c>
      <c r="C742" s="290" t="s">
        <v>230</v>
      </c>
      <c r="D742" s="227" t="s">
        <v>231</v>
      </c>
      <c r="E742" s="241">
        <v>16512532797</v>
      </c>
      <c r="F742" s="228">
        <f>E742/$E$741</f>
        <v>3.6801995565609057E-2</v>
      </c>
      <c r="G742" s="269">
        <f t="shared" si="1573"/>
        <v>4.9888554910789027E-3</v>
      </c>
      <c r="H742" s="299">
        <v>45910</v>
      </c>
      <c r="I742" s="299">
        <v>46477</v>
      </c>
      <c r="J742" s="299">
        <v>45926</v>
      </c>
      <c r="K742" s="299">
        <v>46554</v>
      </c>
      <c r="L742" s="299">
        <v>45926</v>
      </c>
      <c r="M742" s="299">
        <v>46599</v>
      </c>
      <c r="N742" s="272">
        <v>0</v>
      </c>
      <c r="O742" s="272">
        <v>0.28999999999999998</v>
      </c>
      <c r="P742" s="272">
        <v>0.36599999999999999</v>
      </c>
      <c r="Q742" s="272">
        <v>0.46350000000000002</v>
      </c>
      <c r="R742" s="372">
        <v>0.50850000000000006</v>
      </c>
      <c r="S742" s="395">
        <v>0.5485000000000001</v>
      </c>
      <c r="T742" s="272">
        <v>0.56850000000000012</v>
      </c>
      <c r="U742" s="272">
        <v>0.60850000000000015</v>
      </c>
      <c r="V742" s="272">
        <v>0.68850000000000011</v>
      </c>
      <c r="W742" s="272">
        <v>0.77850000000000008</v>
      </c>
      <c r="X742" s="272">
        <v>0.89850000000000008</v>
      </c>
      <c r="Y742" s="272">
        <v>1</v>
      </c>
      <c r="Z742" s="272">
        <v>1</v>
      </c>
      <c r="AA742" s="272">
        <v>1</v>
      </c>
      <c r="AB742" s="272">
        <v>1</v>
      </c>
      <c r="AC742" s="272">
        <v>1</v>
      </c>
      <c r="AD742" s="396">
        <v>1</v>
      </c>
      <c r="AE742" s="396">
        <v>1</v>
      </c>
      <c r="AF742" s="396">
        <v>1</v>
      </c>
      <c r="AG742" s="396">
        <v>1</v>
      </c>
      <c r="AH742" s="396">
        <v>1</v>
      </c>
      <c r="AI742" s="396">
        <v>1</v>
      </c>
      <c r="AJ742" s="396">
        <v>1</v>
      </c>
      <c r="AK742" s="396">
        <v>1</v>
      </c>
      <c r="AL742" s="396">
        <v>1</v>
      </c>
      <c r="AM742" s="396">
        <v>1</v>
      </c>
      <c r="AN742" s="396">
        <v>1</v>
      </c>
      <c r="AO742" s="396">
        <v>1</v>
      </c>
      <c r="AP742" s="396">
        <v>1</v>
      </c>
    </row>
    <row r="743" spans="2:42" s="216" customFormat="1" ht="25.5" hidden="1" outlineLevel="3">
      <c r="B743" s="255" t="s">
        <v>908</v>
      </c>
      <c r="C743" s="290" t="s">
        <v>233</v>
      </c>
      <c r="D743" s="227" t="s">
        <v>231</v>
      </c>
      <c r="E743" s="241">
        <v>16512532797</v>
      </c>
      <c r="F743" s="228">
        <f t="shared" ref="F743:F767" si="1582">E743/$E$741</f>
        <v>3.6801995565609057E-2</v>
      </c>
      <c r="G743" s="269">
        <f t="shared" si="1573"/>
        <v>4.9888554910789027E-3</v>
      </c>
      <c r="H743" s="299">
        <v>45901</v>
      </c>
      <c r="I743" s="299">
        <v>46483</v>
      </c>
      <c r="J743" s="299">
        <v>45926</v>
      </c>
      <c r="K743" s="299">
        <v>46585</v>
      </c>
      <c r="L743" s="299">
        <v>45926</v>
      </c>
      <c r="M743" s="299">
        <v>46660</v>
      </c>
      <c r="N743" s="272">
        <v>0</v>
      </c>
      <c r="O743" s="272">
        <v>0.28999999999999998</v>
      </c>
      <c r="P743" s="272">
        <v>0.31</v>
      </c>
      <c r="Q743" s="272">
        <v>0.33</v>
      </c>
      <c r="R743" s="372">
        <v>0.35000000000000003</v>
      </c>
      <c r="S743" s="395">
        <v>0.35000000000000003</v>
      </c>
      <c r="T743" s="272">
        <v>0.35000000000000003</v>
      </c>
      <c r="U743" s="272">
        <v>0.4</v>
      </c>
      <c r="V743" s="272">
        <v>0.48000000000000004</v>
      </c>
      <c r="W743" s="272">
        <v>0.60000000000000009</v>
      </c>
      <c r="X743" s="272">
        <v>0.7400000000000001</v>
      </c>
      <c r="Y743" s="272">
        <v>0.89000000000000012</v>
      </c>
      <c r="Z743" s="272">
        <v>0.98000000000000009</v>
      </c>
      <c r="AA743" s="272">
        <v>1</v>
      </c>
      <c r="AB743" s="272">
        <v>1</v>
      </c>
      <c r="AC743" s="272">
        <v>1</v>
      </c>
      <c r="AD743" s="396">
        <v>1</v>
      </c>
      <c r="AE743" s="396">
        <v>1</v>
      </c>
      <c r="AF743" s="396">
        <v>1</v>
      </c>
      <c r="AG743" s="396">
        <v>1</v>
      </c>
      <c r="AH743" s="396">
        <v>1</v>
      </c>
      <c r="AI743" s="396">
        <v>1</v>
      </c>
      <c r="AJ743" s="396">
        <v>1</v>
      </c>
      <c r="AK743" s="396">
        <v>1</v>
      </c>
      <c r="AL743" s="396">
        <v>1</v>
      </c>
      <c r="AM743" s="396">
        <v>1</v>
      </c>
      <c r="AN743" s="396">
        <v>1</v>
      </c>
      <c r="AO743" s="396">
        <v>1</v>
      </c>
      <c r="AP743" s="396">
        <v>1</v>
      </c>
    </row>
    <row r="744" spans="2:42" s="216" customFormat="1" ht="25.5" hidden="1" outlineLevel="3">
      <c r="B744" s="255" t="s">
        <v>909</v>
      </c>
      <c r="C744" s="290" t="s">
        <v>235</v>
      </c>
      <c r="D744" s="227" t="s">
        <v>231</v>
      </c>
      <c r="E744" s="241">
        <v>16512532797</v>
      </c>
      <c r="F744" s="228">
        <f t="shared" si="1582"/>
        <v>3.6801995565609057E-2</v>
      </c>
      <c r="G744" s="269">
        <f t="shared" si="1573"/>
        <v>4.9888554910789027E-3</v>
      </c>
      <c r="H744" s="299">
        <v>45905</v>
      </c>
      <c r="I744" s="299">
        <v>46477</v>
      </c>
      <c r="J744" s="299">
        <v>45926</v>
      </c>
      <c r="K744" s="299">
        <v>46546</v>
      </c>
      <c r="L744" s="299">
        <v>45926</v>
      </c>
      <c r="M744" s="299">
        <v>46599</v>
      </c>
      <c r="N744" s="272">
        <v>0</v>
      </c>
      <c r="O744" s="272">
        <v>0.28999999999999998</v>
      </c>
      <c r="P744" s="272">
        <v>0.36599999999999999</v>
      </c>
      <c r="Q744" s="272">
        <v>0.46350000000000002</v>
      </c>
      <c r="R744" s="372">
        <v>0.50850000000000006</v>
      </c>
      <c r="S744" s="395">
        <v>0.5485000000000001</v>
      </c>
      <c r="T744" s="272">
        <v>0.56850000000000012</v>
      </c>
      <c r="U744" s="272">
        <v>0.60850000000000015</v>
      </c>
      <c r="V744" s="272">
        <v>0.68850000000000011</v>
      </c>
      <c r="W744" s="272">
        <v>0.77850000000000008</v>
      </c>
      <c r="X744" s="272">
        <v>0.89850000000000008</v>
      </c>
      <c r="Y744" s="272">
        <v>1</v>
      </c>
      <c r="Z744" s="272">
        <v>1</v>
      </c>
      <c r="AA744" s="272">
        <v>1</v>
      </c>
      <c r="AB744" s="272">
        <v>1</v>
      </c>
      <c r="AC744" s="272">
        <v>1</v>
      </c>
      <c r="AD744" s="396">
        <v>1</v>
      </c>
      <c r="AE744" s="396">
        <v>1</v>
      </c>
      <c r="AF744" s="396">
        <v>1</v>
      </c>
      <c r="AG744" s="396">
        <v>1</v>
      </c>
      <c r="AH744" s="396">
        <v>1</v>
      </c>
      <c r="AI744" s="396">
        <v>1</v>
      </c>
      <c r="AJ744" s="396">
        <v>1</v>
      </c>
      <c r="AK744" s="396">
        <v>1</v>
      </c>
      <c r="AL744" s="396">
        <v>1</v>
      </c>
      <c r="AM744" s="396">
        <v>1</v>
      </c>
      <c r="AN744" s="396">
        <v>1</v>
      </c>
      <c r="AO744" s="396">
        <v>1</v>
      </c>
      <c r="AP744" s="396">
        <v>1</v>
      </c>
    </row>
    <row r="745" spans="2:42" s="216" customFormat="1" ht="25.5" hidden="1" outlineLevel="3">
      <c r="B745" s="255" t="s">
        <v>910</v>
      </c>
      <c r="C745" s="290" t="s">
        <v>237</v>
      </c>
      <c r="D745" s="227" t="s">
        <v>231</v>
      </c>
      <c r="E745" s="241">
        <v>16512532797</v>
      </c>
      <c r="F745" s="228">
        <f t="shared" si="1582"/>
        <v>3.6801995565609057E-2</v>
      </c>
      <c r="G745" s="269">
        <f t="shared" si="1573"/>
        <v>4.9888554910789027E-3</v>
      </c>
      <c r="H745" s="299">
        <v>45925</v>
      </c>
      <c r="I745" s="299">
        <v>46507</v>
      </c>
      <c r="J745" s="299">
        <v>45926</v>
      </c>
      <c r="K745" s="299">
        <v>46585</v>
      </c>
      <c r="L745" s="299">
        <v>45926</v>
      </c>
      <c r="M745" s="299">
        <v>46599</v>
      </c>
      <c r="N745" s="272">
        <v>0</v>
      </c>
      <c r="O745" s="272">
        <v>0.28999999999999998</v>
      </c>
      <c r="P745" s="272">
        <v>0.36599999999999999</v>
      </c>
      <c r="Q745" s="272">
        <v>0.46350000000000002</v>
      </c>
      <c r="R745" s="372">
        <v>0.50850000000000006</v>
      </c>
      <c r="S745" s="395">
        <v>0.5485000000000001</v>
      </c>
      <c r="T745" s="272">
        <v>0.56850000000000012</v>
      </c>
      <c r="U745" s="272">
        <v>0.60850000000000015</v>
      </c>
      <c r="V745" s="272">
        <v>0.68850000000000011</v>
      </c>
      <c r="W745" s="272">
        <v>0.77850000000000008</v>
      </c>
      <c r="X745" s="272">
        <v>0.89850000000000008</v>
      </c>
      <c r="Y745" s="272">
        <v>1</v>
      </c>
      <c r="Z745" s="272">
        <v>1</v>
      </c>
      <c r="AA745" s="272">
        <v>1</v>
      </c>
      <c r="AB745" s="272">
        <v>1</v>
      </c>
      <c r="AC745" s="272">
        <v>1</v>
      </c>
      <c r="AD745" s="396">
        <v>1</v>
      </c>
      <c r="AE745" s="396">
        <v>1</v>
      </c>
      <c r="AF745" s="396">
        <v>1</v>
      </c>
      <c r="AG745" s="396">
        <v>1</v>
      </c>
      <c r="AH745" s="396">
        <v>1</v>
      </c>
      <c r="AI745" s="396">
        <v>1</v>
      </c>
      <c r="AJ745" s="396">
        <v>1</v>
      </c>
      <c r="AK745" s="396">
        <v>1</v>
      </c>
      <c r="AL745" s="396">
        <v>1</v>
      </c>
      <c r="AM745" s="396">
        <v>1</v>
      </c>
      <c r="AN745" s="396">
        <v>1</v>
      </c>
      <c r="AO745" s="396">
        <v>1</v>
      </c>
      <c r="AP745" s="396">
        <v>1</v>
      </c>
    </row>
    <row r="746" spans="2:42" s="216" customFormat="1" ht="25.5" hidden="1" outlineLevel="3">
      <c r="B746" s="255" t="s">
        <v>911</v>
      </c>
      <c r="C746" s="290" t="s">
        <v>239</v>
      </c>
      <c r="D746" s="227" t="s">
        <v>231</v>
      </c>
      <c r="E746" s="241">
        <v>16512532797</v>
      </c>
      <c r="F746" s="228">
        <f t="shared" si="1582"/>
        <v>3.6801995565609057E-2</v>
      </c>
      <c r="G746" s="269">
        <f t="shared" si="1573"/>
        <v>4.9888554910789027E-3</v>
      </c>
      <c r="H746" s="299">
        <v>45925</v>
      </c>
      <c r="I746" s="299">
        <v>46507</v>
      </c>
      <c r="J746" s="299">
        <v>45926</v>
      </c>
      <c r="K746" s="299">
        <v>46585</v>
      </c>
      <c r="L746" s="299">
        <v>45926</v>
      </c>
      <c r="M746" s="299">
        <v>46599</v>
      </c>
      <c r="N746" s="272">
        <v>0</v>
      </c>
      <c r="O746" s="272">
        <v>0.28999999999999998</v>
      </c>
      <c r="P746" s="272">
        <v>0.36599999999999999</v>
      </c>
      <c r="Q746" s="272">
        <v>0.46350000000000002</v>
      </c>
      <c r="R746" s="372">
        <v>0.50850000000000006</v>
      </c>
      <c r="S746" s="395">
        <v>0.5485000000000001</v>
      </c>
      <c r="T746" s="272">
        <v>0.56850000000000012</v>
      </c>
      <c r="U746" s="272">
        <v>0.60850000000000015</v>
      </c>
      <c r="V746" s="272">
        <v>0.68850000000000011</v>
      </c>
      <c r="W746" s="272">
        <v>0.77850000000000008</v>
      </c>
      <c r="X746" s="272">
        <v>0.89850000000000008</v>
      </c>
      <c r="Y746" s="272">
        <v>1</v>
      </c>
      <c r="Z746" s="272">
        <v>1</v>
      </c>
      <c r="AA746" s="272">
        <v>1</v>
      </c>
      <c r="AB746" s="272">
        <v>1</v>
      </c>
      <c r="AC746" s="272">
        <v>1</v>
      </c>
      <c r="AD746" s="396">
        <v>1</v>
      </c>
      <c r="AE746" s="396">
        <v>1</v>
      </c>
      <c r="AF746" s="396">
        <v>1</v>
      </c>
      <c r="AG746" s="396">
        <v>1</v>
      </c>
      <c r="AH746" s="396">
        <v>1</v>
      </c>
      <c r="AI746" s="396">
        <v>1</v>
      </c>
      <c r="AJ746" s="396">
        <v>1</v>
      </c>
      <c r="AK746" s="396">
        <v>1</v>
      </c>
      <c r="AL746" s="396">
        <v>1</v>
      </c>
      <c r="AM746" s="396">
        <v>1</v>
      </c>
      <c r="AN746" s="396">
        <v>1</v>
      </c>
      <c r="AO746" s="396">
        <v>1</v>
      </c>
      <c r="AP746" s="396">
        <v>1</v>
      </c>
    </row>
    <row r="747" spans="2:42" s="216" customFormat="1" ht="25.5" hidden="1" outlineLevel="3">
      <c r="B747" s="255" t="s">
        <v>912</v>
      </c>
      <c r="C747" s="290" t="s">
        <v>241</v>
      </c>
      <c r="D747" s="227" t="s">
        <v>231</v>
      </c>
      <c r="E747" s="241">
        <v>16512532797</v>
      </c>
      <c r="F747" s="228">
        <f t="shared" si="1582"/>
        <v>3.6801995565609057E-2</v>
      </c>
      <c r="G747" s="269">
        <f t="shared" si="1573"/>
        <v>4.9888554910789027E-3</v>
      </c>
      <c r="H747" s="299">
        <v>45908</v>
      </c>
      <c r="I747" s="299">
        <v>46483</v>
      </c>
      <c r="J747" s="299">
        <v>45926</v>
      </c>
      <c r="K747" s="299">
        <v>46554</v>
      </c>
      <c r="L747" s="299">
        <v>45926</v>
      </c>
      <c r="M747" s="299">
        <v>46599</v>
      </c>
      <c r="N747" s="272">
        <v>0</v>
      </c>
      <c r="O747" s="272">
        <v>0.28999999999999998</v>
      </c>
      <c r="P747" s="272">
        <v>0.36599999999999999</v>
      </c>
      <c r="Q747" s="272">
        <v>0.46350000000000002</v>
      </c>
      <c r="R747" s="372">
        <v>0.50850000000000006</v>
      </c>
      <c r="S747" s="395">
        <v>0.5485000000000001</v>
      </c>
      <c r="T747" s="272">
        <v>0.56850000000000012</v>
      </c>
      <c r="U747" s="272">
        <v>0.60850000000000015</v>
      </c>
      <c r="V747" s="272">
        <v>0.68850000000000011</v>
      </c>
      <c r="W747" s="272">
        <v>0.77850000000000008</v>
      </c>
      <c r="X747" s="272">
        <v>0.89850000000000008</v>
      </c>
      <c r="Y747" s="272">
        <v>1</v>
      </c>
      <c r="Z747" s="272">
        <v>1</v>
      </c>
      <c r="AA747" s="272">
        <v>1</v>
      </c>
      <c r="AB747" s="272">
        <v>1</v>
      </c>
      <c r="AC747" s="272">
        <v>1</v>
      </c>
      <c r="AD747" s="396">
        <v>1</v>
      </c>
      <c r="AE747" s="396">
        <v>1</v>
      </c>
      <c r="AF747" s="396">
        <v>1</v>
      </c>
      <c r="AG747" s="396">
        <v>1</v>
      </c>
      <c r="AH747" s="396">
        <v>1</v>
      </c>
      <c r="AI747" s="396">
        <v>1</v>
      </c>
      <c r="AJ747" s="396">
        <v>1</v>
      </c>
      <c r="AK747" s="396">
        <v>1</v>
      </c>
      <c r="AL747" s="396">
        <v>1</v>
      </c>
      <c r="AM747" s="396">
        <v>1</v>
      </c>
      <c r="AN747" s="396">
        <v>1</v>
      </c>
      <c r="AO747" s="396">
        <v>1</v>
      </c>
      <c r="AP747" s="396">
        <v>1</v>
      </c>
    </row>
    <row r="748" spans="2:42" s="216" customFormat="1" ht="25.5" hidden="1" outlineLevel="3">
      <c r="B748" s="255" t="s">
        <v>913</v>
      </c>
      <c r="C748" s="290" t="s">
        <v>243</v>
      </c>
      <c r="D748" s="227" t="s">
        <v>231</v>
      </c>
      <c r="E748" s="241">
        <v>16512532797</v>
      </c>
      <c r="F748" s="228">
        <f t="shared" si="1582"/>
        <v>3.6801995565609057E-2</v>
      </c>
      <c r="G748" s="269">
        <f t="shared" si="1573"/>
        <v>4.9888554910789027E-3</v>
      </c>
      <c r="H748" s="299">
        <v>45901</v>
      </c>
      <c r="I748" s="299">
        <v>46483</v>
      </c>
      <c r="J748" s="299">
        <v>45926</v>
      </c>
      <c r="K748" s="299">
        <v>46552</v>
      </c>
      <c r="L748" s="299">
        <v>45926</v>
      </c>
      <c r="M748" s="299">
        <v>46660</v>
      </c>
      <c r="N748" s="272">
        <v>0</v>
      </c>
      <c r="O748" s="272">
        <v>0.28999999999999998</v>
      </c>
      <c r="P748" s="272">
        <v>0.31</v>
      </c>
      <c r="Q748" s="272">
        <v>0.33</v>
      </c>
      <c r="R748" s="372">
        <v>0.35000000000000003</v>
      </c>
      <c r="S748" s="395">
        <v>0.35000000000000003</v>
      </c>
      <c r="T748" s="272">
        <v>0.35000000000000003</v>
      </c>
      <c r="U748" s="272">
        <v>0.4</v>
      </c>
      <c r="V748" s="272">
        <v>0.48000000000000004</v>
      </c>
      <c r="W748" s="272">
        <v>0.60000000000000009</v>
      </c>
      <c r="X748" s="272">
        <v>0.7400000000000001</v>
      </c>
      <c r="Y748" s="272">
        <v>0.89000000000000012</v>
      </c>
      <c r="Z748" s="272">
        <v>0.98000000000000009</v>
      </c>
      <c r="AA748" s="272">
        <v>1</v>
      </c>
      <c r="AB748" s="272">
        <v>1</v>
      </c>
      <c r="AC748" s="272">
        <v>1</v>
      </c>
      <c r="AD748" s="396">
        <v>1</v>
      </c>
      <c r="AE748" s="396">
        <v>1</v>
      </c>
      <c r="AF748" s="396">
        <v>1</v>
      </c>
      <c r="AG748" s="396">
        <v>1</v>
      </c>
      <c r="AH748" s="396">
        <v>1</v>
      </c>
      <c r="AI748" s="396">
        <v>1</v>
      </c>
      <c r="AJ748" s="396">
        <v>1</v>
      </c>
      <c r="AK748" s="396">
        <v>1</v>
      </c>
      <c r="AL748" s="396">
        <v>1</v>
      </c>
      <c r="AM748" s="396">
        <v>1</v>
      </c>
      <c r="AN748" s="396">
        <v>1</v>
      </c>
      <c r="AO748" s="396">
        <v>1</v>
      </c>
      <c r="AP748" s="396">
        <v>1</v>
      </c>
    </row>
    <row r="749" spans="2:42" s="216" customFormat="1" ht="25.5" hidden="1" outlineLevel="3">
      <c r="B749" s="255" t="s">
        <v>914</v>
      </c>
      <c r="C749" s="290" t="s">
        <v>245</v>
      </c>
      <c r="D749" s="227" t="s">
        <v>231</v>
      </c>
      <c r="E749" s="241">
        <v>16512532797</v>
      </c>
      <c r="F749" s="228">
        <f t="shared" si="1582"/>
        <v>3.6801995565609057E-2</v>
      </c>
      <c r="G749" s="269">
        <f t="shared" si="1573"/>
        <v>4.9888554910789027E-3</v>
      </c>
      <c r="H749" s="299">
        <v>45901</v>
      </c>
      <c r="I749" s="299">
        <v>46483</v>
      </c>
      <c r="J749" s="299">
        <v>45926</v>
      </c>
      <c r="K749" s="299">
        <v>46605</v>
      </c>
      <c r="L749" s="299">
        <v>45926</v>
      </c>
      <c r="M749" s="299">
        <v>46660</v>
      </c>
      <c r="N749" s="272">
        <v>0</v>
      </c>
      <c r="O749" s="272">
        <v>0.28999999999999998</v>
      </c>
      <c r="P749" s="272">
        <v>0.31</v>
      </c>
      <c r="Q749" s="272">
        <v>0.33</v>
      </c>
      <c r="R749" s="372">
        <v>0.35000000000000003</v>
      </c>
      <c r="S749" s="395">
        <v>0.35000000000000003</v>
      </c>
      <c r="T749" s="272">
        <v>0.35000000000000003</v>
      </c>
      <c r="U749" s="272">
        <v>0.4</v>
      </c>
      <c r="V749" s="272">
        <v>0.48000000000000004</v>
      </c>
      <c r="W749" s="272">
        <v>0.60000000000000009</v>
      </c>
      <c r="X749" s="272">
        <v>0.7400000000000001</v>
      </c>
      <c r="Y749" s="272">
        <v>0.89000000000000012</v>
      </c>
      <c r="Z749" s="272">
        <v>0.98000000000000009</v>
      </c>
      <c r="AA749" s="272">
        <v>1</v>
      </c>
      <c r="AB749" s="272">
        <v>1</v>
      </c>
      <c r="AC749" s="272">
        <v>1</v>
      </c>
      <c r="AD749" s="396">
        <v>1</v>
      </c>
      <c r="AE749" s="396">
        <v>1</v>
      </c>
      <c r="AF749" s="396">
        <v>1</v>
      </c>
      <c r="AG749" s="396">
        <v>1</v>
      </c>
      <c r="AH749" s="396">
        <v>1</v>
      </c>
      <c r="AI749" s="396">
        <v>1</v>
      </c>
      <c r="AJ749" s="396">
        <v>1</v>
      </c>
      <c r="AK749" s="396">
        <v>1</v>
      </c>
      <c r="AL749" s="396">
        <v>1</v>
      </c>
      <c r="AM749" s="396">
        <v>1</v>
      </c>
      <c r="AN749" s="396">
        <v>1</v>
      </c>
      <c r="AO749" s="396">
        <v>1</v>
      </c>
      <c r="AP749" s="396">
        <v>1</v>
      </c>
    </row>
    <row r="750" spans="2:42" s="216" customFormat="1" ht="25.5" hidden="1" outlineLevel="3">
      <c r="B750" s="255" t="s">
        <v>915</v>
      </c>
      <c r="C750" s="290" t="s">
        <v>247</v>
      </c>
      <c r="D750" s="227" t="s">
        <v>231</v>
      </c>
      <c r="E750" s="241">
        <v>16512532797</v>
      </c>
      <c r="F750" s="228">
        <f t="shared" si="1582"/>
        <v>3.6801995565609057E-2</v>
      </c>
      <c r="G750" s="269">
        <f t="shared" si="1573"/>
        <v>4.9888554910789027E-3</v>
      </c>
      <c r="H750" s="299">
        <v>45901</v>
      </c>
      <c r="I750" s="299">
        <v>46483</v>
      </c>
      <c r="J750" s="299">
        <v>45926</v>
      </c>
      <c r="K750" s="299">
        <v>46552</v>
      </c>
      <c r="L750" s="299">
        <v>45926</v>
      </c>
      <c r="M750" s="299">
        <v>46660</v>
      </c>
      <c r="N750" s="272">
        <v>0</v>
      </c>
      <c r="O750" s="272">
        <v>0.28999999999999998</v>
      </c>
      <c r="P750" s="272">
        <v>0.31</v>
      </c>
      <c r="Q750" s="272">
        <v>0.33</v>
      </c>
      <c r="R750" s="372">
        <v>0.35000000000000003</v>
      </c>
      <c r="S750" s="395">
        <v>0.35000000000000003</v>
      </c>
      <c r="T750" s="272">
        <v>0.35000000000000003</v>
      </c>
      <c r="U750" s="272">
        <v>0.4</v>
      </c>
      <c r="V750" s="272">
        <v>0.48000000000000004</v>
      </c>
      <c r="W750" s="272">
        <v>0.60000000000000009</v>
      </c>
      <c r="X750" s="272">
        <v>0.7400000000000001</v>
      </c>
      <c r="Y750" s="272">
        <v>0.89000000000000012</v>
      </c>
      <c r="Z750" s="272">
        <v>0.98000000000000009</v>
      </c>
      <c r="AA750" s="272">
        <v>1</v>
      </c>
      <c r="AB750" s="272">
        <v>1</v>
      </c>
      <c r="AC750" s="272">
        <v>1</v>
      </c>
      <c r="AD750" s="396">
        <v>1</v>
      </c>
      <c r="AE750" s="396">
        <v>1</v>
      </c>
      <c r="AF750" s="396">
        <v>1</v>
      </c>
      <c r="AG750" s="396">
        <v>1</v>
      </c>
      <c r="AH750" s="396">
        <v>1</v>
      </c>
      <c r="AI750" s="396">
        <v>1</v>
      </c>
      <c r="AJ750" s="396">
        <v>1</v>
      </c>
      <c r="AK750" s="396">
        <v>1</v>
      </c>
      <c r="AL750" s="396">
        <v>1</v>
      </c>
      <c r="AM750" s="396">
        <v>1</v>
      </c>
      <c r="AN750" s="396">
        <v>1</v>
      </c>
      <c r="AO750" s="396">
        <v>1</v>
      </c>
      <c r="AP750" s="396">
        <v>1</v>
      </c>
    </row>
    <row r="751" spans="2:42" s="216" customFormat="1" ht="25.5" hidden="1" outlineLevel="3">
      <c r="B751" s="255" t="s">
        <v>916</v>
      </c>
      <c r="C751" s="290" t="s">
        <v>249</v>
      </c>
      <c r="D751" s="227" t="s">
        <v>231</v>
      </c>
      <c r="E751" s="241">
        <v>16512532797</v>
      </c>
      <c r="F751" s="228">
        <f t="shared" si="1582"/>
        <v>3.6801995565609057E-2</v>
      </c>
      <c r="G751" s="269">
        <f t="shared" si="1573"/>
        <v>4.9888554910789027E-3</v>
      </c>
      <c r="H751" s="299">
        <v>45931</v>
      </c>
      <c r="I751" s="299">
        <v>46503</v>
      </c>
      <c r="J751" s="299">
        <v>45926</v>
      </c>
      <c r="K751" s="299">
        <v>46605</v>
      </c>
      <c r="L751" s="299">
        <v>45926</v>
      </c>
      <c r="M751" s="299">
        <v>46660</v>
      </c>
      <c r="N751" s="272">
        <v>0</v>
      </c>
      <c r="O751" s="272">
        <v>0.28999999999999998</v>
      </c>
      <c r="P751" s="272">
        <v>0.31</v>
      </c>
      <c r="Q751" s="272">
        <v>0.33</v>
      </c>
      <c r="R751" s="372">
        <v>0.35000000000000003</v>
      </c>
      <c r="S751" s="395">
        <v>0.35000000000000003</v>
      </c>
      <c r="T751" s="272">
        <v>0.35000000000000003</v>
      </c>
      <c r="U751" s="272">
        <v>0.4</v>
      </c>
      <c r="V751" s="272">
        <v>0.48000000000000004</v>
      </c>
      <c r="W751" s="272">
        <v>0.60000000000000009</v>
      </c>
      <c r="X751" s="272">
        <v>0.7400000000000001</v>
      </c>
      <c r="Y751" s="272">
        <v>0.89000000000000012</v>
      </c>
      <c r="Z751" s="272">
        <v>0.98000000000000009</v>
      </c>
      <c r="AA751" s="272">
        <v>1</v>
      </c>
      <c r="AB751" s="272">
        <v>1</v>
      </c>
      <c r="AC751" s="272">
        <v>1</v>
      </c>
      <c r="AD751" s="396">
        <v>1</v>
      </c>
      <c r="AE751" s="396">
        <v>1</v>
      </c>
      <c r="AF751" s="396">
        <v>1</v>
      </c>
      <c r="AG751" s="396">
        <v>1</v>
      </c>
      <c r="AH751" s="396">
        <v>1</v>
      </c>
      <c r="AI751" s="396">
        <v>1</v>
      </c>
      <c r="AJ751" s="396">
        <v>1</v>
      </c>
      <c r="AK751" s="396">
        <v>1</v>
      </c>
      <c r="AL751" s="396">
        <v>1</v>
      </c>
      <c r="AM751" s="396">
        <v>1</v>
      </c>
      <c r="AN751" s="396">
        <v>1</v>
      </c>
      <c r="AO751" s="396">
        <v>1</v>
      </c>
      <c r="AP751" s="396">
        <v>1</v>
      </c>
    </row>
    <row r="752" spans="2:42" s="216" customFormat="1" ht="25.5" hidden="1" outlineLevel="3">
      <c r="B752" s="255" t="s">
        <v>917</v>
      </c>
      <c r="C752" s="290" t="s">
        <v>251</v>
      </c>
      <c r="D752" s="227" t="s">
        <v>231</v>
      </c>
      <c r="E752" s="241">
        <v>16512532797</v>
      </c>
      <c r="F752" s="228">
        <f t="shared" si="1582"/>
        <v>3.6801995565609057E-2</v>
      </c>
      <c r="G752" s="269">
        <f t="shared" si="1573"/>
        <v>4.9888554910789027E-3</v>
      </c>
      <c r="H752" s="299">
        <v>45931</v>
      </c>
      <c r="I752" s="299">
        <v>46503</v>
      </c>
      <c r="J752" s="299">
        <v>45926</v>
      </c>
      <c r="K752" s="299">
        <v>46605</v>
      </c>
      <c r="L752" s="299">
        <v>45926</v>
      </c>
      <c r="M752" s="299">
        <v>46660</v>
      </c>
      <c r="N752" s="272">
        <v>0</v>
      </c>
      <c r="O752" s="272">
        <v>0.28999999999999998</v>
      </c>
      <c r="P752" s="272">
        <v>0.31</v>
      </c>
      <c r="Q752" s="272">
        <v>0.33</v>
      </c>
      <c r="R752" s="372">
        <v>0.35000000000000003</v>
      </c>
      <c r="S752" s="395">
        <v>0.35000000000000003</v>
      </c>
      <c r="T752" s="272">
        <v>0.35000000000000003</v>
      </c>
      <c r="U752" s="272">
        <v>0.4</v>
      </c>
      <c r="V752" s="272">
        <v>0.48000000000000004</v>
      </c>
      <c r="W752" s="272">
        <v>0.60000000000000009</v>
      </c>
      <c r="X752" s="272">
        <v>0.7400000000000001</v>
      </c>
      <c r="Y752" s="272">
        <v>0.89000000000000012</v>
      </c>
      <c r="Z752" s="272">
        <v>0.98000000000000009</v>
      </c>
      <c r="AA752" s="272">
        <v>1</v>
      </c>
      <c r="AB752" s="272">
        <v>1</v>
      </c>
      <c r="AC752" s="272">
        <v>1</v>
      </c>
      <c r="AD752" s="396">
        <v>1</v>
      </c>
      <c r="AE752" s="396">
        <v>1</v>
      </c>
      <c r="AF752" s="396">
        <v>1</v>
      </c>
      <c r="AG752" s="396">
        <v>1</v>
      </c>
      <c r="AH752" s="396">
        <v>1</v>
      </c>
      <c r="AI752" s="396">
        <v>1</v>
      </c>
      <c r="AJ752" s="396">
        <v>1</v>
      </c>
      <c r="AK752" s="396">
        <v>1</v>
      </c>
      <c r="AL752" s="396">
        <v>1</v>
      </c>
      <c r="AM752" s="396">
        <v>1</v>
      </c>
      <c r="AN752" s="396">
        <v>1</v>
      </c>
      <c r="AO752" s="396">
        <v>1</v>
      </c>
      <c r="AP752" s="396">
        <v>1</v>
      </c>
    </row>
    <row r="753" spans="2:42" s="216" customFormat="1" ht="25.5" hidden="1" outlineLevel="3">
      <c r="B753" s="255" t="s">
        <v>918</v>
      </c>
      <c r="C753" s="290" t="s">
        <v>253</v>
      </c>
      <c r="D753" s="227" t="s">
        <v>231</v>
      </c>
      <c r="E753" s="241">
        <v>16512532797</v>
      </c>
      <c r="F753" s="228">
        <f t="shared" si="1582"/>
        <v>3.6801995565609057E-2</v>
      </c>
      <c r="G753" s="269">
        <f t="shared" si="1573"/>
        <v>4.9888554910789027E-3</v>
      </c>
      <c r="H753" s="299">
        <v>45915</v>
      </c>
      <c r="I753" s="299">
        <v>46483</v>
      </c>
      <c r="J753" s="299">
        <v>45926</v>
      </c>
      <c r="K753" s="299">
        <v>46617</v>
      </c>
      <c r="L753" s="299">
        <v>45926</v>
      </c>
      <c r="M753" s="299">
        <v>46660</v>
      </c>
      <c r="N753" s="272">
        <v>0</v>
      </c>
      <c r="O753" s="272">
        <v>0.28999999999999998</v>
      </c>
      <c r="P753" s="272">
        <v>0.31</v>
      </c>
      <c r="Q753" s="272">
        <v>0.33</v>
      </c>
      <c r="R753" s="372">
        <v>0.35000000000000003</v>
      </c>
      <c r="S753" s="395">
        <v>0.35000000000000003</v>
      </c>
      <c r="T753" s="272">
        <v>0.35000000000000003</v>
      </c>
      <c r="U753" s="272">
        <v>0.4</v>
      </c>
      <c r="V753" s="272">
        <v>0.48000000000000004</v>
      </c>
      <c r="W753" s="272">
        <v>0.60000000000000009</v>
      </c>
      <c r="X753" s="272">
        <v>0.7400000000000001</v>
      </c>
      <c r="Y753" s="272">
        <v>0.89000000000000012</v>
      </c>
      <c r="Z753" s="272">
        <v>0.98000000000000009</v>
      </c>
      <c r="AA753" s="272">
        <v>1</v>
      </c>
      <c r="AB753" s="272">
        <v>1</v>
      </c>
      <c r="AC753" s="272">
        <v>1</v>
      </c>
      <c r="AD753" s="396">
        <v>1</v>
      </c>
      <c r="AE753" s="396">
        <v>1</v>
      </c>
      <c r="AF753" s="396">
        <v>1</v>
      </c>
      <c r="AG753" s="396">
        <v>1</v>
      </c>
      <c r="AH753" s="396">
        <v>1</v>
      </c>
      <c r="AI753" s="396">
        <v>1</v>
      </c>
      <c r="AJ753" s="396">
        <v>1</v>
      </c>
      <c r="AK753" s="396">
        <v>1</v>
      </c>
      <c r="AL753" s="396">
        <v>1</v>
      </c>
      <c r="AM753" s="396">
        <v>1</v>
      </c>
      <c r="AN753" s="396">
        <v>1</v>
      </c>
      <c r="AO753" s="396">
        <v>1</v>
      </c>
      <c r="AP753" s="396">
        <v>1</v>
      </c>
    </row>
    <row r="754" spans="2:42" s="216" customFormat="1" ht="25.5" hidden="1" outlineLevel="3">
      <c r="B754" s="255" t="s">
        <v>919</v>
      </c>
      <c r="C754" s="290" t="s">
        <v>285</v>
      </c>
      <c r="D754" s="227" t="s">
        <v>231</v>
      </c>
      <c r="E754" s="241">
        <v>16512532797</v>
      </c>
      <c r="F754" s="228">
        <f t="shared" si="1582"/>
        <v>3.6801995565609057E-2</v>
      </c>
      <c r="G754" s="269">
        <f t="shared" si="1573"/>
        <v>4.9888554910789027E-3</v>
      </c>
      <c r="H754" s="299">
        <v>45931</v>
      </c>
      <c r="I754" s="299">
        <v>46504</v>
      </c>
      <c r="J754" s="299">
        <v>45926</v>
      </c>
      <c r="K754" s="299">
        <v>46731</v>
      </c>
      <c r="L754" s="299">
        <v>45926</v>
      </c>
      <c r="M754" s="299">
        <v>46660</v>
      </c>
      <c r="N754" s="272">
        <v>0</v>
      </c>
      <c r="O754" s="272">
        <v>0.28999999999999998</v>
      </c>
      <c r="P754" s="272">
        <v>0.31</v>
      </c>
      <c r="Q754" s="272">
        <v>0.33</v>
      </c>
      <c r="R754" s="372">
        <v>0.35000000000000003</v>
      </c>
      <c r="S754" s="395">
        <v>0.35000000000000003</v>
      </c>
      <c r="T754" s="272">
        <v>0.35000000000000003</v>
      </c>
      <c r="U754" s="272">
        <v>0.4</v>
      </c>
      <c r="V754" s="272">
        <v>0.48000000000000004</v>
      </c>
      <c r="W754" s="272">
        <v>0.60000000000000009</v>
      </c>
      <c r="X754" s="272">
        <v>0.7400000000000001</v>
      </c>
      <c r="Y754" s="272">
        <v>0.89000000000000012</v>
      </c>
      <c r="Z754" s="272">
        <v>0.98000000000000009</v>
      </c>
      <c r="AA754" s="272">
        <v>1</v>
      </c>
      <c r="AB754" s="272">
        <v>1</v>
      </c>
      <c r="AC754" s="272">
        <v>1</v>
      </c>
      <c r="AD754" s="396">
        <v>1</v>
      </c>
      <c r="AE754" s="396">
        <v>1</v>
      </c>
      <c r="AF754" s="396">
        <v>1</v>
      </c>
      <c r="AG754" s="396">
        <v>1</v>
      </c>
      <c r="AH754" s="396">
        <v>1</v>
      </c>
      <c r="AI754" s="396">
        <v>1</v>
      </c>
      <c r="AJ754" s="396">
        <v>1</v>
      </c>
      <c r="AK754" s="396">
        <v>1</v>
      </c>
      <c r="AL754" s="396">
        <v>1</v>
      </c>
      <c r="AM754" s="396">
        <v>1</v>
      </c>
      <c r="AN754" s="396">
        <v>1</v>
      </c>
      <c r="AO754" s="396">
        <v>1</v>
      </c>
      <c r="AP754" s="396">
        <v>1</v>
      </c>
    </row>
    <row r="755" spans="2:42" s="216" customFormat="1" ht="25.5" hidden="1" outlineLevel="3">
      <c r="B755" s="255" t="s">
        <v>920</v>
      </c>
      <c r="C755" s="290" t="s">
        <v>287</v>
      </c>
      <c r="D755" s="227" t="s">
        <v>231</v>
      </c>
      <c r="E755" s="241">
        <v>16512532797</v>
      </c>
      <c r="F755" s="228">
        <f t="shared" si="1582"/>
        <v>3.6801995565609057E-2</v>
      </c>
      <c r="G755" s="269">
        <f t="shared" si="1573"/>
        <v>4.9888554910789027E-3</v>
      </c>
      <c r="H755" s="299">
        <v>45931</v>
      </c>
      <c r="I755" s="299">
        <v>46504</v>
      </c>
      <c r="J755" s="299">
        <v>45926</v>
      </c>
      <c r="K755" s="299">
        <v>46731</v>
      </c>
      <c r="L755" s="299">
        <v>45926</v>
      </c>
      <c r="M755" s="299">
        <v>46660</v>
      </c>
      <c r="N755" s="272">
        <v>0</v>
      </c>
      <c r="O755" s="272">
        <v>0.28999999999999998</v>
      </c>
      <c r="P755" s="272">
        <v>0.31</v>
      </c>
      <c r="Q755" s="272">
        <v>0.33</v>
      </c>
      <c r="R755" s="372">
        <v>0.35000000000000003</v>
      </c>
      <c r="S755" s="395">
        <v>0.35000000000000003</v>
      </c>
      <c r="T755" s="272">
        <v>0.35000000000000003</v>
      </c>
      <c r="U755" s="272">
        <v>0.4</v>
      </c>
      <c r="V755" s="272">
        <v>0.48000000000000004</v>
      </c>
      <c r="W755" s="272">
        <v>0.60000000000000009</v>
      </c>
      <c r="X755" s="272">
        <v>0.7400000000000001</v>
      </c>
      <c r="Y755" s="272">
        <v>0.89000000000000012</v>
      </c>
      <c r="Z755" s="272">
        <v>0.98000000000000009</v>
      </c>
      <c r="AA755" s="272">
        <v>1</v>
      </c>
      <c r="AB755" s="272">
        <v>1</v>
      </c>
      <c r="AC755" s="272">
        <v>1</v>
      </c>
      <c r="AD755" s="396">
        <v>1</v>
      </c>
      <c r="AE755" s="396">
        <v>1</v>
      </c>
      <c r="AF755" s="396">
        <v>1</v>
      </c>
      <c r="AG755" s="396">
        <v>1</v>
      </c>
      <c r="AH755" s="396">
        <v>1</v>
      </c>
      <c r="AI755" s="396">
        <v>1</v>
      </c>
      <c r="AJ755" s="396">
        <v>1</v>
      </c>
      <c r="AK755" s="396">
        <v>1</v>
      </c>
      <c r="AL755" s="396">
        <v>1</v>
      </c>
      <c r="AM755" s="396">
        <v>1</v>
      </c>
      <c r="AN755" s="396">
        <v>1</v>
      </c>
      <c r="AO755" s="396">
        <v>1</v>
      </c>
      <c r="AP755" s="396">
        <v>1</v>
      </c>
    </row>
    <row r="756" spans="2:42" s="216" customFormat="1" ht="25.5" hidden="1" outlineLevel="3">
      <c r="B756" s="255" t="s">
        <v>921</v>
      </c>
      <c r="C756" s="290" t="s">
        <v>289</v>
      </c>
      <c r="D756" s="227" t="s">
        <v>231</v>
      </c>
      <c r="E756" s="241">
        <v>16512532797</v>
      </c>
      <c r="F756" s="228">
        <f t="shared" si="1582"/>
        <v>3.6801995565609057E-2</v>
      </c>
      <c r="G756" s="269">
        <f t="shared" si="1573"/>
        <v>4.9888554910789027E-3</v>
      </c>
      <c r="H756" s="299">
        <v>45931</v>
      </c>
      <c r="I756" s="299">
        <v>46504</v>
      </c>
      <c r="J756" s="299">
        <v>45926</v>
      </c>
      <c r="K756" s="299">
        <v>46617</v>
      </c>
      <c r="L756" s="299">
        <v>45926</v>
      </c>
      <c r="M756" s="299">
        <v>46660</v>
      </c>
      <c r="N756" s="272">
        <v>0</v>
      </c>
      <c r="O756" s="272">
        <v>0.28999999999999998</v>
      </c>
      <c r="P756" s="272">
        <v>0.31</v>
      </c>
      <c r="Q756" s="272">
        <v>0.33</v>
      </c>
      <c r="R756" s="372">
        <v>0.35000000000000003</v>
      </c>
      <c r="S756" s="395">
        <v>0.35000000000000003</v>
      </c>
      <c r="T756" s="272">
        <v>0.35000000000000003</v>
      </c>
      <c r="U756" s="272">
        <v>0.4</v>
      </c>
      <c r="V756" s="272">
        <v>0.48000000000000004</v>
      </c>
      <c r="W756" s="272">
        <v>0.60000000000000009</v>
      </c>
      <c r="X756" s="272">
        <v>0.7400000000000001</v>
      </c>
      <c r="Y756" s="272">
        <v>0.89000000000000012</v>
      </c>
      <c r="Z756" s="272">
        <v>0.98000000000000009</v>
      </c>
      <c r="AA756" s="272">
        <v>1</v>
      </c>
      <c r="AB756" s="272">
        <v>1</v>
      </c>
      <c r="AC756" s="272">
        <v>1</v>
      </c>
      <c r="AD756" s="396">
        <v>1</v>
      </c>
      <c r="AE756" s="396">
        <v>1</v>
      </c>
      <c r="AF756" s="396">
        <v>1</v>
      </c>
      <c r="AG756" s="396">
        <v>1</v>
      </c>
      <c r="AH756" s="396">
        <v>1</v>
      </c>
      <c r="AI756" s="396">
        <v>1</v>
      </c>
      <c r="AJ756" s="396">
        <v>1</v>
      </c>
      <c r="AK756" s="396">
        <v>1</v>
      </c>
      <c r="AL756" s="396">
        <v>1</v>
      </c>
      <c r="AM756" s="396">
        <v>1</v>
      </c>
      <c r="AN756" s="396">
        <v>1</v>
      </c>
      <c r="AO756" s="396">
        <v>1</v>
      </c>
      <c r="AP756" s="396">
        <v>1</v>
      </c>
    </row>
    <row r="757" spans="2:42" s="216" customFormat="1" ht="25.5" hidden="1" outlineLevel="3">
      <c r="B757" s="255" t="s">
        <v>922</v>
      </c>
      <c r="C757" s="290" t="s">
        <v>291</v>
      </c>
      <c r="D757" s="227" t="s">
        <v>231</v>
      </c>
      <c r="E757" s="241">
        <v>16512532797</v>
      </c>
      <c r="F757" s="228">
        <f t="shared" si="1582"/>
        <v>3.6801995565609057E-2</v>
      </c>
      <c r="G757" s="269">
        <f t="shared" si="1573"/>
        <v>4.9888554910789027E-3</v>
      </c>
      <c r="H757" s="299">
        <v>45931</v>
      </c>
      <c r="I757" s="299">
        <v>46504</v>
      </c>
      <c r="J757" s="299">
        <v>45926</v>
      </c>
      <c r="K757" s="299">
        <v>46617</v>
      </c>
      <c r="L757" s="299">
        <v>45926</v>
      </c>
      <c r="M757" s="299">
        <v>46660</v>
      </c>
      <c r="N757" s="272">
        <v>0</v>
      </c>
      <c r="O757" s="272">
        <v>0.28999999999999998</v>
      </c>
      <c r="P757" s="272">
        <v>0.31</v>
      </c>
      <c r="Q757" s="272">
        <v>0.33</v>
      </c>
      <c r="R757" s="372">
        <v>0.35000000000000003</v>
      </c>
      <c r="S757" s="395">
        <v>0.35000000000000003</v>
      </c>
      <c r="T757" s="272">
        <v>0.35000000000000003</v>
      </c>
      <c r="U757" s="272">
        <v>0.4</v>
      </c>
      <c r="V757" s="272">
        <v>0.48000000000000004</v>
      </c>
      <c r="W757" s="272">
        <v>0.60000000000000009</v>
      </c>
      <c r="X757" s="272">
        <v>0.7400000000000001</v>
      </c>
      <c r="Y757" s="272">
        <v>0.89000000000000012</v>
      </c>
      <c r="Z757" s="272">
        <v>0.98000000000000009</v>
      </c>
      <c r="AA757" s="272">
        <v>1</v>
      </c>
      <c r="AB757" s="272">
        <v>1</v>
      </c>
      <c r="AC757" s="272">
        <v>1</v>
      </c>
      <c r="AD757" s="396">
        <v>1</v>
      </c>
      <c r="AE757" s="396">
        <v>1</v>
      </c>
      <c r="AF757" s="396">
        <v>1</v>
      </c>
      <c r="AG757" s="396">
        <v>1</v>
      </c>
      <c r="AH757" s="396">
        <v>1</v>
      </c>
      <c r="AI757" s="396">
        <v>1</v>
      </c>
      <c r="AJ757" s="396">
        <v>1</v>
      </c>
      <c r="AK757" s="396">
        <v>1</v>
      </c>
      <c r="AL757" s="396">
        <v>1</v>
      </c>
      <c r="AM757" s="396">
        <v>1</v>
      </c>
      <c r="AN757" s="396">
        <v>1</v>
      </c>
      <c r="AO757" s="396">
        <v>1</v>
      </c>
      <c r="AP757" s="396">
        <v>1</v>
      </c>
    </row>
    <row r="758" spans="2:42" s="216" customFormat="1" ht="25.5" hidden="1" outlineLevel="3">
      <c r="B758" s="255" t="s">
        <v>923</v>
      </c>
      <c r="C758" s="290" t="s">
        <v>293</v>
      </c>
      <c r="D758" s="227" t="s">
        <v>231</v>
      </c>
      <c r="E758" s="241">
        <v>16512532797</v>
      </c>
      <c r="F758" s="228">
        <f t="shared" si="1582"/>
        <v>3.6801995565609057E-2</v>
      </c>
      <c r="G758" s="269">
        <f t="shared" si="1573"/>
        <v>4.9888554910789027E-3</v>
      </c>
      <c r="H758" s="299">
        <v>45931</v>
      </c>
      <c r="I758" s="299">
        <v>46484</v>
      </c>
      <c r="J758" s="299">
        <v>45926</v>
      </c>
      <c r="K758" s="299">
        <v>46731</v>
      </c>
      <c r="L758" s="299">
        <v>45926</v>
      </c>
      <c r="M758" s="299">
        <v>46660</v>
      </c>
      <c r="N758" s="272">
        <v>0</v>
      </c>
      <c r="O758" s="272">
        <v>0.28999999999999998</v>
      </c>
      <c r="P758" s="272">
        <v>0.31</v>
      </c>
      <c r="Q758" s="272">
        <v>0.33</v>
      </c>
      <c r="R758" s="372">
        <v>0.35000000000000003</v>
      </c>
      <c r="S758" s="395">
        <v>0.35000000000000003</v>
      </c>
      <c r="T758" s="272">
        <v>0.35000000000000003</v>
      </c>
      <c r="U758" s="272">
        <v>0.4</v>
      </c>
      <c r="V758" s="272">
        <v>0.48000000000000004</v>
      </c>
      <c r="W758" s="272">
        <v>0.60000000000000009</v>
      </c>
      <c r="X758" s="272">
        <v>0.7400000000000001</v>
      </c>
      <c r="Y758" s="272">
        <v>0.89000000000000012</v>
      </c>
      <c r="Z758" s="272">
        <v>0.98000000000000009</v>
      </c>
      <c r="AA758" s="272">
        <v>1</v>
      </c>
      <c r="AB758" s="272">
        <v>1</v>
      </c>
      <c r="AC758" s="272">
        <v>1</v>
      </c>
      <c r="AD758" s="396">
        <v>1</v>
      </c>
      <c r="AE758" s="396">
        <v>1</v>
      </c>
      <c r="AF758" s="396">
        <v>1</v>
      </c>
      <c r="AG758" s="396">
        <v>1</v>
      </c>
      <c r="AH758" s="396">
        <v>1</v>
      </c>
      <c r="AI758" s="396">
        <v>1</v>
      </c>
      <c r="AJ758" s="396">
        <v>1</v>
      </c>
      <c r="AK758" s="396">
        <v>1</v>
      </c>
      <c r="AL758" s="396">
        <v>1</v>
      </c>
      <c r="AM758" s="396">
        <v>1</v>
      </c>
      <c r="AN758" s="396">
        <v>1</v>
      </c>
      <c r="AO758" s="396">
        <v>1</v>
      </c>
      <c r="AP758" s="396">
        <v>1</v>
      </c>
    </row>
    <row r="759" spans="2:42" s="216" customFormat="1" ht="25.5" hidden="1" outlineLevel="3">
      <c r="B759" s="255" t="s">
        <v>924</v>
      </c>
      <c r="C759" s="290" t="s">
        <v>295</v>
      </c>
      <c r="D759" s="227" t="s">
        <v>231</v>
      </c>
      <c r="E759" s="241">
        <v>16512532797</v>
      </c>
      <c r="F759" s="228">
        <f t="shared" si="1582"/>
        <v>3.6801995565609057E-2</v>
      </c>
      <c r="G759" s="269">
        <f t="shared" si="1573"/>
        <v>4.9888554910789027E-3</v>
      </c>
      <c r="H759" s="299">
        <v>45931</v>
      </c>
      <c r="I759" s="299">
        <v>46484</v>
      </c>
      <c r="J759" s="299">
        <v>45926</v>
      </c>
      <c r="K759" s="299">
        <v>46731</v>
      </c>
      <c r="L759" s="299">
        <v>45926</v>
      </c>
      <c r="M759" s="299">
        <v>46660</v>
      </c>
      <c r="N759" s="272">
        <v>0</v>
      </c>
      <c r="O759" s="272">
        <v>0.28999999999999998</v>
      </c>
      <c r="P759" s="272">
        <v>0.31</v>
      </c>
      <c r="Q759" s="272">
        <v>0.33</v>
      </c>
      <c r="R759" s="372">
        <v>0.35000000000000003</v>
      </c>
      <c r="S759" s="395">
        <v>0.35000000000000003</v>
      </c>
      <c r="T759" s="272">
        <v>0.35000000000000003</v>
      </c>
      <c r="U759" s="272">
        <v>0.4</v>
      </c>
      <c r="V759" s="272">
        <v>0.48000000000000004</v>
      </c>
      <c r="W759" s="272">
        <v>0.60000000000000009</v>
      </c>
      <c r="X759" s="272">
        <v>0.7400000000000001</v>
      </c>
      <c r="Y759" s="272">
        <v>0.89000000000000012</v>
      </c>
      <c r="Z759" s="272">
        <v>0.98000000000000009</v>
      </c>
      <c r="AA759" s="272">
        <v>1</v>
      </c>
      <c r="AB759" s="272">
        <v>1</v>
      </c>
      <c r="AC759" s="272">
        <v>1</v>
      </c>
      <c r="AD759" s="396">
        <v>1</v>
      </c>
      <c r="AE759" s="396">
        <v>1</v>
      </c>
      <c r="AF759" s="396">
        <v>1</v>
      </c>
      <c r="AG759" s="396">
        <v>1</v>
      </c>
      <c r="AH759" s="396">
        <v>1</v>
      </c>
      <c r="AI759" s="396">
        <v>1</v>
      </c>
      <c r="AJ759" s="396">
        <v>1</v>
      </c>
      <c r="AK759" s="396">
        <v>1</v>
      </c>
      <c r="AL759" s="396">
        <v>1</v>
      </c>
      <c r="AM759" s="396">
        <v>1</v>
      </c>
      <c r="AN759" s="396">
        <v>1</v>
      </c>
      <c r="AO759" s="396">
        <v>1</v>
      </c>
      <c r="AP759" s="396">
        <v>1</v>
      </c>
    </row>
    <row r="760" spans="2:42" s="216" customFormat="1" ht="25.5" hidden="1" outlineLevel="3">
      <c r="B760" s="255" t="s">
        <v>925</v>
      </c>
      <c r="C760" s="290" t="s">
        <v>297</v>
      </c>
      <c r="D760" s="227" t="s">
        <v>231</v>
      </c>
      <c r="E760" s="241">
        <v>16512532797</v>
      </c>
      <c r="F760" s="228">
        <f t="shared" si="1582"/>
        <v>3.6801995565609057E-2</v>
      </c>
      <c r="G760" s="269">
        <f t="shared" si="1573"/>
        <v>4.9888554910789027E-3</v>
      </c>
      <c r="H760" s="299">
        <v>45931</v>
      </c>
      <c r="I760" s="299">
        <v>46484</v>
      </c>
      <c r="J760" s="299">
        <v>45926</v>
      </c>
      <c r="K760" s="299">
        <v>46731</v>
      </c>
      <c r="L760" s="299">
        <v>45926</v>
      </c>
      <c r="M760" s="299">
        <v>46660</v>
      </c>
      <c r="N760" s="272">
        <v>0</v>
      </c>
      <c r="O760" s="272">
        <v>0.28999999999999998</v>
      </c>
      <c r="P760" s="272">
        <v>0.31</v>
      </c>
      <c r="Q760" s="272">
        <v>0.33</v>
      </c>
      <c r="R760" s="372">
        <v>0.35000000000000003</v>
      </c>
      <c r="S760" s="395">
        <v>0.35000000000000003</v>
      </c>
      <c r="T760" s="272">
        <v>0.35000000000000003</v>
      </c>
      <c r="U760" s="272">
        <v>0.4</v>
      </c>
      <c r="V760" s="272">
        <v>0.48000000000000004</v>
      </c>
      <c r="W760" s="272">
        <v>0.60000000000000009</v>
      </c>
      <c r="X760" s="272">
        <v>0.7400000000000001</v>
      </c>
      <c r="Y760" s="272">
        <v>0.89000000000000012</v>
      </c>
      <c r="Z760" s="272">
        <v>0.98000000000000009</v>
      </c>
      <c r="AA760" s="272">
        <v>1</v>
      </c>
      <c r="AB760" s="272">
        <v>1</v>
      </c>
      <c r="AC760" s="272">
        <v>1</v>
      </c>
      <c r="AD760" s="396">
        <v>1</v>
      </c>
      <c r="AE760" s="396">
        <v>1</v>
      </c>
      <c r="AF760" s="396">
        <v>1</v>
      </c>
      <c r="AG760" s="396">
        <v>1</v>
      </c>
      <c r="AH760" s="396">
        <v>1</v>
      </c>
      <c r="AI760" s="396">
        <v>1</v>
      </c>
      <c r="AJ760" s="396">
        <v>1</v>
      </c>
      <c r="AK760" s="396">
        <v>1</v>
      </c>
      <c r="AL760" s="396">
        <v>1</v>
      </c>
      <c r="AM760" s="396">
        <v>1</v>
      </c>
      <c r="AN760" s="396">
        <v>1</v>
      </c>
      <c r="AO760" s="396">
        <v>1</v>
      </c>
      <c r="AP760" s="396">
        <v>1</v>
      </c>
    </row>
    <row r="761" spans="2:42" s="216" customFormat="1" ht="25.5" hidden="1" outlineLevel="3">
      <c r="B761" s="255" t="s">
        <v>926</v>
      </c>
      <c r="C761" s="290" t="s">
        <v>299</v>
      </c>
      <c r="D761" s="227" t="s">
        <v>231</v>
      </c>
      <c r="E761" s="241">
        <v>16512532797</v>
      </c>
      <c r="F761" s="228">
        <f t="shared" si="1582"/>
        <v>3.6801995565609057E-2</v>
      </c>
      <c r="G761" s="269">
        <f t="shared" si="1573"/>
        <v>4.9888554910789027E-3</v>
      </c>
      <c r="H761" s="299">
        <v>45905</v>
      </c>
      <c r="I761" s="299">
        <v>46477</v>
      </c>
      <c r="J761" s="299">
        <v>45926</v>
      </c>
      <c r="K761" s="299">
        <v>46546</v>
      </c>
      <c r="L761" s="299">
        <v>45926</v>
      </c>
      <c r="M761" s="299">
        <v>46599</v>
      </c>
      <c r="N761" s="272">
        <v>0</v>
      </c>
      <c r="O761" s="272">
        <v>0.28999999999999998</v>
      </c>
      <c r="P761" s="272">
        <v>0.36599999999999999</v>
      </c>
      <c r="Q761" s="272">
        <v>0.46350000000000002</v>
      </c>
      <c r="R761" s="372">
        <v>0.50850000000000006</v>
      </c>
      <c r="S761" s="395">
        <v>0.5485000000000001</v>
      </c>
      <c r="T761" s="272">
        <v>0.56850000000000012</v>
      </c>
      <c r="U761" s="272">
        <v>0.60850000000000015</v>
      </c>
      <c r="V761" s="272">
        <v>0.68850000000000011</v>
      </c>
      <c r="W761" s="272">
        <v>0.77850000000000008</v>
      </c>
      <c r="X761" s="272">
        <v>0.89850000000000008</v>
      </c>
      <c r="Y761" s="272">
        <v>1</v>
      </c>
      <c r="Z761" s="272">
        <v>1</v>
      </c>
      <c r="AA761" s="272">
        <v>1</v>
      </c>
      <c r="AB761" s="272">
        <v>1</v>
      </c>
      <c r="AC761" s="272">
        <v>1</v>
      </c>
      <c r="AD761" s="396">
        <v>1</v>
      </c>
      <c r="AE761" s="396">
        <v>1</v>
      </c>
      <c r="AF761" s="396">
        <v>1</v>
      </c>
      <c r="AG761" s="396">
        <v>1</v>
      </c>
      <c r="AH761" s="396">
        <v>1</v>
      </c>
      <c r="AI761" s="396">
        <v>1</v>
      </c>
      <c r="AJ761" s="396">
        <v>1</v>
      </c>
      <c r="AK761" s="396">
        <v>1</v>
      </c>
      <c r="AL761" s="396">
        <v>1</v>
      </c>
      <c r="AM761" s="396">
        <v>1</v>
      </c>
      <c r="AN761" s="396">
        <v>1</v>
      </c>
      <c r="AO761" s="396">
        <v>1</v>
      </c>
      <c r="AP761" s="396">
        <v>1</v>
      </c>
    </row>
    <row r="762" spans="2:42" s="216" customFormat="1" ht="25.5" hidden="1" outlineLevel="3">
      <c r="B762" s="255" t="s">
        <v>928</v>
      </c>
      <c r="C762" s="290" t="s">
        <v>301</v>
      </c>
      <c r="D762" s="227" t="s">
        <v>231</v>
      </c>
      <c r="E762" s="241">
        <v>16512532797</v>
      </c>
      <c r="F762" s="228">
        <f t="shared" si="1582"/>
        <v>3.6801995565609057E-2</v>
      </c>
      <c r="G762" s="269">
        <f t="shared" si="1573"/>
        <v>4.9888554910789027E-3</v>
      </c>
      <c r="H762" s="299">
        <v>45905</v>
      </c>
      <c r="I762" s="299">
        <v>46477</v>
      </c>
      <c r="J762" s="299">
        <v>45926</v>
      </c>
      <c r="K762" s="299">
        <v>46527</v>
      </c>
      <c r="L762" s="299">
        <v>45926</v>
      </c>
      <c r="M762" s="299">
        <v>46660</v>
      </c>
      <c r="N762" s="272">
        <v>0</v>
      </c>
      <c r="O762" s="272">
        <v>0.28999999999999998</v>
      </c>
      <c r="P762" s="272">
        <v>0.31</v>
      </c>
      <c r="Q762" s="272">
        <v>0.33</v>
      </c>
      <c r="R762" s="372">
        <v>0.35000000000000003</v>
      </c>
      <c r="S762" s="395">
        <v>0.35000000000000003</v>
      </c>
      <c r="T762" s="272">
        <v>0.35000000000000003</v>
      </c>
      <c r="U762" s="272">
        <v>0.4</v>
      </c>
      <c r="V762" s="272">
        <v>0.48000000000000004</v>
      </c>
      <c r="W762" s="272">
        <v>0.60000000000000009</v>
      </c>
      <c r="X762" s="272">
        <v>0.7400000000000001</v>
      </c>
      <c r="Y762" s="272">
        <v>0.89000000000000012</v>
      </c>
      <c r="Z762" s="272">
        <v>0.98000000000000009</v>
      </c>
      <c r="AA762" s="272">
        <v>1</v>
      </c>
      <c r="AB762" s="272">
        <v>1</v>
      </c>
      <c r="AC762" s="272">
        <v>1</v>
      </c>
      <c r="AD762" s="396">
        <v>1</v>
      </c>
      <c r="AE762" s="396">
        <v>1</v>
      </c>
      <c r="AF762" s="396">
        <v>1</v>
      </c>
      <c r="AG762" s="396">
        <v>1</v>
      </c>
      <c r="AH762" s="396">
        <v>1</v>
      </c>
      <c r="AI762" s="396">
        <v>1</v>
      </c>
      <c r="AJ762" s="396">
        <v>1</v>
      </c>
      <c r="AK762" s="396">
        <v>1</v>
      </c>
      <c r="AL762" s="396">
        <v>1</v>
      </c>
      <c r="AM762" s="396">
        <v>1</v>
      </c>
      <c r="AN762" s="396">
        <v>1</v>
      </c>
      <c r="AO762" s="396">
        <v>1</v>
      </c>
      <c r="AP762" s="396">
        <v>1</v>
      </c>
    </row>
    <row r="763" spans="2:42" s="216" customFormat="1" ht="25.5" hidden="1" outlineLevel="3">
      <c r="B763" s="255" t="s">
        <v>929</v>
      </c>
      <c r="C763" s="290" t="s">
        <v>303</v>
      </c>
      <c r="D763" s="227" t="s">
        <v>231</v>
      </c>
      <c r="E763" s="241">
        <v>16512532797</v>
      </c>
      <c r="F763" s="228">
        <f t="shared" si="1582"/>
        <v>3.6801995565609057E-2</v>
      </c>
      <c r="G763" s="269">
        <f t="shared" si="1573"/>
        <v>4.9888554910789027E-3</v>
      </c>
      <c r="H763" s="299">
        <v>45905</v>
      </c>
      <c r="I763" s="299">
        <v>46477</v>
      </c>
      <c r="J763" s="299">
        <v>45926</v>
      </c>
      <c r="K763" s="299">
        <v>46538</v>
      </c>
      <c r="L763" s="299">
        <v>45926</v>
      </c>
      <c r="M763" s="299">
        <v>46660</v>
      </c>
      <c r="N763" s="272">
        <v>0</v>
      </c>
      <c r="O763" s="272">
        <v>0.28999999999999998</v>
      </c>
      <c r="P763" s="272">
        <v>0.31</v>
      </c>
      <c r="Q763" s="272">
        <v>0.33</v>
      </c>
      <c r="R763" s="372">
        <v>0.35000000000000003</v>
      </c>
      <c r="S763" s="395">
        <v>0.35000000000000003</v>
      </c>
      <c r="T763" s="272">
        <v>0.35000000000000003</v>
      </c>
      <c r="U763" s="272">
        <v>0.4</v>
      </c>
      <c r="V763" s="272">
        <v>0.48000000000000004</v>
      </c>
      <c r="W763" s="272">
        <v>0.60000000000000009</v>
      </c>
      <c r="X763" s="272">
        <v>0.7400000000000001</v>
      </c>
      <c r="Y763" s="272">
        <v>0.89000000000000012</v>
      </c>
      <c r="Z763" s="272">
        <v>0.98000000000000009</v>
      </c>
      <c r="AA763" s="272">
        <v>1</v>
      </c>
      <c r="AB763" s="272">
        <v>1</v>
      </c>
      <c r="AC763" s="272">
        <v>1</v>
      </c>
      <c r="AD763" s="396">
        <v>1</v>
      </c>
      <c r="AE763" s="396">
        <v>1</v>
      </c>
      <c r="AF763" s="396">
        <v>1</v>
      </c>
      <c r="AG763" s="396">
        <v>1</v>
      </c>
      <c r="AH763" s="396">
        <v>1</v>
      </c>
      <c r="AI763" s="396">
        <v>1</v>
      </c>
      <c r="AJ763" s="396">
        <v>1</v>
      </c>
      <c r="AK763" s="396">
        <v>1</v>
      </c>
      <c r="AL763" s="396">
        <v>1</v>
      </c>
      <c r="AM763" s="396">
        <v>1</v>
      </c>
      <c r="AN763" s="396">
        <v>1</v>
      </c>
      <c r="AO763" s="396">
        <v>1</v>
      </c>
      <c r="AP763" s="396">
        <v>1</v>
      </c>
    </row>
    <row r="764" spans="2:42" s="216" customFormat="1" ht="25.5" hidden="1" outlineLevel="3">
      <c r="B764" s="255" t="s">
        <v>930</v>
      </c>
      <c r="C764" s="290" t="s">
        <v>255</v>
      </c>
      <c r="D764" s="227" t="s">
        <v>256</v>
      </c>
      <c r="E764" s="241">
        <v>21352519447</v>
      </c>
      <c r="F764" s="228">
        <f t="shared" si="1582"/>
        <v>4.7589024389150178E-2</v>
      </c>
      <c r="G764" s="269">
        <f t="shared" si="1573"/>
        <v>6.45113836872369E-3</v>
      </c>
      <c r="H764" s="299">
        <v>45901</v>
      </c>
      <c r="I764" s="299">
        <v>46501</v>
      </c>
      <c r="J764" s="299">
        <v>45926</v>
      </c>
      <c r="K764" s="299">
        <v>46565</v>
      </c>
      <c r="L764" s="299">
        <v>45926</v>
      </c>
      <c r="M764" s="299">
        <v>46660</v>
      </c>
      <c r="N764" s="272">
        <v>0</v>
      </c>
      <c r="O764" s="272">
        <v>0.28999999999999998</v>
      </c>
      <c r="P764" s="272">
        <v>0.31</v>
      </c>
      <c r="Q764" s="272">
        <v>0.33</v>
      </c>
      <c r="R764" s="372">
        <v>0.35000000000000003</v>
      </c>
      <c r="S764" s="395">
        <v>0.35000000000000003</v>
      </c>
      <c r="T764" s="272">
        <v>0.35000000000000003</v>
      </c>
      <c r="U764" s="272">
        <v>0.4</v>
      </c>
      <c r="V764" s="272">
        <v>0.48000000000000004</v>
      </c>
      <c r="W764" s="272">
        <v>0.60000000000000009</v>
      </c>
      <c r="X764" s="272">
        <v>0.7400000000000001</v>
      </c>
      <c r="Y764" s="272">
        <v>0.89000000000000012</v>
      </c>
      <c r="Z764" s="272">
        <v>0.98000000000000009</v>
      </c>
      <c r="AA764" s="272">
        <v>1</v>
      </c>
      <c r="AB764" s="272">
        <v>1</v>
      </c>
      <c r="AC764" s="272">
        <v>1</v>
      </c>
      <c r="AD764" s="396">
        <v>1</v>
      </c>
      <c r="AE764" s="396">
        <v>1</v>
      </c>
      <c r="AF764" s="396">
        <v>1</v>
      </c>
      <c r="AG764" s="396">
        <v>1</v>
      </c>
      <c r="AH764" s="396">
        <v>1</v>
      </c>
      <c r="AI764" s="396">
        <v>1</v>
      </c>
      <c r="AJ764" s="396">
        <v>1</v>
      </c>
      <c r="AK764" s="396">
        <v>1</v>
      </c>
      <c r="AL764" s="396">
        <v>1</v>
      </c>
      <c r="AM764" s="396">
        <v>1</v>
      </c>
      <c r="AN764" s="396">
        <v>1</v>
      </c>
      <c r="AO764" s="396">
        <v>1</v>
      </c>
      <c r="AP764" s="396">
        <v>1</v>
      </c>
    </row>
    <row r="765" spans="2:42" s="216" customFormat="1" ht="25.5" hidden="1" outlineLevel="3">
      <c r="B765" s="255" t="s">
        <v>931</v>
      </c>
      <c r="C765" s="290" t="s">
        <v>258</v>
      </c>
      <c r="D765" s="227" t="s">
        <v>256</v>
      </c>
      <c r="E765" s="241">
        <v>21352519447</v>
      </c>
      <c r="F765" s="228">
        <f t="shared" si="1582"/>
        <v>4.7589024389150178E-2</v>
      </c>
      <c r="G765" s="269">
        <f t="shared" si="1573"/>
        <v>6.45113836872369E-3</v>
      </c>
      <c r="H765" s="299">
        <v>45901</v>
      </c>
      <c r="I765" s="299">
        <v>46501</v>
      </c>
      <c r="J765" s="299">
        <v>45926</v>
      </c>
      <c r="K765" s="299">
        <v>46565</v>
      </c>
      <c r="L765" s="299">
        <v>45926</v>
      </c>
      <c r="M765" s="299">
        <v>46660</v>
      </c>
      <c r="N765" s="272">
        <v>0</v>
      </c>
      <c r="O765" s="272">
        <v>0.28999999999999998</v>
      </c>
      <c r="P765" s="272">
        <v>0.31</v>
      </c>
      <c r="Q765" s="272">
        <v>0.33</v>
      </c>
      <c r="R765" s="372">
        <v>0.35000000000000003</v>
      </c>
      <c r="S765" s="395">
        <v>0.35000000000000003</v>
      </c>
      <c r="T765" s="272">
        <v>0.35000000000000003</v>
      </c>
      <c r="U765" s="272">
        <v>0.4</v>
      </c>
      <c r="V765" s="272">
        <v>0.48000000000000004</v>
      </c>
      <c r="W765" s="272">
        <v>0.60000000000000009</v>
      </c>
      <c r="X765" s="272">
        <v>0.7400000000000001</v>
      </c>
      <c r="Y765" s="272">
        <v>0.89000000000000012</v>
      </c>
      <c r="Z765" s="272">
        <v>0.98000000000000009</v>
      </c>
      <c r="AA765" s="272">
        <v>1</v>
      </c>
      <c r="AB765" s="272">
        <v>1</v>
      </c>
      <c r="AC765" s="272">
        <v>1</v>
      </c>
      <c r="AD765" s="396">
        <v>1</v>
      </c>
      <c r="AE765" s="396">
        <v>1</v>
      </c>
      <c r="AF765" s="396">
        <v>1</v>
      </c>
      <c r="AG765" s="396">
        <v>1</v>
      </c>
      <c r="AH765" s="396">
        <v>1</v>
      </c>
      <c r="AI765" s="396">
        <v>1</v>
      </c>
      <c r="AJ765" s="396">
        <v>1</v>
      </c>
      <c r="AK765" s="396">
        <v>1</v>
      </c>
      <c r="AL765" s="396">
        <v>1</v>
      </c>
      <c r="AM765" s="396">
        <v>1</v>
      </c>
      <c r="AN765" s="396">
        <v>1</v>
      </c>
      <c r="AO765" s="396">
        <v>1</v>
      </c>
      <c r="AP765" s="396">
        <v>1</v>
      </c>
    </row>
    <row r="766" spans="2:42" s="216" customFormat="1" ht="25.5" hidden="1" outlineLevel="3">
      <c r="B766" s="255" t="s">
        <v>932</v>
      </c>
      <c r="C766" s="290" t="s">
        <v>260</v>
      </c>
      <c r="D766" s="227" t="s">
        <v>256</v>
      </c>
      <c r="E766" s="241">
        <v>21352519447</v>
      </c>
      <c r="F766" s="228">
        <f t="shared" si="1582"/>
        <v>4.7589024389150178E-2</v>
      </c>
      <c r="G766" s="269">
        <f t="shared" si="1573"/>
        <v>6.45113836872369E-3</v>
      </c>
      <c r="H766" s="299">
        <v>45901</v>
      </c>
      <c r="I766" s="299">
        <v>46474</v>
      </c>
      <c r="J766" s="299">
        <v>45926</v>
      </c>
      <c r="K766" s="299">
        <v>46611</v>
      </c>
      <c r="L766" s="299">
        <v>45926</v>
      </c>
      <c r="M766" s="299">
        <v>46660</v>
      </c>
      <c r="N766" s="272">
        <v>0</v>
      </c>
      <c r="O766" s="272">
        <v>0.28999999999999998</v>
      </c>
      <c r="P766" s="272">
        <v>0.31</v>
      </c>
      <c r="Q766" s="272">
        <v>0.33</v>
      </c>
      <c r="R766" s="372">
        <v>0.35000000000000003</v>
      </c>
      <c r="S766" s="395">
        <v>0.35000000000000003</v>
      </c>
      <c r="T766" s="272">
        <v>0.35000000000000003</v>
      </c>
      <c r="U766" s="272">
        <v>0.4</v>
      </c>
      <c r="V766" s="272">
        <v>0.48000000000000004</v>
      </c>
      <c r="W766" s="272">
        <v>0.60000000000000009</v>
      </c>
      <c r="X766" s="272">
        <v>0.7400000000000001</v>
      </c>
      <c r="Y766" s="272">
        <v>0.89000000000000012</v>
      </c>
      <c r="Z766" s="272">
        <v>0.98000000000000009</v>
      </c>
      <c r="AA766" s="272">
        <v>1</v>
      </c>
      <c r="AB766" s="272">
        <v>1</v>
      </c>
      <c r="AC766" s="272">
        <v>1</v>
      </c>
      <c r="AD766" s="396">
        <v>1</v>
      </c>
      <c r="AE766" s="396">
        <v>1</v>
      </c>
      <c r="AF766" s="396">
        <v>1</v>
      </c>
      <c r="AG766" s="396">
        <v>1</v>
      </c>
      <c r="AH766" s="396">
        <v>1</v>
      </c>
      <c r="AI766" s="396">
        <v>1</v>
      </c>
      <c r="AJ766" s="396">
        <v>1</v>
      </c>
      <c r="AK766" s="396">
        <v>1</v>
      </c>
      <c r="AL766" s="396">
        <v>1</v>
      </c>
      <c r="AM766" s="396">
        <v>1</v>
      </c>
      <c r="AN766" s="396">
        <v>1</v>
      </c>
      <c r="AO766" s="396">
        <v>1</v>
      </c>
      <c r="AP766" s="396">
        <v>1</v>
      </c>
    </row>
    <row r="767" spans="2:42" s="216" customFormat="1" ht="25.5" hidden="1" outlineLevel="3">
      <c r="B767" s="255" t="s">
        <v>933</v>
      </c>
      <c r="C767" s="290" t="s">
        <v>262</v>
      </c>
      <c r="D767" s="227" t="s">
        <v>256</v>
      </c>
      <c r="E767" s="241">
        <v>21352519447</v>
      </c>
      <c r="F767" s="228">
        <f t="shared" si="1582"/>
        <v>4.7589024389150178E-2</v>
      </c>
      <c r="G767" s="269">
        <f t="shared" si="1573"/>
        <v>6.45113836872369E-3</v>
      </c>
      <c r="H767" s="299">
        <v>45901</v>
      </c>
      <c r="I767" s="299">
        <v>46474</v>
      </c>
      <c r="J767" s="299">
        <v>45926</v>
      </c>
      <c r="K767" s="299">
        <v>46611</v>
      </c>
      <c r="L767" s="299">
        <v>45926</v>
      </c>
      <c r="M767" s="299">
        <v>46660</v>
      </c>
      <c r="N767" s="272">
        <v>0</v>
      </c>
      <c r="O767" s="272">
        <v>0.28999999999999998</v>
      </c>
      <c r="P767" s="272">
        <v>0.31</v>
      </c>
      <c r="Q767" s="272">
        <v>0.33</v>
      </c>
      <c r="R767" s="372">
        <v>0.35000000000000003</v>
      </c>
      <c r="S767" s="395">
        <v>0.35000000000000003</v>
      </c>
      <c r="T767" s="272">
        <v>0.35000000000000003</v>
      </c>
      <c r="U767" s="272">
        <v>0.4</v>
      </c>
      <c r="V767" s="272">
        <v>0.48000000000000004</v>
      </c>
      <c r="W767" s="272">
        <v>0.60000000000000009</v>
      </c>
      <c r="X767" s="272">
        <v>0.7400000000000001</v>
      </c>
      <c r="Y767" s="272">
        <v>0.89000000000000012</v>
      </c>
      <c r="Z767" s="272">
        <v>0.98000000000000009</v>
      </c>
      <c r="AA767" s="272">
        <v>1</v>
      </c>
      <c r="AB767" s="272">
        <v>1</v>
      </c>
      <c r="AC767" s="272">
        <v>1</v>
      </c>
      <c r="AD767" s="396">
        <v>1</v>
      </c>
      <c r="AE767" s="396">
        <v>1</v>
      </c>
      <c r="AF767" s="396">
        <v>1</v>
      </c>
      <c r="AG767" s="396">
        <v>1</v>
      </c>
      <c r="AH767" s="396">
        <v>1</v>
      </c>
      <c r="AI767" s="396">
        <v>1</v>
      </c>
      <c r="AJ767" s="396">
        <v>1</v>
      </c>
      <c r="AK767" s="396">
        <v>1</v>
      </c>
      <c r="AL767" s="396">
        <v>1</v>
      </c>
      <c r="AM767" s="396">
        <v>1</v>
      </c>
      <c r="AN767" s="396">
        <v>1</v>
      </c>
      <c r="AO767" s="396">
        <v>1</v>
      </c>
      <c r="AP767" s="396">
        <v>1</v>
      </c>
    </row>
    <row r="768" spans="2:42" s="216" customFormat="1" ht="25.5" hidden="1" outlineLevel="2">
      <c r="B768" s="291" t="s">
        <v>934</v>
      </c>
      <c r="C768" s="292" t="s">
        <v>37</v>
      </c>
      <c r="D768" s="234" t="s">
        <v>33</v>
      </c>
      <c r="E768" s="240">
        <f>SUM(E769:E779)</f>
        <v>175877564456</v>
      </c>
      <c r="F768" s="223">
        <f t="shared" si="1580"/>
        <v>9.0647549000068411E-2</v>
      </c>
      <c r="G768" s="293">
        <f t="shared" si="1573"/>
        <v>5.3137078604519751E-2</v>
      </c>
      <c r="H768" s="298">
        <v>46113</v>
      </c>
      <c r="I768" s="298">
        <v>46517</v>
      </c>
      <c r="J768" s="298"/>
      <c r="K768" s="298"/>
      <c r="L768" s="298"/>
      <c r="M768" s="223"/>
      <c r="N768" s="270">
        <v>7.0000000000000001E-3</v>
      </c>
      <c r="O768" s="270">
        <v>7.0000000000000001E-3</v>
      </c>
      <c r="P768" s="270">
        <v>7.0000000000000001E-3</v>
      </c>
      <c r="Q768" s="270">
        <v>7.0000000000000001E-3</v>
      </c>
      <c r="R768" s="370">
        <v>7.0000000000000001E-3</v>
      </c>
      <c r="S768" s="391">
        <v>7.0000000000000001E-3</v>
      </c>
      <c r="T768" s="270">
        <v>7.0000000000000001E-3</v>
      </c>
      <c r="U768" s="270">
        <v>7.0000000000000001E-3</v>
      </c>
      <c r="V768" s="270">
        <v>7.0000000000000001E-3</v>
      </c>
      <c r="W768" s="270">
        <v>7.0000000000000001E-3</v>
      </c>
      <c r="X768" s="270">
        <v>7.0000000000000001E-3</v>
      </c>
      <c r="Y768" s="270">
        <v>7.0000000000000001E-3</v>
      </c>
      <c r="Z768" s="270">
        <v>7.0000000000000001E-3</v>
      </c>
      <c r="AA768" s="270">
        <v>7.0000000000000001E-3</v>
      </c>
      <c r="AB768" s="270">
        <v>7.0000000000000001E-3</v>
      </c>
      <c r="AC768" s="270">
        <v>7.0000000000000001E-3</v>
      </c>
      <c r="AD768" s="392">
        <v>7.0000000000000001E-3</v>
      </c>
      <c r="AE768" s="392">
        <v>7.0000000000000001E-3</v>
      </c>
      <c r="AF768" s="392">
        <v>7.0000000000000001E-3</v>
      </c>
      <c r="AG768" s="392">
        <v>7.0000000000000001E-3</v>
      </c>
      <c r="AH768" s="392">
        <v>7.0000000000000001E-3</v>
      </c>
      <c r="AI768" s="392">
        <v>7.0000000000000001E-3</v>
      </c>
      <c r="AJ768" s="392">
        <v>7.0000000000000001E-3</v>
      </c>
      <c r="AK768" s="392">
        <v>7.0000000000000001E-3</v>
      </c>
      <c r="AL768" s="392">
        <v>7.0000000000000001E-3</v>
      </c>
      <c r="AM768" s="392">
        <v>7.0000000000000001E-3</v>
      </c>
      <c r="AN768" s="392">
        <v>7.0000000000000001E-3</v>
      </c>
      <c r="AO768" s="392">
        <v>7.0000000000000001E-3</v>
      </c>
      <c r="AP768" s="392">
        <v>7.0000000000000001E-3</v>
      </c>
    </row>
    <row r="769" spans="2:42" s="216" customFormat="1" ht="25.5" hidden="1" outlineLevel="3">
      <c r="B769" s="255" t="s">
        <v>907</v>
      </c>
      <c r="C769" s="290" t="s">
        <v>230</v>
      </c>
      <c r="D769" s="227" t="s">
        <v>231</v>
      </c>
      <c r="E769" s="241">
        <v>15988869496</v>
      </c>
      <c r="F769" s="228">
        <f>E769/$E$768</f>
        <v>9.0909090909090912E-2</v>
      </c>
      <c r="G769" s="269">
        <f t="shared" si="1573"/>
        <v>4.8306435095017948E-3</v>
      </c>
      <c r="H769" s="299">
        <v>46113</v>
      </c>
      <c r="I769" s="299">
        <v>46517</v>
      </c>
      <c r="J769" s="299"/>
      <c r="K769" s="299"/>
      <c r="L769" s="299"/>
      <c r="M769" s="228"/>
      <c r="N769" s="272">
        <v>7.0000000000000001E-3</v>
      </c>
      <c r="O769" s="272">
        <v>7.0000000000000001E-3</v>
      </c>
      <c r="P769" s="272">
        <v>7.0000000000000001E-3</v>
      </c>
      <c r="Q769" s="272">
        <v>7.0000000000000001E-3</v>
      </c>
      <c r="R769" s="372">
        <v>7.0000000000000001E-3</v>
      </c>
      <c r="S769" s="395">
        <v>7.0000000000000001E-3</v>
      </c>
      <c r="T769" s="272">
        <v>7.0000000000000001E-3</v>
      </c>
      <c r="U769" s="272">
        <v>7.0000000000000001E-3</v>
      </c>
      <c r="V769" s="272">
        <v>7.0000000000000001E-3</v>
      </c>
      <c r="W769" s="272">
        <v>7.0000000000000001E-3</v>
      </c>
      <c r="X769" s="272">
        <v>7.0000000000000001E-3</v>
      </c>
      <c r="Y769" s="272">
        <v>7.0000000000000001E-3</v>
      </c>
      <c r="Z769" s="272">
        <v>7.0000000000000001E-3</v>
      </c>
      <c r="AA769" s="272">
        <v>7.0000000000000001E-3</v>
      </c>
      <c r="AB769" s="272">
        <v>7.0000000000000001E-3</v>
      </c>
      <c r="AC769" s="272">
        <v>7.0000000000000001E-3</v>
      </c>
      <c r="AD769" s="396">
        <v>7.0000000000000001E-3</v>
      </c>
      <c r="AE769" s="396">
        <v>7.0000000000000001E-3</v>
      </c>
      <c r="AF769" s="396">
        <v>7.0000000000000001E-3</v>
      </c>
      <c r="AG769" s="396">
        <v>7.0000000000000001E-3</v>
      </c>
      <c r="AH769" s="396">
        <v>7.0000000000000001E-3</v>
      </c>
      <c r="AI769" s="396">
        <v>7.0000000000000001E-3</v>
      </c>
      <c r="AJ769" s="396">
        <v>7.0000000000000001E-3</v>
      </c>
      <c r="AK769" s="396">
        <v>7.0000000000000001E-3</v>
      </c>
      <c r="AL769" s="396">
        <v>7.0000000000000001E-3</v>
      </c>
      <c r="AM769" s="396">
        <v>7.0000000000000001E-3</v>
      </c>
      <c r="AN769" s="396">
        <v>7.0000000000000001E-3</v>
      </c>
      <c r="AO769" s="396">
        <v>7.0000000000000001E-3</v>
      </c>
      <c r="AP769" s="396">
        <v>7.0000000000000001E-3</v>
      </c>
    </row>
    <row r="770" spans="2:42" s="216" customFormat="1" ht="25.5" hidden="1" outlineLevel="3">
      <c r="B770" s="255" t="s">
        <v>908</v>
      </c>
      <c r="C770" s="290" t="s">
        <v>233</v>
      </c>
      <c r="D770" s="227" t="s">
        <v>231</v>
      </c>
      <c r="E770" s="241">
        <v>15988869496</v>
      </c>
      <c r="F770" s="228">
        <f t="shared" ref="F770:F779" si="1583">E770/$E$768</f>
        <v>9.0909090909090912E-2</v>
      </c>
      <c r="G770" s="269">
        <f t="shared" si="1573"/>
        <v>4.8306435095017948E-3</v>
      </c>
      <c r="H770" s="299">
        <v>46113</v>
      </c>
      <c r="I770" s="299">
        <v>46517</v>
      </c>
      <c r="J770" s="299"/>
      <c r="K770" s="299"/>
      <c r="L770" s="299"/>
      <c r="M770" s="228"/>
      <c r="N770" s="272">
        <v>7.0000000000000001E-3</v>
      </c>
      <c r="O770" s="272">
        <v>7.0000000000000001E-3</v>
      </c>
      <c r="P770" s="272">
        <v>7.0000000000000001E-3</v>
      </c>
      <c r="Q770" s="272">
        <v>7.0000000000000001E-3</v>
      </c>
      <c r="R770" s="372">
        <v>7.0000000000000001E-3</v>
      </c>
      <c r="S770" s="395">
        <v>7.0000000000000001E-3</v>
      </c>
      <c r="T770" s="272">
        <v>7.0000000000000001E-3</v>
      </c>
      <c r="U770" s="272">
        <v>7.0000000000000001E-3</v>
      </c>
      <c r="V770" s="272">
        <v>7.0000000000000001E-3</v>
      </c>
      <c r="W770" s="272">
        <v>7.0000000000000001E-3</v>
      </c>
      <c r="X770" s="272">
        <v>7.0000000000000001E-3</v>
      </c>
      <c r="Y770" s="272">
        <v>7.0000000000000001E-3</v>
      </c>
      <c r="Z770" s="272">
        <v>7.0000000000000001E-3</v>
      </c>
      <c r="AA770" s="272">
        <v>7.0000000000000001E-3</v>
      </c>
      <c r="AB770" s="272">
        <v>7.0000000000000001E-3</v>
      </c>
      <c r="AC770" s="272">
        <v>7.0000000000000001E-3</v>
      </c>
      <c r="AD770" s="396">
        <v>7.0000000000000001E-3</v>
      </c>
      <c r="AE770" s="396">
        <v>7.0000000000000001E-3</v>
      </c>
      <c r="AF770" s="396">
        <v>7.0000000000000001E-3</v>
      </c>
      <c r="AG770" s="396">
        <v>7.0000000000000001E-3</v>
      </c>
      <c r="AH770" s="396">
        <v>7.0000000000000001E-3</v>
      </c>
      <c r="AI770" s="396">
        <v>7.0000000000000001E-3</v>
      </c>
      <c r="AJ770" s="396">
        <v>7.0000000000000001E-3</v>
      </c>
      <c r="AK770" s="396">
        <v>7.0000000000000001E-3</v>
      </c>
      <c r="AL770" s="396">
        <v>7.0000000000000001E-3</v>
      </c>
      <c r="AM770" s="396">
        <v>7.0000000000000001E-3</v>
      </c>
      <c r="AN770" s="396">
        <v>7.0000000000000001E-3</v>
      </c>
      <c r="AO770" s="396">
        <v>7.0000000000000001E-3</v>
      </c>
      <c r="AP770" s="396">
        <v>7.0000000000000001E-3</v>
      </c>
    </row>
    <row r="771" spans="2:42" s="216" customFormat="1" ht="25.5" hidden="1" outlineLevel="3">
      <c r="B771" s="255" t="s">
        <v>909</v>
      </c>
      <c r="C771" s="290" t="s">
        <v>235</v>
      </c>
      <c r="D771" s="227" t="s">
        <v>231</v>
      </c>
      <c r="E771" s="241">
        <v>15988869496</v>
      </c>
      <c r="F771" s="228">
        <f t="shared" si="1583"/>
        <v>9.0909090909090912E-2</v>
      </c>
      <c r="G771" s="269">
        <f t="shared" si="1573"/>
        <v>4.8306435095017948E-3</v>
      </c>
      <c r="H771" s="299">
        <v>46113</v>
      </c>
      <c r="I771" s="299">
        <v>46517</v>
      </c>
      <c r="J771" s="299"/>
      <c r="K771" s="299"/>
      <c r="L771" s="299"/>
      <c r="M771" s="228"/>
      <c r="N771" s="272">
        <v>7.0000000000000001E-3</v>
      </c>
      <c r="O771" s="272">
        <v>7.0000000000000001E-3</v>
      </c>
      <c r="P771" s="272">
        <v>7.0000000000000001E-3</v>
      </c>
      <c r="Q771" s="272">
        <v>7.0000000000000001E-3</v>
      </c>
      <c r="R771" s="372">
        <v>7.0000000000000001E-3</v>
      </c>
      <c r="S771" s="395">
        <v>7.0000000000000001E-3</v>
      </c>
      <c r="T771" s="272">
        <v>7.0000000000000001E-3</v>
      </c>
      <c r="U771" s="272">
        <v>7.0000000000000001E-3</v>
      </c>
      <c r="V771" s="272">
        <v>7.0000000000000001E-3</v>
      </c>
      <c r="W771" s="272">
        <v>7.0000000000000001E-3</v>
      </c>
      <c r="X771" s="272">
        <v>7.0000000000000001E-3</v>
      </c>
      <c r="Y771" s="272">
        <v>7.0000000000000001E-3</v>
      </c>
      <c r="Z771" s="272">
        <v>7.0000000000000001E-3</v>
      </c>
      <c r="AA771" s="272">
        <v>7.0000000000000001E-3</v>
      </c>
      <c r="AB771" s="272">
        <v>7.0000000000000001E-3</v>
      </c>
      <c r="AC771" s="272">
        <v>7.0000000000000001E-3</v>
      </c>
      <c r="AD771" s="396">
        <v>7.0000000000000001E-3</v>
      </c>
      <c r="AE771" s="396">
        <v>7.0000000000000001E-3</v>
      </c>
      <c r="AF771" s="396">
        <v>7.0000000000000001E-3</v>
      </c>
      <c r="AG771" s="396">
        <v>7.0000000000000001E-3</v>
      </c>
      <c r="AH771" s="396">
        <v>7.0000000000000001E-3</v>
      </c>
      <c r="AI771" s="396">
        <v>7.0000000000000001E-3</v>
      </c>
      <c r="AJ771" s="396">
        <v>7.0000000000000001E-3</v>
      </c>
      <c r="AK771" s="396">
        <v>7.0000000000000001E-3</v>
      </c>
      <c r="AL771" s="396">
        <v>7.0000000000000001E-3</v>
      </c>
      <c r="AM771" s="396">
        <v>7.0000000000000001E-3</v>
      </c>
      <c r="AN771" s="396">
        <v>7.0000000000000001E-3</v>
      </c>
      <c r="AO771" s="396">
        <v>7.0000000000000001E-3</v>
      </c>
      <c r="AP771" s="396">
        <v>7.0000000000000001E-3</v>
      </c>
    </row>
    <row r="772" spans="2:42" s="216" customFormat="1" ht="25.5" hidden="1" outlineLevel="3">
      <c r="B772" s="255" t="s">
        <v>910</v>
      </c>
      <c r="C772" s="290" t="s">
        <v>237</v>
      </c>
      <c r="D772" s="227" t="s">
        <v>231</v>
      </c>
      <c r="E772" s="241">
        <v>15988869496</v>
      </c>
      <c r="F772" s="228">
        <f t="shared" si="1583"/>
        <v>9.0909090909090912E-2</v>
      </c>
      <c r="G772" s="269">
        <f t="shared" si="1573"/>
        <v>4.8306435095017948E-3</v>
      </c>
      <c r="H772" s="299">
        <v>46113</v>
      </c>
      <c r="I772" s="299">
        <v>46517</v>
      </c>
      <c r="J772" s="299"/>
      <c r="K772" s="299"/>
      <c r="L772" s="299"/>
      <c r="M772" s="228"/>
      <c r="N772" s="272">
        <v>7.0000000000000001E-3</v>
      </c>
      <c r="O772" s="272">
        <v>7.0000000000000001E-3</v>
      </c>
      <c r="P772" s="272">
        <v>7.0000000000000001E-3</v>
      </c>
      <c r="Q772" s="272">
        <v>7.0000000000000001E-3</v>
      </c>
      <c r="R772" s="372">
        <v>7.0000000000000001E-3</v>
      </c>
      <c r="S772" s="395">
        <v>7.0000000000000001E-3</v>
      </c>
      <c r="T772" s="272">
        <v>7.0000000000000001E-3</v>
      </c>
      <c r="U772" s="272">
        <v>7.0000000000000001E-3</v>
      </c>
      <c r="V772" s="272">
        <v>7.0000000000000001E-3</v>
      </c>
      <c r="W772" s="272">
        <v>7.0000000000000001E-3</v>
      </c>
      <c r="X772" s="272">
        <v>7.0000000000000001E-3</v>
      </c>
      <c r="Y772" s="272">
        <v>7.0000000000000001E-3</v>
      </c>
      <c r="Z772" s="272">
        <v>7.0000000000000001E-3</v>
      </c>
      <c r="AA772" s="272">
        <v>7.0000000000000001E-3</v>
      </c>
      <c r="AB772" s="272">
        <v>7.0000000000000001E-3</v>
      </c>
      <c r="AC772" s="272">
        <v>7.0000000000000001E-3</v>
      </c>
      <c r="AD772" s="396">
        <v>7.0000000000000001E-3</v>
      </c>
      <c r="AE772" s="396">
        <v>7.0000000000000001E-3</v>
      </c>
      <c r="AF772" s="396">
        <v>7.0000000000000001E-3</v>
      </c>
      <c r="AG772" s="396">
        <v>7.0000000000000001E-3</v>
      </c>
      <c r="AH772" s="396">
        <v>7.0000000000000001E-3</v>
      </c>
      <c r="AI772" s="396">
        <v>7.0000000000000001E-3</v>
      </c>
      <c r="AJ772" s="396">
        <v>7.0000000000000001E-3</v>
      </c>
      <c r="AK772" s="396">
        <v>7.0000000000000001E-3</v>
      </c>
      <c r="AL772" s="396">
        <v>7.0000000000000001E-3</v>
      </c>
      <c r="AM772" s="396">
        <v>7.0000000000000001E-3</v>
      </c>
      <c r="AN772" s="396">
        <v>7.0000000000000001E-3</v>
      </c>
      <c r="AO772" s="396">
        <v>7.0000000000000001E-3</v>
      </c>
      <c r="AP772" s="396">
        <v>7.0000000000000001E-3</v>
      </c>
    </row>
    <row r="773" spans="2:42" s="216" customFormat="1" ht="25.5" hidden="1" outlineLevel="3">
      <c r="B773" s="255" t="s">
        <v>911</v>
      </c>
      <c r="C773" s="290" t="s">
        <v>239</v>
      </c>
      <c r="D773" s="227" t="s">
        <v>231</v>
      </c>
      <c r="E773" s="241">
        <v>15988869496</v>
      </c>
      <c r="F773" s="228">
        <f t="shared" si="1583"/>
        <v>9.0909090909090912E-2</v>
      </c>
      <c r="G773" s="269">
        <f t="shared" si="1573"/>
        <v>4.8306435095017948E-3</v>
      </c>
      <c r="H773" s="299">
        <v>46113</v>
      </c>
      <c r="I773" s="299">
        <v>46517</v>
      </c>
      <c r="J773" s="299"/>
      <c r="K773" s="299"/>
      <c r="L773" s="299"/>
      <c r="M773" s="228"/>
      <c r="N773" s="272">
        <v>7.0000000000000001E-3</v>
      </c>
      <c r="O773" s="272">
        <v>7.0000000000000001E-3</v>
      </c>
      <c r="P773" s="272">
        <v>7.0000000000000001E-3</v>
      </c>
      <c r="Q773" s="272">
        <v>7.0000000000000001E-3</v>
      </c>
      <c r="R773" s="372">
        <v>7.0000000000000001E-3</v>
      </c>
      <c r="S773" s="395">
        <v>7.0000000000000001E-3</v>
      </c>
      <c r="T773" s="272">
        <v>7.0000000000000001E-3</v>
      </c>
      <c r="U773" s="272">
        <v>7.0000000000000001E-3</v>
      </c>
      <c r="V773" s="272">
        <v>7.0000000000000001E-3</v>
      </c>
      <c r="W773" s="272">
        <v>7.0000000000000001E-3</v>
      </c>
      <c r="X773" s="272">
        <v>7.0000000000000001E-3</v>
      </c>
      <c r="Y773" s="272">
        <v>7.0000000000000001E-3</v>
      </c>
      <c r="Z773" s="272">
        <v>7.0000000000000001E-3</v>
      </c>
      <c r="AA773" s="272">
        <v>7.0000000000000001E-3</v>
      </c>
      <c r="AB773" s="272">
        <v>7.0000000000000001E-3</v>
      </c>
      <c r="AC773" s="272">
        <v>7.0000000000000001E-3</v>
      </c>
      <c r="AD773" s="396">
        <v>7.0000000000000001E-3</v>
      </c>
      <c r="AE773" s="396">
        <v>7.0000000000000001E-3</v>
      </c>
      <c r="AF773" s="396">
        <v>7.0000000000000001E-3</v>
      </c>
      <c r="AG773" s="396">
        <v>7.0000000000000001E-3</v>
      </c>
      <c r="AH773" s="396">
        <v>7.0000000000000001E-3</v>
      </c>
      <c r="AI773" s="396">
        <v>7.0000000000000001E-3</v>
      </c>
      <c r="AJ773" s="396">
        <v>7.0000000000000001E-3</v>
      </c>
      <c r="AK773" s="396">
        <v>7.0000000000000001E-3</v>
      </c>
      <c r="AL773" s="396">
        <v>7.0000000000000001E-3</v>
      </c>
      <c r="AM773" s="396">
        <v>7.0000000000000001E-3</v>
      </c>
      <c r="AN773" s="396">
        <v>7.0000000000000001E-3</v>
      </c>
      <c r="AO773" s="396">
        <v>7.0000000000000001E-3</v>
      </c>
      <c r="AP773" s="396">
        <v>7.0000000000000001E-3</v>
      </c>
    </row>
    <row r="774" spans="2:42" s="216" customFormat="1" ht="25.5" hidden="1" outlineLevel="3">
      <c r="B774" s="255" t="s">
        <v>912</v>
      </c>
      <c r="C774" s="290" t="s">
        <v>241</v>
      </c>
      <c r="D774" s="227" t="s">
        <v>231</v>
      </c>
      <c r="E774" s="241">
        <v>15988869496</v>
      </c>
      <c r="F774" s="228">
        <f t="shared" si="1583"/>
        <v>9.0909090909090912E-2</v>
      </c>
      <c r="G774" s="269">
        <f t="shared" si="1573"/>
        <v>4.8306435095017948E-3</v>
      </c>
      <c r="H774" s="299">
        <v>46113</v>
      </c>
      <c r="I774" s="299">
        <v>46517</v>
      </c>
      <c r="J774" s="299"/>
      <c r="K774" s="299"/>
      <c r="L774" s="299"/>
      <c r="M774" s="228"/>
      <c r="N774" s="272">
        <v>7.0000000000000001E-3</v>
      </c>
      <c r="O774" s="272">
        <v>7.0000000000000001E-3</v>
      </c>
      <c r="P774" s="272">
        <v>7.0000000000000001E-3</v>
      </c>
      <c r="Q774" s="272">
        <v>7.0000000000000001E-3</v>
      </c>
      <c r="R774" s="372">
        <v>7.0000000000000001E-3</v>
      </c>
      <c r="S774" s="395">
        <v>7.0000000000000001E-3</v>
      </c>
      <c r="T774" s="272">
        <v>7.0000000000000001E-3</v>
      </c>
      <c r="U774" s="272">
        <v>7.0000000000000001E-3</v>
      </c>
      <c r="V774" s="272">
        <v>7.0000000000000001E-3</v>
      </c>
      <c r="W774" s="272">
        <v>7.0000000000000001E-3</v>
      </c>
      <c r="X774" s="272">
        <v>7.0000000000000001E-3</v>
      </c>
      <c r="Y774" s="272">
        <v>7.0000000000000001E-3</v>
      </c>
      <c r="Z774" s="272">
        <v>7.0000000000000001E-3</v>
      </c>
      <c r="AA774" s="272">
        <v>7.0000000000000001E-3</v>
      </c>
      <c r="AB774" s="272">
        <v>7.0000000000000001E-3</v>
      </c>
      <c r="AC774" s="272">
        <v>7.0000000000000001E-3</v>
      </c>
      <c r="AD774" s="396">
        <v>7.0000000000000001E-3</v>
      </c>
      <c r="AE774" s="396">
        <v>7.0000000000000001E-3</v>
      </c>
      <c r="AF774" s="396">
        <v>7.0000000000000001E-3</v>
      </c>
      <c r="AG774" s="396">
        <v>7.0000000000000001E-3</v>
      </c>
      <c r="AH774" s="396">
        <v>7.0000000000000001E-3</v>
      </c>
      <c r="AI774" s="396">
        <v>7.0000000000000001E-3</v>
      </c>
      <c r="AJ774" s="396">
        <v>7.0000000000000001E-3</v>
      </c>
      <c r="AK774" s="396">
        <v>7.0000000000000001E-3</v>
      </c>
      <c r="AL774" s="396">
        <v>7.0000000000000001E-3</v>
      </c>
      <c r="AM774" s="396">
        <v>7.0000000000000001E-3</v>
      </c>
      <c r="AN774" s="396">
        <v>7.0000000000000001E-3</v>
      </c>
      <c r="AO774" s="396">
        <v>7.0000000000000001E-3</v>
      </c>
      <c r="AP774" s="396">
        <v>7.0000000000000001E-3</v>
      </c>
    </row>
    <row r="775" spans="2:42" s="216" customFormat="1" ht="25.5" hidden="1" outlineLevel="3">
      <c r="B775" s="255" t="s">
        <v>913</v>
      </c>
      <c r="C775" s="290" t="s">
        <v>243</v>
      </c>
      <c r="D775" s="227" t="s">
        <v>231</v>
      </c>
      <c r="E775" s="241">
        <v>15988869496</v>
      </c>
      <c r="F775" s="228">
        <f t="shared" si="1583"/>
        <v>9.0909090909090912E-2</v>
      </c>
      <c r="G775" s="269">
        <f t="shared" si="1573"/>
        <v>4.8306435095017948E-3</v>
      </c>
      <c r="H775" s="299">
        <v>46113</v>
      </c>
      <c r="I775" s="299">
        <v>46517</v>
      </c>
      <c r="J775" s="299"/>
      <c r="K775" s="299"/>
      <c r="L775" s="299"/>
      <c r="M775" s="228"/>
      <c r="N775" s="272">
        <v>7.0000000000000001E-3</v>
      </c>
      <c r="O775" s="272">
        <v>7.0000000000000001E-3</v>
      </c>
      <c r="P775" s="272">
        <v>7.0000000000000001E-3</v>
      </c>
      <c r="Q775" s="272">
        <v>7.0000000000000001E-3</v>
      </c>
      <c r="R775" s="372">
        <v>7.0000000000000001E-3</v>
      </c>
      <c r="S775" s="395">
        <v>7.0000000000000001E-3</v>
      </c>
      <c r="T775" s="272">
        <v>7.0000000000000001E-3</v>
      </c>
      <c r="U775" s="272">
        <v>7.0000000000000001E-3</v>
      </c>
      <c r="V775" s="272">
        <v>7.0000000000000001E-3</v>
      </c>
      <c r="W775" s="272">
        <v>7.0000000000000001E-3</v>
      </c>
      <c r="X775" s="272">
        <v>7.0000000000000001E-3</v>
      </c>
      <c r="Y775" s="272">
        <v>7.0000000000000001E-3</v>
      </c>
      <c r="Z775" s="272">
        <v>7.0000000000000001E-3</v>
      </c>
      <c r="AA775" s="272">
        <v>7.0000000000000001E-3</v>
      </c>
      <c r="AB775" s="272">
        <v>7.0000000000000001E-3</v>
      </c>
      <c r="AC775" s="272">
        <v>7.0000000000000001E-3</v>
      </c>
      <c r="AD775" s="396">
        <v>7.0000000000000001E-3</v>
      </c>
      <c r="AE775" s="396">
        <v>7.0000000000000001E-3</v>
      </c>
      <c r="AF775" s="396">
        <v>7.0000000000000001E-3</v>
      </c>
      <c r="AG775" s="396">
        <v>7.0000000000000001E-3</v>
      </c>
      <c r="AH775" s="396">
        <v>7.0000000000000001E-3</v>
      </c>
      <c r="AI775" s="396">
        <v>7.0000000000000001E-3</v>
      </c>
      <c r="AJ775" s="396">
        <v>7.0000000000000001E-3</v>
      </c>
      <c r="AK775" s="396">
        <v>7.0000000000000001E-3</v>
      </c>
      <c r="AL775" s="396">
        <v>7.0000000000000001E-3</v>
      </c>
      <c r="AM775" s="396">
        <v>7.0000000000000001E-3</v>
      </c>
      <c r="AN775" s="396">
        <v>7.0000000000000001E-3</v>
      </c>
      <c r="AO775" s="396">
        <v>7.0000000000000001E-3</v>
      </c>
      <c r="AP775" s="396">
        <v>7.0000000000000001E-3</v>
      </c>
    </row>
    <row r="776" spans="2:42" s="216" customFormat="1" ht="25.5" hidden="1" outlineLevel="3">
      <c r="B776" s="255" t="s">
        <v>914</v>
      </c>
      <c r="C776" s="290" t="s">
        <v>245</v>
      </c>
      <c r="D776" s="227" t="s">
        <v>231</v>
      </c>
      <c r="E776" s="241">
        <v>15988869496</v>
      </c>
      <c r="F776" s="228">
        <f t="shared" si="1583"/>
        <v>9.0909090909090912E-2</v>
      </c>
      <c r="G776" s="269">
        <f t="shared" si="1573"/>
        <v>4.8306435095017948E-3</v>
      </c>
      <c r="H776" s="299">
        <v>46113</v>
      </c>
      <c r="I776" s="299">
        <v>46517</v>
      </c>
      <c r="J776" s="299"/>
      <c r="K776" s="299"/>
      <c r="L776" s="299"/>
      <c r="M776" s="228"/>
      <c r="N776" s="272">
        <v>7.0000000000000001E-3</v>
      </c>
      <c r="O776" s="272">
        <v>7.0000000000000001E-3</v>
      </c>
      <c r="P776" s="272">
        <v>7.0000000000000001E-3</v>
      </c>
      <c r="Q776" s="272">
        <v>7.0000000000000001E-3</v>
      </c>
      <c r="R776" s="372">
        <v>7.0000000000000001E-3</v>
      </c>
      <c r="S776" s="395">
        <v>7.0000000000000001E-3</v>
      </c>
      <c r="T776" s="272">
        <v>7.0000000000000001E-3</v>
      </c>
      <c r="U776" s="272">
        <v>7.0000000000000001E-3</v>
      </c>
      <c r="V776" s="272">
        <v>7.0000000000000001E-3</v>
      </c>
      <c r="W776" s="272">
        <v>7.0000000000000001E-3</v>
      </c>
      <c r="X776" s="272">
        <v>7.0000000000000001E-3</v>
      </c>
      <c r="Y776" s="272">
        <v>7.0000000000000001E-3</v>
      </c>
      <c r="Z776" s="272">
        <v>7.0000000000000001E-3</v>
      </c>
      <c r="AA776" s="272">
        <v>7.0000000000000001E-3</v>
      </c>
      <c r="AB776" s="272">
        <v>7.0000000000000001E-3</v>
      </c>
      <c r="AC776" s="272">
        <v>7.0000000000000001E-3</v>
      </c>
      <c r="AD776" s="396">
        <v>7.0000000000000001E-3</v>
      </c>
      <c r="AE776" s="396">
        <v>7.0000000000000001E-3</v>
      </c>
      <c r="AF776" s="396">
        <v>7.0000000000000001E-3</v>
      </c>
      <c r="AG776" s="396">
        <v>7.0000000000000001E-3</v>
      </c>
      <c r="AH776" s="396">
        <v>7.0000000000000001E-3</v>
      </c>
      <c r="AI776" s="396">
        <v>7.0000000000000001E-3</v>
      </c>
      <c r="AJ776" s="396">
        <v>7.0000000000000001E-3</v>
      </c>
      <c r="AK776" s="396">
        <v>7.0000000000000001E-3</v>
      </c>
      <c r="AL776" s="396">
        <v>7.0000000000000001E-3</v>
      </c>
      <c r="AM776" s="396">
        <v>7.0000000000000001E-3</v>
      </c>
      <c r="AN776" s="396">
        <v>7.0000000000000001E-3</v>
      </c>
      <c r="AO776" s="396">
        <v>7.0000000000000001E-3</v>
      </c>
      <c r="AP776" s="396">
        <v>7.0000000000000001E-3</v>
      </c>
    </row>
    <row r="777" spans="2:42" s="216" customFormat="1" ht="25.5" hidden="1" outlineLevel="3">
      <c r="B777" s="255" t="s">
        <v>915</v>
      </c>
      <c r="C777" s="290" t="s">
        <v>247</v>
      </c>
      <c r="D777" s="227" t="s">
        <v>231</v>
      </c>
      <c r="E777" s="241">
        <v>15988869496</v>
      </c>
      <c r="F777" s="228">
        <f t="shared" si="1583"/>
        <v>9.0909090909090912E-2</v>
      </c>
      <c r="G777" s="269">
        <f t="shared" si="1573"/>
        <v>4.8306435095017948E-3</v>
      </c>
      <c r="H777" s="299">
        <v>46113</v>
      </c>
      <c r="I777" s="299">
        <v>46517</v>
      </c>
      <c r="J777" s="299"/>
      <c r="K777" s="299"/>
      <c r="L777" s="299"/>
      <c r="M777" s="228"/>
      <c r="N777" s="272">
        <v>7.0000000000000001E-3</v>
      </c>
      <c r="O777" s="272">
        <v>7.0000000000000001E-3</v>
      </c>
      <c r="P777" s="272">
        <v>7.0000000000000001E-3</v>
      </c>
      <c r="Q777" s="272">
        <v>7.0000000000000001E-3</v>
      </c>
      <c r="R777" s="372">
        <v>7.0000000000000001E-3</v>
      </c>
      <c r="S777" s="395">
        <v>7.0000000000000001E-3</v>
      </c>
      <c r="T777" s="272">
        <v>7.0000000000000001E-3</v>
      </c>
      <c r="U777" s="272">
        <v>7.0000000000000001E-3</v>
      </c>
      <c r="V777" s="272">
        <v>7.0000000000000001E-3</v>
      </c>
      <c r="W777" s="272">
        <v>7.0000000000000001E-3</v>
      </c>
      <c r="X777" s="272">
        <v>7.0000000000000001E-3</v>
      </c>
      <c r="Y777" s="272">
        <v>7.0000000000000001E-3</v>
      </c>
      <c r="Z777" s="272">
        <v>7.0000000000000001E-3</v>
      </c>
      <c r="AA777" s="272">
        <v>7.0000000000000001E-3</v>
      </c>
      <c r="AB777" s="272">
        <v>7.0000000000000001E-3</v>
      </c>
      <c r="AC777" s="272">
        <v>7.0000000000000001E-3</v>
      </c>
      <c r="AD777" s="396">
        <v>7.0000000000000001E-3</v>
      </c>
      <c r="AE777" s="396">
        <v>7.0000000000000001E-3</v>
      </c>
      <c r="AF777" s="396">
        <v>7.0000000000000001E-3</v>
      </c>
      <c r="AG777" s="396">
        <v>7.0000000000000001E-3</v>
      </c>
      <c r="AH777" s="396">
        <v>7.0000000000000001E-3</v>
      </c>
      <c r="AI777" s="396">
        <v>7.0000000000000001E-3</v>
      </c>
      <c r="AJ777" s="396">
        <v>7.0000000000000001E-3</v>
      </c>
      <c r="AK777" s="396">
        <v>7.0000000000000001E-3</v>
      </c>
      <c r="AL777" s="396">
        <v>7.0000000000000001E-3</v>
      </c>
      <c r="AM777" s="396">
        <v>7.0000000000000001E-3</v>
      </c>
      <c r="AN777" s="396">
        <v>7.0000000000000001E-3</v>
      </c>
      <c r="AO777" s="396">
        <v>7.0000000000000001E-3</v>
      </c>
      <c r="AP777" s="396">
        <v>7.0000000000000001E-3</v>
      </c>
    </row>
    <row r="778" spans="2:42" s="216" customFormat="1" ht="25.5" hidden="1" outlineLevel="3">
      <c r="B778" s="255" t="s">
        <v>916</v>
      </c>
      <c r="C778" s="290" t="s">
        <v>249</v>
      </c>
      <c r="D778" s="227" t="s">
        <v>231</v>
      </c>
      <c r="E778" s="241">
        <v>15988869496</v>
      </c>
      <c r="F778" s="228">
        <f t="shared" si="1583"/>
        <v>9.0909090909090912E-2</v>
      </c>
      <c r="G778" s="269">
        <f t="shared" si="1573"/>
        <v>4.8306435095017948E-3</v>
      </c>
      <c r="H778" s="299">
        <v>46113</v>
      </c>
      <c r="I778" s="299">
        <v>46517</v>
      </c>
      <c r="J778" s="299"/>
      <c r="K778" s="299"/>
      <c r="L778" s="299"/>
      <c r="M778" s="228"/>
      <c r="N778" s="272">
        <v>7.0000000000000001E-3</v>
      </c>
      <c r="O778" s="272">
        <v>7.0000000000000001E-3</v>
      </c>
      <c r="P778" s="272">
        <v>7.0000000000000001E-3</v>
      </c>
      <c r="Q778" s="272">
        <v>7.0000000000000001E-3</v>
      </c>
      <c r="R778" s="372">
        <v>7.0000000000000001E-3</v>
      </c>
      <c r="S778" s="395">
        <v>7.0000000000000001E-3</v>
      </c>
      <c r="T778" s="272">
        <v>7.0000000000000001E-3</v>
      </c>
      <c r="U778" s="272">
        <v>7.0000000000000001E-3</v>
      </c>
      <c r="V778" s="272">
        <v>7.0000000000000001E-3</v>
      </c>
      <c r="W778" s="272">
        <v>7.0000000000000001E-3</v>
      </c>
      <c r="X778" s="272">
        <v>7.0000000000000001E-3</v>
      </c>
      <c r="Y778" s="272">
        <v>7.0000000000000001E-3</v>
      </c>
      <c r="Z778" s="272">
        <v>7.0000000000000001E-3</v>
      </c>
      <c r="AA778" s="272">
        <v>7.0000000000000001E-3</v>
      </c>
      <c r="AB778" s="272">
        <v>7.0000000000000001E-3</v>
      </c>
      <c r="AC778" s="272">
        <v>7.0000000000000001E-3</v>
      </c>
      <c r="AD778" s="396">
        <v>7.0000000000000001E-3</v>
      </c>
      <c r="AE778" s="396">
        <v>7.0000000000000001E-3</v>
      </c>
      <c r="AF778" s="396">
        <v>7.0000000000000001E-3</v>
      </c>
      <c r="AG778" s="396">
        <v>7.0000000000000001E-3</v>
      </c>
      <c r="AH778" s="396">
        <v>7.0000000000000001E-3</v>
      </c>
      <c r="AI778" s="396">
        <v>7.0000000000000001E-3</v>
      </c>
      <c r="AJ778" s="396">
        <v>7.0000000000000001E-3</v>
      </c>
      <c r="AK778" s="396">
        <v>7.0000000000000001E-3</v>
      </c>
      <c r="AL778" s="396">
        <v>7.0000000000000001E-3</v>
      </c>
      <c r="AM778" s="396">
        <v>7.0000000000000001E-3</v>
      </c>
      <c r="AN778" s="396">
        <v>7.0000000000000001E-3</v>
      </c>
      <c r="AO778" s="396">
        <v>7.0000000000000001E-3</v>
      </c>
      <c r="AP778" s="396">
        <v>7.0000000000000001E-3</v>
      </c>
    </row>
    <row r="779" spans="2:42" s="216" customFormat="1" ht="25.5" hidden="1" outlineLevel="3">
      <c r="B779" s="255" t="s">
        <v>917</v>
      </c>
      <c r="C779" s="290" t="s">
        <v>251</v>
      </c>
      <c r="D779" s="227" t="s">
        <v>231</v>
      </c>
      <c r="E779" s="241">
        <v>15988869496</v>
      </c>
      <c r="F779" s="228">
        <f t="shared" si="1583"/>
        <v>9.0909090909090912E-2</v>
      </c>
      <c r="G779" s="269">
        <f t="shared" si="1573"/>
        <v>4.8306435095017948E-3</v>
      </c>
      <c r="H779" s="299">
        <v>46113</v>
      </c>
      <c r="I779" s="299">
        <v>46517</v>
      </c>
      <c r="J779" s="299"/>
      <c r="K779" s="299"/>
      <c r="L779" s="299"/>
      <c r="M779" s="228"/>
      <c r="N779" s="272">
        <v>7.0000000000000001E-3</v>
      </c>
      <c r="O779" s="272">
        <v>7.0000000000000001E-3</v>
      </c>
      <c r="P779" s="272">
        <v>7.0000000000000001E-3</v>
      </c>
      <c r="Q779" s="272">
        <v>7.0000000000000001E-3</v>
      </c>
      <c r="R779" s="372">
        <v>7.0000000000000001E-3</v>
      </c>
      <c r="S779" s="395">
        <v>7.0000000000000001E-3</v>
      </c>
      <c r="T779" s="272">
        <v>7.0000000000000001E-3</v>
      </c>
      <c r="U779" s="272">
        <v>7.0000000000000001E-3</v>
      </c>
      <c r="V779" s="272">
        <v>7.0000000000000001E-3</v>
      </c>
      <c r="W779" s="272">
        <v>7.0000000000000001E-3</v>
      </c>
      <c r="X779" s="272">
        <v>7.0000000000000001E-3</v>
      </c>
      <c r="Y779" s="272">
        <v>7.0000000000000001E-3</v>
      </c>
      <c r="Z779" s="272">
        <v>7.0000000000000001E-3</v>
      </c>
      <c r="AA779" s="272">
        <v>7.0000000000000001E-3</v>
      </c>
      <c r="AB779" s="272">
        <v>7.0000000000000001E-3</v>
      </c>
      <c r="AC779" s="272">
        <v>7.0000000000000001E-3</v>
      </c>
      <c r="AD779" s="396">
        <v>7.0000000000000001E-3</v>
      </c>
      <c r="AE779" s="396">
        <v>7.0000000000000001E-3</v>
      </c>
      <c r="AF779" s="396">
        <v>7.0000000000000001E-3</v>
      </c>
      <c r="AG779" s="396">
        <v>7.0000000000000001E-3</v>
      </c>
      <c r="AH779" s="396">
        <v>7.0000000000000001E-3</v>
      </c>
      <c r="AI779" s="396">
        <v>7.0000000000000001E-3</v>
      </c>
      <c r="AJ779" s="396">
        <v>7.0000000000000001E-3</v>
      </c>
      <c r="AK779" s="396">
        <v>7.0000000000000001E-3</v>
      </c>
      <c r="AL779" s="396">
        <v>7.0000000000000001E-3</v>
      </c>
      <c r="AM779" s="396">
        <v>7.0000000000000001E-3</v>
      </c>
      <c r="AN779" s="396">
        <v>7.0000000000000001E-3</v>
      </c>
      <c r="AO779" s="396">
        <v>7.0000000000000001E-3</v>
      </c>
      <c r="AP779" s="396">
        <v>7.0000000000000001E-3</v>
      </c>
    </row>
    <row r="780" spans="2:42" s="216" customFormat="1" ht="25.5" hidden="1" outlineLevel="2">
      <c r="B780" s="291" t="s">
        <v>935</v>
      </c>
      <c r="C780" s="292" t="s">
        <v>39</v>
      </c>
      <c r="D780" s="234" t="s">
        <v>33</v>
      </c>
      <c r="E780" s="240">
        <f>SUM(E781:E792)</f>
        <v>187910444274</v>
      </c>
      <c r="F780" s="223">
        <f t="shared" si="1580"/>
        <v>9.6849312518274097E-2</v>
      </c>
      <c r="G780" s="293">
        <f t="shared" si="1573"/>
        <v>5.6772517170578379E-2</v>
      </c>
      <c r="H780" s="298">
        <v>45931</v>
      </c>
      <c r="I780" s="298">
        <v>46528</v>
      </c>
      <c r="J780" s="298">
        <v>45931</v>
      </c>
      <c r="K780" s="298">
        <v>46751</v>
      </c>
      <c r="L780" s="298">
        <f>MIN(L781:L792)</f>
        <v>45931</v>
      </c>
      <c r="M780" s="298">
        <v>46752</v>
      </c>
      <c r="N780" s="270">
        <v>0</v>
      </c>
      <c r="O780" s="270">
        <v>0.29749999999999821</v>
      </c>
      <c r="P780" s="270">
        <v>0.34083333333333127</v>
      </c>
      <c r="Q780" s="270">
        <v>0.43333333333333068</v>
      </c>
      <c r="R780" s="370">
        <v>0.48333333333333039</v>
      </c>
      <c r="S780" s="391">
        <v>0.5133333333333302</v>
      </c>
      <c r="T780" s="270">
        <v>0.54333333333333</v>
      </c>
      <c r="U780" s="270">
        <v>0.57333333333332981</v>
      </c>
      <c r="V780" s="270">
        <v>0.61083333333332956</v>
      </c>
      <c r="W780" s="270">
        <v>0.65249999999999597</v>
      </c>
      <c r="X780" s="270">
        <v>0.71916666666666218</v>
      </c>
      <c r="Y780" s="270">
        <v>0.80999999999999495</v>
      </c>
      <c r="Z780" s="270">
        <v>0.87333333333332785</v>
      </c>
      <c r="AA780" s="270">
        <v>0.93333333333332746</v>
      </c>
      <c r="AB780" s="270">
        <v>0.95749999999999402</v>
      </c>
      <c r="AC780" s="270">
        <v>0.9787499999999939</v>
      </c>
      <c r="AD780" s="392">
        <v>0.99999999999999378</v>
      </c>
      <c r="AE780" s="392">
        <v>0.99999999999999378</v>
      </c>
      <c r="AF780" s="392">
        <v>0.99999999999999378</v>
      </c>
      <c r="AG780" s="392">
        <v>0.99999999999999378</v>
      </c>
      <c r="AH780" s="392">
        <v>0.99999999999999378</v>
      </c>
      <c r="AI780" s="392">
        <v>0.99999999999999378</v>
      </c>
      <c r="AJ780" s="392">
        <v>0.99999999999999378</v>
      </c>
      <c r="AK780" s="392">
        <v>0.99999999999999378</v>
      </c>
      <c r="AL780" s="392">
        <v>0.99999999999999378</v>
      </c>
      <c r="AM780" s="392">
        <v>0.99999999999999378</v>
      </c>
      <c r="AN780" s="392">
        <v>0.99999999999999378</v>
      </c>
      <c r="AO780" s="392">
        <v>0.99999999999999378</v>
      </c>
      <c r="AP780" s="392">
        <v>0.99999999999999378</v>
      </c>
    </row>
    <row r="781" spans="2:42" s="216" customFormat="1" ht="25.5" hidden="1" outlineLevel="3">
      <c r="B781" s="255" t="s">
        <v>907</v>
      </c>
      <c r="C781" s="290" t="s">
        <v>230</v>
      </c>
      <c r="D781" s="227" t="s">
        <v>231</v>
      </c>
      <c r="E781" s="241">
        <v>15659203689.5</v>
      </c>
      <c r="F781" s="228">
        <f>E781/$E$780</f>
        <v>8.3333333333333329E-2</v>
      </c>
      <c r="G781" s="269">
        <f t="shared" si="1573"/>
        <v>4.7310430975481986E-3</v>
      </c>
      <c r="H781" s="299">
        <v>45931</v>
      </c>
      <c r="I781" s="299">
        <v>46528</v>
      </c>
      <c r="J781" s="299">
        <v>46201</v>
      </c>
      <c r="K781" s="299">
        <v>46751</v>
      </c>
      <c r="L781" s="299">
        <v>46201</v>
      </c>
      <c r="M781" s="299">
        <v>46752</v>
      </c>
      <c r="N781" s="272">
        <v>0</v>
      </c>
      <c r="O781" s="272">
        <v>0.04</v>
      </c>
      <c r="P781" s="272">
        <v>0.09</v>
      </c>
      <c r="Q781" s="272">
        <v>0.12</v>
      </c>
      <c r="R781" s="372">
        <v>0.12</v>
      </c>
      <c r="S781" s="395">
        <v>0.12</v>
      </c>
      <c r="T781" s="272">
        <v>0.12</v>
      </c>
      <c r="U781" s="272">
        <v>0.12</v>
      </c>
      <c r="V781" s="272">
        <v>0.12</v>
      </c>
      <c r="W781" s="272">
        <v>0.16999999999999998</v>
      </c>
      <c r="X781" s="272">
        <v>0.32999999999999996</v>
      </c>
      <c r="Y781" s="272">
        <v>0.44999999999999996</v>
      </c>
      <c r="Z781" s="272">
        <v>0.54999999999999993</v>
      </c>
      <c r="AA781" s="272">
        <v>0.64999999999999991</v>
      </c>
      <c r="AB781" s="272">
        <v>0.76999999999999991</v>
      </c>
      <c r="AC781" s="272">
        <v>0.8849999999999999</v>
      </c>
      <c r="AD781" s="396">
        <v>0.99999999999999989</v>
      </c>
      <c r="AE781" s="396">
        <v>0.99999999999999989</v>
      </c>
      <c r="AF781" s="396">
        <v>0.99999999999999989</v>
      </c>
      <c r="AG781" s="396">
        <v>0.99999999999999989</v>
      </c>
      <c r="AH781" s="396">
        <v>0.99999999999999989</v>
      </c>
      <c r="AI781" s="396">
        <v>0.99999999999999989</v>
      </c>
      <c r="AJ781" s="396">
        <v>0.99999999999999989</v>
      </c>
      <c r="AK781" s="396">
        <v>0.99999999999999989</v>
      </c>
      <c r="AL781" s="396">
        <v>0.99999999999999989</v>
      </c>
      <c r="AM781" s="396">
        <v>0.99999999999999989</v>
      </c>
      <c r="AN781" s="396">
        <v>0.99999999999999989</v>
      </c>
      <c r="AO781" s="396">
        <v>0.99999999999999989</v>
      </c>
      <c r="AP781" s="396">
        <v>0.99999999999999989</v>
      </c>
    </row>
    <row r="782" spans="2:42" s="216" customFormat="1" ht="25.5" hidden="1" outlineLevel="3">
      <c r="B782" s="255" t="s">
        <v>908</v>
      </c>
      <c r="C782" s="290" t="s">
        <v>233</v>
      </c>
      <c r="D782" s="227" t="s">
        <v>231</v>
      </c>
      <c r="E782" s="241">
        <v>15659203689.5</v>
      </c>
      <c r="F782" s="228">
        <f t="shared" ref="F782:F792" si="1584">E782/$E$780</f>
        <v>8.3333333333333329E-2</v>
      </c>
      <c r="G782" s="269">
        <f t="shared" si="1573"/>
        <v>4.7310430975481986E-3</v>
      </c>
      <c r="H782" s="299">
        <v>45931</v>
      </c>
      <c r="I782" s="299">
        <v>46528</v>
      </c>
      <c r="J782" s="299">
        <v>45931</v>
      </c>
      <c r="K782" s="299">
        <v>46681</v>
      </c>
      <c r="L782" s="299">
        <v>45931</v>
      </c>
      <c r="M782" s="299">
        <v>46660</v>
      </c>
      <c r="N782" s="272">
        <v>0</v>
      </c>
      <c r="O782" s="272">
        <v>0.33</v>
      </c>
      <c r="P782" s="272">
        <v>0.37</v>
      </c>
      <c r="Q782" s="272">
        <v>0.48</v>
      </c>
      <c r="R782" s="372">
        <v>0.55000000000000004</v>
      </c>
      <c r="S782" s="395">
        <v>0.59000000000000008</v>
      </c>
      <c r="T782" s="272">
        <v>0.63000000000000012</v>
      </c>
      <c r="U782" s="272">
        <v>0.67000000000000015</v>
      </c>
      <c r="V782" s="272">
        <v>0.7200000000000002</v>
      </c>
      <c r="W782" s="272">
        <v>0.76000000000000023</v>
      </c>
      <c r="X782" s="272">
        <v>0.81000000000000028</v>
      </c>
      <c r="Y782" s="272">
        <v>0.90000000000000024</v>
      </c>
      <c r="Z782" s="272">
        <v>0.95000000000000029</v>
      </c>
      <c r="AA782" s="272">
        <v>1.0000000000000002</v>
      </c>
      <c r="AB782" s="272">
        <v>1.0000000000000002</v>
      </c>
      <c r="AC782" s="272">
        <v>1.0000000000000002</v>
      </c>
      <c r="AD782" s="396">
        <v>1.0000000000000002</v>
      </c>
      <c r="AE782" s="396">
        <v>1.0000000000000002</v>
      </c>
      <c r="AF782" s="396">
        <v>1.0000000000000002</v>
      </c>
      <c r="AG782" s="396">
        <v>1.0000000000000002</v>
      </c>
      <c r="AH782" s="396">
        <v>1.0000000000000002</v>
      </c>
      <c r="AI782" s="396">
        <v>1.0000000000000002</v>
      </c>
      <c r="AJ782" s="396">
        <v>1.0000000000000002</v>
      </c>
      <c r="AK782" s="396">
        <v>1.0000000000000002</v>
      </c>
      <c r="AL782" s="396">
        <v>1.0000000000000002</v>
      </c>
      <c r="AM782" s="396">
        <v>1.0000000000000002</v>
      </c>
      <c r="AN782" s="396">
        <v>1.0000000000000002</v>
      </c>
      <c r="AO782" s="396">
        <v>1.0000000000000002</v>
      </c>
      <c r="AP782" s="396">
        <v>1.0000000000000002</v>
      </c>
    </row>
    <row r="783" spans="2:42" s="216" customFormat="1" ht="25.5" hidden="1" outlineLevel="3">
      <c r="B783" s="255" t="s">
        <v>909</v>
      </c>
      <c r="C783" s="290" t="s">
        <v>235</v>
      </c>
      <c r="D783" s="227" t="s">
        <v>231</v>
      </c>
      <c r="E783" s="241">
        <v>15659203689.5</v>
      </c>
      <c r="F783" s="228">
        <f t="shared" si="1584"/>
        <v>8.3333333333333329E-2</v>
      </c>
      <c r="G783" s="269">
        <f t="shared" si="1573"/>
        <v>4.7310430975481986E-3</v>
      </c>
      <c r="H783" s="299">
        <v>45931</v>
      </c>
      <c r="I783" s="299">
        <v>46528</v>
      </c>
      <c r="J783" s="299">
        <v>46136</v>
      </c>
      <c r="K783" s="299">
        <v>46749</v>
      </c>
      <c r="L783" s="299">
        <v>46136</v>
      </c>
      <c r="M783" s="299">
        <v>46752</v>
      </c>
      <c r="N783" s="272">
        <v>0</v>
      </c>
      <c r="O783" s="272">
        <v>0.19</v>
      </c>
      <c r="P783" s="272">
        <v>0.23</v>
      </c>
      <c r="Q783" s="272">
        <v>0.26</v>
      </c>
      <c r="R783" s="372">
        <v>0.26</v>
      </c>
      <c r="S783" s="395">
        <v>0.26</v>
      </c>
      <c r="T783" s="272">
        <v>0.26</v>
      </c>
      <c r="U783" s="272">
        <v>0.26</v>
      </c>
      <c r="V783" s="272">
        <v>0.26</v>
      </c>
      <c r="W783" s="272">
        <v>0.29000000000000004</v>
      </c>
      <c r="X783" s="272">
        <v>0.4</v>
      </c>
      <c r="Y783" s="272">
        <v>0.48000000000000004</v>
      </c>
      <c r="Z783" s="272">
        <v>0.60000000000000009</v>
      </c>
      <c r="AA783" s="272">
        <v>0.68</v>
      </c>
      <c r="AB783" s="272">
        <v>0.79</v>
      </c>
      <c r="AC783" s="272">
        <v>0.89</v>
      </c>
      <c r="AD783" s="396">
        <v>1</v>
      </c>
      <c r="AE783" s="396">
        <v>1</v>
      </c>
      <c r="AF783" s="396">
        <v>1</v>
      </c>
      <c r="AG783" s="396">
        <v>1</v>
      </c>
      <c r="AH783" s="396">
        <v>1</v>
      </c>
      <c r="AI783" s="396">
        <v>1</v>
      </c>
      <c r="AJ783" s="396">
        <v>1</v>
      </c>
      <c r="AK783" s="396">
        <v>1</v>
      </c>
      <c r="AL783" s="396">
        <v>1</v>
      </c>
      <c r="AM783" s="396">
        <v>1</v>
      </c>
      <c r="AN783" s="396">
        <v>1</v>
      </c>
      <c r="AO783" s="396">
        <v>1</v>
      </c>
      <c r="AP783" s="396">
        <v>1</v>
      </c>
    </row>
    <row r="784" spans="2:42" s="216" customFormat="1" ht="25.5" hidden="1" outlineLevel="3">
      <c r="B784" s="255" t="s">
        <v>910</v>
      </c>
      <c r="C784" s="290" t="s">
        <v>237</v>
      </c>
      <c r="D784" s="227" t="s">
        <v>231</v>
      </c>
      <c r="E784" s="241">
        <v>15659203689.5</v>
      </c>
      <c r="F784" s="228">
        <f t="shared" si="1584"/>
        <v>8.3333333333333329E-2</v>
      </c>
      <c r="G784" s="269">
        <f t="shared" si="1573"/>
        <v>4.7310430975481986E-3</v>
      </c>
      <c r="H784" s="299">
        <v>45931</v>
      </c>
      <c r="I784" s="299">
        <v>46528</v>
      </c>
      <c r="J784" s="299">
        <v>45931</v>
      </c>
      <c r="K784" s="299">
        <v>46690</v>
      </c>
      <c r="L784" s="299">
        <v>45931</v>
      </c>
      <c r="M784" s="299">
        <v>46660</v>
      </c>
      <c r="N784" s="272">
        <v>0</v>
      </c>
      <c r="O784" s="272">
        <v>0.31</v>
      </c>
      <c r="P784" s="272">
        <v>0.36</v>
      </c>
      <c r="Q784" s="272">
        <v>0.47</v>
      </c>
      <c r="R784" s="372">
        <v>0.54999999999999993</v>
      </c>
      <c r="S784" s="395">
        <v>0.59</v>
      </c>
      <c r="T784" s="272">
        <v>0.63</v>
      </c>
      <c r="U784" s="272">
        <v>0.67</v>
      </c>
      <c r="V784" s="272">
        <v>0.72000000000000008</v>
      </c>
      <c r="W784" s="272">
        <v>0.76000000000000012</v>
      </c>
      <c r="X784" s="272">
        <v>0.81000000000000016</v>
      </c>
      <c r="Y784" s="272">
        <v>0.90000000000000013</v>
      </c>
      <c r="Z784" s="272">
        <v>0.95000000000000018</v>
      </c>
      <c r="AA784" s="272">
        <v>1.0000000000000002</v>
      </c>
      <c r="AB784" s="272">
        <v>1.0000000000000002</v>
      </c>
      <c r="AC784" s="272">
        <v>1.0000000000000002</v>
      </c>
      <c r="AD784" s="396">
        <v>1.0000000000000002</v>
      </c>
      <c r="AE784" s="396">
        <v>1.0000000000000002</v>
      </c>
      <c r="AF784" s="396">
        <v>1.0000000000000002</v>
      </c>
      <c r="AG784" s="396">
        <v>1.0000000000000002</v>
      </c>
      <c r="AH784" s="396">
        <v>1.0000000000000002</v>
      </c>
      <c r="AI784" s="396">
        <v>1.0000000000000002</v>
      </c>
      <c r="AJ784" s="396">
        <v>1.0000000000000002</v>
      </c>
      <c r="AK784" s="396">
        <v>1.0000000000000002</v>
      </c>
      <c r="AL784" s="396">
        <v>1.0000000000000002</v>
      </c>
      <c r="AM784" s="396">
        <v>1.0000000000000002</v>
      </c>
      <c r="AN784" s="396">
        <v>1.0000000000000002</v>
      </c>
      <c r="AO784" s="396">
        <v>1.0000000000000002</v>
      </c>
      <c r="AP784" s="396">
        <v>1.0000000000000002</v>
      </c>
    </row>
    <row r="785" spans="2:42" s="216" customFormat="1" ht="25.5" hidden="1" outlineLevel="3">
      <c r="B785" s="255" t="s">
        <v>911</v>
      </c>
      <c r="C785" s="290" t="s">
        <v>239</v>
      </c>
      <c r="D785" s="227" t="s">
        <v>231</v>
      </c>
      <c r="E785" s="241">
        <v>15659203689.5</v>
      </c>
      <c r="F785" s="228">
        <f t="shared" si="1584"/>
        <v>8.3333333333333329E-2</v>
      </c>
      <c r="G785" s="269">
        <f t="shared" si="1573"/>
        <v>4.7310430975481986E-3</v>
      </c>
      <c r="H785" s="299">
        <v>45931</v>
      </c>
      <c r="I785" s="299">
        <v>46528</v>
      </c>
      <c r="J785" s="299">
        <v>45931</v>
      </c>
      <c r="K785" s="299">
        <v>46690</v>
      </c>
      <c r="L785" s="299">
        <v>45931</v>
      </c>
      <c r="M785" s="299">
        <v>46660</v>
      </c>
      <c r="N785" s="272">
        <v>0</v>
      </c>
      <c r="O785" s="272">
        <v>0.33</v>
      </c>
      <c r="P785" s="272">
        <v>0.37</v>
      </c>
      <c r="Q785" s="272">
        <v>0.48</v>
      </c>
      <c r="R785" s="372">
        <v>0.55000000000000004</v>
      </c>
      <c r="S785" s="395">
        <v>0.59000000000000008</v>
      </c>
      <c r="T785" s="272">
        <v>0.63000000000000012</v>
      </c>
      <c r="U785" s="272">
        <v>0.67000000000000015</v>
      </c>
      <c r="V785" s="272">
        <v>0.7200000000000002</v>
      </c>
      <c r="W785" s="272">
        <v>0.76000000000000023</v>
      </c>
      <c r="X785" s="272">
        <v>0.81000000000000028</v>
      </c>
      <c r="Y785" s="272">
        <v>0.90000000000000024</v>
      </c>
      <c r="Z785" s="272">
        <v>0.95000000000000029</v>
      </c>
      <c r="AA785" s="272">
        <v>1.0000000000000002</v>
      </c>
      <c r="AB785" s="272">
        <v>1.0000000000000002</v>
      </c>
      <c r="AC785" s="272">
        <v>1.0000000000000002</v>
      </c>
      <c r="AD785" s="396">
        <v>1.0000000000000002</v>
      </c>
      <c r="AE785" s="396">
        <v>1.0000000000000002</v>
      </c>
      <c r="AF785" s="396">
        <v>1.0000000000000002</v>
      </c>
      <c r="AG785" s="396">
        <v>1.0000000000000002</v>
      </c>
      <c r="AH785" s="396">
        <v>1.0000000000000002</v>
      </c>
      <c r="AI785" s="396">
        <v>1.0000000000000002</v>
      </c>
      <c r="AJ785" s="396">
        <v>1.0000000000000002</v>
      </c>
      <c r="AK785" s="396">
        <v>1.0000000000000002</v>
      </c>
      <c r="AL785" s="396">
        <v>1.0000000000000002</v>
      </c>
      <c r="AM785" s="396">
        <v>1.0000000000000002</v>
      </c>
      <c r="AN785" s="396">
        <v>1.0000000000000002</v>
      </c>
      <c r="AO785" s="396">
        <v>1.0000000000000002</v>
      </c>
      <c r="AP785" s="396">
        <v>1.0000000000000002</v>
      </c>
    </row>
    <row r="786" spans="2:42" s="216" customFormat="1" ht="25.5" hidden="1" outlineLevel="3">
      <c r="B786" s="255" t="s">
        <v>912</v>
      </c>
      <c r="C786" s="290" t="s">
        <v>241</v>
      </c>
      <c r="D786" s="227" t="s">
        <v>231</v>
      </c>
      <c r="E786" s="241">
        <v>15659203689.5</v>
      </c>
      <c r="F786" s="228">
        <f t="shared" si="1584"/>
        <v>8.3333333333333329E-2</v>
      </c>
      <c r="G786" s="269">
        <f t="shared" si="1573"/>
        <v>4.7310430975481986E-3</v>
      </c>
      <c r="H786" s="299">
        <v>45931</v>
      </c>
      <c r="I786" s="299">
        <v>46528</v>
      </c>
      <c r="J786" s="299">
        <v>45931</v>
      </c>
      <c r="K786" s="299">
        <v>46690</v>
      </c>
      <c r="L786" s="299">
        <v>45931</v>
      </c>
      <c r="M786" s="299">
        <v>46660</v>
      </c>
      <c r="N786" s="272">
        <v>0</v>
      </c>
      <c r="O786" s="272">
        <v>0.33</v>
      </c>
      <c r="P786" s="272">
        <v>0.37</v>
      </c>
      <c r="Q786" s="272">
        <v>0.48</v>
      </c>
      <c r="R786" s="372">
        <v>0.55000000000000004</v>
      </c>
      <c r="S786" s="395">
        <v>0.59000000000000008</v>
      </c>
      <c r="T786" s="272">
        <v>0.63000000000000012</v>
      </c>
      <c r="U786" s="272">
        <v>0.67000000000000015</v>
      </c>
      <c r="V786" s="272">
        <v>0.7200000000000002</v>
      </c>
      <c r="W786" s="272">
        <v>0.76000000000000023</v>
      </c>
      <c r="X786" s="272">
        <v>0.81000000000000028</v>
      </c>
      <c r="Y786" s="272">
        <v>0.90000000000000024</v>
      </c>
      <c r="Z786" s="272">
        <v>0.95000000000000029</v>
      </c>
      <c r="AA786" s="272">
        <v>1.0000000000000002</v>
      </c>
      <c r="AB786" s="272">
        <v>1.0000000000000002</v>
      </c>
      <c r="AC786" s="272">
        <v>1.0000000000000002</v>
      </c>
      <c r="AD786" s="396">
        <v>1.0000000000000002</v>
      </c>
      <c r="AE786" s="396">
        <v>1.0000000000000002</v>
      </c>
      <c r="AF786" s="396">
        <v>1.0000000000000002</v>
      </c>
      <c r="AG786" s="396">
        <v>1.0000000000000002</v>
      </c>
      <c r="AH786" s="396">
        <v>1.0000000000000002</v>
      </c>
      <c r="AI786" s="396">
        <v>1.0000000000000002</v>
      </c>
      <c r="AJ786" s="396">
        <v>1.0000000000000002</v>
      </c>
      <c r="AK786" s="396">
        <v>1.0000000000000002</v>
      </c>
      <c r="AL786" s="396">
        <v>1.0000000000000002</v>
      </c>
      <c r="AM786" s="396">
        <v>1.0000000000000002</v>
      </c>
      <c r="AN786" s="396">
        <v>1.0000000000000002</v>
      </c>
      <c r="AO786" s="396">
        <v>1.0000000000000002</v>
      </c>
      <c r="AP786" s="396">
        <v>1.0000000000000002</v>
      </c>
    </row>
    <row r="787" spans="2:42" s="216" customFormat="1" ht="25.5" hidden="1" outlineLevel="3">
      <c r="B787" s="255" t="s">
        <v>913</v>
      </c>
      <c r="C787" s="290" t="s">
        <v>243</v>
      </c>
      <c r="D787" s="227" t="s">
        <v>231</v>
      </c>
      <c r="E787" s="241">
        <v>15659203689.5</v>
      </c>
      <c r="F787" s="228">
        <f t="shared" si="1584"/>
        <v>8.3333333333333329E-2</v>
      </c>
      <c r="G787" s="269">
        <f t="shared" si="1573"/>
        <v>4.7310430975481986E-3</v>
      </c>
      <c r="H787" s="299">
        <v>45931</v>
      </c>
      <c r="I787" s="299">
        <v>46528</v>
      </c>
      <c r="J787" s="299">
        <v>45931</v>
      </c>
      <c r="K787" s="299">
        <v>46568</v>
      </c>
      <c r="L787" s="299">
        <v>45931</v>
      </c>
      <c r="M787" s="299">
        <v>46752</v>
      </c>
      <c r="N787" s="272">
        <v>0</v>
      </c>
      <c r="O787" s="272">
        <v>0.33</v>
      </c>
      <c r="P787" s="272">
        <v>0.37</v>
      </c>
      <c r="Q787" s="272">
        <v>0.45</v>
      </c>
      <c r="R787" s="372">
        <v>0.47000000000000003</v>
      </c>
      <c r="S787" s="395">
        <v>0.47000000000000003</v>
      </c>
      <c r="T787" s="272">
        <v>0.47000000000000003</v>
      </c>
      <c r="U787" s="272">
        <v>0.47000000000000003</v>
      </c>
      <c r="V787" s="272">
        <v>0.47000000000000003</v>
      </c>
      <c r="W787" s="272">
        <v>0.53</v>
      </c>
      <c r="X787" s="272">
        <v>0.61</v>
      </c>
      <c r="Y787" s="272">
        <v>0.69</v>
      </c>
      <c r="Z787" s="272">
        <v>0.77999999999999992</v>
      </c>
      <c r="AA787" s="272">
        <v>0.86999999999999988</v>
      </c>
      <c r="AB787" s="272">
        <v>0.92999999999999994</v>
      </c>
      <c r="AC787" s="272">
        <v>0.97</v>
      </c>
      <c r="AD787" s="396">
        <v>1</v>
      </c>
      <c r="AE787" s="396">
        <v>1</v>
      </c>
      <c r="AF787" s="396">
        <v>1</v>
      </c>
      <c r="AG787" s="396">
        <v>1</v>
      </c>
      <c r="AH787" s="396">
        <v>1</v>
      </c>
      <c r="AI787" s="396">
        <v>1</v>
      </c>
      <c r="AJ787" s="396">
        <v>1</v>
      </c>
      <c r="AK787" s="396">
        <v>1</v>
      </c>
      <c r="AL787" s="396">
        <v>1</v>
      </c>
      <c r="AM787" s="396">
        <v>1</v>
      </c>
      <c r="AN787" s="396">
        <v>1</v>
      </c>
      <c r="AO787" s="396">
        <v>1</v>
      </c>
      <c r="AP787" s="396">
        <v>1</v>
      </c>
    </row>
    <row r="788" spans="2:42" s="216" customFormat="1" ht="25.5" hidden="1" outlineLevel="3">
      <c r="B788" s="255" t="s">
        <v>914</v>
      </c>
      <c r="C788" s="290" t="s">
        <v>245</v>
      </c>
      <c r="D788" s="227" t="s">
        <v>231</v>
      </c>
      <c r="E788" s="241">
        <v>15659203689.5</v>
      </c>
      <c r="F788" s="228">
        <f t="shared" si="1584"/>
        <v>8.3333333333333329E-2</v>
      </c>
      <c r="G788" s="269">
        <f t="shared" si="1573"/>
        <v>4.7310430975481986E-3</v>
      </c>
      <c r="H788" s="299">
        <v>45931</v>
      </c>
      <c r="I788" s="299">
        <v>46528</v>
      </c>
      <c r="J788" s="299">
        <v>45931</v>
      </c>
      <c r="K788" s="299">
        <v>46664</v>
      </c>
      <c r="L788" s="299">
        <v>45931</v>
      </c>
      <c r="M788" s="299">
        <v>46660</v>
      </c>
      <c r="N788" s="272">
        <v>0</v>
      </c>
      <c r="O788" s="272">
        <v>0.34</v>
      </c>
      <c r="P788" s="272">
        <v>0.39</v>
      </c>
      <c r="Q788" s="272">
        <v>0.5</v>
      </c>
      <c r="R788" s="372">
        <v>0.55000000000000004</v>
      </c>
      <c r="S788" s="395">
        <v>0.59000000000000008</v>
      </c>
      <c r="T788" s="272">
        <v>0.63000000000000012</v>
      </c>
      <c r="U788" s="272">
        <v>0.67000000000000015</v>
      </c>
      <c r="V788" s="272">
        <v>0.7200000000000002</v>
      </c>
      <c r="W788" s="272">
        <v>0.76000000000000023</v>
      </c>
      <c r="X788" s="272">
        <v>0.81000000000000028</v>
      </c>
      <c r="Y788" s="272">
        <v>0.90000000000000024</v>
      </c>
      <c r="Z788" s="272">
        <v>0.95000000000000029</v>
      </c>
      <c r="AA788" s="272">
        <v>1.0000000000000002</v>
      </c>
      <c r="AB788" s="272">
        <v>1.0000000000000002</v>
      </c>
      <c r="AC788" s="272">
        <v>1.0000000000000002</v>
      </c>
      <c r="AD788" s="396">
        <v>1.0000000000000002</v>
      </c>
      <c r="AE788" s="396">
        <v>1.0000000000000002</v>
      </c>
      <c r="AF788" s="396">
        <v>1.0000000000000002</v>
      </c>
      <c r="AG788" s="396">
        <v>1.0000000000000002</v>
      </c>
      <c r="AH788" s="396">
        <v>1.0000000000000002</v>
      </c>
      <c r="AI788" s="396">
        <v>1.0000000000000002</v>
      </c>
      <c r="AJ788" s="396">
        <v>1.0000000000000002</v>
      </c>
      <c r="AK788" s="396">
        <v>1.0000000000000002</v>
      </c>
      <c r="AL788" s="396">
        <v>1.0000000000000002</v>
      </c>
      <c r="AM788" s="396">
        <v>1.0000000000000002</v>
      </c>
      <c r="AN788" s="396">
        <v>1.0000000000000002</v>
      </c>
      <c r="AO788" s="396">
        <v>1.0000000000000002</v>
      </c>
      <c r="AP788" s="396">
        <v>1.0000000000000002</v>
      </c>
    </row>
    <row r="789" spans="2:42" s="216" customFormat="1" ht="25.5" hidden="1" outlineLevel="3">
      <c r="B789" s="255" t="s">
        <v>915</v>
      </c>
      <c r="C789" s="290" t="s">
        <v>247</v>
      </c>
      <c r="D789" s="227" t="s">
        <v>231</v>
      </c>
      <c r="E789" s="241">
        <v>15659203689.5</v>
      </c>
      <c r="F789" s="228">
        <f t="shared" si="1584"/>
        <v>8.3333333333333329E-2</v>
      </c>
      <c r="G789" s="269">
        <f t="shared" si="1573"/>
        <v>4.7310430975481986E-3</v>
      </c>
      <c r="H789" s="299">
        <v>45931</v>
      </c>
      <c r="I789" s="299">
        <v>46528</v>
      </c>
      <c r="J789" s="299">
        <v>45931</v>
      </c>
      <c r="K789" s="299">
        <v>46537</v>
      </c>
      <c r="L789" s="299">
        <v>45931</v>
      </c>
      <c r="M789" s="299">
        <v>46660</v>
      </c>
      <c r="N789" s="272">
        <v>0</v>
      </c>
      <c r="O789" s="272">
        <v>0.37</v>
      </c>
      <c r="P789" s="272">
        <v>0.41</v>
      </c>
      <c r="Q789" s="272">
        <v>0.5</v>
      </c>
      <c r="R789" s="372">
        <v>0.55000000000000004</v>
      </c>
      <c r="S789" s="395">
        <v>0.59000000000000008</v>
      </c>
      <c r="T789" s="272">
        <v>0.63000000000000012</v>
      </c>
      <c r="U789" s="272">
        <v>0.67000000000000015</v>
      </c>
      <c r="V789" s="272">
        <v>0.7200000000000002</v>
      </c>
      <c r="W789" s="272">
        <v>0.76000000000000023</v>
      </c>
      <c r="X789" s="272">
        <v>0.81000000000000028</v>
      </c>
      <c r="Y789" s="272">
        <v>0.90000000000000024</v>
      </c>
      <c r="Z789" s="272">
        <v>0.95000000000000029</v>
      </c>
      <c r="AA789" s="272">
        <v>1.0000000000000002</v>
      </c>
      <c r="AB789" s="272">
        <v>1.0000000000000002</v>
      </c>
      <c r="AC789" s="272">
        <v>1.0000000000000002</v>
      </c>
      <c r="AD789" s="396">
        <v>1.0000000000000002</v>
      </c>
      <c r="AE789" s="396">
        <v>1.0000000000000002</v>
      </c>
      <c r="AF789" s="396">
        <v>1.0000000000000002</v>
      </c>
      <c r="AG789" s="396">
        <v>1.0000000000000002</v>
      </c>
      <c r="AH789" s="396">
        <v>1.0000000000000002</v>
      </c>
      <c r="AI789" s="396">
        <v>1.0000000000000002</v>
      </c>
      <c r="AJ789" s="396">
        <v>1.0000000000000002</v>
      </c>
      <c r="AK789" s="396">
        <v>1.0000000000000002</v>
      </c>
      <c r="AL789" s="396">
        <v>1.0000000000000002</v>
      </c>
      <c r="AM789" s="396">
        <v>1.0000000000000002</v>
      </c>
      <c r="AN789" s="396">
        <v>1.0000000000000002</v>
      </c>
      <c r="AO789" s="396">
        <v>1.0000000000000002</v>
      </c>
      <c r="AP789" s="396">
        <v>1.0000000000000002</v>
      </c>
    </row>
    <row r="790" spans="2:42" s="216" customFormat="1" ht="25.5" hidden="1" outlineLevel="3">
      <c r="B790" s="255" t="s">
        <v>916</v>
      </c>
      <c r="C790" s="290" t="s">
        <v>249</v>
      </c>
      <c r="D790" s="227" t="s">
        <v>231</v>
      </c>
      <c r="E790" s="241">
        <v>15659203689.5</v>
      </c>
      <c r="F790" s="228">
        <f t="shared" si="1584"/>
        <v>8.3333333333333329E-2</v>
      </c>
      <c r="G790" s="269">
        <f t="shared" si="1573"/>
        <v>4.7310430975481986E-3</v>
      </c>
      <c r="H790" s="299">
        <v>45931</v>
      </c>
      <c r="I790" s="299">
        <v>46528</v>
      </c>
      <c r="J790" s="299">
        <v>45931</v>
      </c>
      <c r="K790" s="299">
        <v>46537</v>
      </c>
      <c r="L790" s="299">
        <v>45931</v>
      </c>
      <c r="M790" s="299">
        <v>46660</v>
      </c>
      <c r="N790" s="272">
        <v>0</v>
      </c>
      <c r="O790" s="272">
        <v>0.34</v>
      </c>
      <c r="P790" s="272">
        <v>0.39</v>
      </c>
      <c r="Q790" s="272">
        <v>0.5</v>
      </c>
      <c r="R790" s="372">
        <v>0.55000000000000004</v>
      </c>
      <c r="S790" s="395">
        <v>0.59000000000000008</v>
      </c>
      <c r="T790" s="272">
        <v>0.63000000000000012</v>
      </c>
      <c r="U790" s="272">
        <v>0.67000000000000015</v>
      </c>
      <c r="V790" s="272">
        <v>0.7200000000000002</v>
      </c>
      <c r="W790" s="272">
        <v>0.76000000000000023</v>
      </c>
      <c r="X790" s="272">
        <v>0.81000000000000028</v>
      </c>
      <c r="Y790" s="272">
        <v>0.90000000000000024</v>
      </c>
      <c r="Z790" s="272">
        <v>0.95000000000000029</v>
      </c>
      <c r="AA790" s="272">
        <v>1.0000000000000002</v>
      </c>
      <c r="AB790" s="272">
        <v>1.0000000000000002</v>
      </c>
      <c r="AC790" s="272">
        <v>1.0000000000000002</v>
      </c>
      <c r="AD790" s="396">
        <v>1.0000000000000002</v>
      </c>
      <c r="AE790" s="396">
        <v>1.0000000000000002</v>
      </c>
      <c r="AF790" s="396">
        <v>1.0000000000000002</v>
      </c>
      <c r="AG790" s="396">
        <v>1.0000000000000002</v>
      </c>
      <c r="AH790" s="396">
        <v>1.0000000000000002</v>
      </c>
      <c r="AI790" s="396">
        <v>1.0000000000000002</v>
      </c>
      <c r="AJ790" s="396">
        <v>1.0000000000000002</v>
      </c>
      <c r="AK790" s="396">
        <v>1.0000000000000002</v>
      </c>
      <c r="AL790" s="396">
        <v>1.0000000000000002</v>
      </c>
      <c r="AM790" s="396">
        <v>1.0000000000000002</v>
      </c>
      <c r="AN790" s="396">
        <v>1.0000000000000002</v>
      </c>
      <c r="AO790" s="396">
        <v>1.0000000000000002</v>
      </c>
      <c r="AP790" s="396">
        <v>1.0000000000000002</v>
      </c>
    </row>
    <row r="791" spans="2:42" s="216" customFormat="1" ht="25.5" hidden="1" outlineLevel="3">
      <c r="B791" s="255" t="s">
        <v>917</v>
      </c>
      <c r="C791" s="290" t="s">
        <v>251</v>
      </c>
      <c r="D791" s="227" t="s">
        <v>231</v>
      </c>
      <c r="E791" s="241">
        <v>15659203689.5</v>
      </c>
      <c r="F791" s="228">
        <f t="shared" si="1584"/>
        <v>8.3333333333333329E-2</v>
      </c>
      <c r="G791" s="269">
        <f t="shared" si="1573"/>
        <v>4.7310430975481986E-3</v>
      </c>
      <c r="H791" s="299">
        <v>45931</v>
      </c>
      <c r="I791" s="299">
        <v>46528</v>
      </c>
      <c r="J791" s="299">
        <v>45931</v>
      </c>
      <c r="K791" s="299">
        <v>46568</v>
      </c>
      <c r="L791" s="299">
        <v>45931</v>
      </c>
      <c r="M791" s="299">
        <v>46660</v>
      </c>
      <c r="N791" s="272">
        <v>0</v>
      </c>
      <c r="O791" s="272">
        <v>0.33</v>
      </c>
      <c r="P791" s="272">
        <v>0.37</v>
      </c>
      <c r="Q791" s="272">
        <v>0.48</v>
      </c>
      <c r="R791" s="372">
        <v>0.55000000000000004</v>
      </c>
      <c r="S791" s="395">
        <v>0.59000000000000008</v>
      </c>
      <c r="T791" s="272">
        <v>0.63000000000000012</v>
      </c>
      <c r="U791" s="272">
        <v>0.67000000000000015</v>
      </c>
      <c r="V791" s="272">
        <v>0.7200000000000002</v>
      </c>
      <c r="W791" s="272">
        <v>0.76000000000000023</v>
      </c>
      <c r="X791" s="272">
        <v>0.81000000000000028</v>
      </c>
      <c r="Y791" s="272">
        <v>0.90000000000000024</v>
      </c>
      <c r="Z791" s="272">
        <v>0.95000000000000029</v>
      </c>
      <c r="AA791" s="272">
        <v>1.0000000000000002</v>
      </c>
      <c r="AB791" s="272">
        <v>1.0000000000000002</v>
      </c>
      <c r="AC791" s="272">
        <v>1.0000000000000002</v>
      </c>
      <c r="AD791" s="396">
        <v>1.0000000000000002</v>
      </c>
      <c r="AE791" s="396">
        <v>1.0000000000000002</v>
      </c>
      <c r="AF791" s="396">
        <v>1.0000000000000002</v>
      </c>
      <c r="AG791" s="396">
        <v>1.0000000000000002</v>
      </c>
      <c r="AH791" s="396">
        <v>1.0000000000000002</v>
      </c>
      <c r="AI791" s="396">
        <v>1.0000000000000002</v>
      </c>
      <c r="AJ791" s="396">
        <v>1.0000000000000002</v>
      </c>
      <c r="AK791" s="396">
        <v>1.0000000000000002</v>
      </c>
      <c r="AL791" s="396">
        <v>1.0000000000000002</v>
      </c>
      <c r="AM791" s="396">
        <v>1.0000000000000002</v>
      </c>
      <c r="AN791" s="396">
        <v>1.0000000000000002</v>
      </c>
      <c r="AO791" s="396">
        <v>1.0000000000000002</v>
      </c>
      <c r="AP791" s="396">
        <v>1.0000000000000002</v>
      </c>
    </row>
    <row r="792" spans="2:42" s="216" customFormat="1" ht="25.5" hidden="1" outlineLevel="3">
      <c r="B792" s="255" t="s">
        <v>918</v>
      </c>
      <c r="C792" s="290" t="s">
        <v>253</v>
      </c>
      <c r="D792" s="227" t="s">
        <v>231</v>
      </c>
      <c r="E792" s="241">
        <v>15659203689.5</v>
      </c>
      <c r="F792" s="228">
        <f t="shared" si="1584"/>
        <v>8.3333333333333329E-2</v>
      </c>
      <c r="G792" s="269">
        <f t="shared" si="1573"/>
        <v>4.7310430975481986E-3</v>
      </c>
      <c r="H792" s="299">
        <v>45931</v>
      </c>
      <c r="I792" s="299">
        <v>46528</v>
      </c>
      <c r="J792" s="299">
        <v>45931</v>
      </c>
      <c r="K792" s="299">
        <v>46568</v>
      </c>
      <c r="L792" s="299">
        <v>45931</v>
      </c>
      <c r="M792" s="299">
        <v>46660</v>
      </c>
      <c r="N792" s="272">
        <v>0</v>
      </c>
      <c r="O792" s="272">
        <v>0.33</v>
      </c>
      <c r="P792" s="272">
        <v>0.37</v>
      </c>
      <c r="Q792" s="272">
        <v>0.48</v>
      </c>
      <c r="R792" s="372">
        <v>0.55000000000000004</v>
      </c>
      <c r="S792" s="395">
        <v>0.59000000000000008</v>
      </c>
      <c r="T792" s="272">
        <v>0.63000000000000012</v>
      </c>
      <c r="U792" s="272">
        <v>0.67000000000000015</v>
      </c>
      <c r="V792" s="272">
        <v>0.7200000000000002</v>
      </c>
      <c r="W792" s="272">
        <v>0.76000000000000023</v>
      </c>
      <c r="X792" s="272">
        <v>0.81000000000000028</v>
      </c>
      <c r="Y792" s="272">
        <v>0.90000000000000024</v>
      </c>
      <c r="Z792" s="272">
        <v>0.95000000000000029</v>
      </c>
      <c r="AA792" s="272">
        <v>1.0000000000000002</v>
      </c>
      <c r="AB792" s="272">
        <v>1.0000000000000002</v>
      </c>
      <c r="AC792" s="272">
        <v>1.0000000000000002</v>
      </c>
      <c r="AD792" s="396">
        <v>1.0000000000000002</v>
      </c>
      <c r="AE792" s="396">
        <v>1.0000000000000002</v>
      </c>
      <c r="AF792" s="396">
        <v>1.0000000000000002</v>
      </c>
      <c r="AG792" s="396">
        <v>1.0000000000000002</v>
      </c>
      <c r="AH792" s="396">
        <v>1.0000000000000002</v>
      </c>
      <c r="AI792" s="396">
        <v>1.0000000000000002</v>
      </c>
      <c r="AJ792" s="396">
        <v>1.0000000000000002</v>
      </c>
      <c r="AK792" s="396">
        <v>1.0000000000000002</v>
      </c>
      <c r="AL792" s="396">
        <v>1.0000000000000002</v>
      </c>
      <c r="AM792" s="396">
        <v>1.0000000000000002</v>
      </c>
      <c r="AN792" s="396">
        <v>1.0000000000000002</v>
      </c>
      <c r="AO792" s="396">
        <v>1.0000000000000002</v>
      </c>
      <c r="AP792" s="396">
        <v>1.0000000000000002</v>
      </c>
    </row>
    <row r="793" spans="2:42" s="216" customFormat="1" ht="25.5" hidden="1" outlineLevel="2">
      <c r="B793" s="291" t="s">
        <v>936</v>
      </c>
      <c r="C793" s="292" t="s">
        <v>41</v>
      </c>
      <c r="D793" s="234" t="s">
        <v>33</v>
      </c>
      <c r="E793" s="240">
        <f>SUM(E794:E807)</f>
        <v>214391581132.00006</v>
      </c>
      <c r="F793" s="223">
        <f t="shared" si="1580"/>
        <v>0.11049772843953055</v>
      </c>
      <c r="G793" s="293">
        <f t="shared" si="1573"/>
        <v>6.4773141099576562E-2</v>
      </c>
      <c r="H793" s="298">
        <v>45931</v>
      </c>
      <c r="I793" s="298">
        <v>46453</v>
      </c>
      <c r="J793" s="298">
        <v>45919</v>
      </c>
      <c r="K793" s="298">
        <v>46542</v>
      </c>
      <c r="L793" s="298">
        <v>45919</v>
      </c>
      <c r="M793" s="298">
        <v>46752</v>
      </c>
      <c r="N793" s="270">
        <v>0</v>
      </c>
      <c r="O793" s="270">
        <v>0.29428571428571765</v>
      </c>
      <c r="P793" s="270">
        <v>0.36071428571428982</v>
      </c>
      <c r="Q793" s="270">
        <v>0.46071428571429096</v>
      </c>
      <c r="R793" s="370">
        <v>0.52428571428572024</v>
      </c>
      <c r="S793" s="391">
        <v>0.5542857142857206</v>
      </c>
      <c r="T793" s="270">
        <v>0.58428571428572096</v>
      </c>
      <c r="U793" s="270">
        <v>0.6092857142857212</v>
      </c>
      <c r="V793" s="270">
        <v>0.63428571428572145</v>
      </c>
      <c r="W793" s="270">
        <v>0.68000000000000771</v>
      </c>
      <c r="X793" s="270">
        <v>0.73714285714286554</v>
      </c>
      <c r="Y793" s="270">
        <v>0.77928571428572313</v>
      </c>
      <c r="Z793" s="270">
        <v>0.81714285714286639</v>
      </c>
      <c r="AA793" s="270">
        <v>0.85142857142858108</v>
      </c>
      <c r="AB793" s="270">
        <v>0.88857142857143867</v>
      </c>
      <c r="AC793" s="270">
        <v>0.92000000000001048</v>
      </c>
      <c r="AD793" s="392">
        <v>0.93857142857143927</v>
      </c>
      <c r="AE793" s="392">
        <v>0.94428571428572505</v>
      </c>
      <c r="AF793" s="392">
        <v>0.95000000000001084</v>
      </c>
      <c r="AG793" s="392">
        <v>0.95571428571429662</v>
      </c>
      <c r="AH793" s="392">
        <v>0.9614285714285824</v>
      </c>
      <c r="AI793" s="392">
        <v>0.97000000000001108</v>
      </c>
      <c r="AJ793" s="392">
        <v>0.97857142857143975</v>
      </c>
      <c r="AK793" s="392">
        <v>0.99000000000001132</v>
      </c>
      <c r="AL793" s="392">
        <v>1.0000000000000113</v>
      </c>
      <c r="AM793" s="392">
        <v>1.0000000000000113</v>
      </c>
      <c r="AN793" s="392">
        <v>1.0000000000000113</v>
      </c>
      <c r="AO793" s="392">
        <v>1.0000000000000113</v>
      </c>
      <c r="AP793" s="392">
        <v>1.0000000000000113</v>
      </c>
    </row>
    <row r="794" spans="2:42" s="216" customFormat="1" ht="25.5" hidden="1" outlineLevel="3">
      <c r="B794" s="255" t="s">
        <v>907</v>
      </c>
      <c r="C794" s="290" t="s">
        <v>230</v>
      </c>
      <c r="D794" s="227" t="s">
        <v>231</v>
      </c>
      <c r="E794" s="241">
        <v>15313684366.571428</v>
      </c>
      <c r="F794" s="228">
        <f>E794/$E$793</f>
        <v>7.1428571428571411E-2</v>
      </c>
      <c r="G794" s="269">
        <f t="shared" si="1573"/>
        <v>4.6266529356840391E-3</v>
      </c>
      <c r="H794" s="299">
        <v>45931</v>
      </c>
      <c r="I794" s="299">
        <v>46453</v>
      </c>
      <c r="J794" s="299">
        <v>45919</v>
      </c>
      <c r="K794" s="299">
        <v>46542</v>
      </c>
      <c r="L794" s="299">
        <v>45919</v>
      </c>
      <c r="M794" s="299">
        <v>46721</v>
      </c>
      <c r="N794" s="272">
        <v>0</v>
      </c>
      <c r="O794" s="272">
        <v>0.38</v>
      </c>
      <c r="P794" s="272">
        <v>0.45</v>
      </c>
      <c r="Q794" s="272">
        <v>0.57000000000000006</v>
      </c>
      <c r="R794" s="372">
        <v>0.6100000000000001</v>
      </c>
      <c r="S794" s="395">
        <v>0.6100000000000001</v>
      </c>
      <c r="T794" s="272">
        <v>0.6100000000000001</v>
      </c>
      <c r="U794" s="272">
        <v>0.6100000000000001</v>
      </c>
      <c r="V794" s="272">
        <v>0.6100000000000001</v>
      </c>
      <c r="W794" s="272">
        <v>0.66000000000000014</v>
      </c>
      <c r="X794" s="272">
        <v>0.7300000000000002</v>
      </c>
      <c r="Y794" s="272">
        <v>0.80000000000000027</v>
      </c>
      <c r="Z794" s="272">
        <v>0.86000000000000032</v>
      </c>
      <c r="AA794" s="272">
        <v>0.91000000000000036</v>
      </c>
      <c r="AB794" s="272">
        <v>0.96000000000000041</v>
      </c>
      <c r="AC794" s="272">
        <v>1.0000000000000004</v>
      </c>
      <c r="AD794" s="396">
        <v>1.0000000000000004</v>
      </c>
      <c r="AE794" s="396">
        <v>1.0000000000000004</v>
      </c>
      <c r="AF794" s="396">
        <v>1.0000000000000004</v>
      </c>
      <c r="AG794" s="396">
        <v>1.0000000000000004</v>
      </c>
      <c r="AH794" s="396">
        <v>1.0000000000000004</v>
      </c>
      <c r="AI794" s="396">
        <v>1.0000000000000004</v>
      </c>
      <c r="AJ794" s="396">
        <v>1.0000000000000004</v>
      </c>
      <c r="AK794" s="396">
        <v>1.0000000000000004</v>
      </c>
      <c r="AL794" s="396">
        <v>1.0000000000000004</v>
      </c>
      <c r="AM794" s="396">
        <v>1.0000000000000004</v>
      </c>
      <c r="AN794" s="396">
        <v>1.0000000000000004</v>
      </c>
      <c r="AO794" s="396">
        <v>1.0000000000000004</v>
      </c>
      <c r="AP794" s="396">
        <v>1.0000000000000004</v>
      </c>
    </row>
    <row r="795" spans="2:42" s="216" customFormat="1" ht="25.5" hidden="1" outlineLevel="3">
      <c r="B795" s="255" t="s">
        <v>908</v>
      </c>
      <c r="C795" s="290" t="s">
        <v>233</v>
      </c>
      <c r="D795" s="227" t="s">
        <v>231</v>
      </c>
      <c r="E795" s="241">
        <v>15313684366.571428</v>
      </c>
      <c r="F795" s="228">
        <f t="shared" ref="F795:F807" si="1585">E795/$E$793</f>
        <v>7.1428571428571411E-2</v>
      </c>
      <c r="G795" s="269">
        <f t="shared" si="1573"/>
        <v>4.6266529356840391E-3</v>
      </c>
      <c r="H795" s="299">
        <v>45931</v>
      </c>
      <c r="I795" s="299">
        <v>46453</v>
      </c>
      <c r="J795" s="299">
        <v>45919</v>
      </c>
      <c r="K795" s="299">
        <v>46542</v>
      </c>
      <c r="L795" s="299">
        <v>45919</v>
      </c>
      <c r="M795" s="299">
        <v>46721</v>
      </c>
      <c r="N795" s="272">
        <v>0</v>
      </c>
      <c r="O795" s="272">
        <v>0.37</v>
      </c>
      <c r="P795" s="272">
        <v>0.45</v>
      </c>
      <c r="Q795" s="272">
        <v>0.57000000000000006</v>
      </c>
      <c r="R795" s="372">
        <v>0.6100000000000001</v>
      </c>
      <c r="S795" s="395">
        <v>0.6100000000000001</v>
      </c>
      <c r="T795" s="272">
        <v>0.6100000000000001</v>
      </c>
      <c r="U795" s="272">
        <v>0.6100000000000001</v>
      </c>
      <c r="V795" s="272">
        <v>0.6100000000000001</v>
      </c>
      <c r="W795" s="272">
        <v>0.66000000000000014</v>
      </c>
      <c r="X795" s="272">
        <v>0.7300000000000002</v>
      </c>
      <c r="Y795" s="272">
        <v>0.80000000000000027</v>
      </c>
      <c r="Z795" s="272">
        <v>0.86000000000000032</v>
      </c>
      <c r="AA795" s="272">
        <v>0.91000000000000036</v>
      </c>
      <c r="AB795" s="272">
        <v>0.96000000000000041</v>
      </c>
      <c r="AC795" s="272">
        <v>1.0000000000000004</v>
      </c>
      <c r="AD795" s="396">
        <v>1.0000000000000004</v>
      </c>
      <c r="AE795" s="396">
        <v>1.0000000000000004</v>
      </c>
      <c r="AF795" s="396">
        <v>1.0000000000000004</v>
      </c>
      <c r="AG795" s="396">
        <v>1.0000000000000004</v>
      </c>
      <c r="AH795" s="396">
        <v>1.0000000000000004</v>
      </c>
      <c r="AI795" s="396">
        <v>1.0000000000000004</v>
      </c>
      <c r="AJ795" s="396">
        <v>1.0000000000000004</v>
      </c>
      <c r="AK795" s="396">
        <v>1.0000000000000004</v>
      </c>
      <c r="AL795" s="396">
        <v>1.0000000000000004</v>
      </c>
      <c r="AM795" s="396">
        <v>1.0000000000000004</v>
      </c>
      <c r="AN795" s="396">
        <v>1.0000000000000004</v>
      </c>
      <c r="AO795" s="396">
        <v>1.0000000000000004</v>
      </c>
      <c r="AP795" s="396">
        <v>1.0000000000000004</v>
      </c>
    </row>
    <row r="796" spans="2:42" s="216" customFormat="1" ht="25.5" hidden="1" outlineLevel="3">
      <c r="B796" s="255" t="s">
        <v>909</v>
      </c>
      <c r="C796" s="290" t="s">
        <v>235</v>
      </c>
      <c r="D796" s="227" t="s">
        <v>231</v>
      </c>
      <c r="E796" s="241">
        <v>15313684366.571428</v>
      </c>
      <c r="F796" s="228">
        <f t="shared" si="1585"/>
        <v>7.1428571428571411E-2</v>
      </c>
      <c r="G796" s="269">
        <f t="shared" si="1573"/>
        <v>4.6266529356840391E-3</v>
      </c>
      <c r="H796" s="299">
        <v>45931</v>
      </c>
      <c r="I796" s="299">
        <v>46453</v>
      </c>
      <c r="J796" s="299">
        <v>45919</v>
      </c>
      <c r="K796" s="299">
        <v>46542</v>
      </c>
      <c r="L796" s="299">
        <v>45919</v>
      </c>
      <c r="M796" s="299">
        <v>46721</v>
      </c>
      <c r="N796" s="272">
        <v>0</v>
      </c>
      <c r="O796" s="272">
        <v>0.38</v>
      </c>
      <c r="P796" s="272">
        <v>0.45</v>
      </c>
      <c r="Q796" s="272">
        <v>0.57000000000000006</v>
      </c>
      <c r="R796" s="372">
        <v>0.6100000000000001</v>
      </c>
      <c r="S796" s="395">
        <v>0.6100000000000001</v>
      </c>
      <c r="T796" s="272">
        <v>0.6100000000000001</v>
      </c>
      <c r="U796" s="272">
        <v>0.6100000000000001</v>
      </c>
      <c r="V796" s="272">
        <v>0.6100000000000001</v>
      </c>
      <c r="W796" s="272">
        <v>0.66000000000000014</v>
      </c>
      <c r="X796" s="272">
        <v>0.7300000000000002</v>
      </c>
      <c r="Y796" s="272">
        <v>0.80000000000000027</v>
      </c>
      <c r="Z796" s="272">
        <v>0.86000000000000032</v>
      </c>
      <c r="AA796" s="272">
        <v>0.91000000000000036</v>
      </c>
      <c r="AB796" s="272">
        <v>0.96000000000000041</v>
      </c>
      <c r="AC796" s="272">
        <v>1.0000000000000004</v>
      </c>
      <c r="AD796" s="396">
        <v>1.0000000000000004</v>
      </c>
      <c r="AE796" s="396">
        <v>1.0000000000000004</v>
      </c>
      <c r="AF796" s="396">
        <v>1.0000000000000004</v>
      </c>
      <c r="AG796" s="396">
        <v>1.0000000000000004</v>
      </c>
      <c r="AH796" s="396">
        <v>1.0000000000000004</v>
      </c>
      <c r="AI796" s="396">
        <v>1.0000000000000004</v>
      </c>
      <c r="AJ796" s="396">
        <v>1.0000000000000004</v>
      </c>
      <c r="AK796" s="396">
        <v>1.0000000000000004</v>
      </c>
      <c r="AL796" s="396">
        <v>1.0000000000000004</v>
      </c>
      <c r="AM796" s="396">
        <v>1.0000000000000004</v>
      </c>
      <c r="AN796" s="396">
        <v>1.0000000000000004</v>
      </c>
      <c r="AO796" s="396">
        <v>1.0000000000000004</v>
      </c>
      <c r="AP796" s="396">
        <v>1.0000000000000004</v>
      </c>
    </row>
    <row r="797" spans="2:42" s="216" customFormat="1" ht="25.5" hidden="1" outlineLevel="3">
      <c r="B797" s="255" t="s">
        <v>910</v>
      </c>
      <c r="C797" s="290" t="s">
        <v>237</v>
      </c>
      <c r="D797" s="227" t="s">
        <v>231</v>
      </c>
      <c r="E797" s="241">
        <v>15313684366.571428</v>
      </c>
      <c r="F797" s="228">
        <f t="shared" si="1585"/>
        <v>7.1428571428571411E-2</v>
      </c>
      <c r="G797" s="269">
        <f t="shared" si="1573"/>
        <v>4.6266529356840391E-3</v>
      </c>
      <c r="H797" s="299">
        <v>45931</v>
      </c>
      <c r="I797" s="299">
        <v>46453</v>
      </c>
      <c r="J797" s="299">
        <v>45919</v>
      </c>
      <c r="K797" s="299">
        <v>46542</v>
      </c>
      <c r="L797" s="299">
        <v>45919</v>
      </c>
      <c r="M797" s="299">
        <v>46542</v>
      </c>
      <c r="N797" s="272">
        <v>0</v>
      </c>
      <c r="O797" s="272">
        <v>0.38</v>
      </c>
      <c r="P797" s="272">
        <v>0.45</v>
      </c>
      <c r="Q797" s="272">
        <v>0.57000000000000006</v>
      </c>
      <c r="R797" s="372">
        <v>0.68</v>
      </c>
      <c r="S797" s="395">
        <v>0.74</v>
      </c>
      <c r="T797" s="272">
        <v>0.8</v>
      </c>
      <c r="U797" s="272">
        <v>0.85000000000000009</v>
      </c>
      <c r="V797" s="272">
        <v>0.90000000000000013</v>
      </c>
      <c r="W797" s="272">
        <v>0.95000000000000018</v>
      </c>
      <c r="X797" s="272">
        <v>1.0000000000000002</v>
      </c>
      <c r="Y797" s="272">
        <v>1.0000000000000002</v>
      </c>
      <c r="Z797" s="272">
        <v>1.0000000000000002</v>
      </c>
      <c r="AA797" s="272">
        <v>1.0000000000000002</v>
      </c>
      <c r="AB797" s="272">
        <v>1.0000000000000002</v>
      </c>
      <c r="AC797" s="272">
        <v>1.0000000000000002</v>
      </c>
      <c r="AD797" s="396">
        <v>1.0000000000000002</v>
      </c>
      <c r="AE797" s="396">
        <v>1.0000000000000002</v>
      </c>
      <c r="AF797" s="396">
        <v>1.0000000000000002</v>
      </c>
      <c r="AG797" s="396">
        <v>1.0000000000000002</v>
      </c>
      <c r="AH797" s="396">
        <v>1.0000000000000002</v>
      </c>
      <c r="AI797" s="396">
        <v>1.0000000000000002</v>
      </c>
      <c r="AJ797" s="396">
        <v>1.0000000000000002</v>
      </c>
      <c r="AK797" s="396">
        <v>1.0000000000000002</v>
      </c>
      <c r="AL797" s="396">
        <v>1.0000000000000002</v>
      </c>
      <c r="AM797" s="396">
        <v>1.0000000000000002</v>
      </c>
      <c r="AN797" s="396">
        <v>1.0000000000000002</v>
      </c>
      <c r="AO797" s="396">
        <v>1.0000000000000002</v>
      </c>
      <c r="AP797" s="396">
        <v>1.0000000000000002</v>
      </c>
    </row>
    <row r="798" spans="2:42" s="216" customFormat="1" ht="25.5" hidden="1" outlineLevel="3">
      <c r="B798" s="255" t="s">
        <v>911</v>
      </c>
      <c r="C798" s="290" t="s">
        <v>239</v>
      </c>
      <c r="D798" s="227" t="s">
        <v>231</v>
      </c>
      <c r="E798" s="241">
        <v>15313684366.571428</v>
      </c>
      <c r="F798" s="228">
        <f t="shared" si="1585"/>
        <v>7.1428571428571411E-2</v>
      </c>
      <c r="G798" s="269">
        <f t="shared" si="1573"/>
        <v>4.6266529356840391E-3</v>
      </c>
      <c r="H798" s="299">
        <v>45931</v>
      </c>
      <c r="I798" s="299">
        <v>46453</v>
      </c>
      <c r="J798" s="299">
        <v>45919</v>
      </c>
      <c r="K798" s="299">
        <v>46542</v>
      </c>
      <c r="L798" s="299">
        <v>45919</v>
      </c>
      <c r="M798" s="299">
        <v>46542</v>
      </c>
      <c r="N798" s="272">
        <v>0</v>
      </c>
      <c r="O798" s="272">
        <v>0.37</v>
      </c>
      <c r="P798" s="272">
        <v>0.45</v>
      </c>
      <c r="Q798" s="272">
        <v>0.57000000000000006</v>
      </c>
      <c r="R798" s="372">
        <v>0.68</v>
      </c>
      <c r="S798" s="395">
        <v>0.74</v>
      </c>
      <c r="T798" s="272">
        <v>0.8</v>
      </c>
      <c r="U798" s="272">
        <v>0.85000000000000009</v>
      </c>
      <c r="V798" s="272">
        <v>0.90000000000000013</v>
      </c>
      <c r="W798" s="272">
        <v>0.95000000000000018</v>
      </c>
      <c r="X798" s="272">
        <v>1.0000000000000002</v>
      </c>
      <c r="Y798" s="272">
        <v>1.0000000000000002</v>
      </c>
      <c r="Z798" s="272">
        <v>1.0000000000000002</v>
      </c>
      <c r="AA798" s="272">
        <v>1.0000000000000002</v>
      </c>
      <c r="AB798" s="272">
        <v>1.0000000000000002</v>
      </c>
      <c r="AC798" s="272">
        <v>1.0000000000000002</v>
      </c>
      <c r="AD798" s="396">
        <v>1.0000000000000002</v>
      </c>
      <c r="AE798" s="396">
        <v>1.0000000000000002</v>
      </c>
      <c r="AF798" s="396">
        <v>1.0000000000000002</v>
      </c>
      <c r="AG798" s="396">
        <v>1.0000000000000002</v>
      </c>
      <c r="AH798" s="396">
        <v>1.0000000000000002</v>
      </c>
      <c r="AI798" s="396">
        <v>1.0000000000000002</v>
      </c>
      <c r="AJ798" s="396">
        <v>1.0000000000000002</v>
      </c>
      <c r="AK798" s="396">
        <v>1.0000000000000002</v>
      </c>
      <c r="AL798" s="396">
        <v>1.0000000000000002</v>
      </c>
      <c r="AM798" s="396">
        <v>1.0000000000000002</v>
      </c>
      <c r="AN798" s="396">
        <v>1.0000000000000002</v>
      </c>
      <c r="AO798" s="396">
        <v>1.0000000000000002</v>
      </c>
      <c r="AP798" s="396">
        <v>1.0000000000000002</v>
      </c>
    </row>
    <row r="799" spans="2:42" s="216" customFormat="1" ht="25.5" hidden="1" outlineLevel="3">
      <c r="B799" s="255" t="s">
        <v>912</v>
      </c>
      <c r="C799" s="290" t="s">
        <v>241</v>
      </c>
      <c r="D799" s="227" t="s">
        <v>231</v>
      </c>
      <c r="E799" s="241">
        <v>15313684366.571428</v>
      </c>
      <c r="F799" s="228">
        <f t="shared" si="1585"/>
        <v>7.1428571428571411E-2</v>
      </c>
      <c r="G799" s="269">
        <f t="shared" si="1573"/>
        <v>4.6266529356840391E-3</v>
      </c>
      <c r="H799" s="299">
        <v>45931</v>
      </c>
      <c r="I799" s="299">
        <v>46453</v>
      </c>
      <c r="J799" s="299">
        <v>45919</v>
      </c>
      <c r="K799" s="299">
        <v>46542</v>
      </c>
      <c r="L799" s="299">
        <v>45919</v>
      </c>
      <c r="M799" s="299">
        <v>46752</v>
      </c>
      <c r="N799" s="272">
        <v>0</v>
      </c>
      <c r="O799" s="272">
        <v>0.24</v>
      </c>
      <c r="P799" s="272">
        <v>0.3</v>
      </c>
      <c r="Q799" s="272">
        <v>0.36</v>
      </c>
      <c r="R799" s="372">
        <v>0.36</v>
      </c>
      <c r="S799" s="395">
        <v>0.36</v>
      </c>
      <c r="T799" s="272">
        <v>0.36</v>
      </c>
      <c r="U799" s="272">
        <v>0.36</v>
      </c>
      <c r="V799" s="272">
        <v>0.36</v>
      </c>
      <c r="W799" s="272">
        <v>0.42</v>
      </c>
      <c r="X799" s="272">
        <v>0.5</v>
      </c>
      <c r="Y799" s="272">
        <v>0.61</v>
      </c>
      <c r="Z799" s="272">
        <v>0.71</v>
      </c>
      <c r="AA799" s="272">
        <v>0.79999999999999993</v>
      </c>
      <c r="AB799" s="272">
        <v>0.8899999999999999</v>
      </c>
      <c r="AC799" s="272">
        <v>0.95</v>
      </c>
      <c r="AD799" s="396">
        <v>1</v>
      </c>
      <c r="AE799" s="396">
        <v>1</v>
      </c>
      <c r="AF799" s="396">
        <v>1</v>
      </c>
      <c r="AG799" s="396">
        <v>1</v>
      </c>
      <c r="AH799" s="396">
        <v>1</v>
      </c>
      <c r="AI799" s="396">
        <v>1</v>
      </c>
      <c r="AJ799" s="396">
        <v>1</v>
      </c>
      <c r="AK799" s="396">
        <v>1</v>
      </c>
      <c r="AL799" s="396">
        <v>1</v>
      </c>
      <c r="AM799" s="396">
        <v>1</v>
      </c>
      <c r="AN799" s="396">
        <v>1</v>
      </c>
      <c r="AO799" s="396">
        <v>1</v>
      </c>
      <c r="AP799" s="396">
        <v>1</v>
      </c>
    </row>
    <row r="800" spans="2:42" s="216" customFormat="1" ht="25.5" hidden="1" outlineLevel="3">
      <c r="B800" s="255" t="s">
        <v>913</v>
      </c>
      <c r="C800" s="290" t="s">
        <v>243</v>
      </c>
      <c r="D800" s="227" t="s">
        <v>231</v>
      </c>
      <c r="E800" s="241">
        <v>15313684366.571428</v>
      </c>
      <c r="F800" s="228">
        <f t="shared" si="1585"/>
        <v>7.1428571428571411E-2</v>
      </c>
      <c r="G800" s="269">
        <f t="shared" si="1573"/>
        <v>4.6266529356840391E-3</v>
      </c>
      <c r="H800" s="299">
        <v>45931</v>
      </c>
      <c r="I800" s="299">
        <v>46453</v>
      </c>
      <c r="J800" s="299">
        <v>45919</v>
      </c>
      <c r="K800" s="299">
        <v>46542</v>
      </c>
      <c r="L800" s="299">
        <v>45919</v>
      </c>
      <c r="M800" s="299">
        <v>46542</v>
      </c>
      <c r="N800" s="272">
        <v>0</v>
      </c>
      <c r="O800" s="272">
        <v>0.34</v>
      </c>
      <c r="P800" s="272">
        <v>0.43000000000000005</v>
      </c>
      <c r="Q800" s="272">
        <v>0.57000000000000006</v>
      </c>
      <c r="R800" s="372">
        <v>0.68</v>
      </c>
      <c r="S800" s="395">
        <v>0.74</v>
      </c>
      <c r="T800" s="272">
        <v>0.8</v>
      </c>
      <c r="U800" s="272">
        <v>0.85000000000000009</v>
      </c>
      <c r="V800" s="272">
        <v>0.90000000000000013</v>
      </c>
      <c r="W800" s="272">
        <v>0.95000000000000018</v>
      </c>
      <c r="X800" s="272">
        <v>1.0000000000000002</v>
      </c>
      <c r="Y800" s="272">
        <v>1.0000000000000002</v>
      </c>
      <c r="Z800" s="272">
        <v>1.0000000000000002</v>
      </c>
      <c r="AA800" s="272">
        <v>1.0000000000000002</v>
      </c>
      <c r="AB800" s="272">
        <v>1.0000000000000002</v>
      </c>
      <c r="AC800" s="272">
        <v>1.0000000000000002</v>
      </c>
      <c r="AD800" s="396">
        <v>1.0000000000000002</v>
      </c>
      <c r="AE800" s="396">
        <v>1.0000000000000002</v>
      </c>
      <c r="AF800" s="396">
        <v>1.0000000000000002</v>
      </c>
      <c r="AG800" s="396">
        <v>1.0000000000000002</v>
      </c>
      <c r="AH800" s="396">
        <v>1.0000000000000002</v>
      </c>
      <c r="AI800" s="396">
        <v>1.0000000000000002</v>
      </c>
      <c r="AJ800" s="396">
        <v>1.0000000000000002</v>
      </c>
      <c r="AK800" s="396">
        <v>1.0000000000000002</v>
      </c>
      <c r="AL800" s="396">
        <v>1.0000000000000002</v>
      </c>
      <c r="AM800" s="396">
        <v>1.0000000000000002</v>
      </c>
      <c r="AN800" s="396">
        <v>1.0000000000000002</v>
      </c>
      <c r="AO800" s="396">
        <v>1.0000000000000002</v>
      </c>
      <c r="AP800" s="396">
        <v>1.0000000000000002</v>
      </c>
    </row>
    <row r="801" spans="2:42" s="216" customFormat="1" ht="25.5" hidden="1" outlineLevel="3">
      <c r="B801" s="255" t="s">
        <v>914</v>
      </c>
      <c r="C801" s="290" t="s">
        <v>245</v>
      </c>
      <c r="D801" s="227" t="s">
        <v>231</v>
      </c>
      <c r="E801" s="241">
        <v>15313684366.571428</v>
      </c>
      <c r="F801" s="228">
        <f t="shared" si="1585"/>
        <v>7.1428571428571411E-2</v>
      </c>
      <c r="G801" s="269">
        <f t="shared" si="1573"/>
        <v>4.6266529356840391E-3</v>
      </c>
      <c r="H801" s="299">
        <v>45931</v>
      </c>
      <c r="I801" s="299">
        <v>46453</v>
      </c>
      <c r="J801" s="299">
        <v>45919</v>
      </c>
      <c r="K801" s="299">
        <v>46542</v>
      </c>
      <c r="L801" s="299">
        <v>45919</v>
      </c>
      <c r="M801" s="299">
        <v>46542</v>
      </c>
      <c r="N801" s="272">
        <v>0</v>
      </c>
      <c r="O801" s="272">
        <v>0.35</v>
      </c>
      <c r="P801" s="272">
        <v>0.43</v>
      </c>
      <c r="Q801" s="272">
        <v>0.57000000000000006</v>
      </c>
      <c r="R801" s="372">
        <v>0.68</v>
      </c>
      <c r="S801" s="395">
        <v>0.74</v>
      </c>
      <c r="T801" s="272">
        <v>0.8</v>
      </c>
      <c r="U801" s="272">
        <v>0.85000000000000009</v>
      </c>
      <c r="V801" s="272">
        <v>0.90000000000000013</v>
      </c>
      <c r="W801" s="272">
        <v>0.95000000000000018</v>
      </c>
      <c r="X801" s="272">
        <v>1.0000000000000002</v>
      </c>
      <c r="Y801" s="272">
        <v>1.0000000000000002</v>
      </c>
      <c r="Z801" s="272">
        <v>1.0000000000000002</v>
      </c>
      <c r="AA801" s="272">
        <v>1.0000000000000002</v>
      </c>
      <c r="AB801" s="272">
        <v>1.0000000000000002</v>
      </c>
      <c r="AC801" s="272">
        <v>1.0000000000000002</v>
      </c>
      <c r="AD801" s="396">
        <v>1.0000000000000002</v>
      </c>
      <c r="AE801" s="396">
        <v>1.0000000000000002</v>
      </c>
      <c r="AF801" s="396">
        <v>1.0000000000000002</v>
      </c>
      <c r="AG801" s="396">
        <v>1.0000000000000002</v>
      </c>
      <c r="AH801" s="396">
        <v>1.0000000000000002</v>
      </c>
      <c r="AI801" s="396">
        <v>1.0000000000000002</v>
      </c>
      <c r="AJ801" s="396">
        <v>1.0000000000000002</v>
      </c>
      <c r="AK801" s="396">
        <v>1.0000000000000002</v>
      </c>
      <c r="AL801" s="396">
        <v>1.0000000000000002</v>
      </c>
      <c r="AM801" s="396">
        <v>1.0000000000000002</v>
      </c>
      <c r="AN801" s="396">
        <v>1.0000000000000002</v>
      </c>
      <c r="AO801" s="396">
        <v>1.0000000000000002</v>
      </c>
      <c r="AP801" s="396">
        <v>1.0000000000000002</v>
      </c>
    </row>
    <row r="802" spans="2:42" s="216" customFormat="1" ht="25.5" hidden="1" outlineLevel="3">
      <c r="B802" s="255" t="s">
        <v>915</v>
      </c>
      <c r="C802" s="290" t="s">
        <v>247</v>
      </c>
      <c r="D802" s="227" t="s">
        <v>231</v>
      </c>
      <c r="E802" s="241">
        <v>15313684366.571428</v>
      </c>
      <c r="F802" s="228">
        <f t="shared" si="1585"/>
        <v>7.1428571428571411E-2</v>
      </c>
      <c r="G802" s="269">
        <f t="shared" si="1573"/>
        <v>4.6266529356840391E-3</v>
      </c>
      <c r="H802" s="299">
        <v>45931</v>
      </c>
      <c r="I802" s="299">
        <v>46453</v>
      </c>
      <c r="J802" s="299">
        <v>45919</v>
      </c>
      <c r="K802" s="299">
        <v>46542</v>
      </c>
      <c r="L802" s="299">
        <v>45919</v>
      </c>
      <c r="M802" s="299">
        <v>46752</v>
      </c>
      <c r="N802" s="272">
        <v>0</v>
      </c>
      <c r="O802" s="272">
        <v>0</v>
      </c>
      <c r="P802" s="272">
        <v>0</v>
      </c>
      <c r="Q802" s="272">
        <v>0</v>
      </c>
      <c r="R802" s="372">
        <v>0</v>
      </c>
      <c r="S802" s="395">
        <v>0</v>
      </c>
      <c r="T802" s="272">
        <v>0</v>
      </c>
      <c r="U802" s="272">
        <v>0</v>
      </c>
      <c r="V802" s="272">
        <v>0</v>
      </c>
      <c r="W802" s="272">
        <v>0.01</v>
      </c>
      <c r="X802" s="272">
        <v>0.05</v>
      </c>
      <c r="Y802" s="272">
        <v>0.13</v>
      </c>
      <c r="Z802" s="272">
        <v>0.21000000000000002</v>
      </c>
      <c r="AA802" s="272">
        <v>0.29000000000000004</v>
      </c>
      <c r="AB802" s="272">
        <v>0.39</v>
      </c>
      <c r="AC802" s="272">
        <v>0.49</v>
      </c>
      <c r="AD802" s="396">
        <v>0.56999999999999995</v>
      </c>
      <c r="AE802" s="396">
        <v>0.61</v>
      </c>
      <c r="AF802" s="396">
        <v>0.65</v>
      </c>
      <c r="AG802" s="396">
        <v>0.69000000000000006</v>
      </c>
      <c r="AH802" s="396">
        <v>0.73000000000000009</v>
      </c>
      <c r="AI802" s="396">
        <v>0.79</v>
      </c>
      <c r="AJ802" s="396">
        <v>0.85000000000000009</v>
      </c>
      <c r="AK802" s="396">
        <v>0.93</v>
      </c>
      <c r="AL802" s="396">
        <v>1</v>
      </c>
      <c r="AM802" s="396">
        <v>1</v>
      </c>
      <c r="AN802" s="396">
        <v>1</v>
      </c>
      <c r="AO802" s="396">
        <v>1</v>
      </c>
      <c r="AP802" s="396">
        <v>1</v>
      </c>
    </row>
    <row r="803" spans="2:42" s="216" customFormat="1" ht="25.5" hidden="1" outlineLevel="3">
      <c r="B803" s="255" t="s">
        <v>916</v>
      </c>
      <c r="C803" s="290" t="s">
        <v>249</v>
      </c>
      <c r="D803" s="227" t="s">
        <v>231</v>
      </c>
      <c r="E803" s="241">
        <v>15313684366.571428</v>
      </c>
      <c r="F803" s="228">
        <f t="shared" si="1585"/>
        <v>7.1428571428571411E-2</v>
      </c>
      <c r="G803" s="269">
        <f t="shared" si="1573"/>
        <v>4.6266529356840391E-3</v>
      </c>
      <c r="H803" s="299">
        <v>45931</v>
      </c>
      <c r="I803" s="299">
        <v>46453</v>
      </c>
      <c r="J803" s="299">
        <v>45919</v>
      </c>
      <c r="K803" s="299">
        <v>46542</v>
      </c>
      <c r="L803" s="299">
        <v>45919</v>
      </c>
      <c r="M803" s="299">
        <v>46752</v>
      </c>
      <c r="N803" s="272">
        <v>0</v>
      </c>
      <c r="O803" s="272">
        <v>0</v>
      </c>
      <c r="P803" s="272">
        <v>0</v>
      </c>
      <c r="Q803" s="272">
        <v>0</v>
      </c>
      <c r="R803" s="372">
        <v>0</v>
      </c>
      <c r="S803" s="395">
        <v>0</v>
      </c>
      <c r="T803" s="272">
        <v>0</v>
      </c>
      <c r="U803" s="272">
        <v>0</v>
      </c>
      <c r="V803" s="272">
        <v>0</v>
      </c>
      <c r="W803" s="272">
        <v>0.01</v>
      </c>
      <c r="X803" s="272">
        <v>0.05</v>
      </c>
      <c r="Y803" s="272">
        <v>0.13</v>
      </c>
      <c r="Z803" s="272">
        <v>0.21000000000000002</v>
      </c>
      <c r="AA803" s="272">
        <v>0.29000000000000004</v>
      </c>
      <c r="AB803" s="272">
        <v>0.39</v>
      </c>
      <c r="AC803" s="272">
        <v>0.49</v>
      </c>
      <c r="AD803" s="396">
        <v>0.56999999999999995</v>
      </c>
      <c r="AE803" s="396">
        <v>0.61</v>
      </c>
      <c r="AF803" s="396">
        <v>0.65</v>
      </c>
      <c r="AG803" s="396">
        <v>0.69000000000000006</v>
      </c>
      <c r="AH803" s="396">
        <v>0.73000000000000009</v>
      </c>
      <c r="AI803" s="396">
        <v>0.79</v>
      </c>
      <c r="AJ803" s="396">
        <v>0.85000000000000009</v>
      </c>
      <c r="AK803" s="396">
        <v>0.93</v>
      </c>
      <c r="AL803" s="396">
        <v>1</v>
      </c>
      <c r="AM803" s="396">
        <v>1</v>
      </c>
      <c r="AN803" s="396">
        <v>1</v>
      </c>
      <c r="AO803" s="396">
        <v>1</v>
      </c>
      <c r="AP803" s="396">
        <v>1</v>
      </c>
    </row>
    <row r="804" spans="2:42" s="216" customFormat="1" ht="25.5" hidden="1" outlineLevel="3">
      <c r="B804" s="255" t="s">
        <v>917</v>
      </c>
      <c r="C804" s="290" t="s">
        <v>251</v>
      </c>
      <c r="D804" s="227" t="s">
        <v>231</v>
      </c>
      <c r="E804" s="241">
        <v>15313684366.571428</v>
      </c>
      <c r="F804" s="228">
        <f t="shared" si="1585"/>
        <v>7.1428571428571411E-2</v>
      </c>
      <c r="G804" s="269">
        <f t="shared" si="1573"/>
        <v>4.6266529356840391E-3</v>
      </c>
      <c r="H804" s="299">
        <v>45931</v>
      </c>
      <c r="I804" s="299">
        <v>46453</v>
      </c>
      <c r="J804" s="299">
        <v>45919</v>
      </c>
      <c r="K804" s="299">
        <v>46542</v>
      </c>
      <c r="L804" s="299">
        <v>45919</v>
      </c>
      <c r="M804" s="299">
        <v>46752</v>
      </c>
      <c r="N804" s="272">
        <v>0</v>
      </c>
      <c r="O804" s="272">
        <v>0.27</v>
      </c>
      <c r="P804" s="272">
        <v>0.33</v>
      </c>
      <c r="Q804" s="272">
        <v>0.39</v>
      </c>
      <c r="R804" s="372">
        <v>0.39</v>
      </c>
      <c r="S804" s="395">
        <v>0.39</v>
      </c>
      <c r="T804" s="272">
        <v>0.39</v>
      </c>
      <c r="U804" s="272">
        <v>0.39</v>
      </c>
      <c r="V804" s="272">
        <v>0.39</v>
      </c>
      <c r="W804" s="272">
        <v>0.45</v>
      </c>
      <c r="X804" s="272">
        <v>0.53</v>
      </c>
      <c r="Y804" s="272">
        <v>0.64</v>
      </c>
      <c r="Z804" s="272">
        <v>0.73</v>
      </c>
      <c r="AA804" s="272">
        <v>0.80999999999999994</v>
      </c>
      <c r="AB804" s="272">
        <v>0.8899999999999999</v>
      </c>
      <c r="AC804" s="272">
        <v>0.95</v>
      </c>
      <c r="AD804" s="396">
        <v>1</v>
      </c>
      <c r="AE804" s="396">
        <v>1</v>
      </c>
      <c r="AF804" s="396">
        <v>1</v>
      </c>
      <c r="AG804" s="396">
        <v>1</v>
      </c>
      <c r="AH804" s="396">
        <v>1</v>
      </c>
      <c r="AI804" s="396">
        <v>1</v>
      </c>
      <c r="AJ804" s="396">
        <v>1</v>
      </c>
      <c r="AK804" s="396">
        <v>1</v>
      </c>
      <c r="AL804" s="396">
        <v>1</v>
      </c>
      <c r="AM804" s="396">
        <v>1</v>
      </c>
      <c r="AN804" s="396">
        <v>1</v>
      </c>
      <c r="AO804" s="396">
        <v>1</v>
      </c>
      <c r="AP804" s="396">
        <v>1</v>
      </c>
    </row>
    <row r="805" spans="2:42" s="216" customFormat="1" ht="25.5" hidden="1" outlineLevel="3">
      <c r="B805" s="255" t="s">
        <v>918</v>
      </c>
      <c r="C805" s="290" t="s">
        <v>253</v>
      </c>
      <c r="D805" s="227" t="s">
        <v>231</v>
      </c>
      <c r="E805" s="241">
        <v>15313684366.571428</v>
      </c>
      <c r="F805" s="228">
        <f t="shared" si="1585"/>
        <v>7.1428571428571411E-2</v>
      </c>
      <c r="G805" s="269">
        <f t="shared" si="1573"/>
        <v>4.6266529356840391E-3</v>
      </c>
      <c r="H805" s="299">
        <v>45931</v>
      </c>
      <c r="I805" s="299">
        <v>46453</v>
      </c>
      <c r="J805" s="299">
        <v>45919</v>
      </c>
      <c r="K805" s="299">
        <v>46542</v>
      </c>
      <c r="L805" s="299">
        <v>45919</v>
      </c>
      <c r="M805" s="299">
        <v>46542</v>
      </c>
      <c r="N805" s="272">
        <v>0</v>
      </c>
      <c r="O805" s="272">
        <v>0.36</v>
      </c>
      <c r="P805" s="272">
        <v>0.44999999999999996</v>
      </c>
      <c r="Q805" s="272">
        <v>0.56999999999999995</v>
      </c>
      <c r="R805" s="372">
        <v>0.67999999999999994</v>
      </c>
      <c r="S805" s="395">
        <v>0.74</v>
      </c>
      <c r="T805" s="272">
        <v>0.8</v>
      </c>
      <c r="U805" s="272">
        <v>0.85000000000000009</v>
      </c>
      <c r="V805" s="272">
        <v>0.90000000000000013</v>
      </c>
      <c r="W805" s="272">
        <v>0.95000000000000018</v>
      </c>
      <c r="X805" s="272">
        <v>1.0000000000000002</v>
      </c>
      <c r="Y805" s="272">
        <v>1.0000000000000002</v>
      </c>
      <c r="Z805" s="272">
        <v>1.0000000000000002</v>
      </c>
      <c r="AA805" s="272">
        <v>1.0000000000000002</v>
      </c>
      <c r="AB805" s="272">
        <v>1.0000000000000002</v>
      </c>
      <c r="AC805" s="272">
        <v>1.0000000000000002</v>
      </c>
      <c r="AD805" s="396">
        <v>1.0000000000000002</v>
      </c>
      <c r="AE805" s="396">
        <v>1.0000000000000002</v>
      </c>
      <c r="AF805" s="396">
        <v>1.0000000000000002</v>
      </c>
      <c r="AG805" s="396">
        <v>1.0000000000000002</v>
      </c>
      <c r="AH805" s="396">
        <v>1.0000000000000002</v>
      </c>
      <c r="AI805" s="396">
        <v>1.0000000000000002</v>
      </c>
      <c r="AJ805" s="396">
        <v>1.0000000000000002</v>
      </c>
      <c r="AK805" s="396">
        <v>1.0000000000000002</v>
      </c>
      <c r="AL805" s="396">
        <v>1.0000000000000002</v>
      </c>
      <c r="AM805" s="396">
        <v>1.0000000000000002</v>
      </c>
      <c r="AN805" s="396">
        <v>1.0000000000000002</v>
      </c>
      <c r="AO805" s="396">
        <v>1.0000000000000002</v>
      </c>
      <c r="AP805" s="396">
        <v>1.0000000000000002</v>
      </c>
    </row>
    <row r="806" spans="2:42" s="216" customFormat="1" ht="25.5" hidden="1" outlineLevel="3">
      <c r="B806" s="255" t="s">
        <v>919</v>
      </c>
      <c r="C806" s="290" t="s">
        <v>285</v>
      </c>
      <c r="D806" s="227" t="s">
        <v>231</v>
      </c>
      <c r="E806" s="241">
        <v>15313684366.571428</v>
      </c>
      <c r="F806" s="228">
        <f t="shared" si="1585"/>
        <v>7.1428571428571411E-2</v>
      </c>
      <c r="G806" s="269">
        <f t="shared" si="1573"/>
        <v>4.6266529356840391E-3</v>
      </c>
      <c r="H806" s="299">
        <v>45931</v>
      </c>
      <c r="I806" s="299">
        <v>46453</v>
      </c>
      <c r="J806" s="299">
        <v>45919</v>
      </c>
      <c r="K806" s="299">
        <v>46542</v>
      </c>
      <c r="L806" s="299">
        <v>45919</v>
      </c>
      <c r="M806" s="299">
        <v>46542</v>
      </c>
      <c r="N806" s="272">
        <v>0</v>
      </c>
      <c r="O806" s="272">
        <v>0.34</v>
      </c>
      <c r="P806" s="272">
        <v>0.43000000000000005</v>
      </c>
      <c r="Q806" s="272">
        <v>0.57000000000000006</v>
      </c>
      <c r="R806" s="372">
        <v>0.68</v>
      </c>
      <c r="S806" s="395">
        <v>0.74</v>
      </c>
      <c r="T806" s="272">
        <v>0.8</v>
      </c>
      <c r="U806" s="272">
        <v>0.85000000000000009</v>
      </c>
      <c r="V806" s="272">
        <v>0.90000000000000013</v>
      </c>
      <c r="W806" s="272">
        <v>0.95000000000000018</v>
      </c>
      <c r="X806" s="272">
        <v>1.0000000000000002</v>
      </c>
      <c r="Y806" s="272">
        <v>1.0000000000000002</v>
      </c>
      <c r="Z806" s="272">
        <v>1.0000000000000002</v>
      </c>
      <c r="AA806" s="272">
        <v>1.0000000000000002</v>
      </c>
      <c r="AB806" s="272">
        <v>1.0000000000000002</v>
      </c>
      <c r="AC806" s="272">
        <v>1.0000000000000002</v>
      </c>
      <c r="AD806" s="396">
        <v>1.0000000000000002</v>
      </c>
      <c r="AE806" s="396">
        <v>1.0000000000000002</v>
      </c>
      <c r="AF806" s="396">
        <v>1.0000000000000002</v>
      </c>
      <c r="AG806" s="396">
        <v>1.0000000000000002</v>
      </c>
      <c r="AH806" s="396">
        <v>1.0000000000000002</v>
      </c>
      <c r="AI806" s="396">
        <v>1.0000000000000002</v>
      </c>
      <c r="AJ806" s="396">
        <v>1.0000000000000002</v>
      </c>
      <c r="AK806" s="396">
        <v>1.0000000000000002</v>
      </c>
      <c r="AL806" s="396">
        <v>1.0000000000000002</v>
      </c>
      <c r="AM806" s="396">
        <v>1.0000000000000002</v>
      </c>
      <c r="AN806" s="396">
        <v>1.0000000000000002</v>
      </c>
      <c r="AO806" s="396">
        <v>1.0000000000000002</v>
      </c>
      <c r="AP806" s="396">
        <v>1.0000000000000002</v>
      </c>
    </row>
    <row r="807" spans="2:42" s="216" customFormat="1" ht="25.5" hidden="1" outlineLevel="3">
      <c r="B807" s="255" t="s">
        <v>920</v>
      </c>
      <c r="C807" s="290" t="s">
        <v>287</v>
      </c>
      <c r="D807" s="227" t="s">
        <v>231</v>
      </c>
      <c r="E807" s="241">
        <v>15313684366.571428</v>
      </c>
      <c r="F807" s="228">
        <f t="shared" si="1585"/>
        <v>7.1428571428571411E-2</v>
      </c>
      <c r="G807" s="269">
        <f t="shared" si="1573"/>
        <v>4.6266529356840391E-3</v>
      </c>
      <c r="H807" s="299">
        <v>45931</v>
      </c>
      <c r="I807" s="299">
        <v>46453</v>
      </c>
      <c r="J807" s="299">
        <v>45919</v>
      </c>
      <c r="K807" s="299">
        <v>46542</v>
      </c>
      <c r="L807" s="299">
        <v>45919</v>
      </c>
      <c r="M807" s="299">
        <v>46542</v>
      </c>
      <c r="N807" s="272">
        <v>0</v>
      </c>
      <c r="O807" s="272">
        <v>0.34</v>
      </c>
      <c r="P807" s="272">
        <v>0.43000000000000005</v>
      </c>
      <c r="Q807" s="272">
        <v>0.57000000000000006</v>
      </c>
      <c r="R807" s="372">
        <v>0.68</v>
      </c>
      <c r="S807" s="395">
        <v>0.74</v>
      </c>
      <c r="T807" s="272">
        <v>0.8</v>
      </c>
      <c r="U807" s="272">
        <v>0.85000000000000009</v>
      </c>
      <c r="V807" s="272">
        <v>0.90000000000000013</v>
      </c>
      <c r="W807" s="272">
        <v>0.95000000000000018</v>
      </c>
      <c r="X807" s="272">
        <v>1.0000000000000002</v>
      </c>
      <c r="Y807" s="272">
        <v>1.0000000000000002</v>
      </c>
      <c r="Z807" s="272">
        <v>1.0000000000000002</v>
      </c>
      <c r="AA807" s="272">
        <v>1.0000000000000002</v>
      </c>
      <c r="AB807" s="272">
        <v>1.0000000000000002</v>
      </c>
      <c r="AC807" s="272">
        <v>1.0000000000000002</v>
      </c>
      <c r="AD807" s="396">
        <v>1.0000000000000002</v>
      </c>
      <c r="AE807" s="396">
        <v>1.0000000000000002</v>
      </c>
      <c r="AF807" s="396">
        <v>1.0000000000000002</v>
      </c>
      <c r="AG807" s="396">
        <v>1.0000000000000002</v>
      </c>
      <c r="AH807" s="396">
        <v>1.0000000000000002</v>
      </c>
      <c r="AI807" s="396">
        <v>1.0000000000000002</v>
      </c>
      <c r="AJ807" s="396">
        <v>1.0000000000000002</v>
      </c>
      <c r="AK807" s="396">
        <v>1.0000000000000002</v>
      </c>
      <c r="AL807" s="396">
        <v>1.0000000000000002</v>
      </c>
      <c r="AM807" s="396">
        <v>1.0000000000000002</v>
      </c>
      <c r="AN807" s="396">
        <v>1.0000000000000002</v>
      </c>
      <c r="AO807" s="396">
        <v>1.0000000000000002</v>
      </c>
      <c r="AP807" s="396">
        <v>1.0000000000000002</v>
      </c>
    </row>
    <row r="808" spans="2:42" s="216" customFormat="1" ht="25.5" hidden="1" outlineLevel="2">
      <c r="B808" s="291" t="s">
        <v>937</v>
      </c>
      <c r="C808" s="292" t="s">
        <v>43</v>
      </c>
      <c r="D808" s="234" t="s">
        <v>33</v>
      </c>
      <c r="E808" s="240">
        <f>SUM(E809:E825)</f>
        <v>259778021987</v>
      </c>
      <c r="F808" s="223">
        <f t="shared" si="1580"/>
        <v>0.13388996515868054</v>
      </c>
      <c r="G808" s="293">
        <f t="shared" si="1573"/>
        <v>7.8485537463212046E-2</v>
      </c>
      <c r="H808" s="298">
        <v>45934</v>
      </c>
      <c r="I808" s="298">
        <v>46552</v>
      </c>
      <c r="J808" s="298">
        <v>45926</v>
      </c>
      <c r="K808" s="298">
        <v>46679</v>
      </c>
      <c r="L808" s="298">
        <v>45926</v>
      </c>
      <c r="M808" s="298">
        <v>46679</v>
      </c>
      <c r="N808" s="270">
        <v>0.31519999999999998</v>
      </c>
      <c r="O808" s="270">
        <v>0.35</v>
      </c>
      <c r="P808" s="270">
        <v>0.42</v>
      </c>
      <c r="Q808" s="270">
        <v>0.5</v>
      </c>
      <c r="R808" s="370">
        <v>0.55000000000000004</v>
      </c>
      <c r="S808" s="391">
        <v>0.60000000000000009</v>
      </c>
      <c r="T808" s="270">
        <v>0.64000000000000012</v>
      </c>
      <c r="U808" s="270">
        <v>0.69000000000000017</v>
      </c>
      <c r="V808" s="270">
        <v>0.75000000000000022</v>
      </c>
      <c r="W808" s="270">
        <v>0.81000000000000028</v>
      </c>
      <c r="X808" s="270">
        <v>0.87000000000000033</v>
      </c>
      <c r="Y808" s="270">
        <v>0.90000000000000036</v>
      </c>
      <c r="Z808" s="270">
        <v>0.94000000000000039</v>
      </c>
      <c r="AA808" s="270">
        <v>0.97000000000000042</v>
      </c>
      <c r="AB808" s="270">
        <v>1.0000000000000004</v>
      </c>
      <c r="AC808" s="270">
        <v>1.0000000000000004</v>
      </c>
      <c r="AD808" s="392">
        <v>1.0000000000000004</v>
      </c>
      <c r="AE808" s="392">
        <v>1</v>
      </c>
      <c r="AF808" s="392">
        <v>1</v>
      </c>
      <c r="AG808" s="392">
        <v>1</v>
      </c>
      <c r="AH808" s="392">
        <v>1</v>
      </c>
      <c r="AI808" s="392">
        <v>1</v>
      </c>
      <c r="AJ808" s="392">
        <v>1</v>
      </c>
      <c r="AK808" s="392">
        <v>1</v>
      </c>
      <c r="AL808" s="392">
        <v>1</v>
      </c>
      <c r="AM808" s="392">
        <v>1</v>
      </c>
      <c r="AN808" s="392">
        <v>1</v>
      </c>
      <c r="AO808" s="392">
        <v>1</v>
      </c>
      <c r="AP808" s="392">
        <v>1</v>
      </c>
    </row>
    <row r="809" spans="2:42" s="216" customFormat="1" ht="25.5" hidden="1" outlineLevel="3">
      <c r="B809" s="255" t="s">
        <v>907</v>
      </c>
      <c r="C809" s="290" t="s">
        <v>230</v>
      </c>
      <c r="D809" s="227" t="s">
        <v>231</v>
      </c>
      <c r="E809" s="241">
        <v>16171446768</v>
      </c>
      <c r="F809" s="228">
        <f>E809/$E$808</f>
        <v>6.2251019714089834E-2</v>
      </c>
      <c r="G809" s="269">
        <f t="shared" si="1573"/>
        <v>4.8858047398933485E-3</v>
      </c>
      <c r="H809" s="299">
        <v>45934</v>
      </c>
      <c r="I809" s="299">
        <v>46528</v>
      </c>
      <c r="J809" s="299">
        <v>45926</v>
      </c>
      <c r="K809" s="299">
        <v>46628</v>
      </c>
      <c r="L809" s="299">
        <v>45926</v>
      </c>
      <c r="M809" s="299">
        <v>46628</v>
      </c>
      <c r="N809" s="272">
        <v>0.31519999999999998</v>
      </c>
      <c r="O809" s="272">
        <v>0.35</v>
      </c>
      <c r="P809" s="272">
        <v>0.42</v>
      </c>
      <c r="Q809" s="272">
        <v>0.5</v>
      </c>
      <c r="R809" s="372">
        <v>0.55000000000000004</v>
      </c>
      <c r="S809" s="395">
        <v>0.60000000000000009</v>
      </c>
      <c r="T809" s="272">
        <v>0.64000000000000012</v>
      </c>
      <c r="U809" s="272">
        <v>0.69000000000000017</v>
      </c>
      <c r="V809" s="272">
        <v>0.75000000000000022</v>
      </c>
      <c r="W809" s="272">
        <v>0.81000000000000028</v>
      </c>
      <c r="X809" s="272">
        <v>0.87000000000000033</v>
      </c>
      <c r="Y809" s="272">
        <v>0.90000000000000036</v>
      </c>
      <c r="Z809" s="272">
        <v>0.94000000000000039</v>
      </c>
      <c r="AA809" s="272">
        <v>0.97000000000000042</v>
      </c>
      <c r="AB809" s="272">
        <v>1.0000000000000004</v>
      </c>
      <c r="AC809" s="272">
        <v>1.0000000000000004</v>
      </c>
      <c r="AD809" s="396">
        <v>1.0000000000000004</v>
      </c>
      <c r="AE809" s="396">
        <v>1</v>
      </c>
      <c r="AF809" s="396">
        <v>1</v>
      </c>
      <c r="AG809" s="396">
        <v>1</v>
      </c>
      <c r="AH809" s="396">
        <v>1</v>
      </c>
      <c r="AI809" s="396">
        <v>1</v>
      </c>
      <c r="AJ809" s="396">
        <v>1</v>
      </c>
      <c r="AK809" s="396">
        <v>1</v>
      </c>
      <c r="AL809" s="396">
        <v>1</v>
      </c>
      <c r="AM809" s="396">
        <v>1</v>
      </c>
      <c r="AN809" s="396">
        <v>1</v>
      </c>
      <c r="AO809" s="396">
        <v>1</v>
      </c>
      <c r="AP809" s="396">
        <v>1</v>
      </c>
    </row>
    <row r="810" spans="2:42" s="216" customFormat="1" ht="25.5" hidden="1" outlineLevel="3">
      <c r="B810" s="255" t="s">
        <v>908</v>
      </c>
      <c r="C810" s="290" t="s">
        <v>233</v>
      </c>
      <c r="D810" s="227" t="s">
        <v>231</v>
      </c>
      <c r="E810" s="241">
        <v>16171446768</v>
      </c>
      <c r="F810" s="228">
        <f t="shared" ref="F810:F825" si="1586">E810/$E$808</f>
        <v>6.2251019714089834E-2</v>
      </c>
      <c r="G810" s="269">
        <f t="shared" si="1573"/>
        <v>4.8858047398933485E-3</v>
      </c>
      <c r="H810" s="299">
        <v>45934</v>
      </c>
      <c r="I810" s="299">
        <v>46528</v>
      </c>
      <c r="J810" s="299">
        <v>45926</v>
      </c>
      <c r="K810" s="299">
        <v>46628</v>
      </c>
      <c r="L810" s="299">
        <v>45926</v>
      </c>
      <c r="M810" s="299">
        <v>46628</v>
      </c>
      <c r="N810" s="272">
        <v>0.31519999999999998</v>
      </c>
      <c r="O810" s="272">
        <v>0.35</v>
      </c>
      <c r="P810" s="272">
        <v>0.42</v>
      </c>
      <c r="Q810" s="272">
        <v>0.5</v>
      </c>
      <c r="R810" s="372">
        <v>0.55000000000000004</v>
      </c>
      <c r="S810" s="395">
        <v>0.60000000000000009</v>
      </c>
      <c r="T810" s="272">
        <v>0.64000000000000012</v>
      </c>
      <c r="U810" s="272">
        <v>0.69000000000000017</v>
      </c>
      <c r="V810" s="272">
        <v>0.75000000000000022</v>
      </c>
      <c r="W810" s="272">
        <v>0.81000000000000028</v>
      </c>
      <c r="X810" s="272">
        <v>0.87000000000000033</v>
      </c>
      <c r="Y810" s="272">
        <v>0.90000000000000036</v>
      </c>
      <c r="Z810" s="272">
        <v>0.94000000000000039</v>
      </c>
      <c r="AA810" s="272">
        <v>0.97000000000000042</v>
      </c>
      <c r="AB810" s="272">
        <v>1.0000000000000004</v>
      </c>
      <c r="AC810" s="272">
        <v>1.0000000000000004</v>
      </c>
      <c r="AD810" s="396">
        <v>1.0000000000000004</v>
      </c>
      <c r="AE810" s="396">
        <v>1</v>
      </c>
      <c r="AF810" s="396">
        <v>1</v>
      </c>
      <c r="AG810" s="396">
        <v>1</v>
      </c>
      <c r="AH810" s="396">
        <v>1</v>
      </c>
      <c r="AI810" s="396">
        <v>1</v>
      </c>
      <c r="AJ810" s="396">
        <v>1</v>
      </c>
      <c r="AK810" s="396">
        <v>1</v>
      </c>
      <c r="AL810" s="396">
        <v>1</v>
      </c>
      <c r="AM810" s="396">
        <v>1</v>
      </c>
      <c r="AN810" s="396">
        <v>1</v>
      </c>
      <c r="AO810" s="396">
        <v>1</v>
      </c>
      <c r="AP810" s="396">
        <v>1</v>
      </c>
    </row>
    <row r="811" spans="2:42" s="216" customFormat="1" ht="25.5" hidden="1" outlineLevel="3">
      <c r="B811" s="255" t="s">
        <v>909</v>
      </c>
      <c r="C811" s="290" t="s">
        <v>235</v>
      </c>
      <c r="D811" s="227" t="s">
        <v>231</v>
      </c>
      <c r="E811" s="241">
        <v>16171446768</v>
      </c>
      <c r="F811" s="228">
        <f t="shared" si="1586"/>
        <v>6.2251019714089834E-2</v>
      </c>
      <c r="G811" s="269">
        <f t="shared" si="1573"/>
        <v>4.8858047398933485E-3</v>
      </c>
      <c r="H811" s="299">
        <v>45934</v>
      </c>
      <c r="I811" s="299">
        <v>46528</v>
      </c>
      <c r="J811" s="299">
        <v>45926</v>
      </c>
      <c r="K811" s="299">
        <v>46597</v>
      </c>
      <c r="L811" s="299">
        <v>45926</v>
      </c>
      <c r="M811" s="299">
        <v>46597</v>
      </c>
      <c r="N811" s="272">
        <v>0.31519999999999998</v>
      </c>
      <c r="O811" s="272">
        <v>0.35</v>
      </c>
      <c r="P811" s="272">
        <v>0.42</v>
      </c>
      <c r="Q811" s="272">
        <v>0.5</v>
      </c>
      <c r="R811" s="372">
        <v>0.55000000000000004</v>
      </c>
      <c r="S811" s="395">
        <v>0.60000000000000009</v>
      </c>
      <c r="T811" s="272">
        <v>0.64000000000000012</v>
      </c>
      <c r="U811" s="272">
        <v>0.69000000000000017</v>
      </c>
      <c r="V811" s="272">
        <v>0.75000000000000022</v>
      </c>
      <c r="W811" s="272">
        <v>0.81000000000000028</v>
      </c>
      <c r="X811" s="272">
        <v>0.87000000000000033</v>
      </c>
      <c r="Y811" s="272">
        <v>0.90000000000000036</v>
      </c>
      <c r="Z811" s="272">
        <v>0.94000000000000039</v>
      </c>
      <c r="AA811" s="272">
        <v>0.97000000000000042</v>
      </c>
      <c r="AB811" s="272">
        <v>1.0000000000000004</v>
      </c>
      <c r="AC811" s="272">
        <v>1.0000000000000004</v>
      </c>
      <c r="AD811" s="396">
        <v>1.0000000000000004</v>
      </c>
      <c r="AE811" s="396">
        <v>1</v>
      </c>
      <c r="AF811" s="396">
        <v>1</v>
      </c>
      <c r="AG811" s="396">
        <v>1</v>
      </c>
      <c r="AH811" s="396">
        <v>1</v>
      </c>
      <c r="AI811" s="396">
        <v>1</v>
      </c>
      <c r="AJ811" s="396">
        <v>1</v>
      </c>
      <c r="AK811" s="396">
        <v>1</v>
      </c>
      <c r="AL811" s="396">
        <v>1</v>
      </c>
      <c r="AM811" s="396">
        <v>1</v>
      </c>
      <c r="AN811" s="396">
        <v>1</v>
      </c>
      <c r="AO811" s="396">
        <v>1</v>
      </c>
      <c r="AP811" s="396">
        <v>1</v>
      </c>
    </row>
    <row r="812" spans="2:42" s="216" customFormat="1" ht="25.5" hidden="1" outlineLevel="3">
      <c r="B812" s="255" t="s">
        <v>910</v>
      </c>
      <c r="C812" s="290" t="s">
        <v>237</v>
      </c>
      <c r="D812" s="227" t="s">
        <v>231</v>
      </c>
      <c r="E812" s="241">
        <v>16171446768</v>
      </c>
      <c r="F812" s="228">
        <f t="shared" si="1586"/>
        <v>6.2251019714089834E-2</v>
      </c>
      <c r="G812" s="269">
        <f t="shared" si="1573"/>
        <v>4.8858047398933485E-3</v>
      </c>
      <c r="H812" s="299">
        <v>45934</v>
      </c>
      <c r="I812" s="299">
        <v>46528</v>
      </c>
      <c r="J812" s="299">
        <v>46084</v>
      </c>
      <c r="K812" s="299">
        <v>46679</v>
      </c>
      <c r="L812" s="299">
        <v>46084</v>
      </c>
      <c r="M812" s="299">
        <v>46679</v>
      </c>
      <c r="N812" s="272">
        <v>0.31519999999999998</v>
      </c>
      <c r="O812" s="272">
        <v>0.35</v>
      </c>
      <c r="P812" s="272">
        <v>0.42</v>
      </c>
      <c r="Q812" s="272">
        <v>0.5</v>
      </c>
      <c r="R812" s="372">
        <v>0.55000000000000004</v>
      </c>
      <c r="S812" s="395">
        <v>0.60000000000000009</v>
      </c>
      <c r="T812" s="272">
        <v>0.64000000000000012</v>
      </c>
      <c r="U812" s="272">
        <v>0.69000000000000017</v>
      </c>
      <c r="V812" s="272">
        <v>0.75000000000000022</v>
      </c>
      <c r="W812" s="272">
        <v>0.81000000000000028</v>
      </c>
      <c r="X812" s="272">
        <v>0.87000000000000033</v>
      </c>
      <c r="Y812" s="272">
        <v>0.90000000000000036</v>
      </c>
      <c r="Z812" s="272">
        <v>0.94000000000000039</v>
      </c>
      <c r="AA812" s="272">
        <v>0.97000000000000042</v>
      </c>
      <c r="AB812" s="272">
        <v>1.0000000000000004</v>
      </c>
      <c r="AC812" s="272">
        <v>1.0000000000000004</v>
      </c>
      <c r="AD812" s="396">
        <v>1.0000000000000004</v>
      </c>
      <c r="AE812" s="396">
        <v>1</v>
      </c>
      <c r="AF812" s="396">
        <v>1</v>
      </c>
      <c r="AG812" s="396">
        <v>1</v>
      </c>
      <c r="AH812" s="396">
        <v>1</v>
      </c>
      <c r="AI812" s="396">
        <v>1</v>
      </c>
      <c r="AJ812" s="396">
        <v>1</v>
      </c>
      <c r="AK812" s="396">
        <v>1</v>
      </c>
      <c r="AL812" s="396">
        <v>1</v>
      </c>
      <c r="AM812" s="396">
        <v>1</v>
      </c>
      <c r="AN812" s="396">
        <v>1</v>
      </c>
      <c r="AO812" s="396">
        <v>1</v>
      </c>
      <c r="AP812" s="396">
        <v>1</v>
      </c>
    </row>
    <row r="813" spans="2:42" s="216" customFormat="1" ht="25.5" hidden="1" outlineLevel="3">
      <c r="B813" s="255" t="s">
        <v>911</v>
      </c>
      <c r="C813" s="290" t="s">
        <v>239</v>
      </c>
      <c r="D813" s="227" t="s">
        <v>231</v>
      </c>
      <c r="E813" s="241">
        <v>16171446768</v>
      </c>
      <c r="F813" s="228">
        <f t="shared" si="1586"/>
        <v>6.2251019714089834E-2</v>
      </c>
      <c r="G813" s="269">
        <f t="shared" si="1573"/>
        <v>4.8858047398933485E-3</v>
      </c>
      <c r="H813" s="299">
        <v>45934</v>
      </c>
      <c r="I813" s="299">
        <v>46528</v>
      </c>
      <c r="J813" s="299">
        <v>46084</v>
      </c>
      <c r="K813" s="299">
        <v>46679</v>
      </c>
      <c r="L813" s="299">
        <v>46084</v>
      </c>
      <c r="M813" s="299">
        <v>46679</v>
      </c>
      <c r="N813" s="272">
        <v>0.31519999999999998</v>
      </c>
      <c r="O813" s="272">
        <v>0.35</v>
      </c>
      <c r="P813" s="272">
        <v>0.42</v>
      </c>
      <c r="Q813" s="272">
        <v>0.5</v>
      </c>
      <c r="R813" s="372">
        <v>0.55000000000000004</v>
      </c>
      <c r="S813" s="395">
        <v>0.60000000000000009</v>
      </c>
      <c r="T813" s="272">
        <v>0.64000000000000012</v>
      </c>
      <c r="U813" s="272">
        <v>0.69000000000000017</v>
      </c>
      <c r="V813" s="272">
        <v>0.75000000000000022</v>
      </c>
      <c r="W813" s="272">
        <v>0.81000000000000028</v>
      </c>
      <c r="X813" s="272">
        <v>0.87000000000000033</v>
      </c>
      <c r="Y813" s="272">
        <v>0.90000000000000036</v>
      </c>
      <c r="Z813" s="272">
        <v>0.94000000000000039</v>
      </c>
      <c r="AA813" s="272">
        <v>0.97000000000000042</v>
      </c>
      <c r="AB813" s="272">
        <v>1.0000000000000004</v>
      </c>
      <c r="AC813" s="272">
        <v>1.0000000000000004</v>
      </c>
      <c r="AD813" s="396">
        <v>1.0000000000000004</v>
      </c>
      <c r="AE813" s="396">
        <v>1</v>
      </c>
      <c r="AF813" s="396">
        <v>1</v>
      </c>
      <c r="AG813" s="396">
        <v>1</v>
      </c>
      <c r="AH813" s="396">
        <v>1</v>
      </c>
      <c r="AI813" s="396">
        <v>1</v>
      </c>
      <c r="AJ813" s="396">
        <v>1</v>
      </c>
      <c r="AK813" s="396">
        <v>1</v>
      </c>
      <c r="AL813" s="396">
        <v>1</v>
      </c>
      <c r="AM813" s="396">
        <v>1</v>
      </c>
      <c r="AN813" s="396">
        <v>1</v>
      </c>
      <c r="AO813" s="396">
        <v>1</v>
      </c>
      <c r="AP813" s="396">
        <v>1</v>
      </c>
    </row>
    <row r="814" spans="2:42" s="216" customFormat="1" ht="25.5" hidden="1" outlineLevel="3">
      <c r="B814" s="255" t="s">
        <v>912</v>
      </c>
      <c r="C814" s="290" t="s">
        <v>241</v>
      </c>
      <c r="D814" s="227" t="s">
        <v>231</v>
      </c>
      <c r="E814" s="241">
        <v>16171446768</v>
      </c>
      <c r="F814" s="228">
        <f t="shared" si="1586"/>
        <v>6.2251019714089834E-2</v>
      </c>
      <c r="G814" s="269">
        <f t="shared" si="1573"/>
        <v>4.8858047398933485E-3</v>
      </c>
      <c r="H814" s="299">
        <v>45934</v>
      </c>
      <c r="I814" s="299">
        <v>46528</v>
      </c>
      <c r="J814" s="299">
        <v>46084</v>
      </c>
      <c r="K814" s="299">
        <v>46679</v>
      </c>
      <c r="L814" s="299">
        <v>46084</v>
      </c>
      <c r="M814" s="299">
        <v>46679</v>
      </c>
      <c r="N814" s="272">
        <v>0.31519999999999998</v>
      </c>
      <c r="O814" s="272">
        <v>0.35</v>
      </c>
      <c r="P814" s="272">
        <v>0.42</v>
      </c>
      <c r="Q814" s="272">
        <v>0.5</v>
      </c>
      <c r="R814" s="372">
        <v>0.55000000000000004</v>
      </c>
      <c r="S814" s="395">
        <v>0.60000000000000009</v>
      </c>
      <c r="T814" s="272">
        <v>0.64000000000000012</v>
      </c>
      <c r="U814" s="272">
        <v>0.69000000000000017</v>
      </c>
      <c r="V814" s="272">
        <v>0.75000000000000022</v>
      </c>
      <c r="W814" s="272">
        <v>0.81000000000000028</v>
      </c>
      <c r="X814" s="272">
        <v>0.87000000000000033</v>
      </c>
      <c r="Y814" s="272">
        <v>0.90000000000000036</v>
      </c>
      <c r="Z814" s="272">
        <v>0.94000000000000039</v>
      </c>
      <c r="AA814" s="272">
        <v>0.97000000000000042</v>
      </c>
      <c r="AB814" s="272">
        <v>1.0000000000000004</v>
      </c>
      <c r="AC814" s="272">
        <v>1.0000000000000004</v>
      </c>
      <c r="AD814" s="396">
        <v>1.0000000000000004</v>
      </c>
      <c r="AE814" s="396">
        <v>1</v>
      </c>
      <c r="AF814" s="396">
        <v>1</v>
      </c>
      <c r="AG814" s="396">
        <v>1</v>
      </c>
      <c r="AH814" s="396">
        <v>1</v>
      </c>
      <c r="AI814" s="396">
        <v>1</v>
      </c>
      <c r="AJ814" s="396">
        <v>1</v>
      </c>
      <c r="AK814" s="396">
        <v>1</v>
      </c>
      <c r="AL814" s="396">
        <v>1</v>
      </c>
      <c r="AM814" s="396">
        <v>1</v>
      </c>
      <c r="AN814" s="396">
        <v>1</v>
      </c>
      <c r="AO814" s="396">
        <v>1</v>
      </c>
      <c r="AP814" s="396">
        <v>1</v>
      </c>
    </row>
    <row r="815" spans="2:42" s="216" customFormat="1" ht="25.5" hidden="1" outlineLevel="3">
      <c r="B815" s="255" t="s">
        <v>913</v>
      </c>
      <c r="C815" s="290" t="s">
        <v>243</v>
      </c>
      <c r="D815" s="227" t="s">
        <v>231</v>
      </c>
      <c r="E815" s="241">
        <v>16171446768</v>
      </c>
      <c r="F815" s="228">
        <f t="shared" si="1586"/>
        <v>6.2251019714089834E-2</v>
      </c>
      <c r="G815" s="269">
        <f t="shared" si="1573"/>
        <v>4.8858047398933485E-3</v>
      </c>
      <c r="H815" s="299">
        <v>45934</v>
      </c>
      <c r="I815" s="299">
        <v>46528</v>
      </c>
      <c r="J815" s="299">
        <v>45926</v>
      </c>
      <c r="K815" s="299">
        <v>46597</v>
      </c>
      <c r="L815" s="299">
        <v>45926</v>
      </c>
      <c r="M815" s="299">
        <v>46597</v>
      </c>
      <c r="N815" s="272">
        <v>0.31519999999999998</v>
      </c>
      <c r="O815" s="272">
        <v>0.35</v>
      </c>
      <c r="P815" s="272">
        <v>0.42</v>
      </c>
      <c r="Q815" s="272">
        <v>0.5</v>
      </c>
      <c r="R815" s="372">
        <v>0.55000000000000004</v>
      </c>
      <c r="S815" s="395">
        <v>0.60000000000000009</v>
      </c>
      <c r="T815" s="272">
        <v>0.64000000000000012</v>
      </c>
      <c r="U815" s="272">
        <v>0.69000000000000017</v>
      </c>
      <c r="V815" s="272">
        <v>0.75000000000000022</v>
      </c>
      <c r="W815" s="272">
        <v>0.81000000000000028</v>
      </c>
      <c r="X815" s="272">
        <v>0.87000000000000033</v>
      </c>
      <c r="Y815" s="272">
        <v>0.90000000000000036</v>
      </c>
      <c r="Z815" s="272">
        <v>0.94000000000000039</v>
      </c>
      <c r="AA815" s="272">
        <v>0.97000000000000042</v>
      </c>
      <c r="AB815" s="272">
        <v>1.0000000000000004</v>
      </c>
      <c r="AC815" s="272">
        <v>1.0000000000000004</v>
      </c>
      <c r="AD815" s="396">
        <v>1.0000000000000004</v>
      </c>
      <c r="AE815" s="396">
        <v>1</v>
      </c>
      <c r="AF815" s="396">
        <v>1</v>
      </c>
      <c r="AG815" s="396">
        <v>1</v>
      </c>
      <c r="AH815" s="396">
        <v>1</v>
      </c>
      <c r="AI815" s="396">
        <v>1</v>
      </c>
      <c r="AJ815" s="396">
        <v>1</v>
      </c>
      <c r="AK815" s="396">
        <v>1</v>
      </c>
      <c r="AL815" s="396">
        <v>1</v>
      </c>
      <c r="AM815" s="396">
        <v>1</v>
      </c>
      <c r="AN815" s="396">
        <v>1</v>
      </c>
      <c r="AO815" s="396">
        <v>1</v>
      </c>
      <c r="AP815" s="396">
        <v>1</v>
      </c>
    </row>
    <row r="816" spans="2:42" s="216" customFormat="1" ht="25.5" hidden="1" outlineLevel="3">
      <c r="B816" s="255" t="s">
        <v>914</v>
      </c>
      <c r="C816" s="290" t="s">
        <v>245</v>
      </c>
      <c r="D816" s="227" t="s">
        <v>231</v>
      </c>
      <c r="E816" s="241">
        <v>16171446768</v>
      </c>
      <c r="F816" s="228">
        <f t="shared" si="1586"/>
        <v>6.2251019714089834E-2</v>
      </c>
      <c r="G816" s="269">
        <f t="shared" si="1573"/>
        <v>4.8858047398933485E-3</v>
      </c>
      <c r="H816" s="299">
        <v>45934</v>
      </c>
      <c r="I816" s="299">
        <v>46528</v>
      </c>
      <c r="J816" s="299">
        <v>45926</v>
      </c>
      <c r="K816" s="299">
        <v>46597</v>
      </c>
      <c r="L816" s="299">
        <v>45926</v>
      </c>
      <c r="M816" s="299">
        <v>46597</v>
      </c>
      <c r="N816" s="272">
        <v>0.31519999999999998</v>
      </c>
      <c r="O816" s="272">
        <v>0.35</v>
      </c>
      <c r="P816" s="272">
        <v>0.42</v>
      </c>
      <c r="Q816" s="272">
        <v>0.5</v>
      </c>
      <c r="R816" s="372">
        <v>0.55000000000000004</v>
      </c>
      <c r="S816" s="395">
        <v>0.60000000000000009</v>
      </c>
      <c r="T816" s="272">
        <v>0.64000000000000012</v>
      </c>
      <c r="U816" s="272">
        <v>0.69000000000000017</v>
      </c>
      <c r="V816" s="272">
        <v>0.75000000000000022</v>
      </c>
      <c r="W816" s="272">
        <v>0.81000000000000028</v>
      </c>
      <c r="X816" s="272">
        <v>0.87000000000000033</v>
      </c>
      <c r="Y816" s="272">
        <v>0.90000000000000036</v>
      </c>
      <c r="Z816" s="272">
        <v>0.94000000000000039</v>
      </c>
      <c r="AA816" s="272">
        <v>0.97000000000000042</v>
      </c>
      <c r="AB816" s="272">
        <v>1.0000000000000004</v>
      </c>
      <c r="AC816" s="272">
        <v>1.0000000000000004</v>
      </c>
      <c r="AD816" s="396">
        <v>1.0000000000000004</v>
      </c>
      <c r="AE816" s="396">
        <v>1</v>
      </c>
      <c r="AF816" s="396">
        <v>1</v>
      </c>
      <c r="AG816" s="396">
        <v>1</v>
      </c>
      <c r="AH816" s="396">
        <v>1</v>
      </c>
      <c r="AI816" s="396">
        <v>1</v>
      </c>
      <c r="AJ816" s="396">
        <v>1</v>
      </c>
      <c r="AK816" s="396">
        <v>1</v>
      </c>
      <c r="AL816" s="396">
        <v>1</v>
      </c>
      <c r="AM816" s="396">
        <v>1</v>
      </c>
      <c r="AN816" s="396">
        <v>1</v>
      </c>
      <c r="AO816" s="396">
        <v>1</v>
      </c>
      <c r="AP816" s="396">
        <v>1</v>
      </c>
    </row>
    <row r="817" spans="2:42" s="216" customFormat="1" ht="25.5" hidden="1" outlineLevel="3">
      <c r="B817" s="255" t="s">
        <v>915</v>
      </c>
      <c r="C817" s="290" t="s">
        <v>247</v>
      </c>
      <c r="D817" s="227" t="s">
        <v>231</v>
      </c>
      <c r="E817" s="241">
        <v>16171446768</v>
      </c>
      <c r="F817" s="228">
        <f t="shared" si="1586"/>
        <v>6.2251019714089834E-2</v>
      </c>
      <c r="G817" s="269">
        <f t="shared" si="1573"/>
        <v>4.8858047398933485E-3</v>
      </c>
      <c r="H817" s="299">
        <v>45934</v>
      </c>
      <c r="I817" s="299">
        <v>46528</v>
      </c>
      <c r="J817" s="299">
        <v>46084</v>
      </c>
      <c r="K817" s="299">
        <v>46679</v>
      </c>
      <c r="L817" s="299">
        <v>46084</v>
      </c>
      <c r="M817" s="299">
        <v>46679</v>
      </c>
      <c r="N817" s="272">
        <v>0.31519999999999998</v>
      </c>
      <c r="O817" s="272">
        <v>0.35</v>
      </c>
      <c r="P817" s="272">
        <v>0.42</v>
      </c>
      <c r="Q817" s="272">
        <v>0.5</v>
      </c>
      <c r="R817" s="372">
        <v>0.55000000000000004</v>
      </c>
      <c r="S817" s="395">
        <v>0.60000000000000009</v>
      </c>
      <c r="T817" s="272">
        <v>0.64000000000000012</v>
      </c>
      <c r="U817" s="272">
        <v>0.69000000000000017</v>
      </c>
      <c r="V817" s="272">
        <v>0.75000000000000022</v>
      </c>
      <c r="W817" s="272">
        <v>0.81000000000000028</v>
      </c>
      <c r="X817" s="272">
        <v>0.87000000000000033</v>
      </c>
      <c r="Y817" s="272">
        <v>0.90000000000000036</v>
      </c>
      <c r="Z817" s="272">
        <v>0.94000000000000039</v>
      </c>
      <c r="AA817" s="272">
        <v>0.97000000000000042</v>
      </c>
      <c r="AB817" s="272">
        <v>1.0000000000000004</v>
      </c>
      <c r="AC817" s="272">
        <v>1.0000000000000004</v>
      </c>
      <c r="AD817" s="396">
        <v>1.0000000000000004</v>
      </c>
      <c r="AE817" s="396">
        <v>1</v>
      </c>
      <c r="AF817" s="396">
        <v>1</v>
      </c>
      <c r="AG817" s="396">
        <v>1</v>
      </c>
      <c r="AH817" s="396">
        <v>1</v>
      </c>
      <c r="AI817" s="396">
        <v>1</v>
      </c>
      <c r="AJ817" s="396">
        <v>1</v>
      </c>
      <c r="AK817" s="396">
        <v>1</v>
      </c>
      <c r="AL817" s="396">
        <v>1</v>
      </c>
      <c r="AM817" s="396">
        <v>1</v>
      </c>
      <c r="AN817" s="396">
        <v>1</v>
      </c>
      <c r="AO817" s="396">
        <v>1</v>
      </c>
      <c r="AP817" s="396">
        <v>1</v>
      </c>
    </row>
    <row r="818" spans="2:42" s="216" customFormat="1" ht="25.5" hidden="1" outlineLevel="3">
      <c r="B818" s="255" t="s">
        <v>916</v>
      </c>
      <c r="C818" s="290" t="s">
        <v>249</v>
      </c>
      <c r="D818" s="227" t="s">
        <v>231</v>
      </c>
      <c r="E818" s="241">
        <v>16171446768</v>
      </c>
      <c r="F818" s="228">
        <f t="shared" si="1586"/>
        <v>6.2251019714089834E-2</v>
      </c>
      <c r="G818" s="269">
        <f t="shared" si="1573"/>
        <v>4.8858047398933485E-3</v>
      </c>
      <c r="H818" s="299">
        <v>45934</v>
      </c>
      <c r="I818" s="299">
        <v>46552</v>
      </c>
      <c r="J818" s="299">
        <v>45926</v>
      </c>
      <c r="K818" s="299">
        <v>46628</v>
      </c>
      <c r="L818" s="299">
        <v>45926</v>
      </c>
      <c r="M818" s="299">
        <v>46628</v>
      </c>
      <c r="N818" s="272">
        <v>0.31519999999999998</v>
      </c>
      <c r="O818" s="272">
        <v>0.35</v>
      </c>
      <c r="P818" s="272">
        <v>0.42</v>
      </c>
      <c r="Q818" s="272">
        <v>0.5</v>
      </c>
      <c r="R818" s="372">
        <v>0.55000000000000004</v>
      </c>
      <c r="S818" s="395">
        <v>0.60000000000000009</v>
      </c>
      <c r="T818" s="272">
        <v>0.64000000000000012</v>
      </c>
      <c r="U818" s="272">
        <v>0.69000000000000017</v>
      </c>
      <c r="V818" s="272">
        <v>0.75000000000000022</v>
      </c>
      <c r="W818" s="272">
        <v>0.81000000000000028</v>
      </c>
      <c r="X818" s="272">
        <v>0.87000000000000033</v>
      </c>
      <c r="Y818" s="272">
        <v>0.90000000000000036</v>
      </c>
      <c r="Z818" s="272">
        <v>0.94000000000000039</v>
      </c>
      <c r="AA818" s="272">
        <v>0.97000000000000042</v>
      </c>
      <c r="AB818" s="272">
        <v>1.0000000000000004</v>
      </c>
      <c r="AC818" s="272">
        <v>1.0000000000000004</v>
      </c>
      <c r="AD818" s="396">
        <v>1.0000000000000004</v>
      </c>
      <c r="AE818" s="396">
        <v>1</v>
      </c>
      <c r="AF818" s="396">
        <v>1</v>
      </c>
      <c r="AG818" s="396">
        <v>1</v>
      </c>
      <c r="AH818" s="396">
        <v>1</v>
      </c>
      <c r="AI818" s="396">
        <v>1</v>
      </c>
      <c r="AJ818" s="396">
        <v>1</v>
      </c>
      <c r="AK818" s="396">
        <v>1</v>
      </c>
      <c r="AL818" s="396">
        <v>1</v>
      </c>
      <c r="AM818" s="396">
        <v>1</v>
      </c>
      <c r="AN818" s="396">
        <v>1</v>
      </c>
      <c r="AO818" s="396">
        <v>1</v>
      </c>
      <c r="AP818" s="396">
        <v>1</v>
      </c>
    </row>
    <row r="819" spans="2:42" s="216" customFormat="1" ht="25.5" hidden="1" outlineLevel="3">
      <c r="B819" s="255" t="s">
        <v>917</v>
      </c>
      <c r="C819" s="290" t="s">
        <v>251</v>
      </c>
      <c r="D819" s="227" t="s">
        <v>231</v>
      </c>
      <c r="E819" s="241">
        <v>16171446768</v>
      </c>
      <c r="F819" s="228">
        <f t="shared" si="1586"/>
        <v>6.2251019714089834E-2</v>
      </c>
      <c r="G819" s="269">
        <f t="shared" si="1573"/>
        <v>4.8858047398933485E-3</v>
      </c>
      <c r="H819" s="299">
        <v>45934</v>
      </c>
      <c r="I819" s="299">
        <v>46528</v>
      </c>
      <c r="J819" s="299">
        <v>45926</v>
      </c>
      <c r="K819" s="299">
        <v>46628</v>
      </c>
      <c r="L819" s="299">
        <v>45926</v>
      </c>
      <c r="M819" s="299">
        <v>46628</v>
      </c>
      <c r="N819" s="272">
        <v>0.31519999999999998</v>
      </c>
      <c r="O819" s="272">
        <v>0.35</v>
      </c>
      <c r="P819" s="272">
        <v>0.42</v>
      </c>
      <c r="Q819" s="272">
        <v>0.5</v>
      </c>
      <c r="R819" s="372">
        <v>0.55000000000000004</v>
      </c>
      <c r="S819" s="395">
        <v>0.60000000000000009</v>
      </c>
      <c r="T819" s="272">
        <v>0.64000000000000012</v>
      </c>
      <c r="U819" s="272">
        <v>0.69000000000000017</v>
      </c>
      <c r="V819" s="272">
        <v>0.75000000000000022</v>
      </c>
      <c r="W819" s="272">
        <v>0.81000000000000028</v>
      </c>
      <c r="X819" s="272">
        <v>0.87000000000000033</v>
      </c>
      <c r="Y819" s="272">
        <v>0.90000000000000036</v>
      </c>
      <c r="Z819" s="272">
        <v>0.94000000000000039</v>
      </c>
      <c r="AA819" s="272">
        <v>0.97000000000000042</v>
      </c>
      <c r="AB819" s="272">
        <v>1.0000000000000004</v>
      </c>
      <c r="AC819" s="272">
        <v>1.0000000000000004</v>
      </c>
      <c r="AD819" s="396">
        <v>1.0000000000000004</v>
      </c>
      <c r="AE819" s="396">
        <v>1</v>
      </c>
      <c r="AF819" s="396">
        <v>1</v>
      </c>
      <c r="AG819" s="396">
        <v>1</v>
      </c>
      <c r="AH819" s="396">
        <v>1</v>
      </c>
      <c r="AI819" s="396">
        <v>1</v>
      </c>
      <c r="AJ819" s="396">
        <v>1</v>
      </c>
      <c r="AK819" s="396">
        <v>1</v>
      </c>
      <c r="AL819" s="396">
        <v>1</v>
      </c>
      <c r="AM819" s="396">
        <v>1</v>
      </c>
      <c r="AN819" s="396">
        <v>1</v>
      </c>
      <c r="AO819" s="396">
        <v>1</v>
      </c>
      <c r="AP819" s="396">
        <v>1</v>
      </c>
    </row>
    <row r="820" spans="2:42" s="216" customFormat="1" ht="25.5" hidden="1" outlineLevel="3">
      <c r="B820" s="255" t="s">
        <v>918</v>
      </c>
      <c r="C820" s="290" t="s">
        <v>253</v>
      </c>
      <c r="D820" s="227" t="s">
        <v>231</v>
      </c>
      <c r="E820" s="241">
        <v>16171446768</v>
      </c>
      <c r="F820" s="228">
        <f t="shared" si="1586"/>
        <v>6.2251019714089834E-2</v>
      </c>
      <c r="G820" s="269">
        <f t="shared" si="1573"/>
        <v>4.8858047398933485E-3</v>
      </c>
      <c r="H820" s="299">
        <v>45934</v>
      </c>
      <c r="I820" s="299">
        <v>46528</v>
      </c>
      <c r="J820" s="299">
        <v>45926</v>
      </c>
      <c r="K820" s="299">
        <v>46628</v>
      </c>
      <c r="L820" s="299">
        <v>45926</v>
      </c>
      <c r="M820" s="299">
        <v>46628</v>
      </c>
      <c r="N820" s="272">
        <v>0.31519999999999998</v>
      </c>
      <c r="O820" s="272">
        <v>0.35</v>
      </c>
      <c r="P820" s="272">
        <v>0.42</v>
      </c>
      <c r="Q820" s="272">
        <v>0.5</v>
      </c>
      <c r="R820" s="372">
        <v>0.55000000000000004</v>
      </c>
      <c r="S820" s="395">
        <v>0.60000000000000009</v>
      </c>
      <c r="T820" s="272">
        <v>0.64000000000000012</v>
      </c>
      <c r="U820" s="272">
        <v>0.69000000000000017</v>
      </c>
      <c r="V820" s="272">
        <v>0.75000000000000022</v>
      </c>
      <c r="W820" s="272">
        <v>0.81000000000000028</v>
      </c>
      <c r="X820" s="272">
        <v>0.87000000000000033</v>
      </c>
      <c r="Y820" s="272">
        <v>0.90000000000000036</v>
      </c>
      <c r="Z820" s="272">
        <v>0.94000000000000039</v>
      </c>
      <c r="AA820" s="272">
        <v>0.97000000000000042</v>
      </c>
      <c r="AB820" s="272">
        <v>1.0000000000000004</v>
      </c>
      <c r="AC820" s="272">
        <v>1.0000000000000004</v>
      </c>
      <c r="AD820" s="396">
        <v>1.0000000000000004</v>
      </c>
      <c r="AE820" s="396">
        <v>1</v>
      </c>
      <c r="AF820" s="396">
        <v>1</v>
      </c>
      <c r="AG820" s="396">
        <v>1</v>
      </c>
      <c r="AH820" s="396">
        <v>1</v>
      </c>
      <c r="AI820" s="396">
        <v>1</v>
      </c>
      <c r="AJ820" s="396">
        <v>1</v>
      </c>
      <c r="AK820" s="396">
        <v>1</v>
      </c>
      <c r="AL820" s="396">
        <v>1</v>
      </c>
      <c r="AM820" s="396">
        <v>1</v>
      </c>
      <c r="AN820" s="396">
        <v>1</v>
      </c>
      <c r="AO820" s="396">
        <v>1</v>
      </c>
      <c r="AP820" s="396">
        <v>1</v>
      </c>
    </row>
    <row r="821" spans="2:42" s="216" customFormat="1" ht="25.5" hidden="1" outlineLevel="3">
      <c r="B821" s="255" t="s">
        <v>919</v>
      </c>
      <c r="C821" s="290" t="s">
        <v>285</v>
      </c>
      <c r="D821" s="227" t="s">
        <v>231</v>
      </c>
      <c r="E821" s="241">
        <v>16171446768</v>
      </c>
      <c r="F821" s="228">
        <f t="shared" si="1586"/>
        <v>6.2251019714089834E-2</v>
      </c>
      <c r="G821" s="269">
        <f t="shared" si="1573"/>
        <v>4.8858047398933485E-3</v>
      </c>
      <c r="H821" s="299">
        <v>45934</v>
      </c>
      <c r="I821" s="299">
        <v>46552</v>
      </c>
      <c r="J821" s="299">
        <v>45926</v>
      </c>
      <c r="K821" s="299">
        <v>46628</v>
      </c>
      <c r="L821" s="299">
        <v>45926</v>
      </c>
      <c r="M821" s="299">
        <v>46628</v>
      </c>
      <c r="N821" s="272">
        <v>0.31519999999999998</v>
      </c>
      <c r="O821" s="272">
        <v>0.35</v>
      </c>
      <c r="P821" s="272">
        <v>0.42</v>
      </c>
      <c r="Q821" s="272">
        <v>0.5</v>
      </c>
      <c r="R821" s="372">
        <v>0.55000000000000004</v>
      </c>
      <c r="S821" s="395">
        <v>0.60000000000000009</v>
      </c>
      <c r="T821" s="272">
        <v>0.64000000000000012</v>
      </c>
      <c r="U821" s="272">
        <v>0.69000000000000017</v>
      </c>
      <c r="V821" s="272">
        <v>0.75000000000000022</v>
      </c>
      <c r="W821" s="272">
        <v>0.81000000000000028</v>
      </c>
      <c r="X821" s="272">
        <v>0.87000000000000033</v>
      </c>
      <c r="Y821" s="272">
        <v>0.90000000000000036</v>
      </c>
      <c r="Z821" s="272">
        <v>0.94000000000000039</v>
      </c>
      <c r="AA821" s="272">
        <v>0.97000000000000042</v>
      </c>
      <c r="AB821" s="272">
        <v>1.0000000000000004</v>
      </c>
      <c r="AC821" s="272">
        <v>1.0000000000000004</v>
      </c>
      <c r="AD821" s="396">
        <v>1.0000000000000004</v>
      </c>
      <c r="AE821" s="396">
        <v>1</v>
      </c>
      <c r="AF821" s="396">
        <v>1</v>
      </c>
      <c r="AG821" s="396">
        <v>1</v>
      </c>
      <c r="AH821" s="396">
        <v>1</v>
      </c>
      <c r="AI821" s="396">
        <v>1</v>
      </c>
      <c r="AJ821" s="396">
        <v>1</v>
      </c>
      <c r="AK821" s="396">
        <v>1</v>
      </c>
      <c r="AL821" s="396">
        <v>1</v>
      </c>
      <c r="AM821" s="396">
        <v>1</v>
      </c>
      <c r="AN821" s="396">
        <v>1</v>
      </c>
      <c r="AO821" s="396">
        <v>1</v>
      </c>
      <c r="AP821" s="396">
        <v>1</v>
      </c>
    </row>
    <row r="822" spans="2:42" s="216" customFormat="1" ht="25.5" hidden="1" outlineLevel="3">
      <c r="B822" s="255" t="s">
        <v>920</v>
      </c>
      <c r="C822" s="290" t="s">
        <v>287</v>
      </c>
      <c r="D822" s="227" t="s">
        <v>231</v>
      </c>
      <c r="E822" s="241">
        <v>16171446768</v>
      </c>
      <c r="F822" s="228">
        <f t="shared" si="1586"/>
        <v>6.2251019714089834E-2</v>
      </c>
      <c r="G822" s="269">
        <f t="shared" si="1573"/>
        <v>4.8858047398933485E-3</v>
      </c>
      <c r="H822" s="299">
        <v>45934</v>
      </c>
      <c r="I822" s="299">
        <v>46552</v>
      </c>
      <c r="J822" s="299">
        <v>45926</v>
      </c>
      <c r="K822" s="299">
        <v>46628</v>
      </c>
      <c r="L822" s="299">
        <v>45926</v>
      </c>
      <c r="M822" s="299">
        <v>46628</v>
      </c>
      <c r="N822" s="272">
        <v>0.31519999999999998</v>
      </c>
      <c r="O822" s="272">
        <v>0.35</v>
      </c>
      <c r="P822" s="272">
        <v>0.42</v>
      </c>
      <c r="Q822" s="272">
        <v>0.5</v>
      </c>
      <c r="R822" s="372">
        <v>0.55000000000000004</v>
      </c>
      <c r="S822" s="395">
        <v>0.60000000000000009</v>
      </c>
      <c r="T822" s="272">
        <v>0.64000000000000012</v>
      </c>
      <c r="U822" s="272">
        <v>0.69000000000000017</v>
      </c>
      <c r="V822" s="272">
        <v>0.75000000000000022</v>
      </c>
      <c r="W822" s="272">
        <v>0.81000000000000028</v>
      </c>
      <c r="X822" s="272">
        <v>0.87000000000000033</v>
      </c>
      <c r="Y822" s="272">
        <v>0.90000000000000036</v>
      </c>
      <c r="Z822" s="272">
        <v>0.94000000000000039</v>
      </c>
      <c r="AA822" s="272">
        <v>0.97000000000000042</v>
      </c>
      <c r="AB822" s="272">
        <v>1.0000000000000004</v>
      </c>
      <c r="AC822" s="272">
        <v>1.0000000000000004</v>
      </c>
      <c r="AD822" s="396">
        <v>1.0000000000000004</v>
      </c>
      <c r="AE822" s="396">
        <v>1</v>
      </c>
      <c r="AF822" s="396">
        <v>1</v>
      </c>
      <c r="AG822" s="396">
        <v>1</v>
      </c>
      <c r="AH822" s="396">
        <v>1</v>
      </c>
      <c r="AI822" s="396">
        <v>1</v>
      </c>
      <c r="AJ822" s="396">
        <v>1</v>
      </c>
      <c r="AK822" s="396">
        <v>1</v>
      </c>
      <c r="AL822" s="396">
        <v>1</v>
      </c>
      <c r="AM822" s="396">
        <v>1</v>
      </c>
      <c r="AN822" s="396">
        <v>1</v>
      </c>
      <c r="AO822" s="396">
        <v>1</v>
      </c>
      <c r="AP822" s="396">
        <v>1</v>
      </c>
    </row>
    <row r="823" spans="2:42" s="216" customFormat="1" ht="25.5" hidden="1" outlineLevel="3">
      <c r="B823" s="255" t="s">
        <v>921</v>
      </c>
      <c r="C823" s="290" t="s">
        <v>289</v>
      </c>
      <c r="D823" s="227" t="s">
        <v>231</v>
      </c>
      <c r="E823" s="241">
        <v>16171446768</v>
      </c>
      <c r="F823" s="228">
        <f t="shared" si="1586"/>
        <v>6.2251019714089834E-2</v>
      </c>
      <c r="G823" s="269">
        <f t="shared" si="1573"/>
        <v>4.8858047398933485E-3</v>
      </c>
      <c r="H823" s="299">
        <v>45934</v>
      </c>
      <c r="I823" s="299">
        <v>46528</v>
      </c>
      <c r="J823" s="299">
        <v>46084</v>
      </c>
      <c r="K823" s="299">
        <v>46679</v>
      </c>
      <c r="L823" s="299">
        <v>46084</v>
      </c>
      <c r="M823" s="299">
        <v>46679</v>
      </c>
      <c r="N823" s="272">
        <v>0.31519999999999998</v>
      </c>
      <c r="O823" s="272">
        <v>0.35</v>
      </c>
      <c r="P823" s="272">
        <v>0.42</v>
      </c>
      <c r="Q823" s="272">
        <v>0.5</v>
      </c>
      <c r="R823" s="372">
        <v>0.55000000000000004</v>
      </c>
      <c r="S823" s="395">
        <v>0.60000000000000009</v>
      </c>
      <c r="T823" s="272">
        <v>0.64000000000000012</v>
      </c>
      <c r="U823" s="272">
        <v>0.69000000000000017</v>
      </c>
      <c r="V823" s="272">
        <v>0.75000000000000022</v>
      </c>
      <c r="W823" s="272">
        <v>0.81000000000000028</v>
      </c>
      <c r="X823" s="272">
        <v>0.87000000000000033</v>
      </c>
      <c r="Y823" s="272">
        <v>0.90000000000000036</v>
      </c>
      <c r="Z823" s="272">
        <v>0.94000000000000039</v>
      </c>
      <c r="AA823" s="272">
        <v>0.97000000000000042</v>
      </c>
      <c r="AB823" s="272">
        <v>1.0000000000000004</v>
      </c>
      <c r="AC823" s="272">
        <v>1.0000000000000004</v>
      </c>
      <c r="AD823" s="396">
        <v>1.0000000000000004</v>
      </c>
      <c r="AE823" s="396">
        <v>1</v>
      </c>
      <c r="AF823" s="396">
        <v>1</v>
      </c>
      <c r="AG823" s="396">
        <v>1</v>
      </c>
      <c r="AH823" s="396">
        <v>1</v>
      </c>
      <c r="AI823" s="396">
        <v>1</v>
      </c>
      <c r="AJ823" s="396">
        <v>1</v>
      </c>
      <c r="AK823" s="396">
        <v>1</v>
      </c>
      <c r="AL823" s="396">
        <v>1</v>
      </c>
      <c r="AM823" s="396">
        <v>1</v>
      </c>
      <c r="AN823" s="396">
        <v>1</v>
      </c>
      <c r="AO823" s="396">
        <v>1</v>
      </c>
      <c r="AP823" s="396">
        <v>1</v>
      </c>
    </row>
    <row r="824" spans="2:42" s="216" customFormat="1" ht="25.5" hidden="1" outlineLevel="3">
      <c r="B824" s="255" t="s">
        <v>922</v>
      </c>
      <c r="C824" s="290" t="s">
        <v>291</v>
      </c>
      <c r="D824" s="227" t="s">
        <v>231</v>
      </c>
      <c r="E824" s="241">
        <v>16171446768</v>
      </c>
      <c r="F824" s="228">
        <f t="shared" si="1586"/>
        <v>6.2251019714089834E-2</v>
      </c>
      <c r="G824" s="269">
        <f t="shared" si="1573"/>
        <v>4.8858047398933485E-3</v>
      </c>
      <c r="H824" s="299">
        <v>45934</v>
      </c>
      <c r="I824" s="299">
        <v>46552</v>
      </c>
      <c r="J824" s="299">
        <v>45926</v>
      </c>
      <c r="K824" s="299">
        <v>46597</v>
      </c>
      <c r="L824" s="299">
        <v>45926</v>
      </c>
      <c r="M824" s="299">
        <v>46597</v>
      </c>
      <c r="N824" s="272">
        <v>0.31519999999999998</v>
      </c>
      <c r="O824" s="272">
        <v>0.35</v>
      </c>
      <c r="P824" s="272">
        <v>0.42</v>
      </c>
      <c r="Q824" s="272">
        <v>0.5</v>
      </c>
      <c r="R824" s="372">
        <v>0.55000000000000004</v>
      </c>
      <c r="S824" s="395">
        <v>0.60000000000000009</v>
      </c>
      <c r="T824" s="272">
        <v>0.64000000000000012</v>
      </c>
      <c r="U824" s="272">
        <v>0.69000000000000017</v>
      </c>
      <c r="V824" s="272">
        <v>0.75000000000000022</v>
      </c>
      <c r="W824" s="272">
        <v>0.81000000000000028</v>
      </c>
      <c r="X824" s="272">
        <v>0.87000000000000033</v>
      </c>
      <c r="Y824" s="272">
        <v>0.90000000000000036</v>
      </c>
      <c r="Z824" s="272">
        <v>0.94000000000000039</v>
      </c>
      <c r="AA824" s="272">
        <v>0.97000000000000042</v>
      </c>
      <c r="AB824" s="272">
        <v>1.0000000000000004</v>
      </c>
      <c r="AC824" s="272">
        <v>1.0000000000000004</v>
      </c>
      <c r="AD824" s="396">
        <v>1.0000000000000004</v>
      </c>
      <c r="AE824" s="396">
        <v>1</v>
      </c>
      <c r="AF824" s="396">
        <v>1</v>
      </c>
      <c r="AG824" s="396">
        <v>1</v>
      </c>
      <c r="AH824" s="396">
        <v>1</v>
      </c>
      <c r="AI824" s="396">
        <v>1</v>
      </c>
      <c r="AJ824" s="396">
        <v>1</v>
      </c>
      <c r="AK824" s="396">
        <v>1</v>
      </c>
      <c r="AL824" s="396">
        <v>1</v>
      </c>
      <c r="AM824" s="396">
        <v>1</v>
      </c>
      <c r="AN824" s="396">
        <v>1</v>
      </c>
      <c r="AO824" s="396">
        <v>1</v>
      </c>
      <c r="AP824" s="396">
        <v>1</v>
      </c>
    </row>
    <row r="825" spans="2:42" s="216" customFormat="1" ht="25.5" hidden="1" outlineLevel="3">
      <c r="B825" s="255" t="s">
        <v>923</v>
      </c>
      <c r="C825" s="290" t="s">
        <v>366</v>
      </c>
      <c r="D825" s="227" t="s">
        <v>367</v>
      </c>
      <c r="E825" s="241">
        <v>1034873699</v>
      </c>
      <c r="F825" s="228">
        <f t="shared" si="1586"/>
        <v>3.9836845745626157E-3</v>
      </c>
      <c r="G825" s="269">
        <f t="shared" si="1573"/>
        <v>3.1266162491845411E-4</v>
      </c>
      <c r="H825" s="299"/>
      <c r="I825" s="299"/>
      <c r="J825" s="299"/>
      <c r="K825" s="299"/>
      <c r="L825" s="299"/>
      <c r="M825" s="299"/>
      <c r="N825" s="272">
        <v>0.31519999999999998</v>
      </c>
      <c r="O825" s="272">
        <v>0.35</v>
      </c>
      <c r="P825" s="272">
        <v>0.42</v>
      </c>
      <c r="Q825" s="272">
        <v>0.5</v>
      </c>
      <c r="R825" s="372">
        <v>0.55000000000000004</v>
      </c>
      <c r="S825" s="395">
        <v>0.60000000000000009</v>
      </c>
      <c r="T825" s="272">
        <v>0.64000000000000012</v>
      </c>
      <c r="U825" s="272">
        <v>0.69000000000000017</v>
      </c>
      <c r="V825" s="272">
        <v>0.75000000000000022</v>
      </c>
      <c r="W825" s="272">
        <v>0.81000000000000028</v>
      </c>
      <c r="X825" s="272">
        <v>0.87000000000000033</v>
      </c>
      <c r="Y825" s="272">
        <v>0.90000000000000036</v>
      </c>
      <c r="Z825" s="272">
        <v>0.94000000000000039</v>
      </c>
      <c r="AA825" s="272">
        <v>0.97000000000000042</v>
      </c>
      <c r="AB825" s="272">
        <v>1.0000000000000004</v>
      </c>
      <c r="AC825" s="272">
        <v>1.0000000000000004</v>
      </c>
      <c r="AD825" s="396">
        <v>1.0000000000000004</v>
      </c>
      <c r="AE825" s="396">
        <v>1</v>
      </c>
      <c r="AF825" s="396">
        <v>1</v>
      </c>
      <c r="AG825" s="396">
        <v>1</v>
      </c>
      <c r="AH825" s="396">
        <v>1</v>
      </c>
      <c r="AI825" s="396">
        <v>1</v>
      </c>
      <c r="AJ825" s="396">
        <v>1</v>
      </c>
      <c r="AK825" s="396">
        <v>1</v>
      </c>
      <c r="AL825" s="396">
        <v>1</v>
      </c>
      <c r="AM825" s="396">
        <v>1</v>
      </c>
      <c r="AN825" s="396">
        <v>1</v>
      </c>
      <c r="AO825" s="396">
        <v>1</v>
      </c>
      <c r="AP825" s="396">
        <v>1</v>
      </c>
    </row>
    <row r="826" spans="2:42" s="216" customFormat="1" ht="25.5" hidden="1" outlineLevel="2">
      <c r="B826" s="291" t="s">
        <v>938</v>
      </c>
      <c r="C826" s="292" t="s">
        <v>45</v>
      </c>
      <c r="D826" s="234" t="s">
        <v>33</v>
      </c>
      <c r="E826" s="240">
        <f>SUM(E827:E840)</f>
        <v>197697448454.96002</v>
      </c>
      <c r="F826" s="223">
        <f t="shared" si="1580"/>
        <v>0.10189354851165684</v>
      </c>
      <c r="G826" s="293">
        <f t="shared" si="1573"/>
        <v>5.9729419673037916E-2</v>
      </c>
      <c r="H826" s="298">
        <v>45931</v>
      </c>
      <c r="I826" s="298">
        <v>46485</v>
      </c>
      <c r="J826" s="298">
        <v>45938</v>
      </c>
      <c r="K826" s="298">
        <v>46735</v>
      </c>
      <c r="L826" s="298">
        <v>45938</v>
      </c>
      <c r="M826" s="298">
        <v>46735</v>
      </c>
      <c r="N826" s="270">
        <v>7.0000000000000007E-2</v>
      </c>
      <c r="O826" s="270">
        <v>0.15000000000000002</v>
      </c>
      <c r="P826" s="270">
        <v>0.23000000000000004</v>
      </c>
      <c r="Q826" s="270">
        <v>0.27</v>
      </c>
      <c r="R826" s="370">
        <v>0.30000000000000004</v>
      </c>
      <c r="S826" s="391">
        <v>0.32000000000000006</v>
      </c>
      <c r="T826" s="270">
        <v>0.35000000000000009</v>
      </c>
      <c r="U826" s="270">
        <v>0.40000000000000008</v>
      </c>
      <c r="V826" s="270">
        <v>0.47000000000000008</v>
      </c>
      <c r="W826" s="270">
        <v>0.55000000000000004</v>
      </c>
      <c r="X826" s="270">
        <v>0.65</v>
      </c>
      <c r="Y826" s="270">
        <v>0.73</v>
      </c>
      <c r="Z826" s="270">
        <v>0.80999999999999994</v>
      </c>
      <c r="AA826" s="270">
        <v>0.87999999999999989</v>
      </c>
      <c r="AB826" s="270">
        <v>0.91999999999999993</v>
      </c>
      <c r="AC826" s="270">
        <v>0.96</v>
      </c>
      <c r="AD826" s="392">
        <v>1</v>
      </c>
      <c r="AE826" s="392">
        <v>1</v>
      </c>
      <c r="AF826" s="392">
        <v>1</v>
      </c>
      <c r="AG826" s="392">
        <v>1</v>
      </c>
      <c r="AH826" s="392">
        <v>1</v>
      </c>
      <c r="AI826" s="392">
        <v>1</v>
      </c>
      <c r="AJ826" s="392">
        <v>1</v>
      </c>
      <c r="AK826" s="392">
        <v>1</v>
      </c>
      <c r="AL826" s="392">
        <v>1</v>
      </c>
      <c r="AM826" s="392">
        <v>1</v>
      </c>
      <c r="AN826" s="392">
        <v>1</v>
      </c>
      <c r="AO826" s="392">
        <v>1</v>
      </c>
      <c r="AP826" s="392">
        <v>1</v>
      </c>
    </row>
    <row r="827" spans="2:42" s="216" customFormat="1" ht="25.5" hidden="1" outlineLevel="3">
      <c r="B827" s="255" t="s">
        <v>907</v>
      </c>
      <c r="C827" s="290" t="s">
        <v>230</v>
      </c>
      <c r="D827" s="227" t="s">
        <v>231</v>
      </c>
      <c r="E827" s="241">
        <v>14722338669.16</v>
      </c>
      <c r="F827" s="228">
        <f>E827/$E$826</f>
        <v>7.4469037330616245E-2</v>
      </c>
      <c r="G827" s="269">
        <f t="shared" si="1573"/>
        <v>4.4479923833675057E-3</v>
      </c>
      <c r="H827" s="299">
        <v>45931</v>
      </c>
      <c r="I827" s="299">
        <v>46334</v>
      </c>
      <c r="J827" s="299">
        <v>45931</v>
      </c>
      <c r="K827" s="299">
        <v>46334</v>
      </c>
      <c r="L827" s="299">
        <v>45938</v>
      </c>
      <c r="M827" s="299">
        <v>46726</v>
      </c>
      <c r="N827" s="272">
        <v>7.0000000000000007E-2</v>
      </c>
      <c r="O827" s="272">
        <v>0.15000000000000002</v>
      </c>
      <c r="P827" s="272">
        <v>0.23000000000000004</v>
      </c>
      <c r="Q827" s="272">
        <v>0.27</v>
      </c>
      <c r="R827" s="372">
        <v>0.30000000000000004</v>
      </c>
      <c r="S827" s="395">
        <v>0.32000000000000006</v>
      </c>
      <c r="T827" s="272">
        <v>0.35000000000000009</v>
      </c>
      <c r="U827" s="272">
        <v>0.40000000000000008</v>
      </c>
      <c r="V827" s="272">
        <v>0.47000000000000008</v>
      </c>
      <c r="W827" s="272">
        <v>0.55000000000000004</v>
      </c>
      <c r="X827" s="272">
        <v>0.65</v>
      </c>
      <c r="Y827" s="272">
        <v>0.73</v>
      </c>
      <c r="Z827" s="272">
        <v>0.80999999999999994</v>
      </c>
      <c r="AA827" s="272">
        <v>0.87999999999999989</v>
      </c>
      <c r="AB827" s="272">
        <v>0.91999999999999993</v>
      </c>
      <c r="AC827" s="272">
        <v>0.96</v>
      </c>
      <c r="AD827" s="396">
        <v>1</v>
      </c>
      <c r="AE827" s="396">
        <v>1</v>
      </c>
      <c r="AF827" s="396">
        <v>1</v>
      </c>
      <c r="AG827" s="396">
        <v>1</v>
      </c>
      <c r="AH827" s="396">
        <v>1</v>
      </c>
      <c r="AI827" s="396">
        <v>1</v>
      </c>
      <c r="AJ827" s="396">
        <v>1</v>
      </c>
      <c r="AK827" s="396">
        <v>1</v>
      </c>
      <c r="AL827" s="396">
        <v>1</v>
      </c>
      <c r="AM827" s="396">
        <v>1</v>
      </c>
      <c r="AN827" s="396">
        <v>1</v>
      </c>
      <c r="AO827" s="396">
        <v>1</v>
      </c>
      <c r="AP827" s="396">
        <v>1</v>
      </c>
    </row>
    <row r="828" spans="2:42" s="216" customFormat="1" ht="25.5" hidden="1" outlineLevel="3">
      <c r="B828" s="255" t="s">
        <v>908</v>
      </c>
      <c r="C828" s="290" t="s">
        <v>233</v>
      </c>
      <c r="D828" s="227" t="s">
        <v>231</v>
      </c>
      <c r="E828" s="241">
        <v>14722338669.16</v>
      </c>
      <c r="F828" s="228">
        <f t="shared" ref="F828:F840" si="1587">E828/$E$826</f>
        <v>7.4469037330616245E-2</v>
      </c>
      <c r="G828" s="269">
        <f t="shared" si="1573"/>
        <v>4.4479923833675057E-3</v>
      </c>
      <c r="H828" s="299">
        <v>45938</v>
      </c>
      <c r="I828" s="299">
        <v>46341</v>
      </c>
      <c r="J828" s="299">
        <v>45938</v>
      </c>
      <c r="K828" s="299">
        <v>46341</v>
      </c>
      <c r="L828" s="299">
        <v>45938</v>
      </c>
      <c r="M828" s="299">
        <v>46726</v>
      </c>
      <c r="N828" s="272">
        <v>7.0000000000000007E-2</v>
      </c>
      <c r="O828" s="272">
        <v>0.15000000000000002</v>
      </c>
      <c r="P828" s="272">
        <v>0.23000000000000004</v>
      </c>
      <c r="Q828" s="272">
        <v>0.27</v>
      </c>
      <c r="R828" s="372">
        <v>0.30000000000000004</v>
      </c>
      <c r="S828" s="395">
        <v>0.32000000000000006</v>
      </c>
      <c r="T828" s="272">
        <v>0.35000000000000009</v>
      </c>
      <c r="U828" s="272">
        <v>0.40000000000000008</v>
      </c>
      <c r="V828" s="272">
        <v>0.47000000000000008</v>
      </c>
      <c r="W828" s="272">
        <v>0.55000000000000004</v>
      </c>
      <c r="X828" s="272">
        <v>0.65</v>
      </c>
      <c r="Y828" s="272">
        <v>0.73</v>
      </c>
      <c r="Z828" s="272">
        <v>0.80999999999999994</v>
      </c>
      <c r="AA828" s="272">
        <v>0.87999999999999989</v>
      </c>
      <c r="AB828" s="272">
        <v>0.91999999999999993</v>
      </c>
      <c r="AC828" s="272">
        <v>0.96</v>
      </c>
      <c r="AD828" s="396">
        <v>1</v>
      </c>
      <c r="AE828" s="396">
        <v>1</v>
      </c>
      <c r="AF828" s="396">
        <v>1</v>
      </c>
      <c r="AG828" s="396">
        <v>1</v>
      </c>
      <c r="AH828" s="396">
        <v>1</v>
      </c>
      <c r="AI828" s="396">
        <v>1</v>
      </c>
      <c r="AJ828" s="396">
        <v>1</v>
      </c>
      <c r="AK828" s="396">
        <v>1</v>
      </c>
      <c r="AL828" s="396">
        <v>1</v>
      </c>
      <c r="AM828" s="396">
        <v>1</v>
      </c>
      <c r="AN828" s="396">
        <v>1</v>
      </c>
      <c r="AO828" s="396">
        <v>1</v>
      </c>
      <c r="AP828" s="396">
        <v>1</v>
      </c>
    </row>
    <row r="829" spans="2:42" s="216" customFormat="1" ht="25.5" hidden="1" outlineLevel="3">
      <c r="B829" s="255" t="s">
        <v>909</v>
      </c>
      <c r="C829" s="290" t="s">
        <v>235</v>
      </c>
      <c r="D829" s="227" t="s">
        <v>231</v>
      </c>
      <c r="E829" s="241">
        <v>14722338669.16</v>
      </c>
      <c r="F829" s="228">
        <f t="shared" si="1587"/>
        <v>7.4469037330616245E-2</v>
      </c>
      <c r="G829" s="269">
        <f t="shared" si="1573"/>
        <v>4.4479923833675057E-3</v>
      </c>
      <c r="H829" s="299">
        <v>45945</v>
      </c>
      <c r="I829" s="299">
        <v>46348</v>
      </c>
      <c r="J829" s="299">
        <v>45945</v>
      </c>
      <c r="K829" s="299">
        <v>46348</v>
      </c>
      <c r="L829" s="299">
        <v>45938</v>
      </c>
      <c r="M829" s="299">
        <v>46726</v>
      </c>
      <c r="N829" s="272">
        <v>7.0000000000000007E-2</v>
      </c>
      <c r="O829" s="272">
        <v>0.15000000000000002</v>
      </c>
      <c r="P829" s="272">
        <v>0.23000000000000004</v>
      </c>
      <c r="Q829" s="272">
        <v>0.27</v>
      </c>
      <c r="R829" s="372">
        <v>0.30000000000000004</v>
      </c>
      <c r="S829" s="395">
        <v>0.32000000000000006</v>
      </c>
      <c r="T829" s="272">
        <v>0.35000000000000009</v>
      </c>
      <c r="U829" s="272">
        <v>0.40000000000000008</v>
      </c>
      <c r="V829" s="272">
        <v>0.47000000000000008</v>
      </c>
      <c r="W829" s="272">
        <v>0.55000000000000004</v>
      </c>
      <c r="X829" s="272">
        <v>0.65</v>
      </c>
      <c r="Y829" s="272">
        <v>0.73</v>
      </c>
      <c r="Z829" s="272">
        <v>0.80999999999999994</v>
      </c>
      <c r="AA829" s="272">
        <v>0.87999999999999989</v>
      </c>
      <c r="AB829" s="272">
        <v>0.91999999999999993</v>
      </c>
      <c r="AC829" s="272">
        <v>0.96</v>
      </c>
      <c r="AD829" s="396">
        <v>1</v>
      </c>
      <c r="AE829" s="396">
        <v>1</v>
      </c>
      <c r="AF829" s="396">
        <v>1</v>
      </c>
      <c r="AG829" s="396">
        <v>1</v>
      </c>
      <c r="AH829" s="396">
        <v>1</v>
      </c>
      <c r="AI829" s="396">
        <v>1</v>
      </c>
      <c r="AJ829" s="396">
        <v>1</v>
      </c>
      <c r="AK829" s="396">
        <v>1</v>
      </c>
      <c r="AL829" s="396">
        <v>1</v>
      </c>
      <c r="AM829" s="396">
        <v>1</v>
      </c>
      <c r="AN829" s="396">
        <v>1</v>
      </c>
      <c r="AO829" s="396">
        <v>1</v>
      </c>
      <c r="AP829" s="396">
        <v>1</v>
      </c>
    </row>
    <row r="830" spans="2:42" s="216" customFormat="1" ht="25.5" hidden="1" outlineLevel="3">
      <c r="B830" s="255" t="s">
        <v>910</v>
      </c>
      <c r="C830" s="290" t="s">
        <v>237</v>
      </c>
      <c r="D830" s="227" t="s">
        <v>231</v>
      </c>
      <c r="E830" s="241">
        <v>14722338669.16</v>
      </c>
      <c r="F830" s="228">
        <f t="shared" si="1587"/>
        <v>7.4469037330616245E-2</v>
      </c>
      <c r="G830" s="269">
        <f t="shared" si="1573"/>
        <v>4.4479923833675057E-3</v>
      </c>
      <c r="H830" s="299">
        <v>45952</v>
      </c>
      <c r="I830" s="299">
        <v>46355</v>
      </c>
      <c r="J830" s="299">
        <v>45952</v>
      </c>
      <c r="K830" s="299">
        <v>46355</v>
      </c>
      <c r="L830" s="299">
        <v>45938</v>
      </c>
      <c r="M830" s="299">
        <v>46726</v>
      </c>
      <c r="N830" s="272">
        <v>7.0000000000000007E-2</v>
      </c>
      <c r="O830" s="272">
        <v>0.15000000000000002</v>
      </c>
      <c r="P830" s="272">
        <v>0.23000000000000004</v>
      </c>
      <c r="Q830" s="272">
        <v>0.27</v>
      </c>
      <c r="R830" s="372">
        <v>0.30000000000000004</v>
      </c>
      <c r="S830" s="395">
        <v>0.32000000000000006</v>
      </c>
      <c r="T830" s="272">
        <v>0.35000000000000009</v>
      </c>
      <c r="U830" s="272">
        <v>0.40000000000000008</v>
      </c>
      <c r="V830" s="272">
        <v>0.47000000000000008</v>
      </c>
      <c r="W830" s="272">
        <v>0.55000000000000004</v>
      </c>
      <c r="X830" s="272">
        <v>0.65</v>
      </c>
      <c r="Y830" s="272">
        <v>0.73</v>
      </c>
      <c r="Z830" s="272">
        <v>0.80999999999999994</v>
      </c>
      <c r="AA830" s="272">
        <v>0.87999999999999989</v>
      </c>
      <c r="AB830" s="272">
        <v>0.91999999999999993</v>
      </c>
      <c r="AC830" s="272">
        <v>0.96</v>
      </c>
      <c r="AD830" s="396">
        <v>1</v>
      </c>
      <c r="AE830" s="396">
        <v>1</v>
      </c>
      <c r="AF830" s="396">
        <v>1</v>
      </c>
      <c r="AG830" s="396">
        <v>1</v>
      </c>
      <c r="AH830" s="396">
        <v>1</v>
      </c>
      <c r="AI830" s="396">
        <v>1</v>
      </c>
      <c r="AJ830" s="396">
        <v>1</v>
      </c>
      <c r="AK830" s="396">
        <v>1</v>
      </c>
      <c r="AL830" s="396">
        <v>1</v>
      </c>
      <c r="AM830" s="396">
        <v>1</v>
      </c>
      <c r="AN830" s="396">
        <v>1</v>
      </c>
      <c r="AO830" s="396">
        <v>1</v>
      </c>
      <c r="AP830" s="396">
        <v>1</v>
      </c>
    </row>
    <row r="831" spans="2:42" s="216" customFormat="1" ht="25.5" hidden="1" outlineLevel="3">
      <c r="B831" s="255" t="s">
        <v>911</v>
      </c>
      <c r="C831" s="290" t="s">
        <v>239</v>
      </c>
      <c r="D831" s="227" t="s">
        <v>231</v>
      </c>
      <c r="E831" s="241">
        <v>14722338669.16</v>
      </c>
      <c r="F831" s="228">
        <f t="shared" si="1587"/>
        <v>7.4469037330616245E-2</v>
      </c>
      <c r="G831" s="269">
        <f t="shared" si="1573"/>
        <v>4.4479923833675057E-3</v>
      </c>
      <c r="H831" s="299">
        <v>45959</v>
      </c>
      <c r="I831" s="299">
        <v>46362</v>
      </c>
      <c r="J831" s="299">
        <v>45959</v>
      </c>
      <c r="K831" s="299">
        <v>46362</v>
      </c>
      <c r="L831" s="299">
        <v>45938</v>
      </c>
      <c r="M831" s="299">
        <v>46726</v>
      </c>
      <c r="N831" s="272">
        <v>7.0000000000000007E-2</v>
      </c>
      <c r="O831" s="272">
        <v>0.15000000000000002</v>
      </c>
      <c r="P831" s="272">
        <v>0.23000000000000004</v>
      </c>
      <c r="Q831" s="272">
        <v>0.27</v>
      </c>
      <c r="R831" s="372">
        <v>0.30000000000000004</v>
      </c>
      <c r="S831" s="395">
        <v>0.32000000000000006</v>
      </c>
      <c r="T831" s="272">
        <v>0.35000000000000009</v>
      </c>
      <c r="U831" s="272">
        <v>0.40000000000000008</v>
      </c>
      <c r="V831" s="272">
        <v>0.47000000000000008</v>
      </c>
      <c r="W831" s="272">
        <v>0.55000000000000004</v>
      </c>
      <c r="X831" s="272">
        <v>0.65</v>
      </c>
      <c r="Y831" s="272">
        <v>0.73</v>
      </c>
      <c r="Z831" s="272">
        <v>0.80999999999999994</v>
      </c>
      <c r="AA831" s="272">
        <v>0.87999999999999989</v>
      </c>
      <c r="AB831" s="272">
        <v>0.91999999999999993</v>
      </c>
      <c r="AC831" s="272">
        <v>0.96</v>
      </c>
      <c r="AD831" s="396">
        <v>1</v>
      </c>
      <c r="AE831" s="396">
        <v>1</v>
      </c>
      <c r="AF831" s="396">
        <v>1</v>
      </c>
      <c r="AG831" s="396">
        <v>1</v>
      </c>
      <c r="AH831" s="396">
        <v>1</v>
      </c>
      <c r="AI831" s="396">
        <v>1</v>
      </c>
      <c r="AJ831" s="396">
        <v>1</v>
      </c>
      <c r="AK831" s="396">
        <v>1</v>
      </c>
      <c r="AL831" s="396">
        <v>1</v>
      </c>
      <c r="AM831" s="396">
        <v>1</v>
      </c>
      <c r="AN831" s="396">
        <v>1</v>
      </c>
      <c r="AO831" s="396">
        <v>1</v>
      </c>
      <c r="AP831" s="396">
        <v>1</v>
      </c>
    </row>
    <row r="832" spans="2:42" s="216" customFormat="1" ht="25.5" hidden="1" outlineLevel="3">
      <c r="B832" s="255" t="s">
        <v>912</v>
      </c>
      <c r="C832" s="290" t="s">
        <v>241</v>
      </c>
      <c r="D832" s="227" t="s">
        <v>231</v>
      </c>
      <c r="E832" s="241">
        <v>14722338669.16</v>
      </c>
      <c r="F832" s="228">
        <f t="shared" si="1587"/>
        <v>7.4469037330616245E-2</v>
      </c>
      <c r="G832" s="269">
        <f t="shared" si="1573"/>
        <v>4.4479923833675057E-3</v>
      </c>
      <c r="H832" s="299">
        <v>45966</v>
      </c>
      <c r="I832" s="299">
        <v>46369</v>
      </c>
      <c r="J832" s="299">
        <v>45966</v>
      </c>
      <c r="K832" s="299">
        <v>46369</v>
      </c>
      <c r="L832" s="299">
        <v>45938</v>
      </c>
      <c r="M832" s="299">
        <v>46726</v>
      </c>
      <c r="N832" s="272">
        <v>7.0000000000000007E-2</v>
      </c>
      <c r="O832" s="272">
        <v>0.15000000000000002</v>
      </c>
      <c r="P832" s="272">
        <v>0.23000000000000004</v>
      </c>
      <c r="Q832" s="272">
        <v>0.27</v>
      </c>
      <c r="R832" s="372">
        <v>0.30000000000000004</v>
      </c>
      <c r="S832" s="395">
        <v>0.32000000000000006</v>
      </c>
      <c r="T832" s="272">
        <v>0.35000000000000009</v>
      </c>
      <c r="U832" s="272">
        <v>0.40000000000000008</v>
      </c>
      <c r="V832" s="272">
        <v>0.47000000000000008</v>
      </c>
      <c r="W832" s="272">
        <v>0.55000000000000004</v>
      </c>
      <c r="X832" s="272">
        <v>0.65</v>
      </c>
      <c r="Y832" s="272">
        <v>0.73</v>
      </c>
      <c r="Z832" s="272">
        <v>0.80999999999999994</v>
      </c>
      <c r="AA832" s="272">
        <v>0.87999999999999989</v>
      </c>
      <c r="AB832" s="272">
        <v>0.91999999999999993</v>
      </c>
      <c r="AC832" s="272">
        <v>0.96</v>
      </c>
      <c r="AD832" s="396">
        <v>1</v>
      </c>
      <c r="AE832" s="396">
        <v>1</v>
      </c>
      <c r="AF832" s="396">
        <v>1</v>
      </c>
      <c r="AG832" s="396">
        <v>1</v>
      </c>
      <c r="AH832" s="396">
        <v>1</v>
      </c>
      <c r="AI832" s="396">
        <v>1</v>
      </c>
      <c r="AJ832" s="396">
        <v>1</v>
      </c>
      <c r="AK832" s="396">
        <v>1</v>
      </c>
      <c r="AL832" s="396">
        <v>1</v>
      </c>
      <c r="AM832" s="396">
        <v>1</v>
      </c>
      <c r="AN832" s="396">
        <v>1</v>
      </c>
      <c r="AO832" s="396">
        <v>1</v>
      </c>
      <c r="AP832" s="396">
        <v>1</v>
      </c>
    </row>
    <row r="833" spans="2:42" s="216" customFormat="1" ht="25.5" hidden="1" outlineLevel="3">
      <c r="B833" s="255" t="s">
        <v>919</v>
      </c>
      <c r="C833" s="290" t="s">
        <v>376</v>
      </c>
      <c r="D833" s="227" t="s">
        <v>256</v>
      </c>
      <c r="E833" s="241">
        <v>13670427055</v>
      </c>
      <c r="F833" s="228">
        <f t="shared" si="1587"/>
        <v>6.9148222002037796E-2</v>
      </c>
      <c r="G833" s="269">
        <f t="shared" si="1573"/>
        <v>4.1301831716041102E-3</v>
      </c>
      <c r="H833" s="299">
        <v>45973</v>
      </c>
      <c r="I833" s="299">
        <v>46436</v>
      </c>
      <c r="J833" s="299">
        <v>45973</v>
      </c>
      <c r="K833" s="299">
        <v>46436</v>
      </c>
      <c r="L833" s="299">
        <v>45973</v>
      </c>
      <c r="M833" s="299">
        <v>46735</v>
      </c>
      <c r="N833" s="272">
        <v>7.0000000000000007E-2</v>
      </c>
      <c r="O833" s="272">
        <v>0.15000000000000002</v>
      </c>
      <c r="P833" s="272">
        <v>0.23000000000000004</v>
      </c>
      <c r="Q833" s="272">
        <v>0.27</v>
      </c>
      <c r="R833" s="372">
        <v>0.30000000000000004</v>
      </c>
      <c r="S833" s="395">
        <v>0.32000000000000006</v>
      </c>
      <c r="T833" s="272">
        <v>0.35000000000000009</v>
      </c>
      <c r="U833" s="272">
        <v>0.40000000000000008</v>
      </c>
      <c r="V833" s="272">
        <v>0.47000000000000008</v>
      </c>
      <c r="W833" s="272">
        <v>0.55000000000000004</v>
      </c>
      <c r="X833" s="272">
        <v>0.65</v>
      </c>
      <c r="Y833" s="272">
        <v>0.73</v>
      </c>
      <c r="Z833" s="272">
        <v>0.80999999999999994</v>
      </c>
      <c r="AA833" s="272">
        <v>0.87999999999999989</v>
      </c>
      <c r="AB833" s="272">
        <v>0.91999999999999993</v>
      </c>
      <c r="AC833" s="272">
        <v>0.96</v>
      </c>
      <c r="AD833" s="396">
        <v>1</v>
      </c>
      <c r="AE833" s="396">
        <v>1</v>
      </c>
      <c r="AF833" s="396">
        <v>1</v>
      </c>
      <c r="AG833" s="396">
        <v>1</v>
      </c>
      <c r="AH833" s="396">
        <v>1</v>
      </c>
      <c r="AI833" s="396">
        <v>1</v>
      </c>
      <c r="AJ833" s="396">
        <v>1</v>
      </c>
      <c r="AK833" s="396">
        <v>1</v>
      </c>
      <c r="AL833" s="396">
        <v>1</v>
      </c>
      <c r="AM833" s="396">
        <v>1</v>
      </c>
      <c r="AN833" s="396">
        <v>1</v>
      </c>
      <c r="AO833" s="396">
        <v>1</v>
      </c>
      <c r="AP833" s="396">
        <v>1</v>
      </c>
    </row>
    <row r="834" spans="2:42" s="216" customFormat="1" ht="25.5" hidden="1" outlineLevel="3">
      <c r="B834" s="255" t="s">
        <v>920</v>
      </c>
      <c r="C834" s="290" t="s">
        <v>378</v>
      </c>
      <c r="D834" s="227" t="s">
        <v>256</v>
      </c>
      <c r="E834" s="241">
        <v>13670427055</v>
      </c>
      <c r="F834" s="228">
        <f t="shared" si="1587"/>
        <v>6.9148222002037796E-2</v>
      </c>
      <c r="G834" s="269">
        <f t="shared" si="1573"/>
        <v>4.1301831716041102E-3</v>
      </c>
      <c r="H834" s="299">
        <v>45980</v>
      </c>
      <c r="I834" s="299">
        <v>46443</v>
      </c>
      <c r="J834" s="299">
        <v>45980</v>
      </c>
      <c r="K834" s="299">
        <v>46443</v>
      </c>
      <c r="L834" s="299">
        <v>45980</v>
      </c>
      <c r="M834" s="299">
        <v>46735</v>
      </c>
      <c r="N834" s="272">
        <v>7.0000000000000007E-2</v>
      </c>
      <c r="O834" s="272">
        <v>0.15000000000000002</v>
      </c>
      <c r="P834" s="272">
        <v>0.23000000000000004</v>
      </c>
      <c r="Q834" s="272">
        <v>0.27</v>
      </c>
      <c r="R834" s="372">
        <v>0.30000000000000004</v>
      </c>
      <c r="S834" s="395">
        <v>0.32000000000000006</v>
      </c>
      <c r="T834" s="272">
        <v>0.35000000000000009</v>
      </c>
      <c r="U834" s="272">
        <v>0.40000000000000008</v>
      </c>
      <c r="V834" s="272">
        <v>0.47000000000000008</v>
      </c>
      <c r="W834" s="272">
        <v>0.55000000000000004</v>
      </c>
      <c r="X834" s="272">
        <v>0.65</v>
      </c>
      <c r="Y834" s="272">
        <v>0.73</v>
      </c>
      <c r="Z834" s="272">
        <v>0.80999999999999994</v>
      </c>
      <c r="AA834" s="272">
        <v>0.87999999999999989</v>
      </c>
      <c r="AB834" s="272">
        <v>0.91999999999999993</v>
      </c>
      <c r="AC834" s="272">
        <v>0.96</v>
      </c>
      <c r="AD834" s="396">
        <v>1</v>
      </c>
      <c r="AE834" s="396">
        <v>1</v>
      </c>
      <c r="AF834" s="396">
        <v>1</v>
      </c>
      <c r="AG834" s="396">
        <v>1</v>
      </c>
      <c r="AH834" s="396">
        <v>1</v>
      </c>
      <c r="AI834" s="396">
        <v>1</v>
      </c>
      <c r="AJ834" s="396">
        <v>1</v>
      </c>
      <c r="AK834" s="396">
        <v>1</v>
      </c>
      <c r="AL834" s="396">
        <v>1</v>
      </c>
      <c r="AM834" s="396">
        <v>1</v>
      </c>
      <c r="AN834" s="396">
        <v>1</v>
      </c>
      <c r="AO834" s="396">
        <v>1</v>
      </c>
      <c r="AP834" s="396">
        <v>1</v>
      </c>
    </row>
    <row r="835" spans="2:42" s="216" customFormat="1" ht="25.5" hidden="1" outlineLevel="3">
      <c r="B835" s="255" t="s">
        <v>921</v>
      </c>
      <c r="C835" s="290" t="s">
        <v>380</v>
      </c>
      <c r="D835" s="227" t="s">
        <v>256</v>
      </c>
      <c r="E835" s="241">
        <v>13670427055</v>
      </c>
      <c r="F835" s="228">
        <f t="shared" si="1587"/>
        <v>6.9148222002037796E-2</v>
      </c>
      <c r="G835" s="269">
        <f t="shared" si="1573"/>
        <v>4.1301831716041102E-3</v>
      </c>
      <c r="H835" s="299">
        <v>45987</v>
      </c>
      <c r="I835" s="299">
        <v>46450</v>
      </c>
      <c r="J835" s="299">
        <v>45987</v>
      </c>
      <c r="K835" s="299">
        <v>46450</v>
      </c>
      <c r="L835" s="299">
        <v>45987</v>
      </c>
      <c r="M835" s="299">
        <v>46735</v>
      </c>
      <c r="N835" s="272">
        <v>7.0000000000000007E-2</v>
      </c>
      <c r="O835" s="272">
        <v>0.15000000000000002</v>
      </c>
      <c r="P835" s="272">
        <v>0.23000000000000004</v>
      </c>
      <c r="Q835" s="272">
        <v>0.27</v>
      </c>
      <c r="R835" s="372">
        <v>0.30000000000000004</v>
      </c>
      <c r="S835" s="395">
        <v>0.32000000000000006</v>
      </c>
      <c r="T835" s="272">
        <v>0.35000000000000009</v>
      </c>
      <c r="U835" s="272">
        <v>0.40000000000000008</v>
      </c>
      <c r="V835" s="272">
        <v>0.47000000000000008</v>
      </c>
      <c r="W835" s="272">
        <v>0.55000000000000004</v>
      </c>
      <c r="X835" s="272">
        <v>0.65</v>
      </c>
      <c r="Y835" s="272">
        <v>0.73</v>
      </c>
      <c r="Z835" s="272">
        <v>0.80999999999999994</v>
      </c>
      <c r="AA835" s="272">
        <v>0.87999999999999989</v>
      </c>
      <c r="AB835" s="272">
        <v>0.91999999999999993</v>
      </c>
      <c r="AC835" s="272">
        <v>0.96</v>
      </c>
      <c r="AD835" s="396">
        <v>1</v>
      </c>
      <c r="AE835" s="396">
        <v>1</v>
      </c>
      <c r="AF835" s="396">
        <v>1</v>
      </c>
      <c r="AG835" s="396">
        <v>1</v>
      </c>
      <c r="AH835" s="396">
        <v>1</v>
      </c>
      <c r="AI835" s="396">
        <v>1</v>
      </c>
      <c r="AJ835" s="396">
        <v>1</v>
      </c>
      <c r="AK835" s="396">
        <v>1</v>
      </c>
      <c r="AL835" s="396">
        <v>1</v>
      </c>
      <c r="AM835" s="396">
        <v>1</v>
      </c>
      <c r="AN835" s="396">
        <v>1</v>
      </c>
      <c r="AO835" s="396">
        <v>1</v>
      </c>
      <c r="AP835" s="396">
        <v>1</v>
      </c>
    </row>
    <row r="836" spans="2:42" s="216" customFormat="1" ht="25.5" hidden="1" outlineLevel="3">
      <c r="B836" s="255" t="s">
        <v>922</v>
      </c>
      <c r="C836" s="290" t="s">
        <v>382</v>
      </c>
      <c r="D836" s="227" t="s">
        <v>256</v>
      </c>
      <c r="E836" s="241">
        <v>13670427055</v>
      </c>
      <c r="F836" s="228">
        <f t="shared" si="1587"/>
        <v>6.9148222002037796E-2</v>
      </c>
      <c r="G836" s="269">
        <f t="shared" si="1573"/>
        <v>4.1301831716041102E-3</v>
      </c>
      <c r="H836" s="299">
        <v>45994</v>
      </c>
      <c r="I836" s="299">
        <v>46457</v>
      </c>
      <c r="J836" s="299">
        <v>46318</v>
      </c>
      <c r="K836" s="299">
        <v>46457</v>
      </c>
      <c r="L836" s="299">
        <v>46117</v>
      </c>
      <c r="M836" s="299">
        <v>46735</v>
      </c>
      <c r="N836" s="272">
        <v>7.0000000000000007E-2</v>
      </c>
      <c r="O836" s="272">
        <v>0.15000000000000002</v>
      </c>
      <c r="P836" s="272">
        <v>0.23000000000000004</v>
      </c>
      <c r="Q836" s="272">
        <v>0.27</v>
      </c>
      <c r="R836" s="372">
        <v>0.30000000000000004</v>
      </c>
      <c r="S836" s="395">
        <v>0.32000000000000006</v>
      </c>
      <c r="T836" s="272">
        <v>0.35000000000000009</v>
      </c>
      <c r="U836" s="272">
        <v>0.40000000000000008</v>
      </c>
      <c r="V836" s="272">
        <v>0.47000000000000008</v>
      </c>
      <c r="W836" s="272">
        <v>0.55000000000000004</v>
      </c>
      <c r="X836" s="272">
        <v>0.65</v>
      </c>
      <c r="Y836" s="272">
        <v>0.73</v>
      </c>
      <c r="Z836" s="272">
        <v>0.80999999999999994</v>
      </c>
      <c r="AA836" s="272">
        <v>0.87999999999999989</v>
      </c>
      <c r="AB836" s="272">
        <v>0.91999999999999993</v>
      </c>
      <c r="AC836" s="272">
        <v>0.96</v>
      </c>
      <c r="AD836" s="396">
        <v>1</v>
      </c>
      <c r="AE836" s="396">
        <v>1</v>
      </c>
      <c r="AF836" s="396">
        <v>1</v>
      </c>
      <c r="AG836" s="396">
        <v>1</v>
      </c>
      <c r="AH836" s="396">
        <v>1</v>
      </c>
      <c r="AI836" s="396">
        <v>1</v>
      </c>
      <c r="AJ836" s="396">
        <v>1</v>
      </c>
      <c r="AK836" s="396">
        <v>1</v>
      </c>
      <c r="AL836" s="396">
        <v>1</v>
      </c>
      <c r="AM836" s="396">
        <v>1</v>
      </c>
      <c r="AN836" s="396">
        <v>1</v>
      </c>
      <c r="AO836" s="396">
        <v>1</v>
      </c>
      <c r="AP836" s="396">
        <v>1</v>
      </c>
    </row>
    <row r="837" spans="2:42" s="216" customFormat="1" ht="25.5" hidden="1" outlineLevel="3">
      <c r="B837" s="255" t="s">
        <v>923</v>
      </c>
      <c r="C837" s="290" t="s">
        <v>384</v>
      </c>
      <c r="D837" s="227" t="s">
        <v>256</v>
      </c>
      <c r="E837" s="241">
        <v>13670427055</v>
      </c>
      <c r="F837" s="228">
        <f t="shared" si="1587"/>
        <v>6.9148222002037796E-2</v>
      </c>
      <c r="G837" s="269">
        <f t="shared" si="1573"/>
        <v>4.1301831716041102E-3</v>
      </c>
      <c r="H837" s="299">
        <v>46001</v>
      </c>
      <c r="I837" s="299">
        <v>46464</v>
      </c>
      <c r="J837" s="299">
        <v>46325</v>
      </c>
      <c r="K837" s="299">
        <v>46464</v>
      </c>
      <c r="L837" s="299">
        <v>46117</v>
      </c>
      <c r="M837" s="299">
        <v>46735</v>
      </c>
      <c r="N837" s="272">
        <v>7.0000000000000007E-2</v>
      </c>
      <c r="O837" s="272">
        <v>0.15000000000000002</v>
      </c>
      <c r="P837" s="272">
        <v>0.23000000000000004</v>
      </c>
      <c r="Q837" s="272">
        <v>0.27</v>
      </c>
      <c r="R837" s="372">
        <v>0.30000000000000004</v>
      </c>
      <c r="S837" s="395">
        <v>0.32000000000000006</v>
      </c>
      <c r="T837" s="272">
        <v>0.35000000000000009</v>
      </c>
      <c r="U837" s="272">
        <v>0.40000000000000008</v>
      </c>
      <c r="V837" s="272">
        <v>0.47000000000000008</v>
      </c>
      <c r="W837" s="272">
        <v>0.55000000000000004</v>
      </c>
      <c r="X837" s="272">
        <v>0.65</v>
      </c>
      <c r="Y837" s="272">
        <v>0.73</v>
      </c>
      <c r="Z837" s="272">
        <v>0.80999999999999994</v>
      </c>
      <c r="AA837" s="272">
        <v>0.87999999999999989</v>
      </c>
      <c r="AB837" s="272">
        <v>0.91999999999999993</v>
      </c>
      <c r="AC837" s="272">
        <v>0.96</v>
      </c>
      <c r="AD837" s="396">
        <v>1</v>
      </c>
      <c r="AE837" s="396">
        <v>1</v>
      </c>
      <c r="AF837" s="396">
        <v>1</v>
      </c>
      <c r="AG837" s="396">
        <v>1</v>
      </c>
      <c r="AH837" s="396">
        <v>1</v>
      </c>
      <c r="AI837" s="396">
        <v>1</v>
      </c>
      <c r="AJ837" s="396">
        <v>1</v>
      </c>
      <c r="AK837" s="396">
        <v>1</v>
      </c>
      <c r="AL837" s="396">
        <v>1</v>
      </c>
      <c r="AM837" s="396">
        <v>1</v>
      </c>
      <c r="AN837" s="396">
        <v>1</v>
      </c>
      <c r="AO837" s="396">
        <v>1</v>
      </c>
      <c r="AP837" s="396">
        <v>1</v>
      </c>
    </row>
    <row r="838" spans="2:42" s="216" customFormat="1" ht="25.5" hidden="1" outlineLevel="3">
      <c r="B838" s="255" t="s">
        <v>924</v>
      </c>
      <c r="C838" s="290" t="s">
        <v>386</v>
      </c>
      <c r="D838" s="227" t="s">
        <v>256</v>
      </c>
      <c r="E838" s="241">
        <v>13670427055</v>
      </c>
      <c r="F838" s="228">
        <f t="shared" si="1587"/>
        <v>6.9148222002037796E-2</v>
      </c>
      <c r="G838" s="269">
        <f t="shared" si="1573"/>
        <v>4.1301831716041102E-3</v>
      </c>
      <c r="H838" s="299">
        <v>46008</v>
      </c>
      <c r="I838" s="299">
        <v>46471</v>
      </c>
      <c r="J838" s="299">
        <v>46332</v>
      </c>
      <c r="K838" s="299">
        <v>46471</v>
      </c>
      <c r="L838" s="299">
        <v>46143</v>
      </c>
      <c r="M838" s="299">
        <v>46735</v>
      </c>
      <c r="N838" s="272">
        <v>7.0000000000000007E-2</v>
      </c>
      <c r="O838" s="272">
        <v>0.15000000000000002</v>
      </c>
      <c r="P838" s="272">
        <v>0.23000000000000004</v>
      </c>
      <c r="Q838" s="272">
        <v>0.27</v>
      </c>
      <c r="R838" s="372">
        <v>0.30000000000000004</v>
      </c>
      <c r="S838" s="395">
        <v>0.32000000000000006</v>
      </c>
      <c r="T838" s="272">
        <v>0.35000000000000009</v>
      </c>
      <c r="U838" s="272">
        <v>0.40000000000000008</v>
      </c>
      <c r="V838" s="272">
        <v>0.47000000000000008</v>
      </c>
      <c r="W838" s="272">
        <v>0.55000000000000004</v>
      </c>
      <c r="X838" s="272">
        <v>0.65</v>
      </c>
      <c r="Y838" s="272">
        <v>0.73</v>
      </c>
      <c r="Z838" s="272">
        <v>0.80999999999999994</v>
      </c>
      <c r="AA838" s="272">
        <v>0.87999999999999989</v>
      </c>
      <c r="AB838" s="272">
        <v>0.91999999999999993</v>
      </c>
      <c r="AC838" s="272">
        <v>0.96</v>
      </c>
      <c r="AD838" s="396">
        <v>1</v>
      </c>
      <c r="AE838" s="396">
        <v>1</v>
      </c>
      <c r="AF838" s="396">
        <v>1</v>
      </c>
      <c r="AG838" s="396">
        <v>1</v>
      </c>
      <c r="AH838" s="396">
        <v>1</v>
      </c>
      <c r="AI838" s="396">
        <v>1</v>
      </c>
      <c r="AJ838" s="396">
        <v>1</v>
      </c>
      <c r="AK838" s="396">
        <v>1</v>
      </c>
      <c r="AL838" s="396">
        <v>1</v>
      </c>
      <c r="AM838" s="396">
        <v>1</v>
      </c>
      <c r="AN838" s="396">
        <v>1</v>
      </c>
      <c r="AO838" s="396">
        <v>1</v>
      </c>
      <c r="AP838" s="396">
        <v>1</v>
      </c>
    </row>
    <row r="839" spans="2:42" s="216" customFormat="1" ht="25.5" hidden="1" outlineLevel="3">
      <c r="B839" s="255" t="s">
        <v>925</v>
      </c>
      <c r="C839" s="290" t="s">
        <v>388</v>
      </c>
      <c r="D839" s="227" t="s">
        <v>256</v>
      </c>
      <c r="E839" s="241">
        <v>13670427055</v>
      </c>
      <c r="F839" s="228">
        <f t="shared" si="1587"/>
        <v>6.9148222002037796E-2</v>
      </c>
      <c r="G839" s="269">
        <f t="shared" si="1573"/>
        <v>4.1301831716041102E-3</v>
      </c>
      <c r="H839" s="299">
        <v>46015</v>
      </c>
      <c r="I839" s="299">
        <v>46478</v>
      </c>
      <c r="J839" s="299">
        <v>46339</v>
      </c>
      <c r="K839" s="299">
        <v>46478</v>
      </c>
      <c r="L839" s="299">
        <v>46143</v>
      </c>
      <c r="M839" s="299">
        <v>46735</v>
      </c>
      <c r="N839" s="272">
        <v>7.0000000000000007E-2</v>
      </c>
      <c r="O839" s="272">
        <v>0.15000000000000002</v>
      </c>
      <c r="P839" s="272">
        <v>0.23000000000000004</v>
      </c>
      <c r="Q839" s="272">
        <v>0.27</v>
      </c>
      <c r="R839" s="372">
        <v>0.30000000000000004</v>
      </c>
      <c r="S839" s="395">
        <v>0.32000000000000006</v>
      </c>
      <c r="T839" s="272">
        <v>0.35000000000000009</v>
      </c>
      <c r="U839" s="272">
        <v>0.40000000000000008</v>
      </c>
      <c r="V839" s="272">
        <v>0.47000000000000008</v>
      </c>
      <c r="W839" s="272">
        <v>0.55000000000000004</v>
      </c>
      <c r="X839" s="272">
        <v>0.65</v>
      </c>
      <c r="Y839" s="272">
        <v>0.73</v>
      </c>
      <c r="Z839" s="272">
        <v>0.80999999999999994</v>
      </c>
      <c r="AA839" s="272">
        <v>0.87999999999999989</v>
      </c>
      <c r="AB839" s="272">
        <v>0.91999999999999993</v>
      </c>
      <c r="AC839" s="272">
        <v>0.96</v>
      </c>
      <c r="AD839" s="396">
        <v>1</v>
      </c>
      <c r="AE839" s="396">
        <v>1</v>
      </c>
      <c r="AF839" s="396">
        <v>1</v>
      </c>
      <c r="AG839" s="396">
        <v>1</v>
      </c>
      <c r="AH839" s="396">
        <v>1</v>
      </c>
      <c r="AI839" s="396">
        <v>1</v>
      </c>
      <c r="AJ839" s="396">
        <v>1</v>
      </c>
      <c r="AK839" s="396">
        <v>1</v>
      </c>
      <c r="AL839" s="396">
        <v>1</v>
      </c>
      <c r="AM839" s="396">
        <v>1</v>
      </c>
      <c r="AN839" s="396">
        <v>1</v>
      </c>
      <c r="AO839" s="396">
        <v>1</v>
      </c>
      <c r="AP839" s="396">
        <v>1</v>
      </c>
    </row>
    <row r="840" spans="2:42" s="216" customFormat="1" ht="25.5" hidden="1" outlineLevel="3">
      <c r="B840" s="255" t="s">
        <v>926</v>
      </c>
      <c r="C840" s="290" t="s">
        <v>390</v>
      </c>
      <c r="D840" s="227" t="s">
        <v>256</v>
      </c>
      <c r="E840" s="241">
        <v>13670427055</v>
      </c>
      <c r="F840" s="228">
        <f t="shared" si="1587"/>
        <v>6.9148222002037796E-2</v>
      </c>
      <c r="G840" s="269">
        <f t="shared" si="1573"/>
        <v>4.1301831716041102E-3</v>
      </c>
      <c r="H840" s="299">
        <v>46022</v>
      </c>
      <c r="I840" s="299">
        <v>46485</v>
      </c>
      <c r="J840" s="299">
        <v>46346</v>
      </c>
      <c r="K840" s="299">
        <v>46485</v>
      </c>
      <c r="L840" s="299">
        <v>46143</v>
      </c>
      <c r="M840" s="299">
        <v>46735</v>
      </c>
      <c r="N840" s="272">
        <v>7.0000000000000007E-2</v>
      </c>
      <c r="O840" s="272">
        <v>0.15000000000000002</v>
      </c>
      <c r="P840" s="272">
        <v>0.23000000000000004</v>
      </c>
      <c r="Q840" s="272">
        <v>0.27</v>
      </c>
      <c r="R840" s="372">
        <v>0.30000000000000004</v>
      </c>
      <c r="S840" s="395">
        <v>0.32000000000000006</v>
      </c>
      <c r="T840" s="272">
        <v>0.35000000000000009</v>
      </c>
      <c r="U840" s="272">
        <v>0.40000000000000008</v>
      </c>
      <c r="V840" s="272">
        <v>0.47000000000000008</v>
      </c>
      <c r="W840" s="272">
        <v>0.55000000000000004</v>
      </c>
      <c r="X840" s="272">
        <v>0.65</v>
      </c>
      <c r="Y840" s="272">
        <v>0.73</v>
      </c>
      <c r="Z840" s="272">
        <v>0.80999999999999994</v>
      </c>
      <c r="AA840" s="272">
        <v>0.87999999999999989</v>
      </c>
      <c r="AB840" s="272">
        <v>0.91999999999999993</v>
      </c>
      <c r="AC840" s="272">
        <v>0.96</v>
      </c>
      <c r="AD840" s="396">
        <v>1</v>
      </c>
      <c r="AE840" s="396">
        <v>1</v>
      </c>
      <c r="AF840" s="396">
        <v>1</v>
      </c>
      <c r="AG840" s="396">
        <v>1</v>
      </c>
      <c r="AH840" s="396">
        <v>1</v>
      </c>
      <c r="AI840" s="396">
        <v>1</v>
      </c>
      <c r="AJ840" s="396">
        <v>1</v>
      </c>
      <c r="AK840" s="396">
        <v>1</v>
      </c>
      <c r="AL840" s="396">
        <v>1</v>
      </c>
      <c r="AM840" s="396">
        <v>1</v>
      </c>
      <c r="AN840" s="396">
        <v>1</v>
      </c>
      <c r="AO840" s="396">
        <v>1</v>
      </c>
      <c r="AP840" s="396">
        <v>1</v>
      </c>
    </row>
    <row r="841" spans="2:42" s="216" customFormat="1" ht="12.75" hidden="1" outlineLevel="2">
      <c r="B841" s="291" t="s">
        <v>940</v>
      </c>
      <c r="C841" s="292" t="s">
        <v>170</v>
      </c>
      <c r="D841" s="234" t="s">
        <v>171</v>
      </c>
      <c r="E841" s="240">
        <v>82596282000</v>
      </c>
      <c r="F841" s="223">
        <f t="shared" si="1580"/>
        <v>4.25702422192204E-2</v>
      </c>
      <c r="G841" s="293">
        <f t="shared" si="1573"/>
        <v>2.4954434311450079E-2</v>
      </c>
      <c r="H841" s="298"/>
      <c r="I841" s="298"/>
      <c r="J841" s="298"/>
      <c r="K841" s="298"/>
      <c r="L841" s="298"/>
      <c r="M841" s="298"/>
      <c r="N841" s="270">
        <v>0</v>
      </c>
      <c r="O841" s="270">
        <v>0</v>
      </c>
      <c r="P841" s="270">
        <v>0</v>
      </c>
      <c r="Q841" s="270">
        <v>0</v>
      </c>
      <c r="R841" s="370">
        <v>0</v>
      </c>
      <c r="S841" s="391">
        <v>0</v>
      </c>
      <c r="T841" s="270">
        <v>0</v>
      </c>
      <c r="U841" s="270">
        <v>0</v>
      </c>
      <c r="V841" s="270">
        <v>0.2</v>
      </c>
      <c r="W841" s="270">
        <v>0.4</v>
      </c>
      <c r="X841" s="270">
        <v>0.60000000000000009</v>
      </c>
      <c r="Y841" s="270">
        <v>0.8</v>
      </c>
      <c r="Z841" s="270">
        <v>1</v>
      </c>
      <c r="AA841" s="270">
        <v>1</v>
      </c>
      <c r="AB841" s="270">
        <v>1</v>
      </c>
      <c r="AC841" s="270">
        <v>1</v>
      </c>
      <c r="AD841" s="392">
        <v>1</v>
      </c>
      <c r="AE841" s="392">
        <v>1</v>
      </c>
      <c r="AF841" s="392">
        <v>1</v>
      </c>
      <c r="AG841" s="392">
        <v>1</v>
      </c>
      <c r="AH841" s="392">
        <v>1</v>
      </c>
      <c r="AI841" s="392">
        <v>1</v>
      </c>
      <c r="AJ841" s="392">
        <v>1</v>
      </c>
      <c r="AK841" s="392">
        <v>1</v>
      </c>
      <c r="AL841" s="392">
        <v>1</v>
      </c>
      <c r="AM841" s="392">
        <v>1</v>
      </c>
      <c r="AN841" s="392">
        <v>1</v>
      </c>
      <c r="AO841" s="392">
        <v>1</v>
      </c>
      <c r="AP841" s="392">
        <v>1</v>
      </c>
    </row>
    <row r="842" spans="2:42" s="140" customFormat="1" ht="12.75" hidden="1" outlineLevel="1">
      <c r="B842" s="294" t="s">
        <v>941</v>
      </c>
      <c r="C842" s="294" t="s">
        <v>392</v>
      </c>
      <c r="D842" s="294" t="s">
        <v>47</v>
      </c>
      <c r="E842" s="295">
        <f>+SUM(E843:E857)</f>
        <v>96959486358</v>
      </c>
      <c r="F842" s="296">
        <f>+E842/$E$718</f>
        <v>3.9032542437386124E-2</v>
      </c>
      <c r="G842" s="296">
        <f t="shared" si="1573"/>
        <v>2.9293923099258285E-2</v>
      </c>
      <c r="H842" s="297">
        <f>MIN(H843:H857)</f>
        <v>46241</v>
      </c>
      <c r="I842" s="297">
        <f>MAX(I843:I857)</f>
        <v>46598</v>
      </c>
      <c r="J842" s="297"/>
      <c r="K842" s="297"/>
      <c r="L842" s="297">
        <f>MIN(L843:L857)</f>
        <v>46241</v>
      </c>
      <c r="M842" s="297">
        <v>46629</v>
      </c>
      <c r="N842" s="296">
        <f t="shared" ref="N842:AP842" si="1588">MAX(N843:N857)</f>
        <v>0</v>
      </c>
      <c r="O842" s="296">
        <f t="shared" si="1588"/>
        <v>0.23</v>
      </c>
      <c r="P842" s="296">
        <f t="shared" si="1588"/>
        <v>0.45850000000000002</v>
      </c>
      <c r="Q842" s="296">
        <f t="shared" si="1588"/>
        <v>0.45850000000000002</v>
      </c>
      <c r="R842" s="376">
        <f t="shared" si="1588"/>
        <v>0.47</v>
      </c>
      <c r="S842" s="403">
        <f t="shared" si="1588"/>
        <v>0.63</v>
      </c>
      <c r="T842" s="296">
        <f t="shared" si="1588"/>
        <v>0.76</v>
      </c>
      <c r="U842" s="296">
        <f t="shared" si="1588"/>
        <v>0.87</v>
      </c>
      <c r="V842" s="296">
        <f t="shared" si="1588"/>
        <v>1</v>
      </c>
      <c r="W842" s="296">
        <f t="shared" si="1588"/>
        <v>1</v>
      </c>
      <c r="X842" s="296">
        <f t="shared" si="1588"/>
        <v>1</v>
      </c>
      <c r="Y842" s="296">
        <f t="shared" si="1588"/>
        <v>1</v>
      </c>
      <c r="Z842" s="296">
        <f t="shared" si="1588"/>
        <v>1</v>
      </c>
      <c r="AA842" s="296">
        <f t="shared" si="1588"/>
        <v>1</v>
      </c>
      <c r="AB842" s="296">
        <f t="shared" si="1588"/>
        <v>1</v>
      </c>
      <c r="AC842" s="296">
        <f t="shared" si="1588"/>
        <v>1</v>
      </c>
      <c r="AD842" s="404">
        <f t="shared" si="1588"/>
        <v>1</v>
      </c>
      <c r="AE842" s="404">
        <f t="shared" si="1588"/>
        <v>1</v>
      </c>
      <c r="AF842" s="404">
        <f t="shared" si="1588"/>
        <v>1</v>
      </c>
      <c r="AG842" s="404">
        <f t="shared" si="1588"/>
        <v>1</v>
      </c>
      <c r="AH842" s="404">
        <f t="shared" si="1588"/>
        <v>1</v>
      </c>
      <c r="AI842" s="404">
        <f t="shared" si="1588"/>
        <v>1</v>
      </c>
      <c r="AJ842" s="404">
        <f t="shared" si="1588"/>
        <v>1</v>
      </c>
      <c r="AK842" s="404">
        <f t="shared" si="1588"/>
        <v>1</v>
      </c>
      <c r="AL842" s="404">
        <f t="shared" si="1588"/>
        <v>1</v>
      </c>
      <c r="AM842" s="404">
        <f t="shared" si="1588"/>
        <v>1</v>
      </c>
      <c r="AN842" s="404">
        <f t="shared" si="1588"/>
        <v>1</v>
      </c>
      <c r="AO842" s="404">
        <f t="shared" si="1588"/>
        <v>1</v>
      </c>
      <c r="AP842" s="404">
        <f t="shared" si="1588"/>
        <v>1</v>
      </c>
    </row>
    <row r="843" spans="2:42" s="216" customFormat="1" ht="12.75" hidden="1" outlineLevel="2">
      <c r="B843" s="255" t="s">
        <v>942</v>
      </c>
      <c r="C843" s="245" t="s">
        <v>49</v>
      </c>
      <c r="D843" s="227" t="s">
        <v>50</v>
      </c>
      <c r="E843" s="241">
        <v>9005365437</v>
      </c>
      <c r="F843" s="228">
        <f>E843/$E$842</f>
        <v>9.2877610796635368E-2</v>
      </c>
      <c r="G843" s="269">
        <f t="shared" si="1573"/>
        <v>2.7207495883194771E-3</v>
      </c>
      <c r="H843" s="299">
        <v>46241</v>
      </c>
      <c r="I843" s="299">
        <v>46387</v>
      </c>
      <c r="J843" s="299"/>
      <c r="K843" s="299"/>
      <c r="L843" s="299">
        <v>46241</v>
      </c>
      <c r="M843" s="299">
        <v>46568</v>
      </c>
      <c r="N843" s="272">
        <v>0</v>
      </c>
      <c r="O843" s="272">
        <v>0</v>
      </c>
      <c r="P843" s="272">
        <v>0.2</v>
      </c>
      <c r="Q843" s="272">
        <v>0.2</v>
      </c>
      <c r="R843" s="372">
        <v>0.2</v>
      </c>
      <c r="S843" s="395">
        <v>0.2</v>
      </c>
      <c r="T843" s="272">
        <v>0.2</v>
      </c>
      <c r="U843" s="272">
        <v>0.2</v>
      </c>
      <c r="V843" s="272">
        <v>0.5</v>
      </c>
      <c r="W843" s="272">
        <v>0.75</v>
      </c>
      <c r="X843" s="272">
        <v>1</v>
      </c>
      <c r="Y843" s="272">
        <v>1</v>
      </c>
      <c r="Z843" s="272">
        <v>1</v>
      </c>
      <c r="AA843" s="272">
        <v>1</v>
      </c>
      <c r="AB843" s="272">
        <v>1</v>
      </c>
      <c r="AC843" s="272">
        <v>1</v>
      </c>
      <c r="AD843" s="396">
        <v>1</v>
      </c>
      <c r="AE843" s="396">
        <v>1</v>
      </c>
      <c r="AF843" s="396">
        <v>1</v>
      </c>
      <c r="AG843" s="396">
        <v>1</v>
      </c>
      <c r="AH843" s="396">
        <v>1</v>
      </c>
      <c r="AI843" s="396">
        <v>1</v>
      </c>
      <c r="AJ843" s="396">
        <v>1</v>
      </c>
      <c r="AK843" s="396">
        <v>1</v>
      </c>
      <c r="AL843" s="396">
        <v>1</v>
      </c>
      <c r="AM843" s="396">
        <v>1</v>
      </c>
      <c r="AN843" s="396">
        <v>1</v>
      </c>
      <c r="AO843" s="396">
        <v>1</v>
      </c>
      <c r="AP843" s="396">
        <v>1</v>
      </c>
    </row>
    <row r="844" spans="2:42" s="216" customFormat="1" ht="12.75" hidden="1" outlineLevel="2">
      <c r="B844" s="255" t="s">
        <v>943</v>
      </c>
      <c r="C844" s="245" t="s">
        <v>52</v>
      </c>
      <c r="D844" s="227" t="s">
        <v>53</v>
      </c>
      <c r="E844" s="241">
        <v>5633852219</v>
      </c>
      <c r="F844" s="228">
        <f t="shared" ref="F844:F857" si="1589">E844/$E$842</f>
        <v>5.8105219309829384E-2</v>
      </c>
      <c r="G844" s="269">
        <f t="shared" si="1573"/>
        <v>1.7021298261276792E-3</v>
      </c>
      <c r="H844" s="299">
        <v>46241</v>
      </c>
      <c r="I844" s="299">
        <v>46387</v>
      </c>
      <c r="J844" s="299"/>
      <c r="K844" s="299"/>
      <c r="L844" s="299">
        <v>46241</v>
      </c>
      <c r="M844" s="299">
        <v>46568</v>
      </c>
      <c r="N844" s="272">
        <v>0</v>
      </c>
      <c r="O844" s="272">
        <v>0</v>
      </c>
      <c r="P844" s="272">
        <v>0.2</v>
      </c>
      <c r="Q844" s="272">
        <v>0.2</v>
      </c>
      <c r="R844" s="372">
        <v>0.2</v>
      </c>
      <c r="S844" s="395">
        <v>0.2</v>
      </c>
      <c r="T844" s="272">
        <v>0.2</v>
      </c>
      <c r="U844" s="272">
        <v>0.2</v>
      </c>
      <c r="V844" s="272">
        <v>0.5</v>
      </c>
      <c r="W844" s="272">
        <v>0.75</v>
      </c>
      <c r="X844" s="272">
        <v>1</v>
      </c>
      <c r="Y844" s="272">
        <v>1</v>
      </c>
      <c r="Z844" s="272">
        <v>1</v>
      </c>
      <c r="AA844" s="272">
        <v>1</v>
      </c>
      <c r="AB844" s="272">
        <v>1</v>
      </c>
      <c r="AC844" s="272">
        <v>1</v>
      </c>
      <c r="AD844" s="396">
        <v>1</v>
      </c>
      <c r="AE844" s="396">
        <v>1</v>
      </c>
      <c r="AF844" s="396">
        <v>1</v>
      </c>
      <c r="AG844" s="396">
        <v>1</v>
      </c>
      <c r="AH844" s="396">
        <v>1</v>
      </c>
      <c r="AI844" s="396">
        <v>1</v>
      </c>
      <c r="AJ844" s="396">
        <v>1</v>
      </c>
      <c r="AK844" s="396">
        <v>1</v>
      </c>
      <c r="AL844" s="396">
        <v>1</v>
      </c>
      <c r="AM844" s="396">
        <v>1</v>
      </c>
      <c r="AN844" s="396">
        <v>1</v>
      </c>
      <c r="AO844" s="396">
        <v>1</v>
      </c>
      <c r="AP844" s="396">
        <v>1</v>
      </c>
    </row>
    <row r="845" spans="2:42" s="216" customFormat="1" ht="12.75" hidden="1" outlineLevel="2">
      <c r="B845" s="255" t="s">
        <v>944</v>
      </c>
      <c r="C845" s="245" t="s">
        <v>55</v>
      </c>
      <c r="D845" s="227" t="s">
        <v>56</v>
      </c>
      <c r="E845" s="241">
        <v>2695174244</v>
      </c>
      <c r="F845" s="228">
        <f t="shared" si="1589"/>
        <v>2.7796911320762424E-2</v>
      </c>
      <c r="G845" s="269">
        <f t="shared" si="1573"/>
        <v>8.1428058262731642E-4</v>
      </c>
      <c r="H845" s="299">
        <v>46241</v>
      </c>
      <c r="I845" s="299">
        <v>46387</v>
      </c>
      <c r="J845" s="299"/>
      <c r="K845" s="299"/>
      <c r="L845" s="299">
        <v>46241</v>
      </c>
      <c r="M845" s="299">
        <v>46629</v>
      </c>
      <c r="N845" s="272">
        <v>0</v>
      </c>
      <c r="O845" s="272">
        <v>0</v>
      </c>
      <c r="P845" s="272">
        <v>0</v>
      </c>
      <c r="Q845" s="272">
        <v>0</v>
      </c>
      <c r="R845" s="372">
        <v>0</v>
      </c>
      <c r="S845" s="395">
        <v>0</v>
      </c>
      <c r="T845" s="272">
        <v>0</v>
      </c>
      <c r="U845" s="272">
        <v>0</v>
      </c>
      <c r="V845" s="272">
        <v>0.2</v>
      </c>
      <c r="W845" s="272">
        <v>0.4</v>
      </c>
      <c r="X845" s="272">
        <v>0.60000000000000009</v>
      </c>
      <c r="Y845" s="272">
        <v>0.8</v>
      </c>
      <c r="Z845" s="272">
        <v>1</v>
      </c>
      <c r="AA845" s="272">
        <v>1</v>
      </c>
      <c r="AB845" s="272">
        <v>1</v>
      </c>
      <c r="AC845" s="272">
        <v>1</v>
      </c>
      <c r="AD845" s="396">
        <v>1</v>
      </c>
      <c r="AE845" s="396">
        <v>1</v>
      </c>
      <c r="AF845" s="396">
        <v>1</v>
      </c>
      <c r="AG845" s="396">
        <v>1</v>
      </c>
      <c r="AH845" s="396">
        <v>1</v>
      </c>
      <c r="AI845" s="396">
        <v>1</v>
      </c>
      <c r="AJ845" s="396">
        <v>1</v>
      </c>
      <c r="AK845" s="396">
        <v>1</v>
      </c>
      <c r="AL845" s="396">
        <v>1</v>
      </c>
      <c r="AM845" s="396">
        <v>1</v>
      </c>
      <c r="AN845" s="396">
        <v>1</v>
      </c>
      <c r="AO845" s="396">
        <v>1</v>
      </c>
      <c r="AP845" s="396">
        <v>1</v>
      </c>
    </row>
    <row r="846" spans="2:42" s="216" customFormat="1" ht="12.75" hidden="1" outlineLevel="2">
      <c r="B846" s="255" t="s">
        <v>945</v>
      </c>
      <c r="C846" s="245" t="s">
        <v>58</v>
      </c>
      <c r="D846" s="227" t="s">
        <v>59</v>
      </c>
      <c r="E846" s="241">
        <v>2826882949</v>
      </c>
      <c r="F846" s="228">
        <f t="shared" si="1589"/>
        <v>2.9155300375276354E-2</v>
      </c>
      <c r="G846" s="269">
        <f t="shared" si="1573"/>
        <v>8.5407312712912169E-4</v>
      </c>
      <c r="H846" s="299">
        <v>46241</v>
      </c>
      <c r="I846" s="299">
        <v>46387</v>
      </c>
      <c r="J846" s="299"/>
      <c r="K846" s="299"/>
      <c r="L846" s="299">
        <v>46241</v>
      </c>
      <c r="M846" s="299">
        <v>46537</v>
      </c>
      <c r="N846" s="272">
        <v>0</v>
      </c>
      <c r="O846" s="272">
        <v>0.23</v>
      </c>
      <c r="P846" s="272">
        <v>0.4239</v>
      </c>
      <c r="Q846" s="272">
        <v>0.4239</v>
      </c>
      <c r="R846" s="372">
        <v>0.4239</v>
      </c>
      <c r="S846" s="395">
        <v>0.4239</v>
      </c>
      <c r="T846" s="272">
        <v>0.4239</v>
      </c>
      <c r="U846" s="272">
        <v>0.4239</v>
      </c>
      <c r="V846" s="272">
        <v>0.90169999999999995</v>
      </c>
      <c r="W846" s="272">
        <v>1</v>
      </c>
      <c r="X846" s="272">
        <v>1</v>
      </c>
      <c r="Y846" s="272">
        <v>1</v>
      </c>
      <c r="Z846" s="272">
        <v>1</v>
      </c>
      <c r="AA846" s="272">
        <v>1</v>
      </c>
      <c r="AB846" s="272">
        <v>1</v>
      </c>
      <c r="AC846" s="272">
        <v>1</v>
      </c>
      <c r="AD846" s="396">
        <v>1</v>
      </c>
      <c r="AE846" s="396">
        <v>1</v>
      </c>
      <c r="AF846" s="396">
        <v>1</v>
      </c>
      <c r="AG846" s="396">
        <v>1</v>
      </c>
      <c r="AH846" s="396">
        <v>1</v>
      </c>
      <c r="AI846" s="396">
        <v>1</v>
      </c>
      <c r="AJ846" s="396">
        <v>1</v>
      </c>
      <c r="AK846" s="396">
        <v>1</v>
      </c>
      <c r="AL846" s="396">
        <v>1</v>
      </c>
      <c r="AM846" s="396">
        <v>1</v>
      </c>
      <c r="AN846" s="396">
        <v>1</v>
      </c>
      <c r="AO846" s="396">
        <v>1</v>
      </c>
      <c r="AP846" s="396">
        <v>1</v>
      </c>
    </row>
    <row r="847" spans="2:42" s="216" customFormat="1" ht="12.75" hidden="1" outlineLevel="2">
      <c r="B847" s="255" t="s">
        <v>946</v>
      </c>
      <c r="C847" s="245" t="s">
        <v>61</v>
      </c>
      <c r="D847" s="227" t="s">
        <v>62</v>
      </c>
      <c r="E847" s="241">
        <v>3896103815</v>
      </c>
      <c r="F847" s="228">
        <f t="shared" si="1589"/>
        <v>4.0182801717972776E-2</v>
      </c>
      <c r="G847" s="269">
        <f t="shared" si="1573"/>
        <v>1.177111903439038E-3</v>
      </c>
      <c r="H847" s="299">
        <v>46241</v>
      </c>
      <c r="I847" s="299">
        <v>46387</v>
      </c>
      <c r="J847" s="299"/>
      <c r="K847" s="299"/>
      <c r="L847" s="299">
        <v>46241</v>
      </c>
      <c r="M847" s="299">
        <v>46537</v>
      </c>
      <c r="N847" s="272">
        <v>0</v>
      </c>
      <c r="O847" s="272">
        <v>0.17829999999999999</v>
      </c>
      <c r="P847" s="272">
        <v>0.45850000000000002</v>
      </c>
      <c r="Q847" s="272">
        <v>0.45850000000000002</v>
      </c>
      <c r="R847" s="372">
        <v>0.45850000000000002</v>
      </c>
      <c r="S847" s="395">
        <v>0.45850000000000002</v>
      </c>
      <c r="T847" s="272">
        <v>0.45850000000000002</v>
      </c>
      <c r="U847" s="272">
        <v>0.45850000000000002</v>
      </c>
      <c r="V847" s="272">
        <v>0.70850000000000002</v>
      </c>
      <c r="W847" s="272">
        <v>1</v>
      </c>
      <c r="X847" s="272">
        <v>1</v>
      </c>
      <c r="Y847" s="272">
        <v>1</v>
      </c>
      <c r="Z847" s="272">
        <v>1</v>
      </c>
      <c r="AA847" s="272">
        <v>1</v>
      </c>
      <c r="AB847" s="272">
        <v>1</v>
      </c>
      <c r="AC847" s="272">
        <v>1</v>
      </c>
      <c r="AD847" s="396">
        <v>1</v>
      </c>
      <c r="AE847" s="396">
        <v>1</v>
      </c>
      <c r="AF847" s="396">
        <v>1</v>
      </c>
      <c r="AG847" s="396">
        <v>1</v>
      </c>
      <c r="AH847" s="396">
        <v>1</v>
      </c>
      <c r="AI847" s="396">
        <v>1</v>
      </c>
      <c r="AJ847" s="396">
        <v>1</v>
      </c>
      <c r="AK847" s="396">
        <v>1</v>
      </c>
      <c r="AL847" s="396">
        <v>1</v>
      </c>
      <c r="AM847" s="396">
        <v>1</v>
      </c>
      <c r="AN847" s="396">
        <v>1</v>
      </c>
      <c r="AO847" s="396">
        <v>1</v>
      </c>
      <c r="AP847" s="396">
        <v>1</v>
      </c>
    </row>
    <row r="848" spans="2:42" s="216" customFormat="1" ht="12.75" hidden="1" outlineLevel="2">
      <c r="B848" s="255" t="s">
        <v>947</v>
      </c>
      <c r="C848" s="245" t="s">
        <v>64</v>
      </c>
      <c r="D848" s="227" t="s">
        <v>65</v>
      </c>
      <c r="E848" s="241">
        <v>9561661087</v>
      </c>
      <c r="F848" s="228">
        <f t="shared" si="1589"/>
        <v>9.8615013818202632E-2</v>
      </c>
      <c r="G848" s="269">
        <f t="shared" si="1573"/>
        <v>2.8888206312227211E-3</v>
      </c>
      <c r="H848" s="299">
        <v>46241</v>
      </c>
      <c r="I848" s="299">
        <v>46387</v>
      </c>
      <c r="J848" s="299"/>
      <c r="K848" s="299"/>
      <c r="L848" s="299">
        <v>46241</v>
      </c>
      <c r="M848" s="299">
        <v>46568</v>
      </c>
      <c r="N848" s="272">
        <v>0</v>
      </c>
      <c r="O848" s="272">
        <v>0.16</v>
      </c>
      <c r="P848" s="272">
        <v>0.33799999999999997</v>
      </c>
      <c r="Q848" s="272">
        <v>0.33799999999999997</v>
      </c>
      <c r="R848" s="372">
        <v>0.33799999999999997</v>
      </c>
      <c r="S848" s="395">
        <v>0.33799999999999997</v>
      </c>
      <c r="T848" s="272">
        <v>0.33799999999999997</v>
      </c>
      <c r="U848" s="272">
        <v>0.33799999999999997</v>
      </c>
      <c r="V848" s="272">
        <v>0.58229999999999993</v>
      </c>
      <c r="W848" s="272">
        <v>0.87569999999999992</v>
      </c>
      <c r="X848" s="272">
        <v>1</v>
      </c>
      <c r="Y848" s="272">
        <v>1</v>
      </c>
      <c r="Z848" s="272">
        <v>1</v>
      </c>
      <c r="AA848" s="272">
        <v>1</v>
      </c>
      <c r="AB848" s="272">
        <v>1</v>
      </c>
      <c r="AC848" s="272">
        <v>1</v>
      </c>
      <c r="AD848" s="396">
        <v>1</v>
      </c>
      <c r="AE848" s="396">
        <v>1</v>
      </c>
      <c r="AF848" s="396">
        <v>1</v>
      </c>
      <c r="AG848" s="396">
        <v>1</v>
      </c>
      <c r="AH848" s="396">
        <v>1</v>
      </c>
      <c r="AI848" s="396">
        <v>1</v>
      </c>
      <c r="AJ848" s="396">
        <v>1</v>
      </c>
      <c r="AK848" s="396">
        <v>1</v>
      </c>
      <c r="AL848" s="396">
        <v>1</v>
      </c>
      <c r="AM848" s="396">
        <v>1</v>
      </c>
      <c r="AN848" s="396">
        <v>1</v>
      </c>
      <c r="AO848" s="396">
        <v>1</v>
      </c>
      <c r="AP848" s="396">
        <v>1</v>
      </c>
    </row>
    <row r="849" spans="2:42" s="216" customFormat="1" ht="12.75" hidden="1" outlineLevel="2">
      <c r="B849" s="255" t="s">
        <v>948</v>
      </c>
      <c r="C849" s="245" t="s">
        <v>67</v>
      </c>
      <c r="D849" s="227" t="s">
        <v>68</v>
      </c>
      <c r="E849" s="241">
        <v>8886318387</v>
      </c>
      <c r="F849" s="228">
        <f t="shared" si="1589"/>
        <v>9.164980880972666E-2</v>
      </c>
      <c r="G849" s="269">
        <f t="shared" si="1573"/>
        <v>2.6847824513338571E-3</v>
      </c>
      <c r="H849" s="299">
        <v>46241</v>
      </c>
      <c r="I849" s="299">
        <v>46387</v>
      </c>
      <c r="J849" s="299"/>
      <c r="K849" s="299"/>
      <c r="L849" s="299">
        <v>46241</v>
      </c>
      <c r="M849" s="299">
        <v>46507</v>
      </c>
      <c r="N849" s="272">
        <v>0</v>
      </c>
      <c r="O849" s="272">
        <v>0</v>
      </c>
      <c r="P849" s="272">
        <v>0.09</v>
      </c>
      <c r="Q849" s="272">
        <v>0.36</v>
      </c>
      <c r="R849" s="372">
        <v>0.47</v>
      </c>
      <c r="S849" s="395">
        <v>0.63</v>
      </c>
      <c r="T849" s="272">
        <v>0.76</v>
      </c>
      <c r="U849" s="272">
        <v>0.87</v>
      </c>
      <c r="V849" s="272">
        <v>1</v>
      </c>
      <c r="W849" s="272">
        <v>1</v>
      </c>
      <c r="X849" s="272">
        <v>1</v>
      </c>
      <c r="Y849" s="272">
        <v>1</v>
      </c>
      <c r="Z849" s="272">
        <v>1</v>
      </c>
      <c r="AA849" s="272">
        <v>1</v>
      </c>
      <c r="AB849" s="272">
        <v>1</v>
      </c>
      <c r="AC849" s="272">
        <v>1</v>
      </c>
      <c r="AD849" s="396">
        <v>1</v>
      </c>
      <c r="AE849" s="396">
        <v>1</v>
      </c>
      <c r="AF849" s="396">
        <v>1</v>
      </c>
      <c r="AG849" s="396">
        <v>1</v>
      </c>
      <c r="AH849" s="396">
        <v>1</v>
      </c>
      <c r="AI849" s="396">
        <v>1</v>
      </c>
      <c r="AJ849" s="396">
        <v>1</v>
      </c>
      <c r="AK849" s="396">
        <v>1</v>
      </c>
      <c r="AL849" s="396">
        <v>1</v>
      </c>
      <c r="AM849" s="396">
        <v>1</v>
      </c>
      <c r="AN849" s="396">
        <v>1</v>
      </c>
      <c r="AO849" s="396">
        <v>1</v>
      </c>
      <c r="AP849" s="396">
        <v>1</v>
      </c>
    </row>
    <row r="850" spans="2:42" s="216" customFormat="1" ht="25.5" hidden="1" outlineLevel="2">
      <c r="B850" s="255" t="s">
        <v>949</v>
      </c>
      <c r="C850" s="245" t="s">
        <v>70</v>
      </c>
      <c r="D850" s="227" t="s">
        <v>71</v>
      </c>
      <c r="E850" s="241">
        <v>9008445822</v>
      </c>
      <c r="F850" s="228">
        <f t="shared" si="1589"/>
        <v>9.2909380612212003E-2</v>
      </c>
      <c r="G850" s="269">
        <f t="shared" si="1573"/>
        <v>2.721680250853857E-3</v>
      </c>
      <c r="H850" s="299"/>
      <c r="I850" s="299"/>
      <c r="J850" s="299"/>
      <c r="K850" s="299"/>
      <c r="L850" s="299">
        <v>46241</v>
      </c>
      <c r="M850" s="299">
        <v>46629</v>
      </c>
      <c r="N850" s="272">
        <v>0</v>
      </c>
      <c r="O850" s="272">
        <v>0</v>
      </c>
      <c r="P850" s="272">
        <v>0</v>
      </c>
      <c r="Q850" s="272">
        <v>0</v>
      </c>
      <c r="R850" s="372">
        <v>0</v>
      </c>
      <c r="S850" s="395"/>
      <c r="T850" s="272"/>
      <c r="U850" s="272"/>
      <c r="V850" s="272">
        <v>0.25</v>
      </c>
      <c r="W850" s="272">
        <v>0.5</v>
      </c>
      <c r="X850" s="272">
        <v>0.75</v>
      </c>
      <c r="Y850" s="272">
        <v>1</v>
      </c>
      <c r="Z850" s="272">
        <v>1</v>
      </c>
      <c r="AA850" s="272">
        <v>1</v>
      </c>
      <c r="AB850" s="272">
        <v>1</v>
      </c>
      <c r="AC850" s="272">
        <v>1</v>
      </c>
      <c r="AD850" s="396">
        <v>1</v>
      </c>
      <c r="AE850" s="396">
        <v>1</v>
      </c>
      <c r="AF850" s="396">
        <v>1</v>
      </c>
      <c r="AG850" s="396">
        <v>1</v>
      </c>
      <c r="AH850" s="396">
        <v>1</v>
      </c>
      <c r="AI850" s="396">
        <v>1</v>
      </c>
      <c r="AJ850" s="396">
        <v>1</v>
      </c>
      <c r="AK850" s="396">
        <v>1</v>
      </c>
      <c r="AL850" s="396">
        <v>1</v>
      </c>
      <c r="AM850" s="396">
        <v>1</v>
      </c>
      <c r="AN850" s="396">
        <v>1</v>
      </c>
      <c r="AO850" s="396">
        <v>1</v>
      </c>
      <c r="AP850" s="396">
        <v>1</v>
      </c>
    </row>
    <row r="851" spans="2:42" s="216" customFormat="1" ht="12.75" hidden="1" outlineLevel="2">
      <c r="B851" s="255" t="s">
        <v>950</v>
      </c>
      <c r="C851" s="245" t="s">
        <v>73</v>
      </c>
      <c r="D851" s="227" t="s">
        <v>74</v>
      </c>
      <c r="E851" s="241">
        <v>7842764759</v>
      </c>
      <c r="F851" s="228">
        <f t="shared" si="1589"/>
        <v>8.0887028733242702E-2</v>
      </c>
      <c r="G851" s="269">
        <f t="shared" si="1573"/>
        <v>2.3694983994391071E-3</v>
      </c>
      <c r="H851" s="299">
        <v>46508</v>
      </c>
      <c r="I851" s="299">
        <v>46598</v>
      </c>
      <c r="J851" s="299"/>
      <c r="K851" s="299"/>
      <c r="L851" s="299">
        <v>46508</v>
      </c>
      <c r="M851" s="299">
        <v>46598</v>
      </c>
      <c r="N851" s="272">
        <v>0</v>
      </c>
      <c r="O851" s="272">
        <v>0</v>
      </c>
      <c r="P851" s="272">
        <v>0</v>
      </c>
      <c r="Q851" s="272">
        <v>0</v>
      </c>
      <c r="R851" s="372">
        <v>0</v>
      </c>
      <c r="S851" s="395">
        <v>0</v>
      </c>
      <c r="T851" s="272">
        <v>0</v>
      </c>
      <c r="U851" s="272">
        <v>0</v>
      </c>
      <c r="V851" s="272">
        <v>0</v>
      </c>
      <c r="W851" s="272">
        <v>0.3</v>
      </c>
      <c r="X851" s="272">
        <v>0.6</v>
      </c>
      <c r="Y851" s="272">
        <v>1</v>
      </c>
      <c r="Z851" s="272">
        <v>1</v>
      </c>
      <c r="AA851" s="272">
        <v>1</v>
      </c>
      <c r="AB851" s="272">
        <v>1</v>
      </c>
      <c r="AC851" s="272">
        <v>1</v>
      </c>
      <c r="AD851" s="396">
        <v>1</v>
      </c>
      <c r="AE851" s="396">
        <v>1</v>
      </c>
      <c r="AF851" s="396">
        <v>1</v>
      </c>
      <c r="AG851" s="396">
        <v>1</v>
      </c>
      <c r="AH851" s="396">
        <v>1</v>
      </c>
      <c r="AI851" s="396">
        <v>1</v>
      </c>
      <c r="AJ851" s="396">
        <v>1</v>
      </c>
      <c r="AK851" s="396">
        <v>1</v>
      </c>
      <c r="AL851" s="396">
        <v>1</v>
      </c>
      <c r="AM851" s="396">
        <v>1</v>
      </c>
      <c r="AN851" s="396">
        <v>1</v>
      </c>
      <c r="AO851" s="396">
        <v>1</v>
      </c>
      <c r="AP851" s="396">
        <v>1</v>
      </c>
    </row>
    <row r="852" spans="2:42" s="216" customFormat="1" ht="12.75" hidden="1" outlineLevel="2">
      <c r="B852" s="255" t="s">
        <v>951</v>
      </c>
      <c r="C852" s="245" t="s">
        <v>76</v>
      </c>
      <c r="D852" s="227" t="s">
        <v>77</v>
      </c>
      <c r="E852" s="241">
        <v>11429940948</v>
      </c>
      <c r="F852" s="228">
        <f t="shared" si="1589"/>
        <v>0.11788367881609482</v>
      </c>
      <c r="G852" s="269">
        <f t="shared" si="1573"/>
        <v>3.4532754218963443E-3</v>
      </c>
      <c r="H852" s="299">
        <v>46508</v>
      </c>
      <c r="I852" s="299">
        <v>46598</v>
      </c>
      <c r="J852" s="299"/>
      <c r="K852" s="299"/>
      <c r="L852" s="299">
        <v>46508</v>
      </c>
      <c r="M852" s="299">
        <v>46598</v>
      </c>
      <c r="N852" s="272">
        <v>0</v>
      </c>
      <c r="O852" s="272">
        <v>0</v>
      </c>
      <c r="P852" s="272">
        <v>0</v>
      </c>
      <c r="Q852" s="272">
        <v>0</v>
      </c>
      <c r="R852" s="372">
        <v>0</v>
      </c>
      <c r="S852" s="395">
        <v>0</v>
      </c>
      <c r="T852" s="272">
        <v>0</v>
      </c>
      <c r="U852" s="272">
        <v>0</v>
      </c>
      <c r="V852" s="272">
        <v>0</v>
      </c>
      <c r="W852" s="272">
        <v>0.3</v>
      </c>
      <c r="X852" s="272">
        <v>0.6</v>
      </c>
      <c r="Y852" s="272">
        <v>1</v>
      </c>
      <c r="Z852" s="272">
        <v>1</v>
      </c>
      <c r="AA852" s="272">
        <v>1</v>
      </c>
      <c r="AB852" s="272">
        <v>1</v>
      </c>
      <c r="AC852" s="272">
        <v>1</v>
      </c>
      <c r="AD852" s="396">
        <v>1</v>
      </c>
      <c r="AE852" s="396">
        <v>1</v>
      </c>
      <c r="AF852" s="396">
        <v>1</v>
      </c>
      <c r="AG852" s="396">
        <v>1</v>
      </c>
      <c r="AH852" s="396">
        <v>1</v>
      </c>
      <c r="AI852" s="396">
        <v>1</v>
      </c>
      <c r="AJ852" s="396">
        <v>1</v>
      </c>
      <c r="AK852" s="396">
        <v>1</v>
      </c>
      <c r="AL852" s="396">
        <v>1</v>
      </c>
      <c r="AM852" s="396">
        <v>1</v>
      </c>
      <c r="AN852" s="396">
        <v>1</v>
      </c>
      <c r="AO852" s="396">
        <v>1</v>
      </c>
      <c r="AP852" s="396">
        <v>1</v>
      </c>
    </row>
    <row r="853" spans="2:42" s="216" customFormat="1" ht="12.75" hidden="1" outlineLevel="2">
      <c r="B853" s="255" t="s">
        <v>952</v>
      </c>
      <c r="C853" s="245" t="s">
        <v>79</v>
      </c>
      <c r="D853" s="227" t="s">
        <v>80</v>
      </c>
      <c r="E853" s="241">
        <v>3979861027</v>
      </c>
      <c r="F853" s="228">
        <f t="shared" si="1589"/>
        <v>4.1046638926131508E-2</v>
      </c>
      <c r="G853" s="269">
        <f t="shared" si="1573"/>
        <v>1.202417084185118E-3</v>
      </c>
      <c r="H853" s="299">
        <v>46508</v>
      </c>
      <c r="I853" s="299">
        <v>46598</v>
      </c>
      <c r="J853" s="299"/>
      <c r="K853" s="299"/>
      <c r="L853" s="299">
        <v>46508</v>
      </c>
      <c r="M853" s="299">
        <v>46598</v>
      </c>
      <c r="N853" s="272">
        <v>0</v>
      </c>
      <c r="O853" s="272">
        <v>0</v>
      </c>
      <c r="P853" s="272">
        <v>0</v>
      </c>
      <c r="Q853" s="272">
        <v>0</v>
      </c>
      <c r="R853" s="372">
        <v>0</v>
      </c>
      <c r="S853" s="395">
        <v>0</v>
      </c>
      <c r="T853" s="272">
        <v>0</v>
      </c>
      <c r="U853" s="272">
        <v>0</v>
      </c>
      <c r="V853" s="272">
        <v>0</v>
      </c>
      <c r="W853" s="272">
        <v>0.3</v>
      </c>
      <c r="X853" s="272">
        <v>0.6</v>
      </c>
      <c r="Y853" s="272">
        <v>1</v>
      </c>
      <c r="Z853" s="272">
        <v>1</v>
      </c>
      <c r="AA853" s="272">
        <v>1</v>
      </c>
      <c r="AB853" s="272">
        <v>1</v>
      </c>
      <c r="AC853" s="272">
        <v>1</v>
      </c>
      <c r="AD853" s="396">
        <v>1</v>
      </c>
      <c r="AE853" s="396">
        <v>1</v>
      </c>
      <c r="AF853" s="396">
        <v>1</v>
      </c>
      <c r="AG853" s="396">
        <v>1</v>
      </c>
      <c r="AH853" s="396">
        <v>1</v>
      </c>
      <c r="AI853" s="396">
        <v>1</v>
      </c>
      <c r="AJ853" s="396">
        <v>1</v>
      </c>
      <c r="AK853" s="396">
        <v>1</v>
      </c>
      <c r="AL853" s="396">
        <v>1</v>
      </c>
      <c r="AM853" s="396">
        <v>1</v>
      </c>
      <c r="AN853" s="396">
        <v>1</v>
      </c>
      <c r="AO853" s="396">
        <v>1</v>
      </c>
      <c r="AP853" s="396">
        <v>1</v>
      </c>
    </row>
    <row r="854" spans="2:42" s="216" customFormat="1" ht="12.75" hidden="1" outlineLevel="2">
      <c r="B854" s="255" t="s">
        <v>953</v>
      </c>
      <c r="C854" s="245" t="s">
        <v>82</v>
      </c>
      <c r="D854" s="227" t="s">
        <v>83</v>
      </c>
      <c r="E854" s="241">
        <v>5210794604</v>
      </c>
      <c r="F854" s="228">
        <f t="shared" si="1589"/>
        <v>5.3741978219236555E-2</v>
      </c>
      <c r="G854" s="269">
        <f t="shared" si="1573"/>
        <v>1.5743133771563293E-3</v>
      </c>
      <c r="H854" s="299">
        <v>46508</v>
      </c>
      <c r="I854" s="299">
        <v>46598</v>
      </c>
      <c r="J854" s="299"/>
      <c r="K854" s="299"/>
      <c r="L854" s="299">
        <v>46508</v>
      </c>
      <c r="M854" s="299">
        <v>46598</v>
      </c>
      <c r="N854" s="272">
        <v>0</v>
      </c>
      <c r="O854" s="272">
        <v>0</v>
      </c>
      <c r="P854" s="272">
        <v>0</v>
      </c>
      <c r="Q854" s="272">
        <v>0</v>
      </c>
      <c r="R854" s="372">
        <v>0</v>
      </c>
      <c r="S854" s="395">
        <v>0</v>
      </c>
      <c r="T854" s="272">
        <v>0</v>
      </c>
      <c r="U854" s="272">
        <v>0</v>
      </c>
      <c r="V854" s="272">
        <v>0</v>
      </c>
      <c r="W854" s="272">
        <v>0.3</v>
      </c>
      <c r="X854" s="272">
        <v>0.6</v>
      </c>
      <c r="Y854" s="272">
        <v>1</v>
      </c>
      <c r="Z854" s="272">
        <v>1</v>
      </c>
      <c r="AA854" s="272">
        <v>1</v>
      </c>
      <c r="AB854" s="272">
        <v>1</v>
      </c>
      <c r="AC854" s="272">
        <v>1</v>
      </c>
      <c r="AD854" s="396">
        <v>1</v>
      </c>
      <c r="AE854" s="396">
        <v>1</v>
      </c>
      <c r="AF854" s="396">
        <v>1</v>
      </c>
      <c r="AG854" s="396">
        <v>1</v>
      </c>
      <c r="AH854" s="396">
        <v>1</v>
      </c>
      <c r="AI854" s="396">
        <v>1</v>
      </c>
      <c r="AJ854" s="396">
        <v>1</v>
      </c>
      <c r="AK854" s="396">
        <v>1</v>
      </c>
      <c r="AL854" s="396">
        <v>1</v>
      </c>
      <c r="AM854" s="396">
        <v>1</v>
      </c>
      <c r="AN854" s="396">
        <v>1</v>
      </c>
      <c r="AO854" s="396">
        <v>1</v>
      </c>
      <c r="AP854" s="396">
        <v>1</v>
      </c>
    </row>
    <row r="855" spans="2:42" s="216" customFormat="1" ht="12.75" hidden="1" outlineLevel="2">
      <c r="B855" s="255" t="s">
        <v>954</v>
      </c>
      <c r="C855" s="245" t="s">
        <v>85</v>
      </c>
      <c r="D855" s="227" t="s">
        <v>86</v>
      </c>
      <c r="E855" s="241">
        <v>5629215156</v>
      </c>
      <c r="F855" s="228">
        <f t="shared" si="1589"/>
        <v>5.8057394561842592E-2</v>
      </c>
      <c r="G855" s="269">
        <f t="shared" si="1573"/>
        <v>1.7007288516379128E-3</v>
      </c>
      <c r="H855" s="299">
        <v>46508</v>
      </c>
      <c r="I855" s="299">
        <v>46598</v>
      </c>
      <c r="J855" s="299"/>
      <c r="K855" s="299"/>
      <c r="L855" s="299">
        <v>46508</v>
      </c>
      <c r="M855" s="299">
        <v>46598</v>
      </c>
      <c r="N855" s="272">
        <v>0</v>
      </c>
      <c r="O855" s="272">
        <v>0</v>
      </c>
      <c r="P855" s="272">
        <v>0</v>
      </c>
      <c r="Q855" s="272">
        <v>0</v>
      </c>
      <c r="R855" s="372">
        <v>0</v>
      </c>
      <c r="S855" s="395">
        <v>0</v>
      </c>
      <c r="T855" s="272">
        <v>0</v>
      </c>
      <c r="U855" s="272">
        <v>0</v>
      </c>
      <c r="V855" s="272">
        <v>0</v>
      </c>
      <c r="W855" s="272">
        <v>0.3</v>
      </c>
      <c r="X855" s="272">
        <v>0.6</v>
      </c>
      <c r="Y855" s="272">
        <v>1</v>
      </c>
      <c r="Z855" s="272">
        <v>1</v>
      </c>
      <c r="AA855" s="272">
        <v>1</v>
      </c>
      <c r="AB855" s="272">
        <v>1</v>
      </c>
      <c r="AC855" s="272">
        <v>1</v>
      </c>
      <c r="AD855" s="396">
        <v>1</v>
      </c>
      <c r="AE855" s="396">
        <v>1</v>
      </c>
      <c r="AF855" s="396">
        <v>1</v>
      </c>
      <c r="AG855" s="396">
        <v>1</v>
      </c>
      <c r="AH855" s="396">
        <v>1</v>
      </c>
      <c r="AI855" s="396">
        <v>1</v>
      </c>
      <c r="AJ855" s="396">
        <v>1</v>
      </c>
      <c r="AK855" s="396">
        <v>1</v>
      </c>
      <c r="AL855" s="396">
        <v>1</v>
      </c>
      <c r="AM855" s="396">
        <v>1</v>
      </c>
      <c r="AN855" s="396">
        <v>1</v>
      </c>
      <c r="AO855" s="396">
        <v>1</v>
      </c>
      <c r="AP855" s="396">
        <v>1</v>
      </c>
    </row>
    <row r="856" spans="2:42" s="216" customFormat="1" ht="12.75" hidden="1" outlineLevel="2">
      <c r="B856" s="255" t="s">
        <v>955</v>
      </c>
      <c r="C856" s="245" t="s">
        <v>88</v>
      </c>
      <c r="D856" s="227" t="s">
        <v>89</v>
      </c>
      <c r="E856" s="241">
        <v>5973938348</v>
      </c>
      <c r="F856" s="228">
        <f t="shared" si="1589"/>
        <v>6.1612726844928238E-2</v>
      </c>
      <c r="G856" s="269">
        <f t="shared" si="1573"/>
        <v>1.8048784821309343E-3</v>
      </c>
      <c r="H856" s="299">
        <v>46508</v>
      </c>
      <c r="I856" s="299">
        <v>46598</v>
      </c>
      <c r="J856" s="299"/>
      <c r="K856" s="299"/>
      <c r="L856" s="299">
        <v>46508</v>
      </c>
      <c r="M856" s="299">
        <v>46598</v>
      </c>
      <c r="N856" s="272">
        <v>0</v>
      </c>
      <c r="O856" s="272">
        <v>0</v>
      </c>
      <c r="P856" s="272">
        <v>0</v>
      </c>
      <c r="Q856" s="272">
        <v>0</v>
      </c>
      <c r="R856" s="372">
        <v>0</v>
      </c>
      <c r="S856" s="395">
        <v>0</v>
      </c>
      <c r="T856" s="272">
        <v>0</v>
      </c>
      <c r="U856" s="272">
        <v>0</v>
      </c>
      <c r="V856" s="272">
        <v>0</v>
      </c>
      <c r="W856" s="272">
        <v>0.3</v>
      </c>
      <c r="X856" s="272">
        <v>0.6</v>
      </c>
      <c r="Y856" s="272">
        <v>1</v>
      </c>
      <c r="Z856" s="272">
        <v>1</v>
      </c>
      <c r="AA856" s="272">
        <v>1</v>
      </c>
      <c r="AB856" s="272">
        <v>1</v>
      </c>
      <c r="AC856" s="272">
        <v>1</v>
      </c>
      <c r="AD856" s="396">
        <v>1</v>
      </c>
      <c r="AE856" s="396">
        <v>1</v>
      </c>
      <c r="AF856" s="396">
        <v>1</v>
      </c>
      <c r="AG856" s="396">
        <v>1</v>
      </c>
      <c r="AH856" s="396">
        <v>1</v>
      </c>
      <c r="AI856" s="396">
        <v>1</v>
      </c>
      <c r="AJ856" s="396">
        <v>1</v>
      </c>
      <c r="AK856" s="396">
        <v>1</v>
      </c>
      <c r="AL856" s="396">
        <v>1</v>
      </c>
      <c r="AM856" s="396">
        <v>1</v>
      </c>
      <c r="AN856" s="396">
        <v>1</v>
      </c>
      <c r="AO856" s="396">
        <v>1</v>
      </c>
      <c r="AP856" s="396">
        <v>1</v>
      </c>
    </row>
    <row r="857" spans="2:42" s="216" customFormat="1" ht="12.75" hidden="1" outlineLevel="2">
      <c r="B857" s="255" t="s">
        <v>956</v>
      </c>
      <c r="C857" s="245" t="s">
        <v>91</v>
      </c>
      <c r="D857" s="227" t="s">
        <v>92</v>
      </c>
      <c r="E857" s="241">
        <v>5379167556</v>
      </c>
      <c r="F857" s="228">
        <f t="shared" si="1589"/>
        <v>5.5478507137905975E-2</v>
      </c>
      <c r="G857" s="269">
        <f t="shared" si="1573"/>
        <v>1.6251831217594694E-3</v>
      </c>
      <c r="H857" s="299">
        <v>46508</v>
      </c>
      <c r="I857" s="299">
        <v>46598</v>
      </c>
      <c r="J857" s="299"/>
      <c r="K857" s="299"/>
      <c r="L857" s="299">
        <v>46508</v>
      </c>
      <c r="M857" s="299">
        <v>46598</v>
      </c>
      <c r="N857" s="272">
        <v>0</v>
      </c>
      <c r="O857" s="272">
        <v>0</v>
      </c>
      <c r="P857" s="272">
        <v>0</v>
      </c>
      <c r="Q857" s="272">
        <v>0</v>
      </c>
      <c r="R857" s="372">
        <v>0</v>
      </c>
      <c r="S857" s="395">
        <v>0</v>
      </c>
      <c r="T857" s="272">
        <v>0</v>
      </c>
      <c r="U857" s="272">
        <v>0</v>
      </c>
      <c r="V857" s="272">
        <v>0</v>
      </c>
      <c r="W857" s="272">
        <v>0.3</v>
      </c>
      <c r="X857" s="272">
        <v>0.6</v>
      </c>
      <c r="Y857" s="272">
        <v>1</v>
      </c>
      <c r="Z857" s="272">
        <v>1</v>
      </c>
      <c r="AA857" s="272">
        <v>1</v>
      </c>
      <c r="AB857" s="272">
        <v>1</v>
      </c>
      <c r="AC857" s="272">
        <v>1</v>
      </c>
      <c r="AD857" s="396">
        <v>1</v>
      </c>
      <c r="AE857" s="396">
        <v>1</v>
      </c>
      <c r="AF857" s="396">
        <v>1</v>
      </c>
      <c r="AG857" s="396">
        <v>1</v>
      </c>
      <c r="AH857" s="396">
        <v>1</v>
      </c>
      <c r="AI857" s="396">
        <v>1</v>
      </c>
      <c r="AJ857" s="396">
        <v>1</v>
      </c>
      <c r="AK857" s="396">
        <v>1</v>
      </c>
      <c r="AL857" s="396">
        <v>1</v>
      </c>
      <c r="AM857" s="396">
        <v>1</v>
      </c>
      <c r="AN857" s="396">
        <v>1</v>
      </c>
      <c r="AO857" s="396">
        <v>1</v>
      </c>
      <c r="AP857" s="396">
        <v>1</v>
      </c>
    </row>
    <row r="858" spans="2:42" s="216" customFormat="1" ht="12.75" hidden="1" outlineLevel="2">
      <c r="B858" s="294" t="s">
        <v>957</v>
      </c>
      <c r="C858" s="294"/>
      <c r="D858" s="294" t="s">
        <v>94</v>
      </c>
      <c r="E858" s="295">
        <f>E859+E871+E879+E885+E889</f>
        <v>446873239895.37</v>
      </c>
      <c r="F858" s="296">
        <f>+E858/$E$718</f>
        <v>0.17989574156721069</v>
      </c>
      <c r="G858" s="296">
        <f t="shared" si="1573"/>
        <v>0.13501175404619162</v>
      </c>
      <c r="H858" s="297"/>
      <c r="I858" s="297"/>
      <c r="J858" s="297"/>
      <c r="K858" s="297"/>
      <c r="L858" s="297"/>
      <c r="M858" s="296"/>
      <c r="N858" s="296">
        <f t="shared" ref="N858:R858" si="1590">$F859*N859+$F871*N871+$F879*N879+$F885*N885</f>
        <v>8.4632605929603463E-2</v>
      </c>
      <c r="O858" s="296">
        <f t="shared" si="1590"/>
        <v>0.13847263279087463</v>
      </c>
      <c r="P858" s="296">
        <f t="shared" si="1590"/>
        <v>0.23556112217716765</v>
      </c>
      <c r="Q858" s="296">
        <f t="shared" si="1590"/>
        <v>0.33026291113393902</v>
      </c>
      <c r="R858" s="376">
        <f t="shared" si="1590"/>
        <v>0.48204232621858512</v>
      </c>
      <c r="S858" s="403">
        <f t="shared" ref="S858" si="1591">$F859*S859+$F871*S871+$F879*S879+$F885*S885</f>
        <v>0.64686265474674931</v>
      </c>
      <c r="T858" s="296">
        <f t="shared" ref="T858" si="1592">$F859*T859+$F871*T871+$F879*T879+$F885*T885</f>
        <v>0.64686265474674931</v>
      </c>
      <c r="U858" s="296">
        <f t="shared" ref="U858" si="1593">$F859*U859+$F871*U871+$F879*U879+$F885*U885</f>
        <v>0.64686265474674931</v>
      </c>
      <c r="V858" s="296">
        <f t="shared" ref="V858" si="1594">$F859*V859+$F871*V871+$F879*V879+$F885*V885</f>
        <v>0.64686265474674931</v>
      </c>
      <c r="W858" s="296">
        <f t="shared" ref="W858" si="1595">$F859*W859+$F871*W871+$F879*W879+$F885*W885</f>
        <v>0.65163605560579252</v>
      </c>
      <c r="X858" s="296">
        <f t="shared" ref="X858" si="1596">$F859*X859+$F871*X871+$F879*X879+$F885*X885</f>
        <v>0.67270036536688715</v>
      </c>
      <c r="Y858" s="296">
        <f t="shared" ref="Y858" si="1597">$F859*Y859+$F871*Y871+$F879*Y879+$F885*Y885</f>
        <v>0.71755785683648921</v>
      </c>
      <c r="Z858" s="296">
        <f t="shared" ref="Z858" si="1598">$F859*Z859+$F871*Z871+$F879*Z879+$F885*Z885</f>
        <v>0.74612443940404005</v>
      </c>
      <c r="AA858" s="296">
        <f t="shared" ref="AA858" si="1599">$F859*AA859+$F871*AA871+$F879*AA879+$F885*AA885</f>
        <v>0.77091540598193098</v>
      </c>
      <c r="AB858" s="296">
        <f t="shared" ref="AB858" si="1600">$F859*AB859+$F871*AB871+$F879*AB879+$F885*AB885</f>
        <v>0.79570637255982213</v>
      </c>
      <c r="AC858" s="296">
        <f t="shared" ref="AC858" si="1601">$F859*AC859+$F871*AC871+$F879*AC879+$F885*AC885</f>
        <v>0.82049733913771306</v>
      </c>
      <c r="AD858" s="404">
        <f t="shared" ref="AD858" si="1602">$F859*AD859+$F871*AD871+$F879*AD879+$F885*AD885</f>
        <v>0.82049733913771306</v>
      </c>
      <c r="AE858" s="404">
        <f t="shared" ref="AE858" si="1603">$F859*AE859+$F871*AE871+$F879*AE879+$F885*AE885</f>
        <v>0.82049733913771306</v>
      </c>
      <c r="AF858" s="404">
        <f t="shared" ref="AF858" si="1604">$F859*AF859+$F871*AF871+$F879*AF879+$F885*AF885</f>
        <v>0.82049733913771306</v>
      </c>
      <c r="AG858" s="404">
        <f t="shared" ref="AG858" si="1605">$F859*AG859+$F871*AG871+$F879*AG879+$F885*AG885</f>
        <v>0.82049733913771306</v>
      </c>
      <c r="AH858" s="404">
        <f t="shared" ref="AH858" si="1606">$F859*AH859+$F871*AH871+$F879*AH879+$F885*AH885</f>
        <v>0.82049733913771306</v>
      </c>
      <c r="AI858" s="404">
        <f t="shared" ref="AI858" si="1607">$F859*AI859+$F871*AI871+$F879*AI879+$F885*AI885</f>
        <v>0.82049733913771306</v>
      </c>
      <c r="AJ858" s="404">
        <f t="shared" ref="AJ858" si="1608">$F859*AJ859+$F871*AJ871+$F879*AJ879+$F885*AJ885</f>
        <v>0.82049733913771306</v>
      </c>
      <c r="AK858" s="404">
        <f t="shared" ref="AK858" si="1609">$F859*AK859+$F871*AK871+$F879*AK879+$F885*AK885</f>
        <v>0.82049733913771306</v>
      </c>
      <c r="AL858" s="404">
        <f t="shared" ref="AL858" si="1610">$F859*AL859+$F871*AL871+$F879*AL879+$F885*AL885</f>
        <v>0.82049733913771306</v>
      </c>
      <c r="AM858" s="404">
        <f t="shared" ref="AM858" si="1611">$F859*AM859+$F871*AM871+$F879*AM879+$F885*AM885</f>
        <v>0.82049733913771306</v>
      </c>
      <c r="AN858" s="404">
        <f t="shared" ref="AN858" si="1612">$F859*AN859+$F871*AN871+$F879*AN879+$F885*AN885</f>
        <v>0.82049733913771306</v>
      </c>
      <c r="AO858" s="404">
        <f t="shared" ref="AO858" si="1613">$F859*AO859+$F871*AO871+$F879*AO879+$F885*AO885</f>
        <v>0.82049733913771306</v>
      </c>
      <c r="AP858" s="404">
        <f t="shared" ref="AP858" si="1614">$F859*AP859+$F871*AP871+$F879*AP879+$F885*AP885</f>
        <v>0.82049733913771306</v>
      </c>
    </row>
    <row r="859" spans="2:42" s="140" customFormat="1" ht="12.75" hidden="1" outlineLevel="2">
      <c r="B859" s="259" t="s">
        <v>958</v>
      </c>
      <c r="C859" s="251"/>
      <c r="D859" s="236" t="s">
        <v>97</v>
      </c>
      <c r="E859" s="242">
        <f>+SUM(E860:E870)</f>
        <v>92266070128</v>
      </c>
      <c r="F859" s="232">
        <f>E859/$E$858</f>
        <v>0.2064703407829992</v>
      </c>
      <c r="G859" s="232">
        <f t="shared" si="1573"/>
        <v>2.7875922867627655E-2</v>
      </c>
      <c r="H859" s="321">
        <f>MIN(H860:H870)</f>
        <v>45905</v>
      </c>
      <c r="I859" s="321">
        <f>MAX(I860:I870)</f>
        <v>46387</v>
      </c>
      <c r="J859" s="321"/>
      <c r="K859" s="321"/>
      <c r="L859" s="321">
        <f>MIN(L860:L870)</f>
        <v>46357</v>
      </c>
      <c r="M859" s="321">
        <v>46721</v>
      </c>
      <c r="N859" s="274">
        <f t="shared" ref="N859:AP859" si="1615">MAX(N860:N870)</f>
        <v>0</v>
      </c>
      <c r="O859" s="274">
        <f t="shared" si="1615"/>
        <v>0</v>
      </c>
      <c r="P859" s="274">
        <f t="shared" si="1615"/>
        <v>0</v>
      </c>
      <c r="Q859" s="274">
        <f t="shared" si="1615"/>
        <v>0</v>
      </c>
      <c r="R859" s="375">
        <f t="shared" si="1615"/>
        <v>0.5</v>
      </c>
      <c r="S859" s="401">
        <f t="shared" si="1615"/>
        <v>1</v>
      </c>
      <c r="T859" s="274">
        <f t="shared" si="1615"/>
        <v>1</v>
      </c>
      <c r="U859" s="274">
        <f t="shared" si="1615"/>
        <v>1</v>
      </c>
      <c r="V859" s="274">
        <f t="shared" si="1615"/>
        <v>1</v>
      </c>
      <c r="W859" s="274">
        <f t="shared" si="1615"/>
        <v>1</v>
      </c>
      <c r="X859" s="274">
        <f t="shared" si="1615"/>
        <v>1</v>
      </c>
      <c r="Y859" s="274">
        <f t="shared" si="1615"/>
        <v>1</v>
      </c>
      <c r="Z859" s="274">
        <f t="shared" si="1615"/>
        <v>1</v>
      </c>
      <c r="AA859" s="274">
        <f t="shared" si="1615"/>
        <v>1</v>
      </c>
      <c r="AB859" s="274">
        <f t="shared" si="1615"/>
        <v>1</v>
      </c>
      <c r="AC859" s="274">
        <f t="shared" si="1615"/>
        <v>1</v>
      </c>
      <c r="AD859" s="402">
        <f t="shared" si="1615"/>
        <v>1</v>
      </c>
      <c r="AE859" s="402">
        <f t="shared" si="1615"/>
        <v>1</v>
      </c>
      <c r="AF859" s="402">
        <f t="shared" si="1615"/>
        <v>1</v>
      </c>
      <c r="AG859" s="402">
        <f t="shared" si="1615"/>
        <v>1</v>
      </c>
      <c r="AH859" s="402">
        <f t="shared" si="1615"/>
        <v>1</v>
      </c>
      <c r="AI859" s="402">
        <f t="shared" si="1615"/>
        <v>1</v>
      </c>
      <c r="AJ859" s="402">
        <f t="shared" si="1615"/>
        <v>1</v>
      </c>
      <c r="AK859" s="402">
        <f t="shared" si="1615"/>
        <v>1</v>
      </c>
      <c r="AL859" s="402">
        <f t="shared" si="1615"/>
        <v>1</v>
      </c>
      <c r="AM859" s="402">
        <f t="shared" si="1615"/>
        <v>1</v>
      </c>
      <c r="AN859" s="402">
        <f t="shared" si="1615"/>
        <v>1</v>
      </c>
      <c r="AO859" s="402">
        <f t="shared" si="1615"/>
        <v>1</v>
      </c>
      <c r="AP859" s="402">
        <f t="shared" si="1615"/>
        <v>1</v>
      </c>
    </row>
    <row r="860" spans="2:42" s="216" customFormat="1" ht="25.5" hidden="1" outlineLevel="3">
      <c r="B860" s="255" t="s">
        <v>959</v>
      </c>
      <c r="C860" s="245" t="s">
        <v>99</v>
      </c>
      <c r="D860" s="227" t="s">
        <v>100</v>
      </c>
      <c r="E860" s="241">
        <v>5433162476</v>
      </c>
      <c r="F860" s="228">
        <f t="shared" ref="F860:F870" si="1616">E860/$E$859</f>
        <v>5.8885812178438031E-2</v>
      </c>
      <c r="G860" s="269">
        <f t="shared" si="1573"/>
        <v>1.6414963582837478E-3</v>
      </c>
      <c r="H860" s="299">
        <v>45905</v>
      </c>
      <c r="I860" s="299">
        <v>46387</v>
      </c>
      <c r="J860" s="299"/>
      <c r="K860" s="299"/>
      <c r="L860" s="299">
        <v>46539</v>
      </c>
      <c r="M860" s="299">
        <v>46660</v>
      </c>
      <c r="N860" s="272">
        <v>0</v>
      </c>
      <c r="O860" s="272">
        <v>0</v>
      </c>
      <c r="P860" s="272">
        <v>0</v>
      </c>
      <c r="Q860" s="272">
        <v>0</v>
      </c>
      <c r="R860" s="372">
        <v>0</v>
      </c>
      <c r="S860" s="395">
        <v>0</v>
      </c>
      <c r="T860" s="272">
        <v>0</v>
      </c>
      <c r="U860" s="272">
        <v>0</v>
      </c>
      <c r="V860" s="272">
        <v>0</v>
      </c>
      <c r="W860" s="272">
        <v>0</v>
      </c>
      <c r="X860" s="272">
        <v>0.2</v>
      </c>
      <c r="Y860" s="272">
        <v>0.5</v>
      </c>
      <c r="Z860" s="272">
        <v>0.8</v>
      </c>
      <c r="AA860" s="272">
        <v>1</v>
      </c>
      <c r="AB860" s="272">
        <v>1</v>
      </c>
      <c r="AC860" s="272">
        <v>1</v>
      </c>
      <c r="AD860" s="396">
        <v>1</v>
      </c>
      <c r="AE860" s="396">
        <v>1</v>
      </c>
      <c r="AF860" s="396">
        <v>1</v>
      </c>
      <c r="AG860" s="396">
        <v>1</v>
      </c>
      <c r="AH860" s="396">
        <v>1</v>
      </c>
      <c r="AI860" s="396">
        <v>1</v>
      </c>
      <c r="AJ860" s="396">
        <v>1</v>
      </c>
      <c r="AK860" s="396">
        <v>1</v>
      </c>
      <c r="AL860" s="396">
        <v>1</v>
      </c>
      <c r="AM860" s="396">
        <v>1</v>
      </c>
      <c r="AN860" s="396">
        <v>1</v>
      </c>
      <c r="AO860" s="396">
        <v>1</v>
      </c>
      <c r="AP860" s="396">
        <v>1</v>
      </c>
    </row>
    <row r="861" spans="2:42" s="216" customFormat="1" ht="25.5" hidden="1" outlineLevel="3">
      <c r="B861" s="255" t="s">
        <v>960</v>
      </c>
      <c r="C861" s="245" t="s">
        <v>102</v>
      </c>
      <c r="D861" s="227" t="s">
        <v>103</v>
      </c>
      <c r="E861" s="241">
        <v>8809274735</v>
      </c>
      <c r="F861" s="228">
        <f t="shared" si="1616"/>
        <v>9.5476860808951347E-2</v>
      </c>
      <c r="G861" s="269">
        <f t="shared" si="1573"/>
        <v>2.6615056075535493E-3</v>
      </c>
      <c r="H861" s="299">
        <v>45932</v>
      </c>
      <c r="I861" s="299">
        <v>46387</v>
      </c>
      <c r="J861" s="299"/>
      <c r="K861" s="299"/>
      <c r="L861" s="299">
        <v>46539</v>
      </c>
      <c r="M861" s="299">
        <v>46660</v>
      </c>
      <c r="N861" s="272">
        <v>0</v>
      </c>
      <c r="O861" s="272">
        <v>0</v>
      </c>
      <c r="P861" s="272">
        <v>0</v>
      </c>
      <c r="Q861" s="272">
        <v>0</v>
      </c>
      <c r="R861" s="372">
        <v>0</v>
      </c>
      <c r="S861" s="395">
        <v>0</v>
      </c>
      <c r="T861" s="272">
        <v>0</v>
      </c>
      <c r="U861" s="272">
        <v>0</v>
      </c>
      <c r="V861" s="272">
        <v>0</v>
      </c>
      <c r="W861" s="272">
        <v>0</v>
      </c>
      <c r="X861" s="272">
        <v>0.2</v>
      </c>
      <c r="Y861" s="272">
        <v>0.5</v>
      </c>
      <c r="Z861" s="272">
        <v>0.8</v>
      </c>
      <c r="AA861" s="272">
        <v>1</v>
      </c>
      <c r="AB861" s="272">
        <v>1</v>
      </c>
      <c r="AC861" s="272">
        <v>1</v>
      </c>
      <c r="AD861" s="396">
        <v>1</v>
      </c>
      <c r="AE861" s="396">
        <v>1</v>
      </c>
      <c r="AF861" s="396">
        <v>1</v>
      </c>
      <c r="AG861" s="396">
        <v>1</v>
      </c>
      <c r="AH861" s="396">
        <v>1</v>
      </c>
      <c r="AI861" s="396">
        <v>1</v>
      </c>
      <c r="AJ861" s="396">
        <v>1</v>
      </c>
      <c r="AK861" s="396">
        <v>1</v>
      </c>
      <c r="AL861" s="396">
        <v>1</v>
      </c>
      <c r="AM861" s="396">
        <v>1</v>
      </c>
      <c r="AN861" s="396">
        <v>1</v>
      </c>
      <c r="AO861" s="396">
        <v>1</v>
      </c>
      <c r="AP861" s="396">
        <v>1</v>
      </c>
    </row>
    <row r="862" spans="2:42" s="216" customFormat="1" ht="25.5" hidden="1" outlineLevel="3">
      <c r="B862" s="255" t="s">
        <v>961</v>
      </c>
      <c r="C862" s="245" t="s">
        <v>105</v>
      </c>
      <c r="D862" s="227" t="s">
        <v>106</v>
      </c>
      <c r="E862" s="241">
        <v>7183065007</v>
      </c>
      <c r="F862" s="228">
        <f t="shared" si="1616"/>
        <v>7.7851641421759807E-2</v>
      </c>
      <c r="G862" s="269">
        <f t="shared" si="1573"/>
        <v>2.1701863513911828E-3</v>
      </c>
      <c r="H862" s="299">
        <v>46169</v>
      </c>
      <c r="I862" s="299">
        <v>46231</v>
      </c>
      <c r="J862" s="299"/>
      <c r="K862" s="299"/>
      <c r="L862" s="299">
        <v>46569</v>
      </c>
      <c r="M862" s="299">
        <v>46721</v>
      </c>
      <c r="N862" s="272">
        <v>0</v>
      </c>
      <c r="O862" s="272">
        <v>0</v>
      </c>
      <c r="P862" s="272">
        <v>0</v>
      </c>
      <c r="Q862" s="272">
        <v>0</v>
      </c>
      <c r="R862" s="372">
        <v>0</v>
      </c>
      <c r="S862" s="395">
        <v>0</v>
      </c>
      <c r="T862" s="272">
        <v>0</v>
      </c>
      <c r="U862" s="272">
        <v>0</v>
      </c>
      <c r="V862" s="272">
        <v>0</v>
      </c>
      <c r="W862" s="272">
        <v>0</v>
      </c>
      <c r="X862" s="272">
        <v>0</v>
      </c>
      <c r="Y862" s="272">
        <v>0.2</v>
      </c>
      <c r="Z862" s="272">
        <v>0.4</v>
      </c>
      <c r="AA862" s="272">
        <v>0.60000000000000009</v>
      </c>
      <c r="AB862" s="272">
        <v>0.8</v>
      </c>
      <c r="AC862" s="272">
        <v>1</v>
      </c>
      <c r="AD862" s="396">
        <v>1</v>
      </c>
      <c r="AE862" s="396">
        <v>1</v>
      </c>
      <c r="AF862" s="396">
        <v>1</v>
      </c>
      <c r="AG862" s="396">
        <v>1</v>
      </c>
      <c r="AH862" s="396">
        <v>1</v>
      </c>
      <c r="AI862" s="396">
        <v>1</v>
      </c>
      <c r="AJ862" s="396">
        <v>1</v>
      </c>
      <c r="AK862" s="396">
        <v>1</v>
      </c>
      <c r="AL862" s="396">
        <v>1</v>
      </c>
      <c r="AM862" s="396">
        <v>1</v>
      </c>
      <c r="AN862" s="396">
        <v>1</v>
      </c>
      <c r="AO862" s="396">
        <v>1</v>
      </c>
      <c r="AP862" s="396">
        <v>1</v>
      </c>
    </row>
    <row r="863" spans="2:42" s="216" customFormat="1" ht="25.5" hidden="1" outlineLevel="3">
      <c r="B863" s="255" t="s">
        <v>962</v>
      </c>
      <c r="C863" s="245" t="s">
        <v>108</v>
      </c>
      <c r="D863" s="227" t="s">
        <v>109</v>
      </c>
      <c r="E863" s="241">
        <v>8885209508</v>
      </c>
      <c r="F863" s="228">
        <f t="shared" si="1616"/>
        <v>9.6299858611877787E-2</v>
      </c>
      <c r="G863" s="269">
        <f t="shared" si="1573"/>
        <v>2.6844474308281539E-3</v>
      </c>
      <c r="H863" s="299">
        <v>46170</v>
      </c>
      <c r="I863" s="299">
        <v>46263</v>
      </c>
      <c r="J863" s="299"/>
      <c r="K863" s="299"/>
      <c r="L863" s="299">
        <v>46569</v>
      </c>
      <c r="M863" s="299">
        <v>46721</v>
      </c>
      <c r="N863" s="272">
        <v>0</v>
      </c>
      <c r="O863" s="272">
        <v>0</v>
      </c>
      <c r="P863" s="272">
        <v>0</v>
      </c>
      <c r="Q863" s="272">
        <v>0</v>
      </c>
      <c r="R863" s="372">
        <v>0</v>
      </c>
      <c r="S863" s="395">
        <v>0</v>
      </c>
      <c r="T863" s="272">
        <v>0</v>
      </c>
      <c r="U863" s="272">
        <v>0</v>
      </c>
      <c r="V863" s="272">
        <v>0</v>
      </c>
      <c r="W863" s="272">
        <v>0</v>
      </c>
      <c r="X863" s="272">
        <v>0</v>
      </c>
      <c r="Y863" s="272">
        <v>0.2</v>
      </c>
      <c r="Z863" s="272">
        <v>0.4</v>
      </c>
      <c r="AA863" s="272">
        <v>0.60000000000000009</v>
      </c>
      <c r="AB863" s="272">
        <v>0.8</v>
      </c>
      <c r="AC863" s="272">
        <v>1</v>
      </c>
      <c r="AD863" s="396">
        <v>1</v>
      </c>
      <c r="AE863" s="396">
        <v>1</v>
      </c>
      <c r="AF863" s="396">
        <v>1</v>
      </c>
      <c r="AG863" s="396">
        <v>1</v>
      </c>
      <c r="AH863" s="396">
        <v>1</v>
      </c>
      <c r="AI863" s="396">
        <v>1</v>
      </c>
      <c r="AJ863" s="396">
        <v>1</v>
      </c>
      <c r="AK863" s="396">
        <v>1</v>
      </c>
      <c r="AL863" s="396">
        <v>1</v>
      </c>
      <c r="AM863" s="396">
        <v>1</v>
      </c>
      <c r="AN863" s="396">
        <v>1</v>
      </c>
      <c r="AO863" s="396">
        <v>1</v>
      </c>
      <c r="AP863" s="396">
        <v>1</v>
      </c>
    </row>
    <row r="864" spans="2:42" s="216" customFormat="1" ht="38.25" hidden="1" outlineLevel="3">
      <c r="B864" s="255" t="s">
        <v>963</v>
      </c>
      <c r="C864" s="245" t="s">
        <v>111</v>
      </c>
      <c r="D864" s="227" t="s">
        <v>112</v>
      </c>
      <c r="E864" s="241">
        <v>19828566223</v>
      </c>
      <c r="F864" s="228">
        <f t="shared" si="1616"/>
        <v>0.2149063701910354</v>
      </c>
      <c r="G864" s="269">
        <f t="shared" si="1573"/>
        <v>5.9907133992071378E-3</v>
      </c>
      <c r="H864" s="299">
        <v>46170</v>
      </c>
      <c r="I864" s="299">
        <v>46381</v>
      </c>
      <c r="J864" s="299"/>
      <c r="K864" s="299"/>
      <c r="L864" s="299">
        <v>46539</v>
      </c>
      <c r="M864" s="299">
        <v>46690</v>
      </c>
      <c r="N864" s="272">
        <v>0</v>
      </c>
      <c r="O864" s="272">
        <v>0</v>
      </c>
      <c r="P864" s="272">
        <v>0</v>
      </c>
      <c r="Q864" s="272">
        <v>0</v>
      </c>
      <c r="R864" s="372">
        <v>0</v>
      </c>
      <c r="S864" s="395">
        <v>0</v>
      </c>
      <c r="T864" s="272">
        <v>0</v>
      </c>
      <c r="U864" s="272">
        <v>0</v>
      </c>
      <c r="V864" s="272">
        <v>0</v>
      </c>
      <c r="W864" s="272">
        <v>0</v>
      </c>
      <c r="X864" s="272">
        <v>0.2</v>
      </c>
      <c r="Y864" s="272">
        <v>0.4</v>
      </c>
      <c r="Z864" s="272">
        <v>0.60000000000000009</v>
      </c>
      <c r="AA864" s="272">
        <v>0.8</v>
      </c>
      <c r="AB864" s="272">
        <v>1</v>
      </c>
      <c r="AC864" s="272">
        <v>1</v>
      </c>
      <c r="AD864" s="396">
        <v>1</v>
      </c>
      <c r="AE864" s="396">
        <v>1</v>
      </c>
      <c r="AF864" s="396">
        <v>1</v>
      </c>
      <c r="AG864" s="396">
        <v>1</v>
      </c>
      <c r="AH864" s="396">
        <v>1</v>
      </c>
      <c r="AI864" s="396">
        <v>1</v>
      </c>
      <c r="AJ864" s="396">
        <v>1</v>
      </c>
      <c r="AK864" s="396">
        <v>1</v>
      </c>
      <c r="AL864" s="396">
        <v>1</v>
      </c>
      <c r="AM864" s="396">
        <v>1</v>
      </c>
      <c r="AN864" s="396">
        <v>1</v>
      </c>
      <c r="AO864" s="396">
        <v>1</v>
      </c>
      <c r="AP864" s="396">
        <v>1</v>
      </c>
    </row>
    <row r="865" spans="2:42" s="216" customFormat="1" ht="38.25" hidden="1" outlineLevel="3">
      <c r="B865" s="255" t="s">
        <v>964</v>
      </c>
      <c r="C865" s="245" t="s">
        <v>114</v>
      </c>
      <c r="D865" s="227" t="s">
        <v>115</v>
      </c>
      <c r="E865" s="241">
        <v>10830228543</v>
      </c>
      <c r="F865" s="228">
        <f t="shared" si="1616"/>
        <v>0.11738040352185054</v>
      </c>
      <c r="G865" s="269">
        <f t="shared" ref="G865:G903" si="1617">+E865*$G$718/$E$718</f>
        <v>3.272087074746115E-3</v>
      </c>
      <c r="H865" s="299">
        <v>46171</v>
      </c>
      <c r="I865" s="299">
        <v>46381</v>
      </c>
      <c r="J865" s="299"/>
      <c r="K865" s="299"/>
      <c r="L865" s="299">
        <v>46539</v>
      </c>
      <c r="M865" s="299">
        <v>46690</v>
      </c>
      <c r="N865" s="272">
        <v>0</v>
      </c>
      <c r="O865" s="272">
        <v>0</v>
      </c>
      <c r="P865" s="272">
        <v>0</v>
      </c>
      <c r="Q865" s="272">
        <v>0</v>
      </c>
      <c r="R865" s="372">
        <v>0</v>
      </c>
      <c r="S865" s="395">
        <v>0</v>
      </c>
      <c r="T865" s="272">
        <v>0</v>
      </c>
      <c r="U865" s="272">
        <v>0</v>
      </c>
      <c r="V865" s="272">
        <v>0</v>
      </c>
      <c r="W865" s="272">
        <v>0</v>
      </c>
      <c r="X865" s="272">
        <v>0.2</v>
      </c>
      <c r="Y865" s="272">
        <v>0.4</v>
      </c>
      <c r="Z865" s="272">
        <v>0.60000000000000009</v>
      </c>
      <c r="AA865" s="272">
        <v>0.8</v>
      </c>
      <c r="AB865" s="272">
        <v>1</v>
      </c>
      <c r="AC865" s="272">
        <v>1</v>
      </c>
      <c r="AD865" s="396">
        <v>1</v>
      </c>
      <c r="AE865" s="396">
        <v>1</v>
      </c>
      <c r="AF865" s="396">
        <v>1</v>
      </c>
      <c r="AG865" s="396">
        <v>1</v>
      </c>
      <c r="AH865" s="396">
        <v>1</v>
      </c>
      <c r="AI865" s="396">
        <v>1</v>
      </c>
      <c r="AJ865" s="396">
        <v>1</v>
      </c>
      <c r="AK865" s="396">
        <v>1</v>
      </c>
      <c r="AL865" s="396">
        <v>1</v>
      </c>
      <c r="AM865" s="396">
        <v>1</v>
      </c>
      <c r="AN865" s="396">
        <v>1</v>
      </c>
      <c r="AO865" s="396">
        <v>1</v>
      </c>
      <c r="AP865" s="396">
        <v>1</v>
      </c>
    </row>
    <row r="866" spans="2:42" s="216" customFormat="1" ht="38.25" hidden="1" outlineLevel="3">
      <c r="B866" s="255" t="s">
        <v>965</v>
      </c>
      <c r="C866" s="245" t="s">
        <v>117</v>
      </c>
      <c r="D866" s="227" t="s">
        <v>118</v>
      </c>
      <c r="E866" s="241">
        <v>11007777007</v>
      </c>
      <c r="F866" s="228">
        <f t="shared" si="1616"/>
        <v>0.11930471289964986</v>
      </c>
      <c r="G866" s="269">
        <f t="shared" si="1617"/>
        <v>3.3257289745351015E-3</v>
      </c>
      <c r="H866" s="299">
        <v>46170</v>
      </c>
      <c r="I866" s="299">
        <v>46381</v>
      </c>
      <c r="J866" s="299"/>
      <c r="K866" s="299"/>
      <c r="L866" s="299">
        <v>46539</v>
      </c>
      <c r="M866" s="299">
        <v>46690</v>
      </c>
      <c r="N866" s="272">
        <v>0</v>
      </c>
      <c r="O866" s="272">
        <v>0</v>
      </c>
      <c r="P866" s="272">
        <v>0</v>
      </c>
      <c r="Q866" s="272">
        <v>0</v>
      </c>
      <c r="R866" s="372">
        <v>0</v>
      </c>
      <c r="S866" s="395">
        <v>0</v>
      </c>
      <c r="T866" s="272">
        <v>0</v>
      </c>
      <c r="U866" s="272">
        <v>0</v>
      </c>
      <c r="V866" s="272">
        <v>0</v>
      </c>
      <c r="W866" s="272">
        <v>0</v>
      </c>
      <c r="X866" s="272">
        <v>0.2</v>
      </c>
      <c r="Y866" s="272">
        <v>0.4</v>
      </c>
      <c r="Z866" s="272">
        <v>0.60000000000000009</v>
      </c>
      <c r="AA866" s="272">
        <v>0.8</v>
      </c>
      <c r="AB866" s="272">
        <v>1</v>
      </c>
      <c r="AC866" s="272">
        <v>1</v>
      </c>
      <c r="AD866" s="396">
        <v>1</v>
      </c>
      <c r="AE866" s="396">
        <v>1</v>
      </c>
      <c r="AF866" s="396">
        <v>1</v>
      </c>
      <c r="AG866" s="396">
        <v>1</v>
      </c>
      <c r="AH866" s="396">
        <v>1</v>
      </c>
      <c r="AI866" s="396">
        <v>1</v>
      </c>
      <c r="AJ866" s="396">
        <v>1</v>
      </c>
      <c r="AK866" s="396">
        <v>1</v>
      </c>
      <c r="AL866" s="396">
        <v>1</v>
      </c>
      <c r="AM866" s="396">
        <v>1</v>
      </c>
      <c r="AN866" s="396">
        <v>1</v>
      </c>
      <c r="AO866" s="396">
        <v>1</v>
      </c>
      <c r="AP866" s="396">
        <v>1</v>
      </c>
    </row>
    <row r="867" spans="2:42" s="216" customFormat="1" ht="38.25" hidden="1" outlineLevel="3">
      <c r="B867" s="255" t="s">
        <v>966</v>
      </c>
      <c r="C867" s="245" t="s">
        <v>120</v>
      </c>
      <c r="D867" s="227" t="s">
        <v>121</v>
      </c>
      <c r="E867" s="241">
        <v>17684759512</v>
      </c>
      <c r="F867" s="228">
        <f t="shared" si="1616"/>
        <v>0.19167132064328818</v>
      </c>
      <c r="G867" s="269">
        <f t="shared" si="1617"/>
        <v>5.3430149501886293E-3</v>
      </c>
      <c r="H867" s="299">
        <v>46170</v>
      </c>
      <c r="I867" s="299">
        <v>46381</v>
      </c>
      <c r="J867" s="299"/>
      <c r="K867" s="299"/>
      <c r="L867" s="299">
        <v>46539</v>
      </c>
      <c r="M867" s="299">
        <v>46690</v>
      </c>
      <c r="N867" s="272">
        <v>0</v>
      </c>
      <c r="O867" s="272">
        <v>0</v>
      </c>
      <c r="P867" s="272">
        <v>0</v>
      </c>
      <c r="Q867" s="272">
        <v>0</v>
      </c>
      <c r="R867" s="372">
        <v>0</v>
      </c>
      <c r="S867" s="395">
        <v>0</v>
      </c>
      <c r="T867" s="272">
        <v>0</v>
      </c>
      <c r="U867" s="272">
        <v>0</v>
      </c>
      <c r="V867" s="272">
        <v>0</v>
      </c>
      <c r="W867" s="272">
        <v>0</v>
      </c>
      <c r="X867" s="272">
        <v>0.2</v>
      </c>
      <c r="Y867" s="272">
        <v>0.4</v>
      </c>
      <c r="Z867" s="272">
        <v>0.60000000000000009</v>
      </c>
      <c r="AA867" s="272">
        <v>0.8</v>
      </c>
      <c r="AB867" s="272">
        <v>1</v>
      </c>
      <c r="AC867" s="272">
        <v>1</v>
      </c>
      <c r="AD867" s="396">
        <v>1</v>
      </c>
      <c r="AE867" s="396">
        <v>1</v>
      </c>
      <c r="AF867" s="396">
        <v>1</v>
      </c>
      <c r="AG867" s="396">
        <v>1</v>
      </c>
      <c r="AH867" s="396">
        <v>1</v>
      </c>
      <c r="AI867" s="396">
        <v>1</v>
      </c>
      <c r="AJ867" s="396">
        <v>1</v>
      </c>
      <c r="AK867" s="396">
        <v>1</v>
      </c>
      <c r="AL867" s="396">
        <v>1</v>
      </c>
      <c r="AM867" s="396">
        <v>1</v>
      </c>
      <c r="AN867" s="396">
        <v>1</v>
      </c>
      <c r="AO867" s="396">
        <v>1</v>
      </c>
      <c r="AP867" s="396">
        <v>1</v>
      </c>
    </row>
    <row r="868" spans="2:42" s="216" customFormat="1" ht="25.5" hidden="1" outlineLevel="3">
      <c r="B868" s="255" t="s">
        <v>967</v>
      </c>
      <c r="C868" s="245" t="s">
        <v>123</v>
      </c>
      <c r="D868" s="227" t="s">
        <v>124</v>
      </c>
      <c r="E868" s="241">
        <v>483725861</v>
      </c>
      <c r="F868" s="228">
        <f t="shared" si="1616"/>
        <v>5.2427274764052581E-3</v>
      </c>
      <c r="G868" s="269">
        <f t="shared" si="1617"/>
        <v>1.4614586674826515E-4</v>
      </c>
      <c r="H868" s="299"/>
      <c r="I868" s="299"/>
      <c r="J868" s="299"/>
      <c r="K868" s="299"/>
      <c r="L868" s="299">
        <v>46357</v>
      </c>
      <c r="M868" s="299">
        <v>46418</v>
      </c>
      <c r="N868" s="272">
        <v>0</v>
      </c>
      <c r="O868" s="272">
        <v>0</v>
      </c>
      <c r="P868" s="272">
        <v>0</v>
      </c>
      <c r="Q868" s="272">
        <v>0</v>
      </c>
      <c r="R868" s="372">
        <v>0.5</v>
      </c>
      <c r="S868" s="395">
        <v>1</v>
      </c>
      <c r="T868" s="272">
        <v>1</v>
      </c>
      <c r="U868" s="272">
        <v>1</v>
      </c>
      <c r="V868" s="272">
        <v>1</v>
      </c>
      <c r="W868" s="272">
        <v>1</v>
      </c>
      <c r="X868" s="272">
        <v>1</v>
      </c>
      <c r="Y868" s="272">
        <v>1</v>
      </c>
      <c r="Z868" s="272">
        <v>1</v>
      </c>
      <c r="AA868" s="272">
        <v>1</v>
      </c>
      <c r="AB868" s="272">
        <v>1</v>
      </c>
      <c r="AC868" s="272">
        <v>1</v>
      </c>
      <c r="AD868" s="396">
        <v>1</v>
      </c>
      <c r="AE868" s="396">
        <v>1</v>
      </c>
      <c r="AF868" s="396">
        <v>1</v>
      </c>
      <c r="AG868" s="396">
        <v>1</v>
      </c>
      <c r="AH868" s="396">
        <v>1</v>
      </c>
      <c r="AI868" s="396">
        <v>1</v>
      </c>
      <c r="AJ868" s="396">
        <v>1</v>
      </c>
      <c r="AK868" s="396">
        <v>1</v>
      </c>
      <c r="AL868" s="396">
        <v>1</v>
      </c>
      <c r="AM868" s="396">
        <v>1</v>
      </c>
      <c r="AN868" s="396">
        <v>1</v>
      </c>
      <c r="AO868" s="396">
        <v>1</v>
      </c>
      <c r="AP868" s="396">
        <v>1</v>
      </c>
    </row>
    <row r="869" spans="2:42" s="216" customFormat="1" ht="25.5" hidden="1" outlineLevel="3">
      <c r="B869" s="255" t="s">
        <v>968</v>
      </c>
      <c r="C869" s="245" t="s">
        <v>126</v>
      </c>
      <c r="D869" s="227" t="s">
        <v>127</v>
      </c>
      <c r="E869" s="241">
        <v>0</v>
      </c>
      <c r="F869" s="228">
        <f t="shared" si="1616"/>
        <v>0</v>
      </c>
      <c r="G869" s="269">
        <f t="shared" si="1617"/>
        <v>0</v>
      </c>
      <c r="H869" s="299"/>
      <c r="I869" s="299"/>
      <c r="J869" s="299"/>
      <c r="K869" s="299"/>
      <c r="L869" s="299"/>
      <c r="M869" s="299"/>
      <c r="N869" s="272">
        <v>0</v>
      </c>
      <c r="O869" s="272">
        <v>0</v>
      </c>
      <c r="P869" s="272">
        <v>0</v>
      </c>
      <c r="Q869" s="272">
        <v>0</v>
      </c>
      <c r="R869" s="372">
        <v>0</v>
      </c>
      <c r="S869" s="395">
        <v>0</v>
      </c>
      <c r="T869" s="272">
        <v>0</v>
      </c>
      <c r="U869" s="272">
        <v>0</v>
      </c>
      <c r="V869" s="272">
        <v>0</v>
      </c>
      <c r="W869" s="272">
        <v>0</v>
      </c>
      <c r="X869" s="272">
        <v>0</v>
      </c>
      <c r="Y869" s="272">
        <v>0</v>
      </c>
      <c r="Z869" s="272">
        <v>0</v>
      </c>
      <c r="AA869" s="272">
        <v>0</v>
      </c>
      <c r="AB869" s="272">
        <v>0</v>
      </c>
      <c r="AC869" s="272">
        <v>0</v>
      </c>
      <c r="AD869" s="396">
        <v>0</v>
      </c>
      <c r="AE869" s="396"/>
      <c r="AF869" s="396"/>
      <c r="AG869" s="396"/>
      <c r="AH869" s="396"/>
      <c r="AI869" s="396"/>
      <c r="AJ869" s="396"/>
      <c r="AK869" s="396"/>
      <c r="AL869" s="396"/>
      <c r="AM869" s="396"/>
      <c r="AN869" s="396"/>
      <c r="AO869" s="396"/>
      <c r="AP869" s="396"/>
    </row>
    <row r="870" spans="2:42" s="216" customFormat="1" ht="38.25" hidden="1" outlineLevel="3">
      <c r="B870" s="255" t="s">
        <v>969</v>
      </c>
      <c r="C870" s="245" t="s">
        <v>129</v>
      </c>
      <c r="D870" s="227" t="s">
        <v>130</v>
      </c>
      <c r="E870" s="241">
        <v>2120301256</v>
      </c>
      <c r="F870" s="228">
        <f t="shared" si="1616"/>
        <v>2.2980292246743819E-2</v>
      </c>
      <c r="G870" s="269">
        <f t="shared" si="1617"/>
        <v>6.4059685414577256E-4</v>
      </c>
      <c r="H870" s="299">
        <v>46146</v>
      </c>
      <c r="I870" s="299">
        <v>46387</v>
      </c>
      <c r="J870" s="299"/>
      <c r="K870" s="299"/>
      <c r="L870" s="299">
        <v>46569</v>
      </c>
      <c r="M870" s="299">
        <v>46721</v>
      </c>
      <c r="N870" s="272">
        <v>0</v>
      </c>
      <c r="O870" s="272">
        <v>0</v>
      </c>
      <c r="P870" s="272">
        <v>0</v>
      </c>
      <c r="Q870" s="272">
        <v>0</v>
      </c>
      <c r="R870" s="372">
        <v>0</v>
      </c>
      <c r="S870" s="395">
        <v>0</v>
      </c>
      <c r="T870" s="272">
        <v>0</v>
      </c>
      <c r="U870" s="272">
        <v>0</v>
      </c>
      <c r="V870" s="272">
        <v>0</v>
      </c>
      <c r="W870" s="272">
        <v>0</v>
      </c>
      <c r="X870" s="272">
        <v>0</v>
      </c>
      <c r="Y870" s="272">
        <v>0.2</v>
      </c>
      <c r="Z870" s="272">
        <v>0.4</v>
      </c>
      <c r="AA870" s="272">
        <v>0.60000000000000009</v>
      </c>
      <c r="AB870" s="272">
        <v>0.8</v>
      </c>
      <c r="AC870" s="272">
        <v>1</v>
      </c>
      <c r="AD870" s="396">
        <v>1</v>
      </c>
      <c r="AE870" s="396">
        <v>1</v>
      </c>
      <c r="AF870" s="396">
        <v>1</v>
      </c>
      <c r="AG870" s="396">
        <v>1</v>
      </c>
      <c r="AH870" s="396">
        <v>1</v>
      </c>
      <c r="AI870" s="396">
        <v>1</v>
      </c>
      <c r="AJ870" s="396">
        <v>1</v>
      </c>
      <c r="AK870" s="396">
        <v>1</v>
      </c>
      <c r="AL870" s="396">
        <v>1</v>
      </c>
      <c r="AM870" s="396">
        <v>1</v>
      </c>
      <c r="AN870" s="396">
        <v>1</v>
      </c>
      <c r="AO870" s="396">
        <v>1</v>
      </c>
      <c r="AP870" s="396">
        <v>1</v>
      </c>
    </row>
    <row r="871" spans="2:42" s="140" customFormat="1" ht="25.5" hidden="1" outlineLevel="2">
      <c r="B871" s="259" t="s">
        <v>970</v>
      </c>
      <c r="C871" s="251"/>
      <c r="D871" s="236" t="s">
        <v>133</v>
      </c>
      <c r="E871" s="242">
        <f>+SUM(E872:E878)</f>
        <v>68661917777</v>
      </c>
      <c r="F871" s="232">
        <f>E871/$E$858</f>
        <v>0.15364965195292599</v>
      </c>
      <c r="G871" s="232">
        <f t="shared" si="1617"/>
        <v>2.0744509018751387E-2</v>
      </c>
      <c r="H871" s="321">
        <f>MIN(H872:H878)</f>
        <v>45899</v>
      </c>
      <c r="I871" s="321">
        <f>MAX(I872:I878)</f>
        <v>46387</v>
      </c>
      <c r="J871" s="321"/>
      <c r="K871" s="321"/>
      <c r="L871" s="321">
        <f>MIN(L872:L878)</f>
        <v>45899</v>
      </c>
      <c r="M871" s="321">
        <v>46660</v>
      </c>
      <c r="N871" s="274">
        <f t="shared" ref="N871:AP871" si="1618">MAX(N872:N878)</f>
        <v>0.15</v>
      </c>
      <c r="O871" s="274">
        <f t="shared" si="1618"/>
        <v>0.3</v>
      </c>
      <c r="P871" s="274">
        <f t="shared" si="1618"/>
        <v>0.5</v>
      </c>
      <c r="Q871" s="274">
        <f t="shared" si="1618"/>
        <v>0.7</v>
      </c>
      <c r="R871" s="375">
        <f t="shared" si="1618"/>
        <v>0.79999999999999993</v>
      </c>
      <c r="S871" s="401">
        <f t="shared" si="1618"/>
        <v>0.79999999999999993</v>
      </c>
      <c r="T871" s="274">
        <f t="shared" si="1618"/>
        <v>0.79999999999999993</v>
      </c>
      <c r="U871" s="274">
        <f t="shared" si="1618"/>
        <v>0.79999999999999993</v>
      </c>
      <c r="V871" s="274">
        <f t="shared" si="1618"/>
        <v>0.79999999999999993</v>
      </c>
      <c r="W871" s="274">
        <f t="shared" si="1618"/>
        <v>0.79999999999999993</v>
      </c>
      <c r="X871" s="274">
        <f t="shared" si="1618"/>
        <v>0.89999999999999991</v>
      </c>
      <c r="Y871" s="274">
        <f t="shared" si="1618"/>
        <v>0.99999999999999989</v>
      </c>
      <c r="Z871" s="274">
        <f t="shared" si="1618"/>
        <v>1</v>
      </c>
      <c r="AA871" s="274">
        <f t="shared" si="1618"/>
        <v>1</v>
      </c>
      <c r="AB871" s="274">
        <f t="shared" si="1618"/>
        <v>1</v>
      </c>
      <c r="AC871" s="274">
        <f t="shared" si="1618"/>
        <v>1</v>
      </c>
      <c r="AD871" s="402">
        <f t="shared" si="1618"/>
        <v>1</v>
      </c>
      <c r="AE871" s="402">
        <f t="shared" si="1618"/>
        <v>1</v>
      </c>
      <c r="AF871" s="402">
        <f t="shared" si="1618"/>
        <v>1</v>
      </c>
      <c r="AG871" s="402">
        <f t="shared" si="1618"/>
        <v>1</v>
      </c>
      <c r="AH871" s="402">
        <f t="shared" si="1618"/>
        <v>1</v>
      </c>
      <c r="AI871" s="402">
        <f t="shared" si="1618"/>
        <v>1</v>
      </c>
      <c r="AJ871" s="402">
        <f t="shared" si="1618"/>
        <v>1</v>
      </c>
      <c r="AK871" s="402">
        <f t="shared" si="1618"/>
        <v>1</v>
      </c>
      <c r="AL871" s="402">
        <f t="shared" si="1618"/>
        <v>1</v>
      </c>
      <c r="AM871" s="402">
        <f t="shared" si="1618"/>
        <v>1</v>
      </c>
      <c r="AN871" s="402">
        <f t="shared" si="1618"/>
        <v>1</v>
      </c>
      <c r="AO871" s="402">
        <f t="shared" si="1618"/>
        <v>1</v>
      </c>
      <c r="AP871" s="402">
        <f t="shared" si="1618"/>
        <v>1</v>
      </c>
    </row>
    <row r="872" spans="2:42" s="216" customFormat="1" ht="25.5" hidden="1" outlineLevel="3">
      <c r="B872" s="255" t="s">
        <v>971</v>
      </c>
      <c r="C872" s="245" t="s">
        <v>135</v>
      </c>
      <c r="D872" s="227" t="s">
        <v>136</v>
      </c>
      <c r="E872" s="241">
        <v>4921479346</v>
      </c>
      <c r="F872" s="228">
        <f>E872/$E$871</f>
        <v>7.1676986389805894E-2</v>
      </c>
      <c r="G872" s="269">
        <f t="shared" si="1617"/>
        <v>1.4869038906002489E-3</v>
      </c>
      <c r="H872" s="299">
        <v>45899</v>
      </c>
      <c r="I872" s="299">
        <v>46387</v>
      </c>
      <c r="J872" s="299"/>
      <c r="K872" s="299"/>
      <c r="L872" s="299">
        <v>45899</v>
      </c>
      <c r="M872" s="299">
        <v>46598</v>
      </c>
      <c r="N872" s="272">
        <v>0.15</v>
      </c>
      <c r="O872" s="272">
        <v>0.3</v>
      </c>
      <c r="P872" s="272">
        <v>0.5</v>
      </c>
      <c r="Q872" s="272">
        <v>0.7</v>
      </c>
      <c r="R872" s="372">
        <v>0.79999999999999993</v>
      </c>
      <c r="S872" s="395">
        <v>0.79999999999999993</v>
      </c>
      <c r="T872" s="272">
        <v>0.79999999999999993</v>
      </c>
      <c r="U872" s="272">
        <v>0.79999999999999993</v>
      </c>
      <c r="V872" s="272">
        <v>0.79999999999999993</v>
      </c>
      <c r="W872" s="272">
        <v>0.79999999999999993</v>
      </c>
      <c r="X872" s="272">
        <v>0.89999999999999991</v>
      </c>
      <c r="Y872" s="272">
        <v>0.99999999999999989</v>
      </c>
      <c r="Z872" s="272">
        <v>0.99999999999999989</v>
      </c>
      <c r="AA872" s="272">
        <v>0.99999999999999989</v>
      </c>
      <c r="AB872" s="272">
        <v>0.99999999999999989</v>
      </c>
      <c r="AC872" s="272">
        <v>0.99999999999999989</v>
      </c>
      <c r="AD872" s="396">
        <v>0.99999999999999989</v>
      </c>
      <c r="AE872" s="396">
        <v>1</v>
      </c>
      <c r="AF872" s="396">
        <v>1</v>
      </c>
      <c r="AG872" s="396">
        <v>1</v>
      </c>
      <c r="AH872" s="396">
        <v>1</v>
      </c>
      <c r="AI872" s="396">
        <v>1</v>
      </c>
      <c r="AJ872" s="396">
        <v>1</v>
      </c>
      <c r="AK872" s="396">
        <v>1</v>
      </c>
      <c r="AL872" s="396">
        <v>1</v>
      </c>
      <c r="AM872" s="396">
        <v>1</v>
      </c>
      <c r="AN872" s="396">
        <v>1</v>
      </c>
      <c r="AO872" s="396">
        <v>1</v>
      </c>
      <c r="AP872" s="396">
        <v>1</v>
      </c>
    </row>
    <row r="873" spans="2:42" s="216" customFormat="1" ht="25.5" hidden="1" outlineLevel="3">
      <c r="B873" s="255" t="s">
        <v>972</v>
      </c>
      <c r="C873" s="245" t="s">
        <v>138</v>
      </c>
      <c r="D873" s="227" t="s">
        <v>139</v>
      </c>
      <c r="E873" s="241">
        <v>10548431640</v>
      </c>
      <c r="F873" s="228">
        <f t="shared" ref="F873:F878" si="1619">E873/$E$871</f>
        <v>0.15362856123913068</v>
      </c>
      <c r="G873" s="269">
        <f t="shared" si="1617"/>
        <v>3.1869490741629463E-3</v>
      </c>
      <c r="H873" s="299">
        <v>45899</v>
      </c>
      <c r="I873" s="299">
        <v>46387</v>
      </c>
      <c r="J873" s="299"/>
      <c r="K873" s="299"/>
      <c r="L873" s="299">
        <v>45899</v>
      </c>
      <c r="M873" s="299">
        <v>46598</v>
      </c>
      <c r="N873" s="272">
        <v>0.15</v>
      </c>
      <c r="O873" s="272">
        <v>0.3</v>
      </c>
      <c r="P873" s="272">
        <v>0.5</v>
      </c>
      <c r="Q873" s="272">
        <v>0.7</v>
      </c>
      <c r="R873" s="372">
        <v>0.79999999999999993</v>
      </c>
      <c r="S873" s="395">
        <v>0.79999999999999993</v>
      </c>
      <c r="T873" s="272">
        <v>0.79999999999999993</v>
      </c>
      <c r="U873" s="272">
        <v>0.79999999999999993</v>
      </c>
      <c r="V873" s="272">
        <v>0.79999999999999993</v>
      </c>
      <c r="W873" s="272">
        <v>0.79999999999999993</v>
      </c>
      <c r="X873" s="272">
        <v>0.89999999999999991</v>
      </c>
      <c r="Y873" s="272">
        <v>0.99999999999999989</v>
      </c>
      <c r="Z873" s="272">
        <v>0.99999999999999989</v>
      </c>
      <c r="AA873" s="272">
        <v>0.99999999999999989</v>
      </c>
      <c r="AB873" s="272">
        <v>0.99999999999999989</v>
      </c>
      <c r="AC873" s="272">
        <v>0.99999999999999989</v>
      </c>
      <c r="AD873" s="396">
        <v>0.99999999999999989</v>
      </c>
      <c r="AE873" s="396">
        <v>1</v>
      </c>
      <c r="AF873" s="396">
        <v>1</v>
      </c>
      <c r="AG873" s="396">
        <v>1</v>
      </c>
      <c r="AH873" s="396">
        <v>1</v>
      </c>
      <c r="AI873" s="396">
        <v>1</v>
      </c>
      <c r="AJ873" s="396">
        <v>1</v>
      </c>
      <c r="AK873" s="396">
        <v>1</v>
      </c>
      <c r="AL873" s="396">
        <v>1</v>
      </c>
      <c r="AM873" s="396">
        <v>1</v>
      </c>
      <c r="AN873" s="396">
        <v>1</v>
      </c>
      <c r="AO873" s="396">
        <v>1</v>
      </c>
      <c r="AP873" s="396">
        <v>1</v>
      </c>
    </row>
    <row r="874" spans="2:42" s="216" customFormat="1" ht="25.5" hidden="1" outlineLevel="3">
      <c r="B874" s="255" t="s">
        <v>973</v>
      </c>
      <c r="C874" s="245" t="s">
        <v>141</v>
      </c>
      <c r="D874" s="227" t="s">
        <v>142</v>
      </c>
      <c r="E874" s="241">
        <v>13787945814</v>
      </c>
      <c r="F874" s="228">
        <f t="shared" si="1619"/>
        <v>0.20080921506999638</v>
      </c>
      <c r="G874" s="269">
        <f t="shared" si="1617"/>
        <v>4.1656885730679272E-3</v>
      </c>
      <c r="H874" s="299">
        <v>46261</v>
      </c>
      <c r="I874" s="299">
        <v>46387</v>
      </c>
      <c r="J874" s="299"/>
      <c r="K874" s="299"/>
      <c r="L874" s="299">
        <v>46261</v>
      </c>
      <c r="M874" s="299">
        <v>46629</v>
      </c>
      <c r="N874" s="272">
        <v>0</v>
      </c>
      <c r="O874" s="272">
        <v>0</v>
      </c>
      <c r="P874" s="272">
        <v>0.2</v>
      </c>
      <c r="Q874" s="272">
        <v>0.30000000000000004</v>
      </c>
      <c r="R874" s="372">
        <v>0.4</v>
      </c>
      <c r="S874" s="395">
        <v>0.4</v>
      </c>
      <c r="T874" s="272">
        <v>0.4</v>
      </c>
      <c r="U874" s="272">
        <v>0.4</v>
      </c>
      <c r="V874" s="272">
        <v>0.4</v>
      </c>
      <c r="W874" s="272">
        <v>0.5</v>
      </c>
      <c r="X874" s="272">
        <v>0.7</v>
      </c>
      <c r="Y874" s="272">
        <v>0.89999999999999991</v>
      </c>
      <c r="Z874" s="272">
        <v>0.99999999999999989</v>
      </c>
      <c r="AA874" s="272">
        <v>0.99999999999999989</v>
      </c>
      <c r="AB874" s="272">
        <v>0.99999999999999989</v>
      </c>
      <c r="AC874" s="272">
        <v>0.99999999999999989</v>
      </c>
      <c r="AD874" s="396">
        <v>0.99999999999999989</v>
      </c>
      <c r="AE874" s="396">
        <v>1</v>
      </c>
      <c r="AF874" s="396">
        <v>1</v>
      </c>
      <c r="AG874" s="396">
        <v>1</v>
      </c>
      <c r="AH874" s="396">
        <v>1</v>
      </c>
      <c r="AI874" s="396">
        <v>1</v>
      </c>
      <c r="AJ874" s="396">
        <v>1</v>
      </c>
      <c r="AK874" s="396">
        <v>1</v>
      </c>
      <c r="AL874" s="396">
        <v>1</v>
      </c>
      <c r="AM874" s="396">
        <v>1</v>
      </c>
      <c r="AN874" s="396">
        <v>1</v>
      </c>
      <c r="AO874" s="396">
        <v>1</v>
      </c>
      <c r="AP874" s="396">
        <v>1</v>
      </c>
    </row>
    <row r="875" spans="2:42" s="216" customFormat="1" ht="25.5" hidden="1" outlineLevel="3">
      <c r="B875" s="255" t="s">
        <v>974</v>
      </c>
      <c r="C875" s="245" t="s">
        <v>144</v>
      </c>
      <c r="D875" s="227" t="s">
        <v>145</v>
      </c>
      <c r="E875" s="241">
        <v>16244549893</v>
      </c>
      <c r="F875" s="228">
        <f t="shared" si="1619"/>
        <v>0.2365874770023029</v>
      </c>
      <c r="G875" s="269">
        <f t="shared" si="1617"/>
        <v>4.9078910503979091E-3</v>
      </c>
      <c r="H875" s="299">
        <v>46261</v>
      </c>
      <c r="I875" s="299">
        <v>46387</v>
      </c>
      <c r="J875" s="299"/>
      <c r="K875" s="299"/>
      <c r="L875" s="299">
        <v>46261</v>
      </c>
      <c r="M875" s="299">
        <v>46598</v>
      </c>
      <c r="N875" s="272">
        <v>0</v>
      </c>
      <c r="O875" s="272">
        <v>0</v>
      </c>
      <c r="P875" s="272">
        <v>0.3</v>
      </c>
      <c r="Q875" s="272">
        <v>0.5</v>
      </c>
      <c r="R875" s="372">
        <v>0.6</v>
      </c>
      <c r="S875" s="395">
        <v>0.6</v>
      </c>
      <c r="T875" s="272">
        <v>0.6</v>
      </c>
      <c r="U875" s="272">
        <v>0.6</v>
      </c>
      <c r="V875" s="272">
        <v>0.6</v>
      </c>
      <c r="W875" s="272">
        <v>0.7</v>
      </c>
      <c r="X875" s="272">
        <v>0.89999999999999991</v>
      </c>
      <c r="Y875" s="272">
        <v>0.99999999999999989</v>
      </c>
      <c r="Z875" s="272">
        <v>0.99999999999999989</v>
      </c>
      <c r="AA875" s="272">
        <v>0.99999999999999989</v>
      </c>
      <c r="AB875" s="272">
        <v>0.99999999999999989</v>
      </c>
      <c r="AC875" s="272">
        <v>0.99999999999999989</v>
      </c>
      <c r="AD875" s="396">
        <v>0.99999999999999989</v>
      </c>
      <c r="AE875" s="396">
        <v>1</v>
      </c>
      <c r="AF875" s="396">
        <v>1</v>
      </c>
      <c r="AG875" s="396">
        <v>1</v>
      </c>
      <c r="AH875" s="396">
        <v>1</v>
      </c>
      <c r="AI875" s="396">
        <v>1</v>
      </c>
      <c r="AJ875" s="396">
        <v>1</v>
      </c>
      <c r="AK875" s="396">
        <v>1</v>
      </c>
      <c r="AL875" s="396">
        <v>1</v>
      </c>
      <c r="AM875" s="396">
        <v>1</v>
      </c>
      <c r="AN875" s="396">
        <v>1</v>
      </c>
      <c r="AO875" s="396">
        <v>1</v>
      </c>
      <c r="AP875" s="396">
        <v>1</v>
      </c>
    </row>
    <row r="876" spans="2:42" s="216" customFormat="1" ht="12.75" hidden="1" outlineLevel="3">
      <c r="B876" s="255" t="s">
        <v>975</v>
      </c>
      <c r="C876" s="245" t="s">
        <v>147</v>
      </c>
      <c r="D876" s="227" t="s">
        <v>148</v>
      </c>
      <c r="E876" s="241">
        <v>9341862391</v>
      </c>
      <c r="F876" s="228">
        <f t="shared" si="1619"/>
        <v>0.13605594911200233</v>
      </c>
      <c r="G876" s="269">
        <f t="shared" si="1617"/>
        <v>2.8224138634087123E-3</v>
      </c>
      <c r="H876" s="299"/>
      <c r="I876" s="299"/>
      <c r="J876" s="299"/>
      <c r="K876" s="299"/>
      <c r="L876" s="299"/>
      <c r="M876" s="299"/>
      <c r="N876" s="272">
        <v>0</v>
      </c>
      <c r="O876" s="272">
        <v>0</v>
      </c>
      <c r="P876" s="272">
        <v>0</v>
      </c>
      <c r="Q876" s="272">
        <v>0</v>
      </c>
      <c r="R876" s="372">
        <v>0</v>
      </c>
      <c r="S876" s="395">
        <v>0</v>
      </c>
      <c r="T876" s="272">
        <v>0</v>
      </c>
      <c r="U876" s="272">
        <v>0</v>
      </c>
      <c r="V876" s="272">
        <v>0</v>
      </c>
      <c r="W876" s="272">
        <v>0</v>
      </c>
      <c r="X876" s="272">
        <v>0</v>
      </c>
      <c r="Y876" s="272">
        <v>0</v>
      </c>
      <c r="Z876" s="272">
        <v>0</v>
      </c>
      <c r="AA876" s="272">
        <v>0</v>
      </c>
      <c r="AB876" s="272">
        <v>0</v>
      </c>
      <c r="AC876" s="272">
        <v>0</v>
      </c>
      <c r="AD876" s="396">
        <v>0</v>
      </c>
      <c r="AE876" s="396"/>
      <c r="AF876" s="396"/>
      <c r="AG876" s="396"/>
      <c r="AH876" s="396"/>
      <c r="AI876" s="396"/>
      <c r="AJ876" s="396"/>
      <c r="AK876" s="396"/>
      <c r="AL876" s="396"/>
      <c r="AM876" s="396"/>
      <c r="AN876" s="396"/>
      <c r="AO876" s="396"/>
      <c r="AP876" s="396"/>
    </row>
    <row r="877" spans="2:42" s="216" customFormat="1" ht="25.5" hidden="1" outlineLevel="3">
      <c r="B877" s="255" t="s">
        <v>976</v>
      </c>
      <c r="C877" s="245" t="s">
        <v>150</v>
      </c>
      <c r="D877" s="227" t="s">
        <v>151</v>
      </c>
      <c r="E877" s="241">
        <v>7500000000</v>
      </c>
      <c r="F877" s="228">
        <f t="shared" si="1619"/>
        <v>0.10923085522251913</v>
      </c>
      <c r="G877" s="269">
        <f t="shared" si="1617"/>
        <v>2.2659404612894755E-3</v>
      </c>
      <c r="H877" s="299"/>
      <c r="I877" s="299"/>
      <c r="J877" s="299"/>
      <c r="K877" s="299"/>
      <c r="L877" s="299">
        <v>46478</v>
      </c>
      <c r="M877" s="299">
        <v>46660</v>
      </c>
      <c r="N877" s="272">
        <v>0</v>
      </c>
      <c r="O877" s="272">
        <v>0</v>
      </c>
      <c r="P877" s="272">
        <v>0</v>
      </c>
      <c r="Q877" s="272">
        <v>0</v>
      </c>
      <c r="R877" s="372">
        <v>0.2</v>
      </c>
      <c r="S877" s="395">
        <v>0</v>
      </c>
      <c r="T877" s="272">
        <v>0</v>
      </c>
      <c r="U877" s="272">
        <v>0</v>
      </c>
      <c r="V877" s="272">
        <v>0.1</v>
      </c>
      <c r="W877" s="272">
        <v>0.30000000000000004</v>
      </c>
      <c r="X877" s="272">
        <v>0.5</v>
      </c>
      <c r="Y877" s="272">
        <v>0.6</v>
      </c>
      <c r="Z877" s="272">
        <v>0.8</v>
      </c>
      <c r="AA877" s="272">
        <v>1</v>
      </c>
      <c r="AB877" s="272">
        <v>1</v>
      </c>
      <c r="AC877" s="272">
        <v>1</v>
      </c>
      <c r="AD877" s="396">
        <v>1</v>
      </c>
      <c r="AE877" s="396">
        <v>1</v>
      </c>
      <c r="AF877" s="396">
        <v>1</v>
      </c>
      <c r="AG877" s="396">
        <v>1</v>
      </c>
      <c r="AH877" s="396">
        <v>1</v>
      </c>
      <c r="AI877" s="396">
        <v>1</v>
      </c>
      <c r="AJ877" s="396">
        <v>1</v>
      </c>
      <c r="AK877" s="396">
        <v>1</v>
      </c>
      <c r="AL877" s="396">
        <v>1</v>
      </c>
      <c r="AM877" s="396">
        <v>1</v>
      </c>
      <c r="AN877" s="396">
        <v>1</v>
      </c>
      <c r="AO877" s="396">
        <v>1</v>
      </c>
      <c r="AP877" s="396">
        <v>1</v>
      </c>
    </row>
    <row r="878" spans="2:42" s="216" customFormat="1" ht="25.5" hidden="1" outlineLevel="3">
      <c r="B878" s="255" t="s">
        <v>977</v>
      </c>
      <c r="C878" s="245" t="s">
        <v>153</v>
      </c>
      <c r="D878" s="227" t="s">
        <v>154</v>
      </c>
      <c r="E878" s="241">
        <v>6317648693</v>
      </c>
      <c r="F878" s="228">
        <f t="shared" si="1619"/>
        <v>9.2010955964242705E-2</v>
      </c>
      <c r="G878" s="269">
        <f t="shared" si="1617"/>
        <v>1.9087221058241694E-3</v>
      </c>
      <c r="H878" s="299">
        <v>46142</v>
      </c>
      <c r="I878" s="299">
        <v>46387</v>
      </c>
      <c r="J878" s="299"/>
      <c r="K878" s="299"/>
      <c r="L878" s="299">
        <v>46142</v>
      </c>
      <c r="M878" s="299">
        <v>46629</v>
      </c>
      <c r="N878" s="272">
        <v>0</v>
      </c>
      <c r="O878" s="272">
        <v>0</v>
      </c>
      <c r="P878" s="272">
        <v>0.2</v>
      </c>
      <c r="Q878" s="272">
        <v>0.30000000000000004</v>
      </c>
      <c r="R878" s="372">
        <v>0.4</v>
      </c>
      <c r="S878" s="395">
        <v>0.4</v>
      </c>
      <c r="T878" s="272">
        <v>0.4</v>
      </c>
      <c r="U878" s="272">
        <v>0.4</v>
      </c>
      <c r="V878" s="272">
        <v>0.4</v>
      </c>
      <c r="W878" s="272">
        <v>0.60000000000000009</v>
      </c>
      <c r="X878" s="272">
        <v>0.8</v>
      </c>
      <c r="Y878" s="272">
        <v>0.9</v>
      </c>
      <c r="Z878" s="272">
        <v>1</v>
      </c>
      <c r="AA878" s="272">
        <v>1</v>
      </c>
      <c r="AB878" s="272">
        <v>1</v>
      </c>
      <c r="AC878" s="272">
        <v>1</v>
      </c>
      <c r="AD878" s="396">
        <v>1</v>
      </c>
      <c r="AE878" s="396">
        <v>1</v>
      </c>
      <c r="AF878" s="396">
        <v>1</v>
      </c>
      <c r="AG878" s="396">
        <v>1</v>
      </c>
      <c r="AH878" s="396">
        <v>1</v>
      </c>
      <c r="AI878" s="396">
        <v>1</v>
      </c>
      <c r="AJ878" s="396">
        <v>1</v>
      </c>
      <c r="AK878" s="396">
        <v>1</v>
      </c>
      <c r="AL878" s="396">
        <v>1</v>
      </c>
      <c r="AM878" s="396">
        <v>1</v>
      </c>
      <c r="AN878" s="396">
        <v>1</v>
      </c>
      <c r="AO878" s="396">
        <v>1</v>
      </c>
      <c r="AP878" s="396">
        <v>1</v>
      </c>
    </row>
    <row r="879" spans="2:42" s="140" customFormat="1" ht="25.5" hidden="1" outlineLevel="1">
      <c r="B879" s="259" t="s">
        <v>957</v>
      </c>
      <c r="C879" s="251"/>
      <c r="D879" s="236" t="s">
        <v>157</v>
      </c>
      <c r="E879" s="242">
        <f>+SUM(E880:E884)</f>
        <v>68126520631</v>
      </c>
      <c r="F879" s="232">
        <f>E879/$E$858</f>
        <v>0.15245155571846505</v>
      </c>
      <c r="G879" s="232">
        <f t="shared" si="1617"/>
        <v>2.058275194462068E-2</v>
      </c>
      <c r="H879" s="321"/>
      <c r="I879" s="321"/>
      <c r="J879" s="321"/>
      <c r="K879" s="321"/>
      <c r="L879" s="321"/>
      <c r="M879" s="232"/>
      <c r="N879" s="274">
        <f>+SUMPRODUCT($F880:$F884,N880:N884)</f>
        <v>0</v>
      </c>
      <c r="O879" s="274">
        <f t="shared" ref="O879:AD879" si="1620">+SUMPRODUCT($F880:$F884,O880:O884)</f>
        <v>0</v>
      </c>
      <c r="P879" s="274">
        <f t="shared" si="1620"/>
        <v>3.1310935703787596E-2</v>
      </c>
      <c r="Q879" s="274">
        <f t="shared" si="1620"/>
        <v>4.6966403555681394E-2</v>
      </c>
      <c r="R879" s="375">
        <f t="shared" si="1620"/>
        <v>6.2621871407575191E-2</v>
      </c>
      <c r="S879" s="401">
        <f t="shared" si="1620"/>
        <v>6.2621871407575191E-2</v>
      </c>
      <c r="T879" s="274">
        <f t="shared" si="1620"/>
        <v>6.2621871407575191E-2</v>
      </c>
      <c r="U879" s="274">
        <f t="shared" si="1620"/>
        <v>6.2621871407575191E-2</v>
      </c>
      <c r="V879" s="274">
        <f t="shared" si="1620"/>
        <v>6.2621871407575191E-2</v>
      </c>
      <c r="W879" s="274">
        <f t="shared" si="1620"/>
        <v>9.3932807111362787E-2</v>
      </c>
      <c r="X879" s="274">
        <f t="shared" si="1620"/>
        <v>0.13131743424056738</v>
      </c>
      <c r="Y879" s="274">
        <f t="shared" si="1620"/>
        <v>0.32477250352679915</v>
      </c>
      <c r="Z879" s="274">
        <f t="shared" si="1620"/>
        <v>0.51215388138761386</v>
      </c>
      <c r="AA879" s="274">
        <f t="shared" si="1620"/>
        <v>0.67476925425840928</v>
      </c>
      <c r="AB879" s="274">
        <f t="shared" si="1620"/>
        <v>0.83738462712920469</v>
      </c>
      <c r="AC879" s="274">
        <f t="shared" si="1620"/>
        <v>1</v>
      </c>
      <c r="AD879" s="402">
        <f t="shared" si="1620"/>
        <v>1</v>
      </c>
      <c r="AE879" s="402">
        <f t="shared" ref="AE879" si="1621">+SUMPRODUCT($F880:$F884,AE880:AE884)</f>
        <v>1</v>
      </c>
      <c r="AF879" s="402">
        <f t="shared" ref="AF879" si="1622">+SUMPRODUCT($F880:$F884,AF880:AF884)</f>
        <v>1</v>
      </c>
      <c r="AG879" s="402">
        <f t="shared" ref="AG879" si="1623">+SUMPRODUCT($F880:$F884,AG880:AG884)</f>
        <v>1</v>
      </c>
      <c r="AH879" s="402">
        <f t="shared" ref="AH879" si="1624">+SUMPRODUCT($F880:$F884,AH880:AH884)</f>
        <v>1</v>
      </c>
      <c r="AI879" s="402">
        <f t="shared" ref="AI879" si="1625">+SUMPRODUCT($F880:$F884,AI880:AI884)</f>
        <v>1</v>
      </c>
      <c r="AJ879" s="402">
        <f t="shared" ref="AJ879" si="1626">+SUMPRODUCT($F880:$F884,AJ880:AJ884)</f>
        <v>1</v>
      </c>
      <c r="AK879" s="402">
        <f t="shared" ref="AK879" si="1627">+SUMPRODUCT($F880:$F884,AK880:AK884)</f>
        <v>1</v>
      </c>
      <c r="AL879" s="402">
        <f t="shared" ref="AL879" si="1628">+SUMPRODUCT($F880:$F884,AL880:AL884)</f>
        <v>1</v>
      </c>
      <c r="AM879" s="402">
        <f t="shared" ref="AM879" si="1629">+SUMPRODUCT($F880:$F884,AM880:AM884)</f>
        <v>1</v>
      </c>
      <c r="AN879" s="402">
        <f t="shared" ref="AN879" si="1630">+SUMPRODUCT($F880:$F884,AN880:AN884)</f>
        <v>1</v>
      </c>
      <c r="AO879" s="402">
        <f t="shared" ref="AO879" si="1631">+SUMPRODUCT($F880:$F884,AO880:AO884)</f>
        <v>1</v>
      </c>
      <c r="AP879" s="402">
        <f t="shared" ref="AP879" si="1632">+SUMPRODUCT($F880:$F884,AP880:AP884)</f>
        <v>1</v>
      </c>
    </row>
    <row r="880" spans="2:42" s="216" customFormat="1" ht="12.75" hidden="1" outlineLevel="2">
      <c r="B880" s="255" t="s">
        <v>970</v>
      </c>
      <c r="C880" s="245" t="s">
        <v>181</v>
      </c>
      <c r="D880" s="227" t="s">
        <v>182</v>
      </c>
      <c r="E880" s="241">
        <v>55392097774</v>
      </c>
      <c r="F880" s="228">
        <f t="shared" ref="F880:F884" si="1633">E880/$E$879</f>
        <v>0.81307686435397697</v>
      </c>
      <c r="G880" s="269">
        <f t="shared" si="1617"/>
        <v>1.6735359410907903E-2</v>
      </c>
      <c r="H880" s="299"/>
      <c r="I880" s="299"/>
      <c r="J880" s="299"/>
      <c r="K880" s="299"/>
      <c r="L880" s="299">
        <v>46569</v>
      </c>
      <c r="M880" s="299" t="s">
        <v>1042</v>
      </c>
      <c r="N880" s="272">
        <v>0</v>
      </c>
      <c r="O880" s="272">
        <v>0</v>
      </c>
      <c r="P880" s="272">
        <v>0</v>
      </c>
      <c r="Q880" s="272">
        <v>0</v>
      </c>
      <c r="R880" s="372">
        <v>0</v>
      </c>
      <c r="S880" s="395">
        <v>0</v>
      </c>
      <c r="T880" s="272">
        <v>0</v>
      </c>
      <c r="U880" s="272">
        <v>0</v>
      </c>
      <c r="V880" s="272">
        <v>0</v>
      </c>
      <c r="W880" s="272">
        <v>0</v>
      </c>
      <c r="X880" s="272">
        <v>0</v>
      </c>
      <c r="Y880" s="272">
        <v>0.2</v>
      </c>
      <c r="Z880" s="272">
        <v>0.4</v>
      </c>
      <c r="AA880" s="272">
        <v>0.60000000000000009</v>
      </c>
      <c r="AB880" s="272">
        <v>0.8</v>
      </c>
      <c r="AC880" s="272">
        <v>1</v>
      </c>
      <c r="AD880" s="396">
        <v>1</v>
      </c>
      <c r="AE880" s="396">
        <v>1</v>
      </c>
      <c r="AF880" s="396">
        <v>1</v>
      </c>
      <c r="AG880" s="396">
        <v>1</v>
      </c>
      <c r="AH880" s="396">
        <v>1</v>
      </c>
      <c r="AI880" s="396">
        <v>1</v>
      </c>
      <c r="AJ880" s="396">
        <v>1</v>
      </c>
      <c r="AK880" s="396">
        <v>1</v>
      </c>
      <c r="AL880" s="396">
        <v>1</v>
      </c>
      <c r="AM880" s="396">
        <v>1</v>
      </c>
      <c r="AN880" s="396">
        <v>1</v>
      </c>
      <c r="AO880" s="396">
        <v>1</v>
      </c>
      <c r="AP880" s="396">
        <v>1</v>
      </c>
    </row>
    <row r="881" spans="2:42" s="216" customFormat="1" ht="25.5" hidden="1" outlineLevel="2">
      <c r="B881" s="255" t="s">
        <v>978</v>
      </c>
      <c r="C881" s="245" t="s">
        <v>159</v>
      </c>
      <c r="D881" s="227" t="s">
        <v>160</v>
      </c>
      <c r="E881" s="241">
        <v>6367151848</v>
      </c>
      <c r="F881" s="228">
        <f t="shared" si="1633"/>
        <v>9.3460693266385869E-2</v>
      </c>
      <c r="G881" s="269">
        <f t="shared" si="1617"/>
        <v>1.9236782660743009E-3</v>
      </c>
      <c r="H881" s="299">
        <v>46142</v>
      </c>
      <c r="I881" s="299">
        <v>46387</v>
      </c>
      <c r="J881" s="299"/>
      <c r="K881" s="299"/>
      <c r="L881" s="299">
        <v>46142</v>
      </c>
      <c r="M881" s="299">
        <v>46629</v>
      </c>
      <c r="N881" s="272">
        <v>0</v>
      </c>
      <c r="O881" s="272">
        <v>0</v>
      </c>
      <c r="P881" s="272">
        <v>0.2</v>
      </c>
      <c r="Q881" s="272">
        <v>0.30000000000000004</v>
      </c>
      <c r="R881" s="372">
        <v>0.4</v>
      </c>
      <c r="S881" s="395">
        <v>0.4</v>
      </c>
      <c r="T881" s="272">
        <v>0.4</v>
      </c>
      <c r="U881" s="272">
        <v>0.4</v>
      </c>
      <c r="V881" s="272">
        <v>0.4</v>
      </c>
      <c r="W881" s="272">
        <v>0.60000000000000009</v>
      </c>
      <c r="X881" s="272">
        <v>0.8</v>
      </c>
      <c r="Y881" s="272">
        <v>0.9</v>
      </c>
      <c r="Z881" s="272">
        <v>1</v>
      </c>
      <c r="AA881" s="272">
        <v>1</v>
      </c>
      <c r="AB881" s="272">
        <v>1</v>
      </c>
      <c r="AC881" s="272">
        <v>1</v>
      </c>
      <c r="AD881" s="396">
        <v>1</v>
      </c>
      <c r="AE881" s="396">
        <v>1</v>
      </c>
      <c r="AF881" s="396">
        <v>1</v>
      </c>
      <c r="AG881" s="396">
        <v>1</v>
      </c>
      <c r="AH881" s="396">
        <v>1</v>
      </c>
      <c r="AI881" s="396">
        <v>1</v>
      </c>
      <c r="AJ881" s="396">
        <v>1</v>
      </c>
      <c r="AK881" s="396">
        <v>1</v>
      </c>
      <c r="AL881" s="396">
        <v>1</v>
      </c>
      <c r="AM881" s="396">
        <v>1</v>
      </c>
      <c r="AN881" s="396">
        <v>1</v>
      </c>
      <c r="AO881" s="396">
        <v>1</v>
      </c>
      <c r="AP881" s="396">
        <v>1</v>
      </c>
    </row>
    <row r="882" spans="2:42" s="216" customFormat="1" ht="25.5" hidden="1" outlineLevel="2">
      <c r="B882" s="255" t="s">
        <v>979</v>
      </c>
      <c r="C882" s="245" t="s">
        <v>162</v>
      </c>
      <c r="D882" s="227" t="s">
        <v>163</v>
      </c>
      <c r="E882" s="241">
        <v>2068897321</v>
      </c>
      <c r="F882" s="228">
        <f t="shared" si="1633"/>
        <v>3.036845712708507E-2</v>
      </c>
      <c r="G882" s="269">
        <f t="shared" si="1617"/>
        <v>6.2506641998764001E-4</v>
      </c>
      <c r="H882" s="299"/>
      <c r="I882" s="299"/>
      <c r="J882" s="299"/>
      <c r="K882" s="299"/>
      <c r="L882" s="299">
        <v>46539</v>
      </c>
      <c r="M882" s="299">
        <v>46629</v>
      </c>
      <c r="N882" s="272">
        <v>0</v>
      </c>
      <c r="O882" s="272">
        <v>0</v>
      </c>
      <c r="P882" s="272">
        <v>0</v>
      </c>
      <c r="Q882" s="272">
        <v>0</v>
      </c>
      <c r="R882" s="372">
        <v>0</v>
      </c>
      <c r="S882" s="395">
        <v>0</v>
      </c>
      <c r="T882" s="272">
        <v>0</v>
      </c>
      <c r="U882" s="272">
        <v>0</v>
      </c>
      <c r="V882" s="272">
        <v>0</v>
      </c>
      <c r="W882" s="272">
        <v>0</v>
      </c>
      <c r="X882" s="272">
        <v>0.2</v>
      </c>
      <c r="Y882" s="272">
        <v>0.7</v>
      </c>
      <c r="Z882" s="272">
        <v>1</v>
      </c>
      <c r="AA882" s="272">
        <v>1</v>
      </c>
      <c r="AB882" s="272">
        <v>1</v>
      </c>
      <c r="AC882" s="272">
        <v>1</v>
      </c>
      <c r="AD882" s="396">
        <v>1</v>
      </c>
      <c r="AE882" s="396">
        <v>1</v>
      </c>
      <c r="AF882" s="396">
        <v>1</v>
      </c>
      <c r="AG882" s="396">
        <v>1</v>
      </c>
      <c r="AH882" s="396">
        <v>1</v>
      </c>
      <c r="AI882" s="396">
        <v>1</v>
      </c>
      <c r="AJ882" s="396">
        <v>1</v>
      </c>
      <c r="AK882" s="396">
        <v>1</v>
      </c>
      <c r="AL882" s="396">
        <v>1</v>
      </c>
      <c r="AM882" s="396">
        <v>1</v>
      </c>
      <c r="AN882" s="396">
        <v>1</v>
      </c>
      <c r="AO882" s="396">
        <v>1</v>
      </c>
      <c r="AP882" s="396">
        <v>1</v>
      </c>
    </row>
    <row r="883" spans="2:42" s="216" customFormat="1" ht="12.75" hidden="1" outlineLevel="2">
      <c r="B883" s="255" t="s">
        <v>980</v>
      </c>
      <c r="C883" s="245" t="s">
        <v>165</v>
      </c>
      <c r="D883" s="227" t="s">
        <v>166</v>
      </c>
      <c r="E883" s="241">
        <v>2452696891</v>
      </c>
      <c r="F883" s="228">
        <f t="shared" si="1633"/>
        <v>3.6002086533741685E-2</v>
      </c>
      <c r="G883" s="269">
        <f t="shared" si="1617"/>
        <v>7.4102201661277369E-4</v>
      </c>
      <c r="H883" s="299">
        <v>46142</v>
      </c>
      <c r="I883" s="299">
        <v>46387</v>
      </c>
      <c r="J883" s="299"/>
      <c r="K883" s="299"/>
      <c r="L883" s="299">
        <v>46142</v>
      </c>
      <c r="M883" s="299">
        <v>46629</v>
      </c>
      <c r="N883" s="272">
        <v>0</v>
      </c>
      <c r="O883" s="272">
        <v>0</v>
      </c>
      <c r="P883" s="272">
        <v>0.2</v>
      </c>
      <c r="Q883" s="272">
        <v>0.30000000000000004</v>
      </c>
      <c r="R883" s="372">
        <v>0.4</v>
      </c>
      <c r="S883" s="395">
        <v>0.4</v>
      </c>
      <c r="T883" s="272">
        <v>0.4</v>
      </c>
      <c r="U883" s="272">
        <v>0.4</v>
      </c>
      <c r="V883" s="272">
        <v>0.4</v>
      </c>
      <c r="W883" s="272">
        <v>0.60000000000000009</v>
      </c>
      <c r="X883" s="272">
        <v>0.8</v>
      </c>
      <c r="Y883" s="272">
        <v>0.9</v>
      </c>
      <c r="Z883" s="272">
        <v>1</v>
      </c>
      <c r="AA883" s="272">
        <v>1</v>
      </c>
      <c r="AB883" s="272">
        <v>1</v>
      </c>
      <c r="AC883" s="272">
        <v>1</v>
      </c>
      <c r="AD883" s="396">
        <v>1</v>
      </c>
      <c r="AE883" s="396">
        <v>1</v>
      </c>
      <c r="AF883" s="396">
        <v>1</v>
      </c>
      <c r="AG883" s="396">
        <v>1</v>
      </c>
      <c r="AH883" s="396">
        <v>1</v>
      </c>
      <c r="AI883" s="396">
        <v>1</v>
      </c>
      <c r="AJ883" s="396">
        <v>1</v>
      </c>
      <c r="AK883" s="396">
        <v>1</v>
      </c>
      <c r="AL883" s="396">
        <v>1</v>
      </c>
      <c r="AM883" s="396">
        <v>1</v>
      </c>
      <c r="AN883" s="396">
        <v>1</v>
      </c>
      <c r="AO883" s="396">
        <v>1</v>
      </c>
      <c r="AP883" s="396">
        <v>1</v>
      </c>
    </row>
    <row r="884" spans="2:42" s="216" customFormat="1" ht="12.75" hidden="1" outlineLevel="2">
      <c r="B884" s="255" t="s">
        <v>981</v>
      </c>
      <c r="C884" s="245" t="s">
        <v>168</v>
      </c>
      <c r="D884" s="227" t="s">
        <v>169</v>
      </c>
      <c r="E884" s="241">
        <v>1845676797</v>
      </c>
      <c r="F884" s="228">
        <f t="shared" si="1633"/>
        <v>2.7091898718810414E-2</v>
      </c>
      <c r="G884" s="269">
        <f t="shared" si="1617"/>
        <v>5.5762583103806157E-4</v>
      </c>
      <c r="H884" s="299">
        <v>46142</v>
      </c>
      <c r="I884" s="299">
        <v>46387</v>
      </c>
      <c r="J884" s="299"/>
      <c r="K884" s="299"/>
      <c r="L884" s="299">
        <v>46142</v>
      </c>
      <c r="M884" s="299">
        <v>46629</v>
      </c>
      <c r="N884" s="272">
        <v>0</v>
      </c>
      <c r="O884" s="272">
        <v>0</v>
      </c>
      <c r="P884" s="272">
        <v>0.2</v>
      </c>
      <c r="Q884" s="272">
        <v>0.30000000000000004</v>
      </c>
      <c r="R884" s="372">
        <v>0.4</v>
      </c>
      <c r="S884" s="395">
        <v>0.4</v>
      </c>
      <c r="T884" s="272">
        <v>0.4</v>
      </c>
      <c r="U884" s="272">
        <v>0.4</v>
      </c>
      <c r="V884" s="272">
        <v>0.4</v>
      </c>
      <c r="W884" s="272">
        <v>0.60000000000000009</v>
      </c>
      <c r="X884" s="272">
        <v>0.8</v>
      </c>
      <c r="Y884" s="272">
        <v>0.9</v>
      </c>
      <c r="Z884" s="272">
        <v>1</v>
      </c>
      <c r="AA884" s="272">
        <v>1</v>
      </c>
      <c r="AB884" s="272">
        <v>1</v>
      </c>
      <c r="AC884" s="272">
        <v>1</v>
      </c>
      <c r="AD884" s="396">
        <v>1</v>
      </c>
      <c r="AE884" s="396">
        <v>1</v>
      </c>
      <c r="AF884" s="396">
        <v>1</v>
      </c>
      <c r="AG884" s="396">
        <v>1</v>
      </c>
      <c r="AH884" s="396">
        <v>1</v>
      </c>
      <c r="AI884" s="396">
        <v>1</v>
      </c>
      <c r="AJ884" s="396">
        <v>1</v>
      </c>
      <c r="AK884" s="396">
        <v>1</v>
      </c>
      <c r="AL884" s="396">
        <v>1</v>
      </c>
      <c r="AM884" s="396">
        <v>1</v>
      </c>
      <c r="AN884" s="396">
        <v>1</v>
      </c>
      <c r="AO884" s="396">
        <v>1</v>
      </c>
      <c r="AP884" s="396">
        <v>1</v>
      </c>
    </row>
    <row r="885" spans="2:42" s="140" customFormat="1" ht="25.5" hidden="1" outlineLevel="1">
      <c r="B885" s="259" t="s">
        <v>957</v>
      </c>
      <c r="C885" s="251"/>
      <c r="D885" s="236" t="s">
        <v>173</v>
      </c>
      <c r="E885" s="242">
        <f>+SUM(E886:E888)</f>
        <v>137603795730</v>
      </c>
      <c r="F885" s="232">
        <f>E885/$E$858</f>
        <v>0.30792579068332282</v>
      </c>
      <c r="G885" s="232">
        <f t="shared" si="1617"/>
        <v>4.1573601116215858E-2</v>
      </c>
      <c r="H885" s="321">
        <f>MIN(H886:H888)</f>
        <v>45940</v>
      </c>
      <c r="I885" s="321">
        <f>MAX(I886:I888)</f>
        <v>46387</v>
      </c>
      <c r="J885" s="321"/>
      <c r="K885" s="321"/>
      <c r="L885" s="321">
        <f>MIN(L886:L888)</f>
        <v>45940</v>
      </c>
      <c r="M885" s="321">
        <v>46660</v>
      </c>
      <c r="N885" s="274">
        <f t="shared" ref="N885:AP885" si="1634">MAX(N886:N888)</f>
        <v>0.2</v>
      </c>
      <c r="O885" s="274">
        <f t="shared" si="1634"/>
        <v>0.3</v>
      </c>
      <c r="P885" s="274">
        <f t="shared" si="1634"/>
        <v>0.5</v>
      </c>
      <c r="Q885" s="274">
        <f t="shared" si="1634"/>
        <v>0.7</v>
      </c>
      <c r="R885" s="375">
        <f t="shared" si="1634"/>
        <v>0.8</v>
      </c>
      <c r="S885" s="401">
        <f t="shared" si="1634"/>
        <v>1</v>
      </c>
      <c r="T885" s="274">
        <f t="shared" si="1634"/>
        <v>1</v>
      </c>
      <c r="U885" s="274">
        <f t="shared" si="1634"/>
        <v>1</v>
      </c>
      <c r="V885" s="274">
        <f t="shared" si="1634"/>
        <v>1</v>
      </c>
      <c r="W885" s="274">
        <f t="shared" si="1634"/>
        <v>1</v>
      </c>
      <c r="X885" s="274">
        <f t="shared" si="1634"/>
        <v>1</v>
      </c>
      <c r="Y885" s="274">
        <f t="shared" si="1634"/>
        <v>1</v>
      </c>
      <c r="Z885" s="274">
        <f t="shared" si="1634"/>
        <v>1</v>
      </c>
      <c r="AA885" s="274">
        <f t="shared" si="1634"/>
        <v>1</v>
      </c>
      <c r="AB885" s="274">
        <f t="shared" si="1634"/>
        <v>1</v>
      </c>
      <c r="AC885" s="274">
        <f t="shared" si="1634"/>
        <v>1</v>
      </c>
      <c r="AD885" s="402">
        <f t="shared" si="1634"/>
        <v>1</v>
      </c>
      <c r="AE885" s="402">
        <f t="shared" si="1634"/>
        <v>1</v>
      </c>
      <c r="AF885" s="402">
        <f t="shared" si="1634"/>
        <v>1</v>
      </c>
      <c r="AG885" s="402">
        <f t="shared" si="1634"/>
        <v>1</v>
      </c>
      <c r="AH885" s="402">
        <f t="shared" si="1634"/>
        <v>1</v>
      </c>
      <c r="AI885" s="402">
        <f t="shared" si="1634"/>
        <v>1</v>
      </c>
      <c r="AJ885" s="402">
        <f t="shared" si="1634"/>
        <v>1</v>
      </c>
      <c r="AK885" s="402">
        <f t="shared" si="1634"/>
        <v>1</v>
      </c>
      <c r="AL885" s="402">
        <f t="shared" si="1634"/>
        <v>1</v>
      </c>
      <c r="AM885" s="402">
        <f t="shared" si="1634"/>
        <v>1</v>
      </c>
      <c r="AN885" s="402">
        <f t="shared" si="1634"/>
        <v>1</v>
      </c>
      <c r="AO885" s="402">
        <f t="shared" si="1634"/>
        <v>1</v>
      </c>
      <c r="AP885" s="402">
        <f t="shared" si="1634"/>
        <v>1</v>
      </c>
    </row>
    <row r="886" spans="2:42" s="216" customFormat="1" ht="25.5" hidden="1" outlineLevel="2">
      <c r="B886" s="255" t="s">
        <v>958</v>
      </c>
      <c r="C886" s="245" t="s">
        <v>175</v>
      </c>
      <c r="D886" s="227" t="s">
        <v>176</v>
      </c>
      <c r="E886" s="241">
        <v>22868075730</v>
      </c>
      <c r="F886" s="228">
        <f>E886/$E$885</f>
        <v>0.16618782649623062</v>
      </c>
      <c r="G886" s="269">
        <f t="shared" si="1617"/>
        <v>6.9090264091251803E-3</v>
      </c>
      <c r="H886" s="299">
        <v>45940</v>
      </c>
      <c r="I886" s="299">
        <v>46387</v>
      </c>
      <c r="J886" s="299"/>
      <c r="K886" s="299"/>
      <c r="L886" s="299">
        <v>45940</v>
      </c>
      <c r="M886" s="299">
        <v>46418</v>
      </c>
      <c r="N886" s="272">
        <v>0.2</v>
      </c>
      <c r="O886" s="272">
        <v>0.3</v>
      </c>
      <c r="P886" s="272">
        <v>0.5</v>
      </c>
      <c r="Q886" s="272">
        <v>0.7</v>
      </c>
      <c r="R886" s="372">
        <v>0.8</v>
      </c>
      <c r="S886" s="395">
        <v>1</v>
      </c>
      <c r="T886" s="272">
        <v>1</v>
      </c>
      <c r="U886" s="272">
        <v>1</v>
      </c>
      <c r="V886" s="272">
        <v>1</v>
      </c>
      <c r="W886" s="272">
        <v>1</v>
      </c>
      <c r="X886" s="272">
        <v>1</v>
      </c>
      <c r="Y886" s="272">
        <v>1</v>
      </c>
      <c r="Z886" s="272">
        <v>1</v>
      </c>
      <c r="AA886" s="272">
        <v>1</v>
      </c>
      <c r="AB886" s="272">
        <v>1</v>
      </c>
      <c r="AC886" s="272">
        <v>1</v>
      </c>
      <c r="AD886" s="396">
        <v>1</v>
      </c>
      <c r="AE886" s="396">
        <v>1</v>
      </c>
      <c r="AF886" s="396">
        <v>1</v>
      </c>
      <c r="AG886" s="396">
        <v>1</v>
      </c>
      <c r="AH886" s="396">
        <v>1</v>
      </c>
      <c r="AI886" s="396">
        <v>1</v>
      </c>
      <c r="AJ886" s="396">
        <v>1</v>
      </c>
      <c r="AK886" s="396">
        <v>1</v>
      </c>
      <c r="AL886" s="396">
        <v>1</v>
      </c>
      <c r="AM886" s="396">
        <v>1</v>
      </c>
      <c r="AN886" s="396">
        <v>1</v>
      </c>
      <c r="AO886" s="396">
        <v>1</v>
      </c>
      <c r="AP886" s="396">
        <v>1</v>
      </c>
    </row>
    <row r="887" spans="2:42" s="216" customFormat="1" ht="25.5" hidden="1" outlineLevel="2">
      <c r="B887" s="255" t="s">
        <v>970</v>
      </c>
      <c r="C887" s="245" t="s">
        <v>178</v>
      </c>
      <c r="D887" s="227" t="s">
        <v>179</v>
      </c>
      <c r="E887" s="241">
        <v>49654650000</v>
      </c>
      <c r="F887" s="228">
        <f t="shared" ref="F887:F888" si="1635">E887/$E$885</f>
        <v>0.36085232777611836</v>
      </c>
      <c r="G887" s="269">
        <f t="shared" si="1617"/>
        <v>1.5001930736822327E-2</v>
      </c>
      <c r="H887" s="299"/>
      <c r="I887" s="299"/>
      <c r="J887" s="299"/>
      <c r="K887" s="299"/>
      <c r="L887" s="299">
        <v>46478</v>
      </c>
      <c r="M887" s="299">
        <v>46660</v>
      </c>
      <c r="N887" s="272">
        <v>0</v>
      </c>
      <c r="O887" s="272">
        <v>0</v>
      </c>
      <c r="P887" s="272">
        <v>0</v>
      </c>
      <c r="Q887" s="272">
        <v>0</v>
      </c>
      <c r="R887" s="372">
        <v>0</v>
      </c>
      <c r="S887" s="395">
        <v>0</v>
      </c>
      <c r="T887" s="272">
        <v>0</v>
      </c>
      <c r="U887" s="272">
        <v>0</v>
      </c>
      <c r="V887" s="272">
        <v>0.1</v>
      </c>
      <c r="W887" s="272">
        <v>0.30000000000000004</v>
      </c>
      <c r="X887" s="272">
        <v>0.5</v>
      </c>
      <c r="Y887" s="272">
        <v>0.6</v>
      </c>
      <c r="Z887" s="272">
        <v>0.8</v>
      </c>
      <c r="AA887" s="272">
        <v>1</v>
      </c>
      <c r="AB887" s="272">
        <v>1</v>
      </c>
      <c r="AC887" s="272">
        <v>1</v>
      </c>
      <c r="AD887" s="396">
        <v>1</v>
      </c>
      <c r="AE887" s="396">
        <v>1</v>
      </c>
      <c r="AF887" s="396">
        <v>1</v>
      </c>
      <c r="AG887" s="396">
        <v>1</v>
      </c>
      <c r="AH887" s="396">
        <v>1</v>
      </c>
      <c r="AI887" s="396">
        <v>1</v>
      </c>
      <c r="AJ887" s="396">
        <v>1</v>
      </c>
      <c r="AK887" s="396">
        <v>1</v>
      </c>
      <c r="AL887" s="396">
        <v>1</v>
      </c>
      <c r="AM887" s="396">
        <v>1</v>
      </c>
      <c r="AN887" s="396">
        <v>1</v>
      </c>
      <c r="AO887" s="396">
        <v>1</v>
      </c>
      <c r="AP887" s="396">
        <v>1</v>
      </c>
    </row>
    <row r="888" spans="2:42" s="216" customFormat="1" ht="25.5" hidden="1" outlineLevel="2">
      <c r="B888" s="255" t="s">
        <v>978</v>
      </c>
      <c r="C888" s="245"/>
      <c r="D888" s="227" t="s">
        <v>439</v>
      </c>
      <c r="E888" s="241">
        <v>65081070000</v>
      </c>
      <c r="F888" s="228">
        <f t="shared" si="1635"/>
        <v>0.47295984572765098</v>
      </c>
      <c r="G888" s="269">
        <f t="shared" si="1617"/>
        <v>1.9662643970268352E-2</v>
      </c>
      <c r="H888" s="299"/>
      <c r="I888" s="299"/>
      <c r="J888" s="299"/>
      <c r="K888" s="299"/>
      <c r="L888" s="299"/>
      <c r="M888" s="299"/>
      <c r="N888" s="272">
        <v>0</v>
      </c>
      <c r="O888" s="272">
        <v>0</v>
      </c>
      <c r="P888" s="272">
        <v>0</v>
      </c>
      <c r="Q888" s="272">
        <v>0</v>
      </c>
      <c r="R888" s="372">
        <v>0</v>
      </c>
      <c r="S888" s="395">
        <v>0</v>
      </c>
      <c r="T888" s="272"/>
      <c r="U888" s="272"/>
      <c r="V888" s="272"/>
      <c r="W888" s="272"/>
      <c r="X888" s="272"/>
      <c r="Y888" s="272"/>
      <c r="Z888" s="272"/>
      <c r="AA888" s="272"/>
      <c r="AB888" s="272"/>
      <c r="AC888" s="272"/>
      <c r="AD888" s="396"/>
      <c r="AE888" s="396"/>
      <c r="AF888" s="396"/>
      <c r="AG888" s="396"/>
      <c r="AH888" s="396"/>
      <c r="AI888" s="396"/>
      <c r="AJ888" s="396"/>
      <c r="AK888" s="396"/>
      <c r="AL888" s="396"/>
      <c r="AM888" s="396"/>
      <c r="AN888" s="396"/>
      <c r="AO888" s="396"/>
      <c r="AP888" s="396"/>
    </row>
    <row r="889" spans="2:42" s="140" customFormat="1" ht="12.75" hidden="1" outlineLevel="1">
      <c r="B889" s="259" t="s">
        <v>957</v>
      </c>
      <c r="C889" s="251"/>
      <c r="D889" s="236" t="s">
        <v>441</v>
      </c>
      <c r="E889" s="242">
        <f>+SUM(E890)</f>
        <v>80214935629.369995</v>
      </c>
      <c r="F889" s="232">
        <f>E889/$E$858</f>
        <v>0.17950266086228694</v>
      </c>
      <c r="G889" s="232">
        <f t="shared" si="1617"/>
        <v>2.4234969098976031E-2</v>
      </c>
      <c r="H889" s="321"/>
      <c r="I889" s="321"/>
      <c r="J889" s="321"/>
      <c r="K889" s="321"/>
      <c r="L889" s="321"/>
      <c r="M889" s="232"/>
      <c r="N889" s="274">
        <f t="shared" ref="N889:AP889" si="1636">N890</f>
        <v>0</v>
      </c>
      <c r="O889" s="274">
        <f t="shared" si="1636"/>
        <v>0</v>
      </c>
      <c r="P889" s="274">
        <f t="shared" si="1636"/>
        <v>0</v>
      </c>
      <c r="Q889" s="274">
        <f t="shared" si="1636"/>
        <v>0</v>
      </c>
      <c r="R889" s="375">
        <f t="shared" si="1636"/>
        <v>0</v>
      </c>
      <c r="S889" s="401">
        <f t="shared" si="1636"/>
        <v>0</v>
      </c>
      <c r="T889" s="274">
        <f t="shared" si="1636"/>
        <v>0</v>
      </c>
      <c r="U889" s="274">
        <f t="shared" si="1636"/>
        <v>0</v>
      </c>
      <c r="V889" s="274">
        <f t="shared" si="1636"/>
        <v>0</v>
      </c>
      <c r="W889" s="274">
        <f t="shared" si="1636"/>
        <v>0</v>
      </c>
      <c r="X889" s="274">
        <f t="shared" si="1636"/>
        <v>0</v>
      </c>
      <c r="Y889" s="274">
        <f t="shared" si="1636"/>
        <v>0</v>
      </c>
      <c r="Z889" s="274">
        <f t="shared" si="1636"/>
        <v>0</v>
      </c>
      <c r="AA889" s="274">
        <f t="shared" si="1636"/>
        <v>0</v>
      </c>
      <c r="AB889" s="274">
        <f t="shared" si="1636"/>
        <v>0</v>
      </c>
      <c r="AC889" s="274">
        <f t="shared" si="1636"/>
        <v>0</v>
      </c>
      <c r="AD889" s="402">
        <f t="shared" si="1636"/>
        <v>0</v>
      </c>
      <c r="AE889" s="402">
        <f t="shared" si="1636"/>
        <v>0</v>
      </c>
      <c r="AF889" s="402">
        <f t="shared" si="1636"/>
        <v>0</v>
      </c>
      <c r="AG889" s="402">
        <f t="shared" si="1636"/>
        <v>0</v>
      </c>
      <c r="AH889" s="402">
        <f t="shared" si="1636"/>
        <v>0</v>
      </c>
      <c r="AI889" s="402">
        <f t="shared" si="1636"/>
        <v>0</v>
      </c>
      <c r="AJ889" s="402">
        <f t="shared" si="1636"/>
        <v>0</v>
      </c>
      <c r="AK889" s="402">
        <f t="shared" si="1636"/>
        <v>0</v>
      </c>
      <c r="AL889" s="402">
        <f t="shared" si="1636"/>
        <v>0</v>
      </c>
      <c r="AM889" s="402">
        <f t="shared" si="1636"/>
        <v>0</v>
      </c>
      <c r="AN889" s="402">
        <f t="shared" si="1636"/>
        <v>0</v>
      </c>
      <c r="AO889" s="402">
        <f t="shared" si="1636"/>
        <v>0</v>
      </c>
      <c r="AP889" s="402">
        <f t="shared" si="1636"/>
        <v>0</v>
      </c>
    </row>
    <row r="890" spans="2:42" s="216" customFormat="1" ht="38.25" hidden="1" outlineLevel="2">
      <c r="B890" s="255" t="s">
        <v>958</v>
      </c>
      <c r="C890" s="245" t="s">
        <v>187</v>
      </c>
      <c r="D890" s="227" t="s">
        <v>982</v>
      </c>
      <c r="E890" s="241">
        <v>80214935629.369995</v>
      </c>
      <c r="F890" s="228">
        <f>E890/$E$889</f>
        <v>1</v>
      </c>
      <c r="G890" s="269">
        <f t="shared" si="1617"/>
        <v>2.4234969098976031E-2</v>
      </c>
      <c r="H890" s="299"/>
      <c r="I890" s="299"/>
      <c r="J890" s="299"/>
      <c r="K890" s="299"/>
      <c r="L890" s="299"/>
      <c r="M890" s="299"/>
      <c r="N890" s="272">
        <v>0</v>
      </c>
      <c r="O890" s="272">
        <v>0</v>
      </c>
      <c r="P890" s="272">
        <v>0</v>
      </c>
      <c r="Q890" s="272">
        <v>0</v>
      </c>
      <c r="R890" s="372">
        <v>0</v>
      </c>
      <c r="S890" s="395">
        <v>0</v>
      </c>
      <c r="T890" s="272"/>
      <c r="U890" s="272"/>
      <c r="V890" s="272"/>
      <c r="W890" s="272"/>
      <c r="X890" s="272"/>
      <c r="Y890" s="272"/>
      <c r="Z890" s="272"/>
      <c r="AA890" s="272"/>
      <c r="AB890" s="272"/>
      <c r="AC890" s="272"/>
      <c r="AD890" s="396"/>
      <c r="AE890" s="396"/>
      <c r="AF890" s="396"/>
      <c r="AG890" s="396"/>
      <c r="AH890" s="396"/>
      <c r="AI890" s="396"/>
      <c r="AJ890" s="396"/>
      <c r="AK890" s="396"/>
      <c r="AL890" s="396"/>
      <c r="AM890" s="396"/>
      <c r="AN890" s="396"/>
      <c r="AO890" s="396"/>
      <c r="AP890" s="396"/>
    </row>
    <row r="891" spans="2:42" s="140" customFormat="1" ht="12.75" hidden="1" outlineLevel="1">
      <c r="B891" s="294" t="s">
        <v>983</v>
      </c>
      <c r="C891" s="294"/>
      <c r="D891" s="294" t="s">
        <v>193</v>
      </c>
      <c r="E891" s="295">
        <f>+SUM(E892:E903)</f>
        <v>176063132660</v>
      </c>
      <c r="F891" s="296">
        <f>+E891/$E$718</f>
        <v>7.0876940001895719E-2</v>
      </c>
      <c r="G891" s="296">
        <f t="shared" si="1617"/>
        <v>5.3193143471422732E-2</v>
      </c>
      <c r="H891" s="297"/>
      <c r="I891" s="297"/>
      <c r="J891" s="297"/>
      <c r="K891" s="297"/>
      <c r="L891" s="297"/>
      <c r="M891" s="296"/>
      <c r="N891" s="296">
        <f t="shared" ref="N891" si="1637">+SUMPRODUCT($F892:$F903,N892:N903)</f>
        <v>0</v>
      </c>
      <c r="O891" s="296">
        <f t="shared" ref="O891:Q891" si="1638">+SUMPRODUCT($F892:$F903,O892:O903)</f>
        <v>0</v>
      </c>
      <c r="P891" s="296">
        <f t="shared" si="1638"/>
        <v>0</v>
      </c>
      <c r="Q891" s="296">
        <f t="shared" si="1638"/>
        <v>0</v>
      </c>
      <c r="R891" s="376">
        <f t="shared" ref="R891:AC891" si="1639">+SUMPRODUCT($F892:$F903,R892:R903)</f>
        <v>0</v>
      </c>
      <c r="S891" s="403">
        <f t="shared" si="1639"/>
        <v>0</v>
      </c>
      <c r="T891" s="296">
        <f t="shared" si="1639"/>
        <v>0</v>
      </c>
      <c r="U891" s="296">
        <f t="shared" ref="U891:Y891" si="1640">+SUMPRODUCT($F892:$F903,U892:U903)</f>
        <v>0</v>
      </c>
      <c r="V891" s="296">
        <f t="shared" si="1640"/>
        <v>0</v>
      </c>
      <c r="W891" s="296">
        <f t="shared" si="1640"/>
        <v>0</v>
      </c>
      <c r="X891" s="296">
        <f t="shared" si="1640"/>
        <v>0</v>
      </c>
      <c r="Y891" s="296">
        <f t="shared" si="1640"/>
        <v>0</v>
      </c>
      <c r="Z891" s="296">
        <f t="shared" si="1639"/>
        <v>0</v>
      </c>
      <c r="AA891" s="296">
        <f t="shared" si="1639"/>
        <v>0</v>
      </c>
      <c r="AB891" s="296">
        <f t="shared" si="1639"/>
        <v>0</v>
      </c>
      <c r="AC891" s="296">
        <f t="shared" si="1639"/>
        <v>0</v>
      </c>
      <c r="AD891" s="404">
        <f t="shared" ref="AD891:AP891" si="1641">+SUMPRODUCT($F892:$F903,AD892:AD903)</f>
        <v>0</v>
      </c>
      <c r="AE891" s="404">
        <f t="shared" si="1641"/>
        <v>0</v>
      </c>
      <c r="AF891" s="404">
        <f t="shared" si="1641"/>
        <v>0</v>
      </c>
      <c r="AG891" s="404">
        <f t="shared" si="1641"/>
        <v>0</v>
      </c>
      <c r="AH891" s="404">
        <f t="shared" si="1641"/>
        <v>0</v>
      </c>
      <c r="AI891" s="404">
        <f t="shared" si="1641"/>
        <v>0</v>
      </c>
      <c r="AJ891" s="404">
        <f t="shared" si="1641"/>
        <v>0</v>
      </c>
      <c r="AK891" s="404">
        <f t="shared" si="1641"/>
        <v>0</v>
      </c>
      <c r="AL891" s="404">
        <f t="shared" si="1641"/>
        <v>0</v>
      </c>
      <c r="AM891" s="404">
        <f t="shared" si="1641"/>
        <v>0</v>
      </c>
      <c r="AN891" s="404">
        <f t="shared" si="1641"/>
        <v>0</v>
      </c>
      <c r="AO891" s="404">
        <f t="shared" si="1641"/>
        <v>0</v>
      </c>
      <c r="AP891" s="404">
        <f t="shared" si="1641"/>
        <v>0</v>
      </c>
    </row>
    <row r="892" spans="2:42" s="216" customFormat="1" ht="12.75" hidden="1" outlineLevel="1">
      <c r="B892" s="255" t="s">
        <v>984</v>
      </c>
      <c r="C892" s="245" t="s">
        <v>195</v>
      </c>
      <c r="D892" s="227" t="s">
        <v>196</v>
      </c>
      <c r="E892" s="241">
        <v>20180432660</v>
      </c>
      <c r="F892" s="228">
        <f>E892/$E$891</f>
        <v>0.11462043390407546</v>
      </c>
      <c r="G892" s="269">
        <f t="shared" si="1617"/>
        <v>6.0970211854162121E-3</v>
      </c>
      <c r="H892" s="299"/>
      <c r="I892" s="299"/>
      <c r="J892" s="299"/>
      <c r="K892" s="299"/>
      <c r="L892" s="299"/>
      <c r="M892" s="299"/>
      <c r="N892" s="272"/>
      <c r="O892" s="272"/>
      <c r="P892" s="272"/>
      <c r="Q892" s="272"/>
      <c r="R892" s="372"/>
      <c r="S892" s="395"/>
      <c r="T892" s="272"/>
      <c r="U892" s="272"/>
      <c r="V892" s="272"/>
      <c r="W892" s="272"/>
      <c r="X892" s="272"/>
      <c r="Y892" s="272"/>
      <c r="Z892" s="272"/>
      <c r="AA892" s="272"/>
      <c r="AB892" s="272"/>
      <c r="AC892" s="272"/>
      <c r="AD892" s="396"/>
      <c r="AE892" s="396"/>
      <c r="AF892" s="396"/>
      <c r="AG892" s="396"/>
      <c r="AH892" s="396"/>
      <c r="AI892" s="396"/>
      <c r="AJ892" s="396"/>
      <c r="AK892" s="396"/>
      <c r="AL892" s="396"/>
      <c r="AM892" s="396"/>
      <c r="AN892" s="396"/>
      <c r="AO892" s="396"/>
      <c r="AP892" s="396"/>
    </row>
    <row r="893" spans="2:42" s="216" customFormat="1" ht="12.75" hidden="1" outlineLevel="1">
      <c r="B893" s="255" t="s">
        <v>985</v>
      </c>
      <c r="C893" s="245" t="s">
        <v>198</v>
      </c>
      <c r="D893" s="227" t="s">
        <v>199</v>
      </c>
      <c r="E893" s="241">
        <v>29780100000</v>
      </c>
      <c r="F893" s="228">
        <f t="shared" ref="F893:F903" si="1642">E893/$E$891</f>
        <v>0.16914444012256166</v>
      </c>
      <c r="G893" s="269">
        <f t="shared" si="1617"/>
        <v>8.9973244708328945E-3</v>
      </c>
      <c r="H893" s="299"/>
      <c r="I893" s="299"/>
      <c r="J893" s="299"/>
      <c r="K893" s="299"/>
      <c r="L893" s="299"/>
      <c r="M893" s="299"/>
      <c r="N893" s="272"/>
      <c r="O893" s="272"/>
      <c r="P893" s="272"/>
      <c r="Q893" s="272"/>
      <c r="R893" s="372"/>
      <c r="S893" s="395"/>
      <c r="T893" s="272"/>
      <c r="U893" s="272"/>
      <c r="V893" s="272"/>
      <c r="W893" s="272"/>
      <c r="X893" s="272"/>
      <c r="Y893" s="272"/>
      <c r="Z893" s="272"/>
      <c r="AA893" s="272"/>
      <c r="AB893" s="272"/>
      <c r="AC893" s="272"/>
      <c r="AD893" s="396"/>
      <c r="AE893" s="396"/>
      <c r="AF893" s="396"/>
      <c r="AG893" s="396"/>
      <c r="AH893" s="396"/>
      <c r="AI893" s="396"/>
      <c r="AJ893" s="396"/>
      <c r="AK893" s="396"/>
      <c r="AL893" s="396"/>
      <c r="AM893" s="396"/>
      <c r="AN893" s="396"/>
      <c r="AO893" s="396"/>
      <c r="AP893" s="396"/>
    </row>
    <row r="894" spans="2:42" s="216" customFormat="1" ht="12.75" hidden="1" outlineLevel="1">
      <c r="B894" s="255" t="s">
        <v>986</v>
      </c>
      <c r="C894" s="245" t="s">
        <v>201</v>
      </c>
      <c r="D894" s="227" t="s">
        <v>202</v>
      </c>
      <c r="E894" s="241">
        <v>27102600000</v>
      </c>
      <c r="F894" s="228">
        <f t="shared" si="1642"/>
        <v>0.15393682703771108</v>
      </c>
      <c r="G894" s="269">
        <f t="shared" si="1617"/>
        <v>8.1883837261525518E-3</v>
      </c>
      <c r="H894" s="299"/>
      <c r="I894" s="299"/>
      <c r="J894" s="299"/>
      <c r="K894" s="299"/>
      <c r="L894" s="299"/>
      <c r="M894" s="299"/>
      <c r="N894" s="272"/>
      <c r="O894" s="272"/>
      <c r="P894" s="272"/>
      <c r="Q894" s="272"/>
      <c r="R894" s="372"/>
      <c r="S894" s="395"/>
      <c r="T894" s="272"/>
      <c r="U894" s="272"/>
      <c r="V894" s="272"/>
      <c r="W894" s="272"/>
      <c r="X894" s="272"/>
      <c r="Y894" s="272"/>
      <c r="Z894" s="272"/>
      <c r="AA894" s="272"/>
      <c r="AB894" s="272"/>
      <c r="AC894" s="272"/>
      <c r="AD894" s="396"/>
      <c r="AE894" s="396"/>
      <c r="AF894" s="396"/>
      <c r="AG894" s="396"/>
      <c r="AH894" s="396"/>
      <c r="AI894" s="396"/>
      <c r="AJ894" s="396"/>
      <c r="AK894" s="396"/>
      <c r="AL894" s="396"/>
      <c r="AM894" s="396"/>
      <c r="AN894" s="396"/>
      <c r="AO894" s="396"/>
      <c r="AP894" s="396"/>
    </row>
    <row r="895" spans="2:42" s="216" customFormat="1" ht="12.75" hidden="1" outlineLevel="1">
      <c r="B895" s="255" t="s">
        <v>987</v>
      </c>
      <c r="C895" s="245" t="s">
        <v>204</v>
      </c>
      <c r="D895" s="227" t="s">
        <v>205</v>
      </c>
      <c r="E895" s="241">
        <v>6900000000</v>
      </c>
      <c r="F895" s="228">
        <f t="shared" si="1642"/>
        <v>3.9190487501575728E-2</v>
      </c>
      <c r="G895" s="269">
        <f t="shared" si="1617"/>
        <v>2.0846652243863176E-3</v>
      </c>
      <c r="H895" s="299"/>
      <c r="I895" s="299"/>
      <c r="J895" s="299"/>
      <c r="K895" s="299"/>
      <c r="L895" s="299"/>
      <c r="M895" s="299"/>
      <c r="N895" s="272"/>
      <c r="O895" s="272"/>
      <c r="P895" s="272"/>
      <c r="Q895" s="272"/>
      <c r="R895" s="372"/>
      <c r="S895" s="395"/>
      <c r="T895" s="272"/>
      <c r="U895" s="272"/>
      <c r="V895" s="272"/>
      <c r="W895" s="272"/>
      <c r="X895" s="272"/>
      <c r="Y895" s="272"/>
      <c r="Z895" s="272"/>
      <c r="AA895" s="272"/>
      <c r="AB895" s="272"/>
      <c r="AC895" s="272"/>
      <c r="AD895" s="396"/>
      <c r="AE895" s="396"/>
      <c r="AF895" s="396"/>
      <c r="AG895" s="396"/>
      <c r="AH895" s="396"/>
      <c r="AI895" s="396"/>
      <c r="AJ895" s="396"/>
      <c r="AK895" s="396"/>
      <c r="AL895" s="396"/>
      <c r="AM895" s="396"/>
      <c r="AN895" s="396"/>
      <c r="AO895" s="396"/>
      <c r="AP895" s="396"/>
    </row>
    <row r="896" spans="2:42" s="216" customFormat="1" ht="12.75" hidden="1" outlineLevel="1">
      <c r="B896" s="255" t="s">
        <v>988</v>
      </c>
      <c r="C896" s="245" t="s">
        <v>207</v>
      </c>
      <c r="D896" s="227" t="s">
        <v>205</v>
      </c>
      <c r="E896" s="241">
        <v>6900000000</v>
      </c>
      <c r="F896" s="228">
        <f t="shared" si="1642"/>
        <v>3.9190487501575728E-2</v>
      </c>
      <c r="G896" s="269">
        <f t="shared" si="1617"/>
        <v>2.0846652243863176E-3</v>
      </c>
      <c r="H896" s="299"/>
      <c r="I896" s="299"/>
      <c r="J896" s="299"/>
      <c r="K896" s="299"/>
      <c r="L896" s="299"/>
      <c r="M896" s="299"/>
      <c r="N896" s="272"/>
      <c r="O896" s="272"/>
      <c r="P896" s="272"/>
      <c r="Q896" s="272"/>
      <c r="R896" s="372"/>
      <c r="S896" s="395"/>
      <c r="T896" s="272"/>
      <c r="U896" s="272"/>
      <c r="V896" s="272"/>
      <c r="W896" s="272"/>
      <c r="X896" s="272"/>
      <c r="Y896" s="272"/>
      <c r="Z896" s="272"/>
      <c r="AA896" s="272"/>
      <c r="AB896" s="272"/>
      <c r="AC896" s="272"/>
      <c r="AD896" s="396"/>
      <c r="AE896" s="396"/>
      <c r="AF896" s="396"/>
      <c r="AG896" s="396"/>
      <c r="AH896" s="396"/>
      <c r="AI896" s="396"/>
      <c r="AJ896" s="396"/>
      <c r="AK896" s="396"/>
      <c r="AL896" s="396"/>
      <c r="AM896" s="396"/>
      <c r="AN896" s="396"/>
      <c r="AO896" s="396"/>
      <c r="AP896" s="396"/>
    </row>
    <row r="897" spans="2:42" s="216" customFormat="1" ht="12.75" hidden="1" outlineLevel="1">
      <c r="B897" s="255" t="s">
        <v>989</v>
      </c>
      <c r="C897" s="245" t="s">
        <v>209</v>
      </c>
      <c r="D897" s="227" t="s">
        <v>205</v>
      </c>
      <c r="E897" s="241">
        <v>6900000000</v>
      </c>
      <c r="F897" s="228">
        <f t="shared" si="1642"/>
        <v>3.9190487501575728E-2</v>
      </c>
      <c r="G897" s="269">
        <f t="shared" si="1617"/>
        <v>2.0846652243863176E-3</v>
      </c>
      <c r="H897" s="299"/>
      <c r="I897" s="299"/>
      <c r="J897" s="299"/>
      <c r="K897" s="299"/>
      <c r="L897" s="299"/>
      <c r="M897" s="299"/>
      <c r="N897" s="272"/>
      <c r="O897" s="272"/>
      <c r="P897" s="272"/>
      <c r="Q897" s="272"/>
      <c r="R897" s="372"/>
      <c r="S897" s="395"/>
      <c r="T897" s="272"/>
      <c r="U897" s="272"/>
      <c r="V897" s="272"/>
      <c r="W897" s="272"/>
      <c r="X897" s="272"/>
      <c r="Y897" s="272"/>
      <c r="Z897" s="272"/>
      <c r="AA897" s="272"/>
      <c r="AB897" s="272"/>
      <c r="AC897" s="272"/>
      <c r="AD897" s="396"/>
      <c r="AE897" s="396"/>
      <c r="AF897" s="396"/>
      <c r="AG897" s="396"/>
      <c r="AH897" s="396"/>
      <c r="AI897" s="396"/>
      <c r="AJ897" s="396"/>
      <c r="AK897" s="396"/>
      <c r="AL897" s="396"/>
      <c r="AM897" s="396"/>
      <c r="AN897" s="396"/>
      <c r="AO897" s="396"/>
      <c r="AP897" s="396"/>
    </row>
    <row r="898" spans="2:42" s="216" customFormat="1" ht="12.75" hidden="1" outlineLevel="1">
      <c r="B898" s="255" t="s">
        <v>990</v>
      </c>
      <c r="C898" s="245" t="s">
        <v>211</v>
      </c>
      <c r="D898" s="227" t="s">
        <v>205</v>
      </c>
      <c r="E898" s="241">
        <v>6900000000</v>
      </c>
      <c r="F898" s="228">
        <f t="shared" si="1642"/>
        <v>3.9190487501575728E-2</v>
      </c>
      <c r="G898" s="269">
        <f t="shared" si="1617"/>
        <v>2.0846652243863176E-3</v>
      </c>
      <c r="H898" s="299"/>
      <c r="I898" s="299"/>
      <c r="J898" s="299"/>
      <c r="K898" s="299"/>
      <c r="L898" s="299"/>
      <c r="M898" s="299"/>
      <c r="N898" s="272"/>
      <c r="O898" s="272"/>
      <c r="P898" s="272"/>
      <c r="Q898" s="272"/>
      <c r="R898" s="372"/>
      <c r="S898" s="395"/>
      <c r="T898" s="272"/>
      <c r="U898" s="272"/>
      <c r="V898" s="272"/>
      <c r="W898" s="272"/>
      <c r="X898" s="272"/>
      <c r="Y898" s="272"/>
      <c r="Z898" s="272"/>
      <c r="AA898" s="272"/>
      <c r="AB898" s="272"/>
      <c r="AC898" s="272"/>
      <c r="AD898" s="396"/>
      <c r="AE898" s="396"/>
      <c r="AF898" s="396"/>
      <c r="AG898" s="396"/>
      <c r="AH898" s="396"/>
      <c r="AI898" s="396"/>
      <c r="AJ898" s="396"/>
      <c r="AK898" s="396"/>
      <c r="AL898" s="396"/>
      <c r="AM898" s="396"/>
      <c r="AN898" s="396"/>
      <c r="AO898" s="396"/>
      <c r="AP898" s="396"/>
    </row>
    <row r="899" spans="2:42" s="216" customFormat="1" ht="12.75" hidden="1" outlineLevel="1">
      <c r="B899" s="255" t="s">
        <v>991</v>
      </c>
      <c r="C899" s="245" t="s">
        <v>213</v>
      </c>
      <c r="D899" s="227" t="s">
        <v>205</v>
      </c>
      <c r="E899" s="241">
        <v>6900000000</v>
      </c>
      <c r="F899" s="228">
        <f t="shared" si="1642"/>
        <v>3.9190487501575728E-2</v>
      </c>
      <c r="G899" s="269">
        <f t="shared" si="1617"/>
        <v>2.0846652243863176E-3</v>
      </c>
      <c r="H899" s="299"/>
      <c r="I899" s="299"/>
      <c r="J899" s="299"/>
      <c r="K899" s="299"/>
      <c r="L899" s="299"/>
      <c r="M899" s="299"/>
      <c r="N899" s="272"/>
      <c r="O899" s="272"/>
      <c r="P899" s="272"/>
      <c r="Q899" s="272"/>
      <c r="R899" s="372"/>
      <c r="S899" s="395"/>
      <c r="T899" s="272"/>
      <c r="U899" s="272"/>
      <c r="V899" s="272"/>
      <c r="W899" s="272"/>
      <c r="X899" s="272"/>
      <c r="Y899" s="272"/>
      <c r="Z899" s="272"/>
      <c r="AA899" s="272"/>
      <c r="AB899" s="272"/>
      <c r="AC899" s="272"/>
      <c r="AD899" s="396"/>
      <c r="AE899" s="396"/>
      <c r="AF899" s="396"/>
      <c r="AG899" s="396"/>
      <c r="AH899" s="396"/>
      <c r="AI899" s="396"/>
      <c r="AJ899" s="396"/>
      <c r="AK899" s="396"/>
      <c r="AL899" s="396"/>
      <c r="AM899" s="396"/>
      <c r="AN899" s="396"/>
      <c r="AO899" s="396"/>
      <c r="AP899" s="396"/>
    </row>
    <row r="900" spans="2:42" s="216" customFormat="1" ht="12.75" hidden="1" outlineLevel="1">
      <c r="B900" s="255" t="s">
        <v>992</v>
      </c>
      <c r="C900" s="281" t="s">
        <v>215</v>
      </c>
      <c r="D900" s="282" t="s">
        <v>216</v>
      </c>
      <c r="E900" s="283">
        <v>7200000000</v>
      </c>
      <c r="F900" s="284">
        <f t="shared" si="1642"/>
        <v>4.0894421740774678E-2</v>
      </c>
      <c r="G900" s="285">
        <f t="shared" si="1617"/>
        <v>2.1753028428378967E-3</v>
      </c>
      <c r="H900" s="322"/>
      <c r="I900" s="322"/>
      <c r="J900" s="322"/>
      <c r="K900" s="322"/>
      <c r="L900" s="322"/>
      <c r="M900" s="322"/>
      <c r="N900" s="287"/>
      <c r="O900" s="287"/>
      <c r="P900" s="287"/>
      <c r="Q900" s="287"/>
      <c r="R900" s="377"/>
      <c r="S900" s="405"/>
      <c r="T900" s="287"/>
      <c r="U900" s="287"/>
      <c r="V900" s="287"/>
      <c r="W900" s="287"/>
      <c r="X900" s="287"/>
      <c r="Y900" s="287"/>
      <c r="Z900" s="287"/>
      <c r="AA900" s="287"/>
      <c r="AB900" s="287"/>
      <c r="AC900" s="287"/>
      <c r="AD900" s="406"/>
      <c r="AE900" s="406"/>
      <c r="AF900" s="406"/>
      <c r="AG900" s="406"/>
      <c r="AH900" s="406"/>
      <c r="AI900" s="406"/>
      <c r="AJ900" s="406"/>
      <c r="AK900" s="406"/>
      <c r="AL900" s="406"/>
      <c r="AM900" s="406"/>
      <c r="AN900" s="406"/>
      <c r="AO900" s="406"/>
      <c r="AP900" s="406"/>
    </row>
    <row r="901" spans="2:42" s="216" customFormat="1" ht="12.75" hidden="1" outlineLevel="1">
      <c r="B901" s="255" t="s">
        <v>993</v>
      </c>
      <c r="C901" s="281" t="s">
        <v>218</v>
      </c>
      <c r="D901" s="282" t="s">
        <v>219</v>
      </c>
      <c r="E901" s="283">
        <v>23100000000</v>
      </c>
      <c r="F901" s="284">
        <f t="shared" si="1642"/>
        <v>0.13120293641831876</v>
      </c>
      <c r="G901" s="285">
        <f t="shared" si="1617"/>
        <v>6.9790966207715849E-3</v>
      </c>
      <c r="H901" s="322"/>
      <c r="I901" s="322"/>
      <c r="J901" s="322"/>
      <c r="K901" s="322"/>
      <c r="L901" s="322"/>
      <c r="M901" s="322"/>
      <c r="N901" s="287"/>
      <c r="O901" s="287"/>
      <c r="P901" s="287"/>
      <c r="Q901" s="287"/>
      <c r="R901" s="377"/>
      <c r="S901" s="405"/>
      <c r="T901" s="287"/>
      <c r="U901" s="287"/>
      <c r="V901" s="287"/>
      <c r="W901" s="287"/>
      <c r="X901" s="287"/>
      <c r="Y901" s="287"/>
      <c r="Z901" s="287"/>
      <c r="AA901" s="287"/>
      <c r="AB901" s="287"/>
      <c r="AC901" s="287"/>
      <c r="AD901" s="406"/>
      <c r="AE901" s="406"/>
      <c r="AF901" s="406"/>
      <c r="AG901" s="406"/>
      <c r="AH901" s="406"/>
      <c r="AI901" s="406"/>
      <c r="AJ901" s="406"/>
      <c r="AK901" s="406"/>
      <c r="AL901" s="406"/>
      <c r="AM901" s="406"/>
      <c r="AN901" s="406"/>
      <c r="AO901" s="406"/>
      <c r="AP901" s="406"/>
    </row>
    <row r="902" spans="2:42" s="216" customFormat="1" ht="12.75" hidden="1" outlineLevel="1">
      <c r="B902" s="255" t="s">
        <v>994</v>
      </c>
      <c r="C902" s="281" t="s">
        <v>221</v>
      </c>
      <c r="D902" s="282" t="s">
        <v>222</v>
      </c>
      <c r="E902" s="283">
        <v>30000000000</v>
      </c>
      <c r="F902" s="284">
        <f t="shared" si="1642"/>
        <v>0.17039342391989448</v>
      </c>
      <c r="G902" s="285">
        <f t="shared" si="1617"/>
        <v>9.063761845157902E-3</v>
      </c>
      <c r="H902" s="322"/>
      <c r="I902" s="322"/>
      <c r="J902" s="322"/>
      <c r="K902" s="322"/>
      <c r="L902" s="322"/>
      <c r="M902" s="322"/>
      <c r="N902" s="287"/>
      <c r="O902" s="287"/>
      <c r="P902" s="287"/>
      <c r="Q902" s="287"/>
      <c r="R902" s="377"/>
      <c r="S902" s="405"/>
      <c r="T902" s="287"/>
      <c r="U902" s="287"/>
      <c r="V902" s="287"/>
      <c r="W902" s="287"/>
      <c r="X902" s="287"/>
      <c r="Y902" s="287"/>
      <c r="Z902" s="287"/>
      <c r="AA902" s="287"/>
      <c r="AB902" s="287"/>
      <c r="AC902" s="287"/>
      <c r="AD902" s="406"/>
      <c r="AE902" s="406"/>
      <c r="AF902" s="406"/>
      <c r="AG902" s="406"/>
      <c r="AH902" s="406"/>
      <c r="AI902" s="406"/>
      <c r="AJ902" s="406"/>
      <c r="AK902" s="406"/>
      <c r="AL902" s="406"/>
      <c r="AM902" s="406"/>
      <c r="AN902" s="406"/>
      <c r="AO902" s="406"/>
      <c r="AP902" s="406"/>
    </row>
    <row r="903" spans="2:42" s="216" customFormat="1" ht="13.5" hidden="1" outlineLevel="1" thickBot="1">
      <c r="B903" s="255" t="s">
        <v>995</v>
      </c>
      <c r="C903" s="281" t="s">
        <v>224</v>
      </c>
      <c r="D903" s="282" t="s">
        <v>225</v>
      </c>
      <c r="E903" s="283">
        <v>4200000000</v>
      </c>
      <c r="F903" s="284">
        <f t="shared" si="1642"/>
        <v>2.3855079348785228E-2</v>
      </c>
      <c r="G903" s="285">
        <f t="shared" si="1617"/>
        <v>1.2689266583221063E-3</v>
      </c>
      <c r="H903" s="322"/>
      <c r="I903" s="322"/>
      <c r="J903" s="322"/>
      <c r="K903" s="322"/>
      <c r="L903" s="322"/>
      <c r="M903" s="322"/>
      <c r="N903" s="287"/>
      <c r="O903" s="287"/>
      <c r="P903" s="287"/>
      <c r="Q903" s="287"/>
      <c r="R903" s="377"/>
      <c r="S903" s="405"/>
      <c r="T903" s="287"/>
      <c r="U903" s="287"/>
      <c r="V903" s="287"/>
      <c r="W903" s="287"/>
      <c r="X903" s="287"/>
      <c r="Y903" s="287"/>
      <c r="Z903" s="287"/>
      <c r="AA903" s="287"/>
      <c r="AB903" s="287"/>
      <c r="AC903" s="287"/>
      <c r="AD903" s="406"/>
      <c r="AE903" s="406"/>
      <c r="AF903" s="406"/>
      <c r="AG903" s="406"/>
      <c r="AH903" s="406"/>
      <c r="AI903" s="406"/>
      <c r="AJ903" s="406"/>
      <c r="AK903" s="406"/>
      <c r="AL903" s="406"/>
      <c r="AM903" s="406"/>
      <c r="AN903" s="406"/>
      <c r="AO903" s="406"/>
      <c r="AP903" s="406"/>
    </row>
    <row r="904" spans="2:42" s="140" customFormat="1" ht="13.5" collapsed="1" thickBot="1">
      <c r="B904" s="312">
        <v>6</v>
      </c>
      <c r="C904" s="313"/>
      <c r="D904" s="314" t="s">
        <v>996</v>
      </c>
      <c r="E904" s="315"/>
      <c r="F904" s="316"/>
      <c r="G904" s="317">
        <v>0.01</v>
      </c>
      <c r="H904" s="358"/>
      <c r="I904" s="358"/>
      <c r="J904" s="358"/>
      <c r="K904" s="358"/>
      <c r="L904" s="358"/>
      <c r="M904" s="358"/>
      <c r="N904" s="319">
        <f t="shared" ref="N904:R904" si="1643">+SUMPRODUCT($F905:$F908,N905:N908)</f>
        <v>0</v>
      </c>
      <c r="O904" s="319">
        <f t="shared" si="1643"/>
        <v>0</v>
      </c>
      <c r="P904" s="319">
        <f t="shared" si="1643"/>
        <v>0</v>
      </c>
      <c r="Q904" s="319">
        <f t="shared" si="1643"/>
        <v>0</v>
      </c>
      <c r="R904" s="367">
        <f t="shared" si="1643"/>
        <v>0</v>
      </c>
      <c r="S904" s="386">
        <f t="shared" ref="S904" si="1644">+SUMPRODUCT($F905:$F908,S905:S908)</f>
        <v>0</v>
      </c>
      <c r="T904" s="319">
        <f t="shared" ref="T904" si="1645">+SUMPRODUCT($F905:$F908,T905:T908)</f>
        <v>0</v>
      </c>
      <c r="U904" s="319">
        <f t="shared" ref="U904" si="1646">+SUMPRODUCT($F905:$F908,U905:U908)</f>
        <v>0</v>
      </c>
      <c r="V904" s="319">
        <f t="shared" ref="V904" si="1647">+SUMPRODUCT($F905:$F908,V905:V908)</f>
        <v>0</v>
      </c>
      <c r="W904" s="319">
        <f t="shared" ref="W904" si="1648">+SUMPRODUCT($F905:$F908,W905:W908)</f>
        <v>0</v>
      </c>
      <c r="X904" s="319">
        <f t="shared" ref="X904" si="1649">+SUMPRODUCT($F905:$F908,X905:X908)</f>
        <v>0</v>
      </c>
      <c r="Y904" s="319">
        <f t="shared" ref="Y904" si="1650">+SUMPRODUCT($F905:$F908,Y905:Y908)</f>
        <v>0</v>
      </c>
      <c r="Z904" s="319">
        <f t="shared" ref="Z904" si="1651">+SUMPRODUCT($F905:$F908,Z905:Z908)</f>
        <v>0</v>
      </c>
      <c r="AA904" s="319">
        <f t="shared" ref="AA904" si="1652">+SUMPRODUCT($F905:$F908,AA905:AA908)</f>
        <v>0</v>
      </c>
      <c r="AB904" s="319">
        <f t="shared" ref="AB904" si="1653">+SUMPRODUCT($F905:$F908,AB905:AB908)</f>
        <v>0</v>
      </c>
      <c r="AC904" s="319">
        <f t="shared" ref="AC904" si="1654">+SUMPRODUCT($F905:$F908,AC905:AC908)</f>
        <v>0</v>
      </c>
      <c r="AD904" s="320">
        <f t="shared" ref="AD904" si="1655">+SUMPRODUCT($F905:$F908,AD905:AD908)</f>
        <v>0</v>
      </c>
      <c r="AE904" s="320"/>
      <c r="AF904" s="320"/>
      <c r="AG904" s="320"/>
      <c r="AH904" s="320"/>
      <c r="AI904" s="320"/>
      <c r="AJ904" s="320"/>
      <c r="AK904" s="320"/>
      <c r="AL904" s="320"/>
      <c r="AM904" s="320"/>
      <c r="AN904" s="320"/>
      <c r="AO904" s="320"/>
      <c r="AP904" s="320"/>
    </row>
    <row r="905" spans="2:42" s="140" customFormat="1" ht="13.5" hidden="1" customHeight="1" outlineLevel="1" thickBot="1">
      <c r="B905" s="252">
        <v>6.1</v>
      </c>
      <c r="C905" s="244"/>
      <c r="D905" s="225" t="s">
        <v>997</v>
      </c>
      <c r="E905" s="239"/>
      <c r="F905" s="221">
        <v>0.2</v>
      </c>
      <c r="G905" s="226">
        <f>+E905*$G$718/$E$718</f>
        <v>0</v>
      </c>
      <c r="H905" s="359"/>
      <c r="I905" s="359"/>
      <c r="J905" s="359"/>
      <c r="K905" s="359"/>
      <c r="L905" s="359"/>
      <c r="M905" s="359"/>
      <c r="N905" s="250">
        <v>0</v>
      </c>
      <c r="O905" s="250">
        <v>0</v>
      </c>
      <c r="P905" s="250">
        <v>0</v>
      </c>
      <c r="Q905" s="250">
        <v>0</v>
      </c>
      <c r="R905" s="378">
        <v>0</v>
      </c>
      <c r="S905" s="407">
        <v>0</v>
      </c>
      <c r="T905" s="250">
        <v>0</v>
      </c>
      <c r="U905" s="250">
        <v>0</v>
      </c>
      <c r="V905" s="250">
        <v>0</v>
      </c>
      <c r="W905" s="250">
        <v>0</v>
      </c>
      <c r="X905" s="250">
        <v>0</v>
      </c>
      <c r="Y905" s="250">
        <v>0</v>
      </c>
      <c r="Z905" s="250">
        <v>0</v>
      </c>
      <c r="AA905" s="250">
        <v>0</v>
      </c>
      <c r="AB905" s="250">
        <v>0</v>
      </c>
      <c r="AC905" s="250">
        <v>0</v>
      </c>
      <c r="AD905" s="408">
        <v>0</v>
      </c>
      <c r="AE905" s="408"/>
      <c r="AF905" s="408"/>
      <c r="AG905" s="408"/>
      <c r="AH905" s="408"/>
      <c r="AI905" s="408"/>
      <c r="AJ905" s="408"/>
      <c r="AK905" s="408"/>
      <c r="AL905" s="408"/>
      <c r="AM905" s="408"/>
      <c r="AN905" s="408"/>
      <c r="AO905" s="408"/>
      <c r="AP905" s="408"/>
    </row>
    <row r="906" spans="2:42" s="140" customFormat="1" ht="13.5" hidden="1" customHeight="1" outlineLevel="1" thickBot="1">
      <c r="B906" s="252">
        <v>6.2</v>
      </c>
      <c r="C906" s="244"/>
      <c r="D906" s="225" t="s">
        <v>998</v>
      </c>
      <c r="E906" s="239"/>
      <c r="F906" s="221">
        <v>0.35</v>
      </c>
      <c r="G906" s="226">
        <f>+E906*$G$718/$E$718</f>
        <v>0</v>
      </c>
      <c r="H906" s="359"/>
      <c r="I906" s="359"/>
      <c r="J906" s="359"/>
      <c r="K906" s="359"/>
      <c r="L906" s="359"/>
      <c r="M906" s="359"/>
      <c r="N906" s="250">
        <v>0</v>
      </c>
      <c r="O906" s="250">
        <v>0</v>
      </c>
      <c r="P906" s="250">
        <v>0</v>
      </c>
      <c r="Q906" s="250">
        <v>0</v>
      </c>
      <c r="R906" s="378">
        <v>0</v>
      </c>
      <c r="S906" s="407">
        <v>0</v>
      </c>
      <c r="T906" s="250">
        <v>0</v>
      </c>
      <c r="U906" s="250">
        <v>0</v>
      </c>
      <c r="V906" s="250">
        <v>0</v>
      </c>
      <c r="W906" s="250">
        <v>0</v>
      </c>
      <c r="X906" s="250">
        <v>0</v>
      </c>
      <c r="Y906" s="250">
        <v>0</v>
      </c>
      <c r="Z906" s="250">
        <v>0</v>
      </c>
      <c r="AA906" s="250">
        <v>0</v>
      </c>
      <c r="AB906" s="250">
        <v>0</v>
      </c>
      <c r="AC906" s="250">
        <v>0</v>
      </c>
      <c r="AD906" s="408">
        <v>0</v>
      </c>
      <c r="AE906" s="408"/>
      <c r="AF906" s="408"/>
      <c r="AG906" s="408"/>
      <c r="AH906" s="408"/>
      <c r="AI906" s="408"/>
      <c r="AJ906" s="408"/>
      <c r="AK906" s="408"/>
      <c r="AL906" s="408"/>
      <c r="AM906" s="408"/>
      <c r="AN906" s="408"/>
      <c r="AO906" s="408"/>
      <c r="AP906" s="408"/>
    </row>
    <row r="907" spans="2:42" s="140" customFormat="1" ht="13.5" hidden="1" customHeight="1" outlineLevel="1" thickBot="1">
      <c r="B907" s="252">
        <v>6.3</v>
      </c>
      <c r="C907" s="244"/>
      <c r="D907" s="225" t="s">
        <v>999</v>
      </c>
      <c r="E907" s="239"/>
      <c r="F907" s="221">
        <v>0.35</v>
      </c>
      <c r="G907" s="226">
        <f>+E907*$G$718/$E$718</f>
        <v>0</v>
      </c>
      <c r="H907" s="359"/>
      <c r="I907" s="359"/>
      <c r="J907" s="359"/>
      <c r="K907" s="359"/>
      <c r="L907" s="359"/>
      <c r="M907" s="359"/>
      <c r="N907" s="250">
        <v>0</v>
      </c>
      <c r="O907" s="250">
        <v>0</v>
      </c>
      <c r="P907" s="250">
        <v>0</v>
      </c>
      <c r="Q907" s="250">
        <v>0</v>
      </c>
      <c r="R907" s="378">
        <v>0</v>
      </c>
      <c r="S907" s="407">
        <v>0</v>
      </c>
      <c r="T907" s="250">
        <v>0</v>
      </c>
      <c r="U907" s="250">
        <v>0</v>
      </c>
      <c r="V907" s="250">
        <v>0</v>
      </c>
      <c r="W907" s="250">
        <v>0</v>
      </c>
      <c r="X907" s="250">
        <v>0</v>
      </c>
      <c r="Y907" s="250">
        <v>0</v>
      </c>
      <c r="Z907" s="250">
        <v>0</v>
      </c>
      <c r="AA907" s="250">
        <v>0</v>
      </c>
      <c r="AB907" s="250">
        <v>0</v>
      </c>
      <c r="AC907" s="250">
        <v>0</v>
      </c>
      <c r="AD907" s="408">
        <v>0</v>
      </c>
      <c r="AE907" s="408"/>
      <c r="AF907" s="408"/>
      <c r="AG907" s="408"/>
      <c r="AH907" s="408"/>
      <c r="AI907" s="408"/>
      <c r="AJ907" s="408"/>
      <c r="AK907" s="408"/>
      <c r="AL907" s="408"/>
      <c r="AM907" s="408"/>
      <c r="AN907" s="408"/>
      <c r="AO907" s="408"/>
      <c r="AP907" s="408"/>
    </row>
    <row r="908" spans="2:42" s="140" customFormat="1" ht="13.5" hidden="1" customHeight="1" outlineLevel="1" thickBot="1">
      <c r="B908" s="261">
        <v>6.4</v>
      </c>
      <c r="C908" s="262"/>
      <c r="D908" s="263" t="s">
        <v>1000</v>
      </c>
      <c r="E908" s="264"/>
      <c r="F908" s="265">
        <v>0.1</v>
      </c>
      <c r="G908" s="266">
        <f>+E908*$G$718/$E$718</f>
        <v>0</v>
      </c>
      <c r="H908" s="361"/>
      <c r="I908" s="361"/>
      <c r="J908" s="361"/>
      <c r="K908" s="361"/>
      <c r="L908" s="361"/>
      <c r="M908" s="361"/>
      <c r="N908" s="271">
        <v>0</v>
      </c>
      <c r="O908" s="271">
        <v>0</v>
      </c>
      <c r="P908" s="271">
        <v>0</v>
      </c>
      <c r="Q908" s="271">
        <v>0</v>
      </c>
      <c r="R908" s="381">
        <v>0</v>
      </c>
      <c r="S908" s="413">
        <v>0</v>
      </c>
      <c r="T908" s="271">
        <v>0</v>
      </c>
      <c r="U908" s="271">
        <v>0</v>
      </c>
      <c r="V908" s="271">
        <v>0</v>
      </c>
      <c r="W908" s="271">
        <v>0</v>
      </c>
      <c r="X908" s="271">
        <v>0</v>
      </c>
      <c r="Y908" s="271">
        <v>0</v>
      </c>
      <c r="Z908" s="271">
        <v>0</v>
      </c>
      <c r="AA908" s="271">
        <v>0</v>
      </c>
      <c r="AB908" s="271">
        <v>0</v>
      </c>
      <c r="AC908" s="271">
        <v>0</v>
      </c>
      <c r="AD908" s="414">
        <v>0</v>
      </c>
      <c r="AE908" s="414"/>
      <c r="AF908" s="414"/>
      <c r="AG908" s="414"/>
      <c r="AH908" s="414"/>
      <c r="AI908" s="414"/>
      <c r="AJ908" s="414"/>
      <c r="AK908" s="414"/>
      <c r="AL908" s="414"/>
      <c r="AM908" s="414"/>
      <c r="AN908" s="414"/>
      <c r="AO908" s="414"/>
      <c r="AP908" s="414"/>
    </row>
    <row r="909" spans="2:42" s="140" customFormat="1" ht="13.5" collapsed="1" thickBot="1">
      <c r="B909" s="312">
        <v>7</v>
      </c>
      <c r="C909" s="313"/>
      <c r="D909" s="314" t="s">
        <v>1001</v>
      </c>
      <c r="E909" s="315"/>
      <c r="F909" s="316"/>
      <c r="G909" s="317">
        <v>0</v>
      </c>
      <c r="H909" s="358"/>
      <c r="I909" s="358"/>
      <c r="J909" s="358"/>
      <c r="K909" s="358"/>
      <c r="L909" s="358"/>
      <c r="M909" s="358"/>
      <c r="N909" s="319">
        <f t="shared" ref="N909:R909" si="1656">+SUMPRODUCT($F910:$F911,N910:N911)</f>
        <v>0</v>
      </c>
      <c r="O909" s="319">
        <f t="shared" si="1656"/>
        <v>0</v>
      </c>
      <c r="P909" s="319">
        <f t="shared" si="1656"/>
        <v>0</v>
      </c>
      <c r="Q909" s="319">
        <f t="shared" si="1656"/>
        <v>0</v>
      </c>
      <c r="R909" s="367">
        <f t="shared" si="1656"/>
        <v>0</v>
      </c>
      <c r="S909" s="385">
        <f t="shared" ref="S909" si="1657">+SUMPRODUCT($F910:$F911,S910:S911)</f>
        <v>0</v>
      </c>
      <c r="T909" s="310">
        <f t="shared" ref="T909" si="1658">+SUMPRODUCT($F910:$F911,T910:T911)</f>
        <v>0</v>
      </c>
      <c r="U909" s="310">
        <f t="shared" ref="U909" si="1659">+SUMPRODUCT($F910:$F911,U910:U911)</f>
        <v>0</v>
      </c>
      <c r="V909" s="310">
        <f t="shared" ref="V909" si="1660">+SUMPRODUCT($F910:$F911,V910:V911)</f>
        <v>0</v>
      </c>
      <c r="W909" s="310">
        <f t="shared" ref="W909" si="1661">+SUMPRODUCT($F910:$F911,W910:W911)</f>
        <v>0</v>
      </c>
      <c r="X909" s="310">
        <f t="shared" ref="X909" si="1662">+SUMPRODUCT($F910:$F911,X910:X911)</f>
        <v>0</v>
      </c>
      <c r="Y909" s="310">
        <f t="shared" ref="Y909" si="1663">+SUMPRODUCT($F910:$F911,Y910:Y911)</f>
        <v>0</v>
      </c>
      <c r="Z909" s="310">
        <f t="shared" ref="Z909" si="1664">+SUMPRODUCT($F910:$F911,Z910:Z911)</f>
        <v>0</v>
      </c>
      <c r="AA909" s="310">
        <f t="shared" ref="AA909" si="1665">+SUMPRODUCT($F910:$F911,AA910:AA911)</f>
        <v>0</v>
      </c>
      <c r="AB909" s="310">
        <f t="shared" ref="AB909" si="1666">+SUMPRODUCT($F910:$F911,AB910:AB911)</f>
        <v>0</v>
      </c>
      <c r="AC909" s="310">
        <f t="shared" ref="AC909" si="1667">+SUMPRODUCT($F910:$F911,AC910:AC911)</f>
        <v>0</v>
      </c>
      <c r="AD909" s="311">
        <f t="shared" ref="AD909" si="1668">+SUMPRODUCT($F910:$F911,AD910:AD911)</f>
        <v>0</v>
      </c>
      <c r="AE909" s="311"/>
      <c r="AF909" s="311"/>
      <c r="AG909" s="311"/>
      <c r="AH909" s="311"/>
      <c r="AI909" s="311"/>
      <c r="AJ909" s="311"/>
      <c r="AK909" s="311"/>
      <c r="AL909" s="311"/>
      <c r="AM909" s="311"/>
      <c r="AN909" s="311"/>
      <c r="AO909" s="311"/>
      <c r="AP909" s="311"/>
    </row>
    <row r="910" spans="2:42" s="140" customFormat="1" ht="25.5" hidden="1" customHeight="1" outlineLevel="1">
      <c r="B910" s="252">
        <v>7.1</v>
      </c>
      <c r="C910" s="244"/>
      <c r="D910" s="225" t="s">
        <v>1002</v>
      </c>
      <c r="E910" s="239"/>
      <c r="F910" s="221">
        <v>0.5</v>
      </c>
      <c r="G910" s="226">
        <f>+E910*$G$718/$E$718</f>
        <v>0</v>
      </c>
      <c r="H910" s="359"/>
      <c r="I910" s="359"/>
      <c r="J910" s="359"/>
      <c r="K910" s="359"/>
      <c r="L910" s="359"/>
      <c r="M910" s="359"/>
      <c r="N910" s="250">
        <v>0</v>
      </c>
      <c r="O910" s="250">
        <v>0</v>
      </c>
      <c r="P910" s="250">
        <v>0</v>
      </c>
      <c r="Q910" s="250">
        <v>0</v>
      </c>
      <c r="R910" s="250">
        <v>0</v>
      </c>
      <c r="S910" s="382">
        <v>0</v>
      </c>
      <c r="T910" s="382">
        <v>0</v>
      </c>
      <c r="U910" s="382">
        <v>0</v>
      </c>
      <c r="V910" s="382">
        <v>0</v>
      </c>
      <c r="W910" s="382">
        <v>0</v>
      </c>
      <c r="X910" s="382">
        <v>0</v>
      </c>
      <c r="Y910" s="382">
        <v>0</v>
      </c>
      <c r="Z910" s="382">
        <v>0</v>
      </c>
      <c r="AA910" s="382">
        <v>0</v>
      </c>
      <c r="AB910" s="382">
        <v>0</v>
      </c>
      <c r="AC910" s="382">
        <v>0</v>
      </c>
      <c r="AD910" s="382">
        <v>0</v>
      </c>
      <c r="AE910" s="382"/>
      <c r="AF910" s="382"/>
      <c r="AG910" s="382"/>
      <c r="AH910" s="382"/>
      <c r="AI910" s="382"/>
      <c r="AJ910" s="382"/>
      <c r="AK910" s="382"/>
      <c r="AL910" s="382"/>
      <c r="AM910" s="382"/>
      <c r="AN910" s="382"/>
      <c r="AO910" s="382"/>
      <c r="AP910" s="382"/>
    </row>
    <row r="911" spans="2:42" s="140" customFormat="1" ht="13.5" hidden="1" customHeight="1" outlineLevel="1" thickBot="1">
      <c r="B911" s="261">
        <v>7.2</v>
      </c>
      <c r="C911" s="262"/>
      <c r="D911" s="263" t="s">
        <v>1003</v>
      </c>
      <c r="E911" s="264"/>
      <c r="F911" s="265">
        <v>0.5</v>
      </c>
      <c r="G911" s="266">
        <f>+E911*$G$718/$E$718</f>
        <v>0</v>
      </c>
      <c r="H911" s="361"/>
      <c r="I911" s="361"/>
      <c r="J911" s="361"/>
      <c r="K911" s="361"/>
      <c r="L911" s="361"/>
      <c r="M911" s="361"/>
      <c r="N911" s="271">
        <v>0</v>
      </c>
      <c r="O911" s="271">
        <v>0</v>
      </c>
      <c r="P911" s="271">
        <v>0</v>
      </c>
      <c r="Q911" s="271">
        <v>0</v>
      </c>
      <c r="R911" s="271">
        <v>0</v>
      </c>
      <c r="S911" s="271">
        <v>0</v>
      </c>
      <c r="T911" s="271">
        <v>0</v>
      </c>
      <c r="U911" s="271">
        <v>0</v>
      </c>
      <c r="V911" s="271">
        <v>0</v>
      </c>
      <c r="W911" s="271">
        <v>0</v>
      </c>
      <c r="X911" s="271">
        <v>0</v>
      </c>
      <c r="Y911" s="271">
        <v>0</v>
      </c>
      <c r="Z911" s="271">
        <v>0</v>
      </c>
      <c r="AA911" s="271">
        <v>0</v>
      </c>
      <c r="AB911" s="271">
        <v>0</v>
      </c>
      <c r="AC911" s="271">
        <v>0</v>
      </c>
      <c r="AD911" s="271">
        <v>0</v>
      </c>
      <c r="AE911" s="271"/>
      <c r="AF911" s="271"/>
      <c r="AG911" s="271"/>
      <c r="AH911" s="271"/>
      <c r="AI911" s="271"/>
      <c r="AJ911" s="271"/>
      <c r="AK911" s="271"/>
      <c r="AL911" s="271"/>
      <c r="AM911" s="271"/>
      <c r="AN911" s="271"/>
      <c r="AO911" s="271"/>
      <c r="AP911" s="271"/>
    </row>
    <row r="912" spans="2:42" s="203" customFormat="1" collapsed="1">
      <c r="B912" s="141"/>
      <c r="C912" s="141"/>
      <c r="D912" s="237"/>
      <c r="E912" s="243"/>
      <c r="F912" s="215"/>
      <c r="H912" s="362"/>
      <c r="I912" s="362"/>
      <c r="J912" s="362"/>
      <c r="K912" s="362"/>
      <c r="L912" s="362"/>
      <c r="M912" s="362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</row>
    <row r="913" spans="2:42" s="203" customFormat="1">
      <c r="B913" s="141"/>
      <c r="C913" s="141"/>
      <c r="D913" s="237"/>
      <c r="E913" s="243"/>
      <c r="F913" s="215"/>
      <c r="H913" s="362"/>
      <c r="I913" s="362"/>
      <c r="J913" s="362"/>
      <c r="K913" s="362"/>
      <c r="L913" s="362"/>
      <c r="M913" s="362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</row>
    <row r="914" spans="2:42" s="203" customFormat="1">
      <c r="B914" s="141"/>
      <c r="C914" s="141"/>
      <c r="D914" s="237"/>
      <c r="E914" s="243"/>
      <c r="F914" s="215"/>
      <c r="H914" s="362"/>
      <c r="I914" s="362"/>
      <c r="J914" s="362"/>
      <c r="K914" s="362"/>
      <c r="L914" s="362"/>
      <c r="M914" s="362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</row>
    <row r="915" spans="2:42" s="203" customFormat="1">
      <c r="B915" s="141"/>
      <c r="C915" s="141"/>
      <c r="D915" s="237"/>
      <c r="E915" s="243"/>
      <c r="F915" s="215"/>
      <c r="H915" s="362"/>
      <c r="I915" s="362"/>
      <c r="J915" s="362"/>
      <c r="K915" s="362"/>
      <c r="L915" s="362"/>
      <c r="M915" s="362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</row>
    <row r="916" spans="2:42" s="203" customFormat="1">
      <c r="B916" s="141"/>
      <c r="C916" s="141"/>
      <c r="D916" s="237"/>
      <c r="E916" s="243"/>
      <c r="F916" s="215"/>
      <c r="H916" s="362"/>
      <c r="I916" s="362"/>
      <c r="J916" s="362"/>
      <c r="K916" s="362"/>
      <c r="L916" s="362"/>
      <c r="M916" s="362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</row>
    <row r="917" spans="2:42" s="203" customFormat="1">
      <c r="B917" s="141"/>
      <c r="C917" s="141"/>
      <c r="D917" s="237"/>
      <c r="E917" s="243"/>
      <c r="F917" s="215"/>
      <c r="H917" s="362"/>
      <c r="I917" s="362"/>
      <c r="J917" s="362"/>
      <c r="K917" s="362"/>
      <c r="L917" s="362"/>
      <c r="M917" s="362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</row>
    <row r="918" spans="2:42" s="203" customFormat="1">
      <c r="B918" s="141"/>
      <c r="C918" s="141"/>
      <c r="D918" s="237"/>
      <c r="E918" s="243"/>
      <c r="F918" s="215"/>
      <c r="H918" s="362"/>
      <c r="I918" s="362"/>
      <c r="J918" s="362"/>
      <c r="K918" s="362"/>
      <c r="L918" s="362"/>
      <c r="M918" s="362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</row>
    <row r="919" spans="2:42" s="203" customFormat="1">
      <c r="B919" s="141"/>
      <c r="C919" s="141"/>
      <c r="D919" s="237"/>
      <c r="E919" s="243"/>
      <c r="F919" s="215"/>
      <c r="H919" s="362"/>
      <c r="I919" s="362"/>
      <c r="J919" s="362"/>
      <c r="K919" s="362"/>
      <c r="L919" s="362"/>
      <c r="M919" s="362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</row>
  </sheetData>
  <mergeCells count="15">
    <mergeCell ref="B1:N1"/>
    <mergeCell ref="B2:N2"/>
    <mergeCell ref="B4:B5"/>
    <mergeCell ref="C4:C5"/>
    <mergeCell ref="D4:D5"/>
    <mergeCell ref="E4:E5"/>
    <mergeCell ref="F4:F5"/>
    <mergeCell ref="G4:G5"/>
    <mergeCell ref="H4:I4"/>
    <mergeCell ref="J4:K4"/>
    <mergeCell ref="S4:AD4"/>
    <mergeCell ref="AE4:AP4"/>
    <mergeCell ref="B6:D6"/>
    <mergeCell ref="N4:R4"/>
    <mergeCell ref="L4:M4"/>
  </mergeCells>
  <pageMargins left="0.7" right="0.7" top="0.75" bottom="0.75" header="0.3" footer="0.3"/>
  <pageSetup paperSize="9" scale="1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3143-339E-4C33-9F70-5E0F592CF9B5}">
  <sheetPr>
    <pageSetUpPr fitToPage="1"/>
  </sheetPr>
  <dimension ref="A1:Y919"/>
  <sheetViews>
    <sheetView tabSelected="1" view="pageBreakPreview" zoomScale="70" zoomScaleNormal="85" zoomScaleSheetLayoutView="70" workbookViewId="0">
      <pane xSplit="7" ySplit="6" topLeftCell="H7" activePane="bottomRight" state="frozen"/>
      <selection pane="bottomRight" activeCell="G9" sqref="G9"/>
      <selection pane="bottomLeft" activeCell="A7" sqref="A7"/>
      <selection pane="topRight" activeCell="H1" sqref="H1"/>
    </sheetView>
  </sheetViews>
  <sheetFormatPr defaultColWidth="9" defaultRowHeight="15" outlineLevelRow="5"/>
  <cols>
    <col min="1" max="1" width="9" style="141"/>
    <col min="2" max="3" width="9.85546875" style="141" customWidth="1"/>
    <col min="4" max="4" width="37.42578125" style="237" customWidth="1"/>
    <col min="5" max="5" width="21.5703125" style="243" customWidth="1"/>
    <col min="6" max="6" width="14.28515625" style="215" customWidth="1"/>
    <col min="7" max="7" width="13.28515625" style="203" customWidth="1"/>
    <col min="8" max="11" width="15.28515625" style="362" customWidth="1"/>
    <col min="12" max="12" width="12.85546875" style="362" customWidth="1"/>
    <col min="13" max="13" width="15.28515625" style="362" customWidth="1"/>
    <col min="14" max="14" width="16" style="203" customWidth="1"/>
    <col min="15" max="18" width="17.7109375" style="203" customWidth="1"/>
    <col min="19" max="19" width="17.5703125" style="161" customWidth="1"/>
    <col min="20" max="23" width="17.5703125" style="151" customWidth="1"/>
    <col min="24" max="25" width="14.5703125" style="141" customWidth="1"/>
    <col min="26" max="16384" width="9" style="141"/>
  </cols>
  <sheetData>
    <row r="1" spans="1:25" s="10" customFormat="1" ht="24"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X1" s="217" t="s">
        <v>0</v>
      </c>
      <c r="Y1" s="219">
        <f>+(G7*S7+G9*S9)/15%</f>
        <v>0.94682300723712198</v>
      </c>
    </row>
    <row r="2" spans="1:25" s="10" customFormat="1" ht="20.25" customHeight="1">
      <c r="B2" s="455" t="s">
        <v>1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6"/>
      <c r="W2" s="342"/>
      <c r="X2" s="217" t="s">
        <v>2</v>
      </c>
      <c r="Y2" s="219">
        <f>+S528</f>
        <v>0.26090143953857159</v>
      </c>
    </row>
    <row r="3" spans="1:25" s="10" customFormat="1" ht="12.75" thickBot="1">
      <c r="D3" s="235"/>
      <c r="E3" s="238"/>
      <c r="H3" s="355"/>
      <c r="I3" s="355"/>
      <c r="J3" s="355"/>
      <c r="K3" s="355"/>
      <c r="L3" s="355"/>
      <c r="M3" s="355"/>
      <c r="S3" s="218"/>
    </row>
    <row r="4" spans="1:25" s="137" customFormat="1" ht="62.25" customHeight="1" thickBot="1">
      <c r="B4" s="447" t="s">
        <v>3</v>
      </c>
      <c r="C4" s="449" t="s">
        <v>4</v>
      </c>
      <c r="D4" s="449" t="s">
        <v>5</v>
      </c>
      <c r="E4" s="453" t="s">
        <v>6</v>
      </c>
      <c r="F4" s="438" t="s">
        <v>7</v>
      </c>
      <c r="G4" s="436" t="s">
        <v>8</v>
      </c>
      <c r="H4" s="442" t="s">
        <v>1004</v>
      </c>
      <c r="I4" s="443"/>
      <c r="J4" s="442" t="s">
        <v>1005</v>
      </c>
      <c r="K4" s="443"/>
      <c r="L4" s="444" t="s">
        <v>1006</v>
      </c>
      <c r="M4" s="445"/>
      <c r="N4" s="436" t="s">
        <v>12</v>
      </c>
      <c r="O4" s="436" t="s">
        <v>13</v>
      </c>
      <c r="P4" s="436" t="s">
        <v>14</v>
      </c>
      <c r="Q4" s="436" t="s">
        <v>1043</v>
      </c>
      <c r="R4" s="436" t="s">
        <v>1044</v>
      </c>
      <c r="S4" s="451" t="s">
        <v>15</v>
      </c>
      <c r="T4" s="440" t="s">
        <v>16</v>
      </c>
      <c r="U4" s="440" t="s">
        <v>17</v>
      </c>
      <c r="V4" s="440" t="s">
        <v>18</v>
      </c>
      <c r="W4" s="440" t="s">
        <v>1045</v>
      </c>
      <c r="X4" s="220"/>
    </row>
    <row r="5" spans="1:25" s="140" customFormat="1" ht="44.25" customHeight="1" thickBot="1">
      <c r="B5" s="448"/>
      <c r="C5" s="450"/>
      <c r="D5" s="450"/>
      <c r="E5" s="454"/>
      <c r="F5" s="439"/>
      <c r="G5" s="437"/>
      <c r="H5" s="356" t="s">
        <v>1010</v>
      </c>
      <c r="I5" s="356" t="s">
        <v>1011</v>
      </c>
      <c r="J5" s="356" t="s">
        <v>1010</v>
      </c>
      <c r="K5" s="356" t="s">
        <v>1011</v>
      </c>
      <c r="L5" s="363" t="s">
        <v>1012</v>
      </c>
      <c r="M5" s="363" t="s">
        <v>1013</v>
      </c>
      <c r="N5" s="437"/>
      <c r="O5" s="437"/>
      <c r="P5" s="437"/>
      <c r="Q5" s="437"/>
      <c r="R5" s="437"/>
      <c r="S5" s="452"/>
      <c r="T5" s="441"/>
      <c r="U5" s="441"/>
      <c r="V5" s="441"/>
      <c r="W5" s="441"/>
    </row>
    <row r="6" spans="1:25" s="140" customFormat="1" ht="13.5" thickBot="1">
      <c r="B6" s="434" t="s">
        <v>21</v>
      </c>
      <c r="C6" s="435"/>
      <c r="D6" s="435"/>
      <c r="E6" s="307">
        <f>E7+E9+E528</f>
        <v>2495841880529.3301</v>
      </c>
      <c r="F6" s="308"/>
      <c r="G6" s="309">
        <f>+G7+G9+G83+G268+G342+G528+G904+G909</f>
        <v>1</v>
      </c>
      <c r="H6" s="357"/>
      <c r="I6" s="357"/>
      <c r="J6" s="357"/>
      <c r="K6" s="357"/>
      <c r="L6" s="357"/>
      <c r="M6" s="357"/>
      <c r="N6" s="310">
        <f t="shared" ref="N6:S6" si="0">+$G7*N7+$G9*N9+$G83*N83+$G268*N268+$G342*N342+$G528*N528+$G904*N904+$G909*N909</f>
        <v>0.71852661036180931</v>
      </c>
      <c r="O6" s="310">
        <f t="shared" si="0"/>
        <v>0.63730515184454128</v>
      </c>
      <c r="P6" s="310">
        <f t="shared" si="0"/>
        <v>0.59395469371102139</v>
      </c>
      <c r="Q6" s="310">
        <f t="shared" si="0"/>
        <v>0.39658203576461892</v>
      </c>
      <c r="R6" s="310">
        <f t="shared" si="0"/>
        <v>0.39221357485051589</v>
      </c>
      <c r="S6" s="310">
        <f>+$G7*S7+$G9*S9+$G83*S83+$G268*S268+$G342*S342+$G528*S528+$G904*S904+$G909*S909</f>
        <v>0.39340923482626633</v>
      </c>
      <c r="T6" s="311">
        <f>+IF(N6=0,0,$S6/N6)</f>
        <v>0.54752215040187269</v>
      </c>
      <c r="U6" s="311">
        <f>+IF(O6=0,0,$S6/O6)</f>
        <v>0.61730119972767961</v>
      </c>
      <c r="V6" s="311">
        <f>+IF(P6=0,0,$S6/P6)</f>
        <v>0.6623556291276198</v>
      </c>
      <c r="W6" s="311">
        <f t="shared" ref="W6:W69" si="1">+IF(R6=0,0,$S6/R6)</f>
        <v>1.0030484920778333</v>
      </c>
    </row>
    <row r="7" spans="1:25" s="140" customFormat="1" ht="13.5" thickBot="1">
      <c r="B7" s="312">
        <v>1</v>
      </c>
      <c r="C7" s="313"/>
      <c r="D7" s="314" t="s">
        <v>22</v>
      </c>
      <c r="E7" s="315">
        <f>E8</f>
        <v>3553800000</v>
      </c>
      <c r="F7" s="316"/>
      <c r="G7" s="317">
        <v>0.05</v>
      </c>
      <c r="H7" s="357">
        <v>45390</v>
      </c>
      <c r="I7" s="357">
        <v>45555</v>
      </c>
      <c r="J7" s="358"/>
      <c r="K7" s="358"/>
      <c r="L7" s="358"/>
      <c r="M7" s="358"/>
      <c r="N7" s="318">
        <f>+($F8*N8)</f>
        <v>1</v>
      </c>
      <c r="O7" s="318">
        <f t="shared" ref="O7:S7" si="2">+($F8*O8)</f>
        <v>1</v>
      </c>
      <c r="P7" s="318">
        <f t="shared" si="2"/>
        <v>1</v>
      </c>
      <c r="Q7" s="319">
        <f>+($F8*Q8)</f>
        <v>1</v>
      </c>
      <c r="R7" s="319">
        <f>+($F8*R8)</f>
        <v>1</v>
      </c>
      <c r="S7" s="319">
        <f t="shared" si="2"/>
        <v>1</v>
      </c>
      <c r="T7" s="320">
        <f>+IF(N7=0,0,$S7/N7)</f>
        <v>1</v>
      </c>
      <c r="U7" s="320">
        <f t="shared" ref="U7:U9" si="3">+IF(O7=0,0,$S7/O7)</f>
        <v>1</v>
      </c>
      <c r="V7" s="320">
        <f t="shared" ref="V7:V9" si="4">+IF(P7=0,0,$S7/P7)</f>
        <v>1</v>
      </c>
      <c r="W7" s="320">
        <f t="shared" si="1"/>
        <v>1</v>
      </c>
    </row>
    <row r="8" spans="1:25" s="235" customFormat="1" ht="64.5" hidden="1" outlineLevel="1" thickBot="1">
      <c r="B8" s="303" t="s">
        <v>23</v>
      </c>
      <c r="C8" s="304" t="s">
        <v>24</v>
      </c>
      <c r="D8" s="304" t="s">
        <v>25</v>
      </c>
      <c r="E8" s="302">
        <v>3553800000</v>
      </c>
      <c r="F8" s="305">
        <v>1</v>
      </c>
      <c r="G8" s="305">
        <f>+F8*G7</f>
        <v>0.05</v>
      </c>
      <c r="H8" s="306"/>
      <c r="I8" s="306"/>
      <c r="J8" s="306"/>
      <c r="K8" s="306"/>
      <c r="L8" s="306"/>
      <c r="M8" s="306"/>
      <c r="N8" s="305">
        <v>1</v>
      </c>
      <c r="O8" s="305">
        <v>1</v>
      </c>
      <c r="P8" s="305">
        <v>1</v>
      </c>
      <c r="Q8" s="305">
        <v>1</v>
      </c>
      <c r="R8" s="305">
        <v>1</v>
      </c>
      <c r="S8" s="305">
        <v>1</v>
      </c>
      <c r="T8" s="305">
        <f>+IF(N8=0,0,$S8/N8)</f>
        <v>1</v>
      </c>
      <c r="U8" s="305">
        <f>+IF(O8=0,0,$S8/O8)</f>
        <v>1</v>
      </c>
      <c r="V8" s="305">
        <f>+IF(P8=0,0,$S8/P8)</f>
        <v>1</v>
      </c>
      <c r="W8" s="305">
        <f t="shared" si="1"/>
        <v>1</v>
      </c>
    </row>
    <row r="9" spans="1:25" s="140" customFormat="1" ht="13.5" collapsed="1" thickBot="1">
      <c r="B9" s="312">
        <v>2</v>
      </c>
      <c r="C9" s="313"/>
      <c r="D9" s="314" t="s">
        <v>26</v>
      </c>
      <c r="E9" s="315">
        <f>E10+E61+E62</f>
        <v>8220164289</v>
      </c>
      <c r="F9" s="316"/>
      <c r="G9" s="317">
        <v>0.1</v>
      </c>
      <c r="H9" s="357">
        <v>45390</v>
      </c>
      <c r="I9" s="358">
        <v>45884</v>
      </c>
      <c r="J9" s="358"/>
      <c r="K9" s="358"/>
      <c r="L9" s="358"/>
      <c r="M9" s="358"/>
      <c r="N9" s="318">
        <f>+($F10*N10+$F61*N61+$F62*N62)</f>
        <v>0.98781562119167943</v>
      </c>
      <c r="O9" s="318">
        <f t="shared" ref="O9:P9" si="5">+($F10*O10+$F61*O61+$F62*O62)</f>
        <v>0.98781562119167943</v>
      </c>
      <c r="P9" s="318">
        <f t="shared" si="5"/>
        <v>0.98781562119167943</v>
      </c>
      <c r="Q9" s="319">
        <f>(F10*Q10+F61*Q61+F62*Q62+F70*Q70)</f>
        <v>0.92023451085568309</v>
      </c>
      <c r="R9" s="319">
        <f>($F10*R10+$F61*R61+$F62*R62+$F70*R70)</f>
        <v>0.92023451085568309</v>
      </c>
      <c r="S9" s="319">
        <f>($F10*S10+$F61*S61+$F62*S62+$F70*S70)</f>
        <v>0.92023451085568309</v>
      </c>
      <c r="T9" s="320">
        <f t="shared" ref="T9" si="6">+IF(N9=0,0,$S9/N9)</f>
        <v>0.93158529903134357</v>
      </c>
      <c r="U9" s="320">
        <f t="shared" si="3"/>
        <v>0.93158529903134357</v>
      </c>
      <c r="V9" s="320">
        <f t="shared" si="4"/>
        <v>0.93158529903134357</v>
      </c>
      <c r="W9" s="320">
        <f t="shared" si="1"/>
        <v>1</v>
      </c>
    </row>
    <row r="10" spans="1:25" s="235" customFormat="1" ht="77.25" hidden="1" outlineLevel="1" thickBot="1">
      <c r="B10" s="303">
        <v>2.1</v>
      </c>
      <c r="C10" s="304" t="s">
        <v>27</v>
      </c>
      <c r="D10" s="304" t="s">
        <v>28</v>
      </c>
      <c r="E10" s="302">
        <v>533070000</v>
      </c>
      <c r="F10" s="305">
        <v>0.66600000000000004</v>
      </c>
      <c r="G10" s="305">
        <f>+F10*G9</f>
        <v>6.6600000000000006E-2</v>
      </c>
      <c r="H10" s="306"/>
      <c r="I10" s="306"/>
      <c r="J10" s="306"/>
      <c r="K10" s="306"/>
      <c r="L10" s="306"/>
      <c r="M10" s="306"/>
      <c r="N10" s="305">
        <f t="shared" ref="N10:S10" si="7">$F11*N11+$F19*N19+$F35*N35</f>
        <v>0.98170513692444339</v>
      </c>
      <c r="O10" s="305">
        <f t="shared" si="7"/>
        <v>0.98170513692444339</v>
      </c>
      <c r="P10" s="305">
        <f t="shared" si="7"/>
        <v>0.98170513692444339</v>
      </c>
      <c r="Q10" s="305">
        <f t="shared" si="7"/>
        <v>0.97452447707466083</v>
      </c>
      <c r="R10" s="305">
        <f t="shared" si="7"/>
        <v>0.97452447707466083</v>
      </c>
      <c r="S10" s="305">
        <f t="shared" si="7"/>
        <v>0.97452447707466083</v>
      </c>
      <c r="T10" s="305">
        <f t="shared" ref="T10:T41" si="8">+IF(N10=0,0,$S10/N10)</f>
        <v>0.99268552279121336</v>
      </c>
      <c r="U10" s="305">
        <f t="shared" ref="U10:U41" si="9">+IF(O10=0,0,$S10/O10)</f>
        <v>0.99268552279121336</v>
      </c>
      <c r="V10" s="305">
        <f t="shared" ref="V10:V41" si="10">+IF(P10=0,0,$S10/P10)</f>
        <v>0.99268552279121336</v>
      </c>
      <c r="W10" s="305">
        <f t="shared" si="1"/>
        <v>1</v>
      </c>
    </row>
    <row r="11" spans="1:25" s="140" customFormat="1" ht="13.5" hidden="1" outlineLevel="2" thickBot="1">
      <c r="B11" s="323" t="s">
        <v>29</v>
      </c>
      <c r="C11" s="324" t="s">
        <v>30</v>
      </c>
      <c r="D11" s="324" t="s">
        <v>31</v>
      </c>
      <c r="E11" s="325"/>
      <c r="F11" s="326">
        <f>F719</f>
        <v>0.78107171599540315</v>
      </c>
      <c r="G11" s="326">
        <f>+F11*G9</f>
        <v>7.8107171599540323E-2</v>
      </c>
      <c r="H11" s="327"/>
      <c r="I11" s="327"/>
      <c r="J11" s="327"/>
      <c r="K11" s="327"/>
      <c r="L11" s="327"/>
      <c r="M11" s="327"/>
      <c r="N11" s="326">
        <f>+$F12*N12+$F13*N13+$F14*N14+$F15*N15+$F16*N16+$F17*N17+$F18*N18</f>
        <v>1</v>
      </c>
      <c r="O11" s="326">
        <f t="shared" ref="O11:S11" si="11">+$F12*O12+$F13*O13+$F14*O14+$F15*O15+$F16*O16+$F17*O17+$F18*O18</f>
        <v>1</v>
      </c>
      <c r="P11" s="326">
        <f t="shared" si="11"/>
        <v>1</v>
      </c>
      <c r="Q11" s="326">
        <f>+$F12*Q12+$F13*Q13+$F14*Q14+$F15*Q15+$F16*Q16+$F17*Q17+$F18*Q18</f>
        <v>1</v>
      </c>
      <c r="R11" s="326">
        <f>+$F12*R12+$F13*R13+$F14*R14+$F15*R15+$F16*R16+$F17*R17+$F18*R18</f>
        <v>1</v>
      </c>
      <c r="S11" s="326">
        <f t="shared" si="11"/>
        <v>1</v>
      </c>
      <c r="T11" s="326">
        <f t="shared" si="8"/>
        <v>1</v>
      </c>
      <c r="U11" s="326">
        <f t="shared" si="9"/>
        <v>1</v>
      </c>
      <c r="V11" s="326">
        <f t="shared" si="10"/>
        <v>1</v>
      </c>
      <c r="W11" s="326">
        <f t="shared" si="1"/>
        <v>1</v>
      </c>
    </row>
    <row r="12" spans="1:25" s="140" customFormat="1" ht="26.25" hidden="1" outlineLevel="3" thickBot="1">
      <c r="A12" s="216"/>
      <c r="B12" s="291" t="s">
        <v>29</v>
      </c>
      <c r="C12" s="292" t="s">
        <v>32</v>
      </c>
      <c r="D12" s="234" t="s">
        <v>33</v>
      </c>
      <c r="E12" s="240"/>
      <c r="F12" s="223">
        <v>0.20095296602369636</v>
      </c>
      <c r="G12" s="293">
        <f>+F12*G11</f>
        <v>1.5695867800649448E-2</v>
      </c>
      <c r="H12" s="298"/>
      <c r="I12" s="298"/>
      <c r="J12" s="298"/>
      <c r="K12" s="298"/>
      <c r="L12" s="298"/>
      <c r="M12" s="298"/>
      <c r="N12" s="224">
        <v>1</v>
      </c>
      <c r="O12" s="224">
        <v>1</v>
      </c>
      <c r="P12" s="224">
        <v>1</v>
      </c>
      <c r="Q12" s="270">
        <v>1</v>
      </c>
      <c r="R12" s="270">
        <v>1</v>
      </c>
      <c r="S12" s="270">
        <v>1</v>
      </c>
      <c r="T12" s="254">
        <f t="shared" si="8"/>
        <v>1</v>
      </c>
      <c r="U12" s="254">
        <f t="shared" si="9"/>
        <v>1</v>
      </c>
      <c r="V12" s="254">
        <f t="shared" si="10"/>
        <v>1</v>
      </c>
      <c r="W12" s="254">
        <f t="shared" si="1"/>
        <v>1</v>
      </c>
      <c r="X12" s="216"/>
      <c r="Y12" s="216"/>
    </row>
    <row r="13" spans="1:25" s="140" customFormat="1" ht="26.25" hidden="1" outlineLevel="3" thickBot="1">
      <c r="A13" s="216"/>
      <c r="B13" s="291" t="s">
        <v>34</v>
      </c>
      <c r="C13" s="292" t="s">
        <v>35</v>
      </c>
      <c r="D13" s="234" t="s">
        <v>33</v>
      </c>
      <c r="E13" s="240"/>
      <c r="F13" s="223">
        <v>0.24153553060977856</v>
      </c>
      <c r="G13" s="293">
        <f>+F13*G11</f>
        <v>1.8865657136723998E-2</v>
      </c>
      <c r="H13" s="298"/>
      <c r="I13" s="298"/>
      <c r="J13" s="298"/>
      <c r="K13" s="298"/>
      <c r="L13" s="298"/>
      <c r="M13" s="298"/>
      <c r="N13" s="224">
        <v>1</v>
      </c>
      <c r="O13" s="224">
        <v>1</v>
      </c>
      <c r="P13" s="224">
        <v>1</v>
      </c>
      <c r="Q13" s="270">
        <v>1</v>
      </c>
      <c r="R13" s="270">
        <v>1</v>
      </c>
      <c r="S13" s="270">
        <v>1</v>
      </c>
      <c r="T13" s="254">
        <f t="shared" si="8"/>
        <v>1</v>
      </c>
      <c r="U13" s="254">
        <f t="shared" si="9"/>
        <v>1</v>
      </c>
      <c r="V13" s="254">
        <f t="shared" si="10"/>
        <v>1</v>
      </c>
      <c r="W13" s="254">
        <f t="shared" si="1"/>
        <v>1</v>
      </c>
      <c r="X13" s="216"/>
      <c r="Y13" s="216"/>
    </row>
    <row r="14" spans="1:25" s="140" customFormat="1" ht="26.25" hidden="1" outlineLevel="3" thickBot="1">
      <c r="A14" s="216"/>
      <c r="B14" s="291" t="s">
        <v>36</v>
      </c>
      <c r="C14" s="292" t="s">
        <v>37</v>
      </c>
      <c r="D14" s="234" t="s">
        <v>33</v>
      </c>
      <c r="E14" s="240"/>
      <c r="F14" s="223">
        <v>9.4678015032851906E-2</v>
      </c>
      <c r="G14" s="293">
        <f>+F14*G11</f>
        <v>7.3950319668748222E-3</v>
      </c>
      <c r="H14" s="298"/>
      <c r="I14" s="298"/>
      <c r="J14" s="298"/>
      <c r="K14" s="298"/>
      <c r="L14" s="298"/>
      <c r="M14" s="298"/>
      <c r="N14" s="224">
        <v>1</v>
      </c>
      <c r="O14" s="224">
        <v>1</v>
      </c>
      <c r="P14" s="224">
        <v>1</v>
      </c>
      <c r="Q14" s="270">
        <v>1</v>
      </c>
      <c r="R14" s="270">
        <v>1</v>
      </c>
      <c r="S14" s="270">
        <v>1</v>
      </c>
      <c r="T14" s="254">
        <f t="shared" si="8"/>
        <v>1</v>
      </c>
      <c r="U14" s="254">
        <f t="shared" si="9"/>
        <v>1</v>
      </c>
      <c r="V14" s="254">
        <f t="shared" si="10"/>
        <v>1</v>
      </c>
      <c r="W14" s="254">
        <f t="shared" si="1"/>
        <v>1</v>
      </c>
      <c r="X14" s="216"/>
      <c r="Y14" s="216"/>
    </row>
    <row r="15" spans="1:25" s="140" customFormat="1" ht="26.25" hidden="1" outlineLevel="3" thickBot="1">
      <c r="A15" s="216"/>
      <c r="B15" s="291" t="s">
        <v>38</v>
      </c>
      <c r="C15" s="292" t="s">
        <v>39</v>
      </c>
      <c r="D15" s="234" t="s">
        <v>33</v>
      </c>
      <c r="E15" s="240"/>
      <c r="F15" s="223">
        <v>0.10115552784024648</v>
      </c>
      <c r="G15" s="293">
        <f>+F15*G11</f>
        <v>7.90097217126021E-3</v>
      </c>
      <c r="H15" s="298"/>
      <c r="I15" s="298"/>
      <c r="J15" s="298"/>
      <c r="K15" s="298"/>
      <c r="L15" s="298"/>
      <c r="M15" s="298"/>
      <c r="N15" s="224">
        <v>1</v>
      </c>
      <c r="O15" s="224">
        <v>1</v>
      </c>
      <c r="P15" s="224">
        <v>1</v>
      </c>
      <c r="Q15" s="270">
        <v>1</v>
      </c>
      <c r="R15" s="270">
        <v>1</v>
      </c>
      <c r="S15" s="270">
        <v>1</v>
      </c>
      <c r="T15" s="254">
        <f t="shared" si="8"/>
        <v>1</v>
      </c>
      <c r="U15" s="254">
        <f t="shared" si="9"/>
        <v>1</v>
      </c>
      <c r="V15" s="254">
        <f t="shared" si="10"/>
        <v>1</v>
      </c>
      <c r="W15" s="254">
        <f t="shared" si="1"/>
        <v>1</v>
      </c>
      <c r="X15" s="216"/>
      <c r="Y15" s="216"/>
    </row>
    <row r="16" spans="1:25" s="140" customFormat="1" ht="26.25" hidden="1" outlineLevel="3" thickBot="1">
      <c r="A16" s="216"/>
      <c r="B16" s="291" t="s">
        <v>40</v>
      </c>
      <c r="C16" s="292" t="s">
        <v>41</v>
      </c>
      <c r="D16" s="234" t="s">
        <v>33</v>
      </c>
      <c r="E16" s="240"/>
      <c r="F16" s="223">
        <v>0.11541079389014661</v>
      </c>
      <c r="G16" s="293">
        <f>+F16*G11</f>
        <v>9.0144106828168608E-3</v>
      </c>
      <c r="H16" s="298"/>
      <c r="I16" s="298"/>
      <c r="J16" s="298"/>
      <c r="K16" s="298"/>
      <c r="L16" s="298"/>
      <c r="M16" s="298"/>
      <c r="N16" s="224">
        <v>1</v>
      </c>
      <c r="O16" s="224">
        <v>1</v>
      </c>
      <c r="P16" s="224">
        <v>1</v>
      </c>
      <c r="Q16" s="270">
        <v>1</v>
      </c>
      <c r="R16" s="270">
        <v>1</v>
      </c>
      <c r="S16" s="270">
        <v>1</v>
      </c>
      <c r="T16" s="254">
        <f t="shared" si="8"/>
        <v>1</v>
      </c>
      <c r="U16" s="254">
        <f t="shared" si="9"/>
        <v>1</v>
      </c>
      <c r="V16" s="254">
        <f t="shared" si="10"/>
        <v>1</v>
      </c>
      <c r="W16" s="254">
        <f t="shared" si="1"/>
        <v>1</v>
      </c>
      <c r="X16" s="216"/>
      <c r="Y16" s="216"/>
    </row>
    <row r="17" spans="1:25" s="140" customFormat="1" ht="26.25" hidden="1" outlineLevel="3" thickBot="1">
      <c r="A17" s="216"/>
      <c r="B17" s="291" t="s">
        <v>42</v>
      </c>
      <c r="C17" s="292" t="s">
        <v>43</v>
      </c>
      <c r="D17" s="234" t="s">
        <v>33</v>
      </c>
      <c r="E17" s="240"/>
      <c r="F17" s="223">
        <v>0.13984312067866289</v>
      </c>
      <c r="G17" s="293">
        <f>+F17*G11</f>
        <v>1.0922750623863548E-2</v>
      </c>
      <c r="H17" s="298"/>
      <c r="I17" s="298"/>
      <c r="J17" s="298"/>
      <c r="K17" s="298"/>
      <c r="L17" s="298"/>
      <c r="M17" s="298"/>
      <c r="N17" s="224">
        <v>1</v>
      </c>
      <c r="O17" s="224">
        <v>1</v>
      </c>
      <c r="P17" s="224">
        <v>1</v>
      </c>
      <c r="Q17" s="270">
        <v>1</v>
      </c>
      <c r="R17" s="270">
        <v>1</v>
      </c>
      <c r="S17" s="270">
        <v>1</v>
      </c>
      <c r="T17" s="254">
        <f t="shared" si="8"/>
        <v>1</v>
      </c>
      <c r="U17" s="254">
        <f t="shared" si="9"/>
        <v>1</v>
      </c>
      <c r="V17" s="254">
        <f t="shared" si="10"/>
        <v>1</v>
      </c>
      <c r="W17" s="254">
        <f t="shared" si="1"/>
        <v>1</v>
      </c>
      <c r="X17" s="216"/>
      <c r="Y17" s="216"/>
    </row>
    <row r="18" spans="1:25" s="140" customFormat="1" ht="26.25" hidden="1" outlineLevel="3" thickBot="1">
      <c r="A18" s="216"/>
      <c r="B18" s="291" t="s">
        <v>44</v>
      </c>
      <c r="C18" s="292" t="s">
        <v>45</v>
      </c>
      <c r="D18" s="234" t="s">
        <v>33</v>
      </c>
      <c r="E18" s="240"/>
      <c r="F18" s="223">
        <v>0.10642404592461722</v>
      </c>
      <c r="G18" s="293">
        <f>+F18*G11</f>
        <v>8.3124812173514372E-3</v>
      </c>
      <c r="H18" s="298"/>
      <c r="I18" s="298"/>
      <c r="J18" s="298"/>
      <c r="K18" s="298"/>
      <c r="L18" s="298"/>
      <c r="M18" s="298"/>
      <c r="N18" s="224">
        <v>1</v>
      </c>
      <c r="O18" s="224">
        <v>1</v>
      </c>
      <c r="P18" s="224">
        <v>1</v>
      </c>
      <c r="Q18" s="270">
        <v>1</v>
      </c>
      <c r="R18" s="270">
        <v>1</v>
      </c>
      <c r="S18" s="270">
        <v>1</v>
      </c>
      <c r="T18" s="254">
        <f t="shared" si="8"/>
        <v>1</v>
      </c>
      <c r="U18" s="254">
        <f t="shared" si="9"/>
        <v>1</v>
      </c>
      <c r="V18" s="254">
        <f t="shared" si="10"/>
        <v>1</v>
      </c>
      <c r="W18" s="254">
        <f t="shared" si="1"/>
        <v>1</v>
      </c>
      <c r="X18" s="216"/>
      <c r="Y18" s="216"/>
    </row>
    <row r="19" spans="1:25" s="140" customFormat="1" ht="13.5" hidden="1" outlineLevel="2" collapsed="1" thickBot="1">
      <c r="B19" s="323" t="s">
        <v>34</v>
      </c>
      <c r="C19" s="324" t="s">
        <v>46</v>
      </c>
      <c r="D19" s="324" t="s">
        <v>47</v>
      </c>
      <c r="E19" s="325"/>
      <c r="F19" s="326">
        <f t="shared" ref="F19:F35" si="12">F842</f>
        <v>3.9032542437386124E-2</v>
      </c>
      <c r="G19" s="326">
        <f>+F19*G9</f>
        <v>3.9032542437386127E-3</v>
      </c>
      <c r="H19" s="327"/>
      <c r="I19" s="327"/>
      <c r="J19" s="327"/>
      <c r="K19" s="327"/>
      <c r="L19" s="327"/>
      <c r="M19" s="327"/>
      <c r="N19" s="326">
        <f t="shared" ref="N19:S19" si="13">+SUMPRODUCT($F20:$F34,N20:N34)</f>
        <v>0.53129204676061759</v>
      </c>
      <c r="O19" s="326">
        <f t="shared" si="13"/>
        <v>0.53129204676061759</v>
      </c>
      <c r="P19" s="326">
        <f t="shared" si="13"/>
        <v>0.53129204676061759</v>
      </c>
      <c r="Q19" s="337">
        <f t="shared" si="13"/>
        <v>0.9070906193877879</v>
      </c>
      <c r="R19" s="337">
        <f t="shared" si="13"/>
        <v>0.9070906193877879</v>
      </c>
      <c r="S19" s="337">
        <f t="shared" si="13"/>
        <v>0.9070906193877879</v>
      </c>
      <c r="T19" s="326">
        <f t="shared" si="8"/>
        <v>1.7073295655722334</v>
      </c>
      <c r="U19" s="326">
        <f t="shared" si="9"/>
        <v>1.7073295655722334</v>
      </c>
      <c r="V19" s="326">
        <f t="shared" si="10"/>
        <v>1.7073295655722334</v>
      </c>
      <c r="W19" s="326">
        <f t="shared" si="1"/>
        <v>1</v>
      </c>
    </row>
    <row r="20" spans="1:25" s="140" customFormat="1" ht="13.5" hidden="1" outlineLevel="4" thickBot="1">
      <c r="A20" s="216"/>
      <c r="B20" s="255" t="s">
        <v>48</v>
      </c>
      <c r="C20" s="245" t="s">
        <v>49</v>
      </c>
      <c r="D20" s="227" t="s">
        <v>50</v>
      </c>
      <c r="E20" s="241"/>
      <c r="F20" s="228">
        <f t="shared" si="12"/>
        <v>9.2877610796635368E-2</v>
      </c>
      <c r="G20" s="269">
        <f>+F20*G19</f>
        <v>3.6252492849027021E-4</v>
      </c>
      <c r="H20" s="299"/>
      <c r="I20" s="299"/>
      <c r="J20" s="299"/>
      <c r="K20" s="299"/>
      <c r="L20" s="299"/>
      <c r="M20" s="299"/>
      <c r="N20" s="229">
        <v>1</v>
      </c>
      <c r="O20" s="229">
        <v>1</v>
      </c>
      <c r="P20" s="229">
        <v>1</v>
      </c>
      <c r="Q20" s="272">
        <v>1</v>
      </c>
      <c r="R20" s="272">
        <v>1</v>
      </c>
      <c r="S20" s="272">
        <v>1</v>
      </c>
      <c r="T20" s="256">
        <f t="shared" si="8"/>
        <v>1</v>
      </c>
      <c r="U20" s="256">
        <f t="shared" si="9"/>
        <v>1</v>
      </c>
      <c r="V20" s="256">
        <f t="shared" si="10"/>
        <v>1</v>
      </c>
      <c r="W20" s="256">
        <f t="shared" si="1"/>
        <v>1</v>
      </c>
      <c r="X20" s="216"/>
      <c r="Y20" s="216"/>
    </row>
    <row r="21" spans="1:25" s="140" customFormat="1" ht="13.5" hidden="1" outlineLevel="4" thickBot="1">
      <c r="A21" s="216"/>
      <c r="B21" s="255" t="s">
        <v>51</v>
      </c>
      <c r="C21" s="245" t="s">
        <v>52</v>
      </c>
      <c r="D21" s="227" t="s">
        <v>53</v>
      </c>
      <c r="E21" s="241"/>
      <c r="F21" s="228">
        <f t="shared" si="12"/>
        <v>5.8105219309829384E-2</v>
      </c>
      <c r="G21" s="269">
        <f>+F21*G19</f>
        <v>2.2679944385445432E-4</v>
      </c>
      <c r="H21" s="299"/>
      <c r="I21" s="299"/>
      <c r="J21" s="299"/>
      <c r="K21" s="299"/>
      <c r="L21" s="299"/>
      <c r="M21" s="299"/>
      <c r="N21" s="229">
        <v>1</v>
      </c>
      <c r="O21" s="229">
        <v>1</v>
      </c>
      <c r="P21" s="229">
        <v>1</v>
      </c>
      <c r="Q21" s="272">
        <v>1</v>
      </c>
      <c r="R21" s="272">
        <v>1</v>
      </c>
      <c r="S21" s="272">
        <v>1</v>
      </c>
      <c r="T21" s="256">
        <f t="shared" si="8"/>
        <v>1</v>
      </c>
      <c r="U21" s="256">
        <f t="shared" si="9"/>
        <v>1</v>
      </c>
      <c r="V21" s="256">
        <f t="shared" si="10"/>
        <v>1</v>
      </c>
      <c r="W21" s="256">
        <f t="shared" si="1"/>
        <v>1</v>
      </c>
      <c r="X21" s="216"/>
      <c r="Y21" s="216"/>
    </row>
    <row r="22" spans="1:25" s="140" customFormat="1" ht="13.5" hidden="1" outlineLevel="4" thickBot="1">
      <c r="A22" s="216"/>
      <c r="B22" s="255" t="s">
        <v>54</v>
      </c>
      <c r="C22" s="245" t="s">
        <v>55</v>
      </c>
      <c r="D22" s="227" t="s">
        <v>56</v>
      </c>
      <c r="E22" s="241"/>
      <c r="F22" s="228">
        <f t="shared" si="12"/>
        <v>2.7796911320762424E-2</v>
      </c>
      <c r="G22" s="269">
        <f>+F22*G19</f>
        <v>1.0849841207559182E-4</v>
      </c>
      <c r="H22" s="299"/>
      <c r="I22" s="299"/>
      <c r="J22" s="299"/>
      <c r="K22" s="299"/>
      <c r="L22" s="299"/>
      <c r="M22" s="299"/>
      <c r="N22" s="229">
        <v>1</v>
      </c>
      <c r="O22" s="229">
        <v>1</v>
      </c>
      <c r="P22" s="229">
        <v>1</v>
      </c>
      <c r="Q22" s="272">
        <v>1</v>
      </c>
      <c r="R22" s="272">
        <v>1</v>
      </c>
      <c r="S22" s="272">
        <v>1</v>
      </c>
      <c r="T22" s="256">
        <f t="shared" si="8"/>
        <v>1</v>
      </c>
      <c r="U22" s="256">
        <f t="shared" si="9"/>
        <v>1</v>
      </c>
      <c r="V22" s="256">
        <f t="shared" si="10"/>
        <v>1</v>
      </c>
      <c r="W22" s="256">
        <f t="shared" si="1"/>
        <v>1</v>
      </c>
      <c r="X22" s="216"/>
      <c r="Y22" s="216"/>
    </row>
    <row r="23" spans="1:25" s="140" customFormat="1" ht="13.5" hidden="1" outlineLevel="4" thickBot="1">
      <c r="A23" s="216"/>
      <c r="B23" s="255" t="s">
        <v>57</v>
      </c>
      <c r="C23" s="245" t="s">
        <v>58</v>
      </c>
      <c r="D23" s="227" t="s">
        <v>59</v>
      </c>
      <c r="E23" s="241"/>
      <c r="F23" s="228">
        <f t="shared" si="12"/>
        <v>2.9155300375276354E-2</v>
      </c>
      <c r="G23" s="269">
        <f>+F23*G19</f>
        <v>1.1380054991727139E-4</v>
      </c>
      <c r="H23" s="299"/>
      <c r="I23" s="299"/>
      <c r="J23" s="299"/>
      <c r="K23" s="299"/>
      <c r="L23" s="299"/>
      <c r="M23" s="299"/>
      <c r="N23" s="229">
        <v>1</v>
      </c>
      <c r="O23" s="229">
        <v>1</v>
      </c>
      <c r="P23" s="229">
        <v>1</v>
      </c>
      <c r="Q23" s="272">
        <v>1</v>
      </c>
      <c r="R23" s="272">
        <v>1</v>
      </c>
      <c r="S23" s="272">
        <v>1</v>
      </c>
      <c r="T23" s="256">
        <f t="shared" si="8"/>
        <v>1</v>
      </c>
      <c r="U23" s="256">
        <f t="shared" si="9"/>
        <v>1</v>
      </c>
      <c r="V23" s="256">
        <f t="shared" si="10"/>
        <v>1</v>
      </c>
      <c r="W23" s="256">
        <f t="shared" si="1"/>
        <v>1</v>
      </c>
      <c r="X23" s="216"/>
      <c r="Y23" s="216"/>
    </row>
    <row r="24" spans="1:25" s="140" customFormat="1" ht="13.5" hidden="1" outlineLevel="4" thickBot="1">
      <c r="A24" s="216"/>
      <c r="B24" s="255" t="s">
        <v>60</v>
      </c>
      <c r="C24" s="245" t="s">
        <v>61</v>
      </c>
      <c r="D24" s="227" t="s">
        <v>62</v>
      </c>
      <c r="E24" s="241"/>
      <c r="F24" s="228">
        <f t="shared" si="12"/>
        <v>4.0182801717972776E-2</v>
      </c>
      <c r="G24" s="269">
        <f>+F24*G19</f>
        <v>1.5684369133098445E-4</v>
      </c>
      <c r="H24" s="299"/>
      <c r="I24" s="299"/>
      <c r="J24" s="299"/>
      <c r="K24" s="299"/>
      <c r="L24" s="299"/>
      <c r="M24" s="299"/>
      <c r="N24" s="229">
        <v>1</v>
      </c>
      <c r="O24" s="229">
        <v>1</v>
      </c>
      <c r="P24" s="229">
        <v>1</v>
      </c>
      <c r="Q24" s="272">
        <v>1</v>
      </c>
      <c r="R24" s="272">
        <v>1</v>
      </c>
      <c r="S24" s="272">
        <v>1</v>
      </c>
      <c r="T24" s="256">
        <f t="shared" si="8"/>
        <v>1</v>
      </c>
      <c r="U24" s="256">
        <f t="shared" si="9"/>
        <v>1</v>
      </c>
      <c r="V24" s="256">
        <f t="shared" si="10"/>
        <v>1</v>
      </c>
      <c r="W24" s="256">
        <f t="shared" si="1"/>
        <v>1</v>
      </c>
      <c r="X24" s="216"/>
      <c r="Y24" s="216"/>
    </row>
    <row r="25" spans="1:25" s="140" customFormat="1" ht="13.5" hidden="1" outlineLevel="4" thickBot="1">
      <c r="A25" s="216"/>
      <c r="B25" s="255" t="s">
        <v>63</v>
      </c>
      <c r="C25" s="245" t="s">
        <v>64</v>
      </c>
      <c r="D25" s="227" t="s">
        <v>65</v>
      </c>
      <c r="E25" s="241"/>
      <c r="F25" s="228">
        <f t="shared" si="12"/>
        <v>9.8615013818202632E-2</v>
      </c>
      <c r="G25" s="269">
        <f>+F25*G19</f>
        <v>3.8491947118224134E-4</v>
      </c>
      <c r="H25" s="299"/>
      <c r="I25" s="299"/>
      <c r="J25" s="299"/>
      <c r="K25" s="299"/>
      <c r="L25" s="299"/>
      <c r="M25" s="299"/>
      <c r="N25" s="229">
        <v>1</v>
      </c>
      <c r="O25" s="229">
        <v>1</v>
      </c>
      <c r="P25" s="229">
        <v>1</v>
      </c>
      <c r="Q25" s="272">
        <v>1</v>
      </c>
      <c r="R25" s="272">
        <v>1</v>
      </c>
      <c r="S25" s="272">
        <v>1</v>
      </c>
      <c r="T25" s="256">
        <f t="shared" si="8"/>
        <v>1</v>
      </c>
      <c r="U25" s="256">
        <f t="shared" si="9"/>
        <v>1</v>
      </c>
      <c r="V25" s="256">
        <f t="shared" si="10"/>
        <v>1</v>
      </c>
      <c r="W25" s="256">
        <f t="shared" si="1"/>
        <v>1</v>
      </c>
      <c r="X25" s="216"/>
      <c r="Y25" s="216"/>
    </row>
    <row r="26" spans="1:25" s="140" customFormat="1" ht="13.5" hidden="1" outlineLevel="4" thickBot="1">
      <c r="A26" s="216"/>
      <c r="B26" s="255" t="s">
        <v>66</v>
      </c>
      <c r="C26" s="245" t="s">
        <v>67</v>
      </c>
      <c r="D26" s="227" t="s">
        <v>68</v>
      </c>
      <c r="E26" s="241"/>
      <c r="F26" s="228">
        <f t="shared" si="12"/>
        <v>9.164980880972666E-2</v>
      </c>
      <c r="G26" s="269">
        <f>+F26*G19</f>
        <v>3.5773250517439806E-4</v>
      </c>
      <c r="H26" s="299"/>
      <c r="I26" s="299"/>
      <c r="J26" s="299"/>
      <c r="K26" s="299"/>
      <c r="L26" s="299"/>
      <c r="M26" s="299"/>
      <c r="N26" s="229">
        <v>1</v>
      </c>
      <c r="O26" s="229">
        <v>1</v>
      </c>
      <c r="P26" s="229">
        <v>1</v>
      </c>
      <c r="Q26" s="272">
        <v>1</v>
      </c>
      <c r="R26" s="272">
        <v>1</v>
      </c>
      <c r="S26" s="272">
        <v>1</v>
      </c>
      <c r="T26" s="256">
        <f t="shared" si="8"/>
        <v>1</v>
      </c>
      <c r="U26" s="256">
        <f t="shared" si="9"/>
        <v>1</v>
      </c>
      <c r="V26" s="256">
        <f t="shared" si="10"/>
        <v>1</v>
      </c>
      <c r="W26" s="256">
        <f t="shared" si="1"/>
        <v>1</v>
      </c>
      <c r="X26" s="216"/>
      <c r="Y26" s="216"/>
    </row>
    <row r="27" spans="1:25" s="140" customFormat="1" ht="26.25" hidden="1" outlineLevel="4" thickBot="1">
      <c r="A27" s="216"/>
      <c r="B27" s="255" t="s">
        <v>69</v>
      </c>
      <c r="C27" s="245" t="s">
        <v>70</v>
      </c>
      <c r="D27" s="227" t="s">
        <v>71</v>
      </c>
      <c r="E27" s="334"/>
      <c r="F27" s="335">
        <f t="shared" si="12"/>
        <v>9.2909380612212003E-2</v>
      </c>
      <c r="G27" s="269">
        <f>+F27*G19</f>
        <v>3.6264893415774251E-4</v>
      </c>
      <c r="H27" s="299"/>
      <c r="I27" s="299"/>
      <c r="J27" s="299"/>
      <c r="K27" s="299"/>
      <c r="L27" s="299"/>
      <c r="M27" s="299"/>
      <c r="N27" s="229">
        <v>1</v>
      </c>
      <c r="O27" s="229">
        <v>1</v>
      </c>
      <c r="P27" s="229">
        <v>1</v>
      </c>
      <c r="Q27" s="336">
        <v>0</v>
      </c>
      <c r="R27" s="336">
        <v>0</v>
      </c>
      <c r="S27" s="336">
        <v>0</v>
      </c>
      <c r="T27" s="256">
        <f t="shared" si="8"/>
        <v>0</v>
      </c>
      <c r="U27" s="256">
        <f t="shared" si="9"/>
        <v>0</v>
      </c>
      <c r="V27" s="256">
        <f t="shared" si="10"/>
        <v>0</v>
      </c>
      <c r="W27" s="256">
        <f t="shared" si="1"/>
        <v>0</v>
      </c>
      <c r="X27" s="216"/>
      <c r="Y27" s="216"/>
    </row>
    <row r="28" spans="1:25" s="140" customFormat="1" ht="13.5" hidden="1" outlineLevel="4" thickBot="1">
      <c r="A28" s="216"/>
      <c r="B28" s="255" t="s">
        <v>72</v>
      </c>
      <c r="C28" s="245" t="s">
        <v>73</v>
      </c>
      <c r="D28" s="227" t="s">
        <v>74</v>
      </c>
      <c r="E28" s="241"/>
      <c r="F28" s="228">
        <f t="shared" si="12"/>
        <v>8.0887028733242702E-2</v>
      </c>
      <c r="G28" s="269">
        <f>+F28*G19</f>
        <v>3.1572263816643668E-4</v>
      </c>
      <c r="H28" s="299"/>
      <c r="I28" s="299"/>
      <c r="J28" s="299"/>
      <c r="K28" s="299"/>
      <c r="L28" s="299"/>
      <c r="M28" s="299"/>
      <c r="N28" s="229"/>
      <c r="O28" s="229"/>
      <c r="P28" s="229"/>
      <c r="Q28" s="272">
        <v>1</v>
      </c>
      <c r="R28" s="272">
        <v>1</v>
      </c>
      <c r="S28" s="272">
        <v>1</v>
      </c>
      <c r="T28" s="256">
        <f t="shared" si="8"/>
        <v>0</v>
      </c>
      <c r="U28" s="256">
        <f t="shared" si="9"/>
        <v>0</v>
      </c>
      <c r="V28" s="256">
        <f t="shared" si="10"/>
        <v>0</v>
      </c>
      <c r="W28" s="256">
        <f t="shared" si="1"/>
        <v>1</v>
      </c>
      <c r="X28" s="216"/>
      <c r="Y28" s="216"/>
    </row>
    <row r="29" spans="1:25" s="140" customFormat="1" ht="13.5" hidden="1" outlineLevel="4" thickBot="1">
      <c r="A29" s="216"/>
      <c r="B29" s="255" t="s">
        <v>75</v>
      </c>
      <c r="C29" s="245" t="s">
        <v>76</v>
      </c>
      <c r="D29" s="227" t="s">
        <v>77</v>
      </c>
      <c r="E29" s="241"/>
      <c r="F29" s="228">
        <f t="shared" si="12"/>
        <v>0.11788367881609482</v>
      </c>
      <c r="G29" s="269">
        <f>+F29*G19</f>
        <v>4.6012996960644173E-4</v>
      </c>
      <c r="H29" s="299"/>
      <c r="I29" s="299"/>
      <c r="J29" s="299"/>
      <c r="K29" s="299"/>
      <c r="L29" s="299"/>
      <c r="M29" s="299"/>
      <c r="N29" s="229"/>
      <c r="O29" s="229"/>
      <c r="P29" s="229"/>
      <c r="Q29" s="272">
        <v>1</v>
      </c>
      <c r="R29" s="272">
        <v>1</v>
      </c>
      <c r="S29" s="272">
        <v>1</v>
      </c>
      <c r="T29" s="256">
        <f t="shared" si="8"/>
        <v>0</v>
      </c>
      <c r="U29" s="256">
        <f t="shared" si="9"/>
        <v>0</v>
      </c>
      <c r="V29" s="256">
        <f t="shared" si="10"/>
        <v>0</v>
      </c>
      <c r="W29" s="256">
        <f t="shared" si="1"/>
        <v>1</v>
      </c>
      <c r="X29" s="216"/>
      <c r="Y29" s="216"/>
    </row>
    <row r="30" spans="1:25" s="140" customFormat="1" ht="13.5" hidden="1" outlineLevel="4" thickBot="1">
      <c r="A30" s="216"/>
      <c r="B30" s="255" t="s">
        <v>78</v>
      </c>
      <c r="C30" s="245" t="s">
        <v>79</v>
      </c>
      <c r="D30" s="227" t="s">
        <v>80</v>
      </c>
      <c r="E30" s="241"/>
      <c r="F30" s="228">
        <f t="shared" si="12"/>
        <v>4.1046638926131508E-2</v>
      </c>
      <c r="G30" s="269">
        <f>+F30*G19</f>
        <v>1.6021546757962935E-4</v>
      </c>
      <c r="H30" s="299"/>
      <c r="I30" s="299"/>
      <c r="J30" s="299"/>
      <c r="K30" s="299"/>
      <c r="L30" s="299"/>
      <c r="M30" s="299"/>
      <c r="N30" s="229"/>
      <c r="O30" s="229"/>
      <c r="P30" s="229"/>
      <c r="Q30" s="272">
        <v>1</v>
      </c>
      <c r="R30" s="272">
        <v>1</v>
      </c>
      <c r="S30" s="272">
        <v>1</v>
      </c>
      <c r="T30" s="256">
        <f t="shared" si="8"/>
        <v>0</v>
      </c>
      <c r="U30" s="256">
        <f t="shared" si="9"/>
        <v>0</v>
      </c>
      <c r="V30" s="256">
        <f t="shared" si="10"/>
        <v>0</v>
      </c>
      <c r="W30" s="256">
        <f t="shared" si="1"/>
        <v>1</v>
      </c>
      <c r="X30" s="216"/>
      <c r="Y30" s="216"/>
    </row>
    <row r="31" spans="1:25" s="140" customFormat="1" ht="13.5" hidden="1" outlineLevel="4" thickBot="1">
      <c r="A31" s="216"/>
      <c r="B31" s="255" t="s">
        <v>81</v>
      </c>
      <c r="C31" s="245" t="s">
        <v>82</v>
      </c>
      <c r="D31" s="227" t="s">
        <v>83</v>
      </c>
      <c r="E31" s="241"/>
      <c r="F31" s="228">
        <f t="shared" si="12"/>
        <v>5.3741978219236555E-2</v>
      </c>
      <c r="G31" s="269">
        <f>+F31*G19</f>
        <v>2.0976860455114318E-4</v>
      </c>
      <c r="H31" s="299"/>
      <c r="I31" s="299"/>
      <c r="J31" s="299"/>
      <c r="K31" s="299"/>
      <c r="L31" s="299"/>
      <c r="M31" s="299"/>
      <c r="N31" s="229"/>
      <c r="O31" s="229"/>
      <c r="P31" s="229"/>
      <c r="Q31" s="272">
        <v>1</v>
      </c>
      <c r="R31" s="272">
        <v>1</v>
      </c>
      <c r="S31" s="272">
        <v>1</v>
      </c>
      <c r="T31" s="256">
        <f t="shared" si="8"/>
        <v>0</v>
      </c>
      <c r="U31" s="256">
        <f t="shared" si="9"/>
        <v>0</v>
      </c>
      <c r="V31" s="256">
        <f t="shared" si="10"/>
        <v>0</v>
      </c>
      <c r="W31" s="256">
        <f t="shared" si="1"/>
        <v>1</v>
      </c>
      <c r="X31" s="216"/>
      <c r="Y31" s="216"/>
    </row>
    <row r="32" spans="1:25" s="140" customFormat="1" ht="13.5" hidden="1" outlineLevel="4" thickBot="1">
      <c r="A32" s="216"/>
      <c r="B32" s="255" t="s">
        <v>84</v>
      </c>
      <c r="C32" s="245" t="s">
        <v>85</v>
      </c>
      <c r="D32" s="227" t="s">
        <v>86</v>
      </c>
      <c r="E32" s="241"/>
      <c r="F32" s="228">
        <f t="shared" si="12"/>
        <v>5.8057394561842592E-2</v>
      </c>
      <c r="G32" s="269">
        <f>+F32*G19</f>
        <v>2.2661277170391914E-4</v>
      </c>
      <c r="H32" s="299"/>
      <c r="I32" s="299"/>
      <c r="J32" s="299"/>
      <c r="K32" s="299"/>
      <c r="L32" s="299"/>
      <c r="M32" s="299"/>
      <c r="N32" s="229"/>
      <c r="O32" s="229"/>
      <c r="P32" s="229"/>
      <c r="Q32" s="272">
        <v>1</v>
      </c>
      <c r="R32" s="272">
        <v>1</v>
      </c>
      <c r="S32" s="272">
        <v>1</v>
      </c>
      <c r="T32" s="256">
        <f t="shared" si="8"/>
        <v>0</v>
      </c>
      <c r="U32" s="256">
        <f t="shared" si="9"/>
        <v>0</v>
      </c>
      <c r="V32" s="256">
        <f t="shared" si="10"/>
        <v>0</v>
      </c>
      <c r="W32" s="256">
        <f t="shared" si="1"/>
        <v>1</v>
      </c>
      <c r="X32" s="216"/>
      <c r="Y32" s="216"/>
    </row>
    <row r="33" spans="1:25" s="140" customFormat="1" ht="13.5" hidden="1" outlineLevel="4" thickBot="1">
      <c r="A33" s="216"/>
      <c r="B33" s="255" t="s">
        <v>87</v>
      </c>
      <c r="C33" s="245" t="s">
        <v>88</v>
      </c>
      <c r="D33" s="227" t="s">
        <v>89</v>
      </c>
      <c r="E33" s="241"/>
      <c r="F33" s="228">
        <f t="shared" si="12"/>
        <v>6.1612726844928238E-2</v>
      </c>
      <c r="G33" s="269">
        <f>+F33*G19</f>
        <v>2.404901375257741E-4</v>
      </c>
      <c r="H33" s="299"/>
      <c r="I33" s="299"/>
      <c r="J33" s="299"/>
      <c r="K33" s="299"/>
      <c r="L33" s="299"/>
      <c r="M33" s="299"/>
      <c r="N33" s="229"/>
      <c r="O33" s="229"/>
      <c r="P33" s="229"/>
      <c r="Q33" s="272">
        <v>1</v>
      </c>
      <c r="R33" s="272">
        <v>1</v>
      </c>
      <c r="S33" s="272">
        <v>1</v>
      </c>
      <c r="T33" s="256">
        <f t="shared" si="8"/>
        <v>0</v>
      </c>
      <c r="U33" s="256">
        <f t="shared" si="9"/>
        <v>0</v>
      </c>
      <c r="V33" s="256">
        <f t="shared" si="10"/>
        <v>0</v>
      </c>
      <c r="W33" s="256">
        <f t="shared" si="1"/>
        <v>1</v>
      </c>
      <c r="X33" s="216"/>
      <c r="Y33" s="216"/>
    </row>
    <row r="34" spans="1:25" s="140" customFormat="1" ht="13.5" hidden="1" outlineLevel="4" thickBot="1">
      <c r="A34" s="216"/>
      <c r="B34" s="255" t="s">
        <v>90</v>
      </c>
      <c r="C34" s="245" t="s">
        <v>91</v>
      </c>
      <c r="D34" s="227" t="s">
        <v>92</v>
      </c>
      <c r="E34" s="241"/>
      <c r="F34" s="228">
        <f t="shared" si="12"/>
        <v>5.5478507137905975E-2</v>
      </c>
      <c r="G34" s="269">
        <f>+F34*G19</f>
        <v>2.1654671842231442E-4</v>
      </c>
      <c r="H34" s="299"/>
      <c r="I34" s="299"/>
      <c r="J34" s="299"/>
      <c r="K34" s="299"/>
      <c r="L34" s="299"/>
      <c r="M34" s="299"/>
      <c r="N34" s="229"/>
      <c r="O34" s="229"/>
      <c r="P34" s="229"/>
      <c r="Q34" s="272">
        <v>1</v>
      </c>
      <c r="R34" s="272">
        <v>1</v>
      </c>
      <c r="S34" s="272">
        <v>1</v>
      </c>
      <c r="T34" s="256">
        <f t="shared" si="8"/>
        <v>0</v>
      </c>
      <c r="U34" s="256">
        <f t="shared" si="9"/>
        <v>0</v>
      </c>
      <c r="V34" s="256">
        <f t="shared" si="10"/>
        <v>0</v>
      </c>
      <c r="W34" s="256">
        <f t="shared" si="1"/>
        <v>1</v>
      </c>
      <c r="X34" s="216"/>
      <c r="Y34" s="216"/>
    </row>
    <row r="35" spans="1:25" s="140" customFormat="1" ht="29.25" hidden="1" customHeight="1" outlineLevel="2" collapsed="1" thickBot="1">
      <c r="A35" s="216"/>
      <c r="B35" s="329" t="s">
        <v>36</v>
      </c>
      <c r="C35" s="330" t="s">
        <v>93</v>
      </c>
      <c r="D35" s="330" t="s">
        <v>94</v>
      </c>
      <c r="E35" s="331"/>
      <c r="F35" s="332">
        <f t="shared" si="12"/>
        <v>0.17989574156721069</v>
      </c>
      <c r="G35" s="332">
        <f>+F35*G9</f>
        <v>1.7989574156721071E-2</v>
      </c>
      <c r="H35" s="333"/>
      <c r="I35" s="333"/>
      <c r="J35" s="333"/>
      <c r="K35" s="333"/>
      <c r="L35" s="333"/>
      <c r="M35" s="333"/>
      <c r="N35" s="332">
        <f t="shared" ref="N35:S35" si="14">+$F36*N36+$F48*N48+$F56*N56</f>
        <v>0.99999999999999978</v>
      </c>
      <c r="O35" s="332">
        <f t="shared" si="14"/>
        <v>0.99999999999999978</v>
      </c>
      <c r="P35" s="332">
        <f t="shared" si="14"/>
        <v>0.99999999999999978</v>
      </c>
      <c r="Q35" s="332">
        <f t="shared" si="14"/>
        <v>0.87854613236857104</v>
      </c>
      <c r="R35" s="332">
        <f t="shared" si="14"/>
        <v>0.87854613236857104</v>
      </c>
      <c r="S35" s="332">
        <f t="shared" si="14"/>
        <v>0.87854613236857104</v>
      </c>
      <c r="T35" s="332">
        <f t="shared" si="8"/>
        <v>0.87854613236857126</v>
      </c>
      <c r="U35" s="332">
        <f t="shared" si="9"/>
        <v>0.87854613236857126</v>
      </c>
      <c r="V35" s="332">
        <f t="shared" si="10"/>
        <v>0.87854613236857126</v>
      </c>
      <c r="W35" s="332">
        <f t="shared" si="1"/>
        <v>1</v>
      </c>
      <c r="X35" s="216"/>
      <c r="Y35" s="216"/>
    </row>
    <row r="36" spans="1:25" s="140" customFormat="1" ht="13.5" hidden="1" outlineLevel="2" thickBot="1">
      <c r="B36" s="301" t="s">
        <v>95</v>
      </c>
      <c r="C36" s="251" t="s">
        <v>96</v>
      </c>
      <c r="D36" s="236" t="s">
        <v>97</v>
      </c>
      <c r="E36" s="242"/>
      <c r="F36" s="232">
        <v>0.56856090035361229</v>
      </c>
      <c r="G36" s="232">
        <f>+F36*G35</f>
        <v>1.0228168479523408E-2</v>
      </c>
      <c r="H36" s="321"/>
      <c r="I36" s="321"/>
      <c r="J36" s="321"/>
      <c r="K36" s="321"/>
      <c r="L36" s="321"/>
      <c r="M36" s="321"/>
      <c r="N36" s="233">
        <f t="shared" ref="N36:S36" si="15">+SUMPRODUCT($F37:$F47,N37:N47)</f>
        <v>0.99999999999999989</v>
      </c>
      <c r="O36" s="233">
        <f t="shared" si="15"/>
        <v>0.99999999999999989</v>
      </c>
      <c r="P36" s="233">
        <f t="shared" si="15"/>
        <v>0.99999999999999989</v>
      </c>
      <c r="Q36" s="274">
        <f t="shared" si="15"/>
        <v>0.86016081336716643</v>
      </c>
      <c r="R36" s="274">
        <f t="shared" si="15"/>
        <v>0.86016081336716643</v>
      </c>
      <c r="S36" s="274">
        <f t="shared" si="15"/>
        <v>0.86016081336716643</v>
      </c>
      <c r="T36" s="260">
        <f t="shared" si="8"/>
        <v>0.86016081336716654</v>
      </c>
      <c r="U36" s="260">
        <f t="shared" si="9"/>
        <v>0.86016081336716654</v>
      </c>
      <c r="V36" s="260">
        <f t="shared" si="10"/>
        <v>0.86016081336716654</v>
      </c>
      <c r="W36" s="260">
        <f t="shared" si="1"/>
        <v>1</v>
      </c>
    </row>
    <row r="37" spans="1:25" s="140" customFormat="1" ht="26.25" hidden="1" outlineLevel="4" thickBot="1">
      <c r="A37" s="216"/>
      <c r="B37" s="255" t="s">
        <v>98</v>
      </c>
      <c r="C37" s="245" t="s">
        <v>99</v>
      </c>
      <c r="D37" s="227" t="s">
        <v>100</v>
      </c>
      <c r="E37" s="241"/>
      <c r="F37" s="228">
        <v>5.0651268099191453E-2</v>
      </c>
      <c r="G37" s="269">
        <f>+F37*G36</f>
        <v>5.1806970382003959E-4</v>
      </c>
      <c r="H37" s="299"/>
      <c r="I37" s="299"/>
      <c r="J37" s="299"/>
      <c r="K37" s="299"/>
      <c r="L37" s="299"/>
      <c r="M37" s="299"/>
      <c r="N37" s="229">
        <v>1</v>
      </c>
      <c r="O37" s="229">
        <v>1</v>
      </c>
      <c r="P37" s="229">
        <v>1</v>
      </c>
      <c r="Q37" s="272">
        <v>1</v>
      </c>
      <c r="R37" s="272">
        <v>1</v>
      </c>
      <c r="S37" s="272">
        <v>1</v>
      </c>
      <c r="T37" s="256">
        <f t="shared" si="8"/>
        <v>1</v>
      </c>
      <c r="U37" s="256">
        <f t="shared" si="9"/>
        <v>1</v>
      </c>
      <c r="V37" s="256">
        <f t="shared" si="10"/>
        <v>1</v>
      </c>
      <c r="W37" s="256">
        <f t="shared" si="1"/>
        <v>1</v>
      </c>
      <c r="X37" s="216"/>
      <c r="Y37" s="216"/>
    </row>
    <row r="38" spans="1:25" s="140" customFormat="1" ht="26.25" hidden="1" outlineLevel="4" thickBot="1">
      <c r="A38" s="216"/>
      <c r="B38" s="255" t="s">
        <v>101</v>
      </c>
      <c r="C38" s="245" t="s">
        <v>102</v>
      </c>
      <c r="D38" s="227" t="s">
        <v>103</v>
      </c>
      <c r="E38" s="241"/>
      <c r="F38" s="228">
        <v>8.2125454251171334E-2</v>
      </c>
      <c r="G38" s="269">
        <f>+F38*G36</f>
        <v>8.3999298253837229E-4</v>
      </c>
      <c r="H38" s="299"/>
      <c r="I38" s="299"/>
      <c r="J38" s="299"/>
      <c r="K38" s="299"/>
      <c r="L38" s="299"/>
      <c r="M38" s="299"/>
      <c r="N38" s="229">
        <v>1</v>
      </c>
      <c r="O38" s="229">
        <v>1</v>
      </c>
      <c r="P38" s="229">
        <v>1</v>
      </c>
      <c r="Q38" s="272">
        <v>1</v>
      </c>
      <c r="R38" s="272">
        <v>1</v>
      </c>
      <c r="S38" s="272">
        <v>1</v>
      </c>
      <c r="T38" s="256">
        <f t="shared" si="8"/>
        <v>1</v>
      </c>
      <c r="U38" s="256">
        <f t="shared" si="9"/>
        <v>1</v>
      </c>
      <c r="V38" s="256">
        <f t="shared" si="10"/>
        <v>1</v>
      </c>
      <c r="W38" s="256">
        <f t="shared" si="1"/>
        <v>1</v>
      </c>
      <c r="X38" s="216"/>
      <c r="Y38" s="216"/>
    </row>
    <row r="39" spans="1:25" s="140" customFormat="1" ht="26.25" hidden="1" outlineLevel="4" thickBot="1">
      <c r="A39" s="216"/>
      <c r="B39" s="255" t="s">
        <v>104</v>
      </c>
      <c r="C39" s="245" t="s">
        <v>105</v>
      </c>
      <c r="D39" s="227" t="s">
        <v>106</v>
      </c>
      <c r="E39" s="241"/>
      <c r="F39" s="228">
        <v>6.6964931207309911E-2</v>
      </c>
      <c r="G39" s="269">
        <f>+F39*G36</f>
        <v>6.8492859860806059E-4</v>
      </c>
      <c r="H39" s="299"/>
      <c r="I39" s="299"/>
      <c r="J39" s="299"/>
      <c r="K39" s="299"/>
      <c r="L39" s="299"/>
      <c r="M39" s="299"/>
      <c r="N39" s="229">
        <v>1</v>
      </c>
      <c r="O39" s="229">
        <v>1</v>
      </c>
      <c r="P39" s="229">
        <v>1</v>
      </c>
      <c r="Q39" s="272">
        <v>1</v>
      </c>
      <c r="R39" s="272">
        <v>1</v>
      </c>
      <c r="S39" s="272">
        <v>1</v>
      </c>
      <c r="T39" s="256">
        <f t="shared" si="8"/>
        <v>1</v>
      </c>
      <c r="U39" s="256">
        <f t="shared" si="9"/>
        <v>1</v>
      </c>
      <c r="V39" s="256">
        <f t="shared" si="10"/>
        <v>1</v>
      </c>
      <c r="W39" s="256">
        <f t="shared" si="1"/>
        <v>1</v>
      </c>
      <c r="X39" s="216"/>
      <c r="Y39" s="216"/>
    </row>
    <row r="40" spans="1:25" s="140" customFormat="1" ht="26.25" hidden="1" outlineLevel="4" thickBot="1">
      <c r="A40" s="216"/>
      <c r="B40" s="255" t="s">
        <v>107</v>
      </c>
      <c r="C40" s="245" t="s">
        <v>108</v>
      </c>
      <c r="D40" s="227" t="s">
        <v>109</v>
      </c>
      <c r="E40" s="241"/>
      <c r="F40" s="228">
        <v>8.2833364710735921E-2</v>
      </c>
      <c r="G40" s="269">
        <f>+F40*G36</f>
        <v>8.4723360998721577E-4</v>
      </c>
      <c r="H40" s="299"/>
      <c r="I40" s="299"/>
      <c r="J40" s="299"/>
      <c r="K40" s="299"/>
      <c r="L40" s="299"/>
      <c r="M40" s="299"/>
      <c r="N40" s="229">
        <v>1</v>
      </c>
      <c r="O40" s="229">
        <v>1</v>
      </c>
      <c r="P40" s="229">
        <v>1</v>
      </c>
      <c r="Q40" s="272">
        <v>1</v>
      </c>
      <c r="R40" s="272">
        <v>1</v>
      </c>
      <c r="S40" s="272">
        <v>1</v>
      </c>
      <c r="T40" s="256">
        <f t="shared" si="8"/>
        <v>1</v>
      </c>
      <c r="U40" s="256">
        <f t="shared" si="9"/>
        <v>1</v>
      </c>
      <c r="V40" s="256">
        <f t="shared" si="10"/>
        <v>1</v>
      </c>
      <c r="W40" s="256">
        <f t="shared" si="1"/>
        <v>1</v>
      </c>
      <c r="X40" s="216"/>
      <c r="Y40" s="216"/>
    </row>
    <row r="41" spans="1:25" s="140" customFormat="1" ht="39" hidden="1" outlineLevel="4" thickBot="1">
      <c r="A41" s="216"/>
      <c r="B41" s="255" t="s">
        <v>110</v>
      </c>
      <c r="C41" s="245" t="s">
        <v>111</v>
      </c>
      <c r="D41" s="227" t="s">
        <v>112</v>
      </c>
      <c r="E41" s="241"/>
      <c r="F41" s="228">
        <v>0.18485403818130638</v>
      </c>
      <c r="G41" s="269">
        <f>+F41*G36</f>
        <v>1.8907182466386546E-3</v>
      </c>
      <c r="H41" s="299"/>
      <c r="I41" s="299"/>
      <c r="J41" s="299"/>
      <c r="K41" s="299"/>
      <c r="L41" s="299"/>
      <c r="M41" s="299"/>
      <c r="N41" s="229">
        <v>1</v>
      </c>
      <c r="O41" s="229">
        <v>1</v>
      </c>
      <c r="P41" s="229">
        <v>1</v>
      </c>
      <c r="Q41" s="272">
        <v>1</v>
      </c>
      <c r="R41" s="272">
        <v>1</v>
      </c>
      <c r="S41" s="272">
        <v>1</v>
      </c>
      <c r="T41" s="256">
        <f t="shared" si="8"/>
        <v>1</v>
      </c>
      <c r="U41" s="256">
        <f t="shared" si="9"/>
        <v>1</v>
      </c>
      <c r="V41" s="256">
        <f t="shared" si="10"/>
        <v>1</v>
      </c>
      <c r="W41" s="256">
        <f t="shared" si="1"/>
        <v>1</v>
      </c>
      <c r="X41" s="216"/>
      <c r="Y41" s="216"/>
    </row>
    <row r="42" spans="1:25" s="140" customFormat="1" ht="39" hidden="1" outlineLevel="4" thickBot="1">
      <c r="A42" s="216"/>
      <c r="B42" s="255" t="s">
        <v>113</v>
      </c>
      <c r="C42" s="245" t="s">
        <v>114</v>
      </c>
      <c r="D42" s="227" t="s">
        <v>115</v>
      </c>
      <c r="E42" s="241"/>
      <c r="F42" s="228">
        <v>0.10096602336672117</v>
      </c>
      <c r="G42" s="269">
        <f>+F42*G36</f>
        <v>1.0326974977023214E-3</v>
      </c>
      <c r="H42" s="299"/>
      <c r="I42" s="299"/>
      <c r="J42" s="299"/>
      <c r="K42" s="299"/>
      <c r="L42" s="299"/>
      <c r="M42" s="299"/>
      <c r="N42" s="229">
        <v>1</v>
      </c>
      <c r="O42" s="229">
        <v>1</v>
      </c>
      <c r="P42" s="229">
        <v>1</v>
      </c>
      <c r="Q42" s="272">
        <v>1</v>
      </c>
      <c r="R42" s="272">
        <v>1</v>
      </c>
      <c r="S42" s="272">
        <v>1</v>
      </c>
      <c r="T42" s="256">
        <f t="shared" ref="T42:T65" si="16">+IF(N42=0,0,$S42/N42)</f>
        <v>1</v>
      </c>
      <c r="U42" s="256">
        <f t="shared" ref="U42:U65" si="17">+IF(O42=0,0,$S42/O42)</f>
        <v>1</v>
      </c>
      <c r="V42" s="256">
        <f t="shared" ref="V42:V65" si="18">+IF(P42=0,0,$S42/P42)</f>
        <v>1</v>
      </c>
      <c r="W42" s="256">
        <f t="shared" si="1"/>
        <v>1</v>
      </c>
      <c r="X42" s="216"/>
      <c r="Y42" s="216"/>
    </row>
    <row r="43" spans="1:25" s="140" customFormat="1" ht="39" hidden="1" outlineLevel="4" thickBot="1">
      <c r="A43" s="216"/>
      <c r="B43" s="255" t="s">
        <v>116</v>
      </c>
      <c r="C43" s="245" t="s">
        <v>117</v>
      </c>
      <c r="D43" s="227" t="s">
        <v>118</v>
      </c>
      <c r="E43" s="241"/>
      <c r="F43" s="228">
        <v>0.10262123888629911</v>
      </c>
      <c r="G43" s="269">
        <f>+F43*G36</f>
        <v>1.0496273209064863E-3</v>
      </c>
      <c r="H43" s="299"/>
      <c r="I43" s="299"/>
      <c r="J43" s="299"/>
      <c r="K43" s="299"/>
      <c r="L43" s="299"/>
      <c r="M43" s="299"/>
      <c r="N43" s="229">
        <v>1</v>
      </c>
      <c r="O43" s="229">
        <v>1</v>
      </c>
      <c r="P43" s="229">
        <v>1</v>
      </c>
      <c r="Q43" s="272">
        <v>1</v>
      </c>
      <c r="R43" s="272">
        <v>1</v>
      </c>
      <c r="S43" s="272">
        <v>1</v>
      </c>
      <c r="T43" s="256">
        <f t="shared" si="16"/>
        <v>1</v>
      </c>
      <c r="U43" s="256">
        <f t="shared" si="17"/>
        <v>1</v>
      </c>
      <c r="V43" s="256">
        <f t="shared" si="18"/>
        <v>1</v>
      </c>
      <c r="W43" s="256">
        <f t="shared" si="1"/>
        <v>1</v>
      </c>
      <c r="X43" s="216"/>
      <c r="Y43" s="216"/>
    </row>
    <row r="44" spans="1:25" s="140" customFormat="1" ht="39" hidden="1" outlineLevel="4" thickBot="1">
      <c r="A44" s="216"/>
      <c r="B44" s="255" t="s">
        <v>119</v>
      </c>
      <c r="C44" s="245" t="s">
        <v>120</v>
      </c>
      <c r="D44" s="227" t="s">
        <v>121</v>
      </c>
      <c r="E44" s="241"/>
      <c r="F44" s="228">
        <v>0.16486815906368971</v>
      </c>
      <c r="G44" s="269">
        <f>+F44*G36</f>
        <v>1.6862993078122824E-3</v>
      </c>
      <c r="H44" s="299"/>
      <c r="I44" s="299"/>
      <c r="J44" s="299"/>
      <c r="K44" s="299"/>
      <c r="L44" s="299"/>
      <c r="M44" s="299"/>
      <c r="N44" s="229">
        <v>1</v>
      </c>
      <c r="O44" s="229">
        <v>1</v>
      </c>
      <c r="P44" s="229">
        <v>1</v>
      </c>
      <c r="Q44" s="272">
        <v>1</v>
      </c>
      <c r="R44" s="272">
        <v>1</v>
      </c>
      <c r="S44" s="272">
        <v>1</v>
      </c>
      <c r="T44" s="256">
        <f t="shared" si="16"/>
        <v>1</v>
      </c>
      <c r="U44" s="256">
        <f t="shared" si="17"/>
        <v>1</v>
      </c>
      <c r="V44" s="256">
        <f t="shared" si="18"/>
        <v>1</v>
      </c>
      <c r="W44" s="256">
        <f t="shared" si="1"/>
        <v>1</v>
      </c>
      <c r="X44" s="216"/>
      <c r="Y44" s="216"/>
    </row>
    <row r="45" spans="1:25" s="140" customFormat="1" ht="26.25" hidden="1" outlineLevel="4" thickBot="1">
      <c r="A45" s="216"/>
      <c r="B45" s="255" t="s">
        <v>122</v>
      </c>
      <c r="C45" s="245" t="s">
        <v>123</v>
      </c>
      <c r="D45" s="227" t="s">
        <v>124</v>
      </c>
      <c r="E45" s="241"/>
      <c r="F45" s="228">
        <v>4.5095887303671384E-3</v>
      </c>
      <c r="G45" s="269">
        <f>+F45*G36</f>
        <v>4.6124833307555149E-5</v>
      </c>
      <c r="H45" s="299"/>
      <c r="I45" s="299"/>
      <c r="J45" s="299"/>
      <c r="K45" s="299"/>
      <c r="L45" s="299"/>
      <c r="M45" s="299"/>
      <c r="N45" s="229">
        <v>0.99999999999999989</v>
      </c>
      <c r="O45" s="229">
        <v>0.99999999999999989</v>
      </c>
      <c r="P45" s="229">
        <v>0.99999999999999989</v>
      </c>
      <c r="Q45" s="272">
        <v>1</v>
      </c>
      <c r="R45" s="272">
        <v>1</v>
      </c>
      <c r="S45" s="272">
        <v>0.99999999999999989</v>
      </c>
      <c r="T45" s="256">
        <f t="shared" si="16"/>
        <v>1</v>
      </c>
      <c r="U45" s="256">
        <f t="shared" si="17"/>
        <v>1</v>
      </c>
      <c r="V45" s="256">
        <f t="shared" si="18"/>
        <v>1</v>
      </c>
      <c r="W45" s="256">
        <f t="shared" si="1"/>
        <v>0.99999999999999989</v>
      </c>
      <c r="X45" s="216"/>
      <c r="Y45" s="216"/>
    </row>
    <row r="46" spans="1:25" s="140" customFormat="1" ht="26.25" hidden="1" outlineLevel="4" thickBot="1">
      <c r="A46" s="216"/>
      <c r="B46" s="255" t="s">
        <v>125</v>
      </c>
      <c r="C46" s="245" t="s">
        <v>126</v>
      </c>
      <c r="D46" s="227" t="s">
        <v>127</v>
      </c>
      <c r="E46" s="241"/>
      <c r="F46" s="228">
        <v>0.13983918663283351</v>
      </c>
      <c r="G46" s="269">
        <f>+F46*G36</f>
        <v>1.4302987609201387E-3</v>
      </c>
      <c r="H46" s="299"/>
      <c r="I46" s="299"/>
      <c r="J46" s="299"/>
      <c r="K46" s="299"/>
      <c r="L46" s="299"/>
      <c r="M46" s="299"/>
      <c r="N46" s="229">
        <v>0.99999999999999989</v>
      </c>
      <c r="O46" s="229">
        <v>0.99999999999999989</v>
      </c>
      <c r="P46" s="229">
        <v>0.99999999999999989</v>
      </c>
      <c r="Q46" s="272">
        <v>0</v>
      </c>
      <c r="R46" s="272">
        <v>0</v>
      </c>
      <c r="S46" s="272">
        <v>0</v>
      </c>
      <c r="T46" s="256">
        <f t="shared" si="16"/>
        <v>0</v>
      </c>
      <c r="U46" s="256">
        <f t="shared" si="17"/>
        <v>0</v>
      </c>
      <c r="V46" s="256">
        <f t="shared" si="18"/>
        <v>0</v>
      </c>
      <c r="W46" s="256">
        <f t="shared" si="1"/>
        <v>0</v>
      </c>
      <c r="X46" s="216"/>
      <c r="Y46" s="216"/>
    </row>
    <row r="47" spans="1:25" s="140" customFormat="1" ht="39" hidden="1" outlineLevel="4" thickBot="1">
      <c r="A47" s="216"/>
      <c r="B47" s="255" t="s">
        <v>128</v>
      </c>
      <c r="C47" s="245" t="s">
        <v>129</v>
      </c>
      <c r="D47" s="227" t="s">
        <v>130</v>
      </c>
      <c r="E47" s="241"/>
      <c r="F47" s="228">
        <v>1.9766746870374354E-2</v>
      </c>
      <c r="G47" s="269">
        <f>+F47*G36</f>
        <v>2.0217761728228095E-4</v>
      </c>
      <c r="H47" s="299"/>
      <c r="I47" s="299"/>
      <c r="J47" s="299"/>
      <c r="K47" s="299"/>
      <c r="L47" s="299"/>
      <c r="M47" s="299"/>
      <c r="N47" s="229">
        <v>0.99999999999999989</v>
      </c>
      <c r="O47" s="229">
        <v>0.99999999999999989</v>
      </c>
      <c r="P47" s="229">
        <v>0.99999999999999989</v>
      </c>
      <c r="Q47" s="272">
        <v>1</v>
      </c>
      <c r="R47" s="272">
        <v>1</v>
      </c>
      <c r="S47" s="272">
        <v>0.99999999999999989</v>
      </c>
      <c r="T47" s="256">
        <f t="shared" si="16"/>
        <v>1</v>
      </c>
      <c r="U47" s="256">
        <f t="shared" si="17"/>
        <v>1</v>
      </c>
      <c r="V47" s="256">
        <f t="shared" si="18"/>
        <v>1</v>
      </c>
      <c r="W47" s="256">
        <f t="shared" si="1"/>
        <v>0.99999999999999989</v>
      </c>
      <c r="X47" s="216"/>
      <c r="Y47" s="216"/>
    </row>
    <row r="48" spans="1:25" s="140" customFormat="1" ht="26.25" hidden="1" outlineLevel="2" collapsed="1" thickBot="1">
      <c r="B48" s="301" t="s">
        <v>131</v>
      </c>
      <c r="C48" s="236" t="s">
        <v>132</v>
      </c>
      <c r="D48" s="236" t="s">
        <v>133</v>
      </c>
      <c r="E48" s="242"/>
      <c r="F48" s="232">
        <v>0.36394063609291044</v>
      </c>
      <c r="G48" s="232">
        <f>+F48*G35</f>
        <v>6.5471370616376496E-3</v>
      </c>
      <c r="H48" s="321"/>
      <c r="I48" s="321"/>
      <c r="J48" s="321"/>
      <c r="K48" s="321"/>
      <c r="L48" s="321"/>
      <c r="M48" s="321"/>
      <c r="N48" s="233">
        <f t="shared" ref="N48:S48" si="19">+SUMPRODUCT($F49:$F55,N49:N55)</f>
        <v>0.99999999999999989</v>
      </c>
      <c r="O48" s="233">
        <f t="shared" si="19"/>
        <v>0.99999999999999989</v>
      </c>
      <c r="P48" s="233">
        <f t="shared" si="19"/>
        <v>0.99999999999999989</v>
      </c>
      <c r="Q48" s="274">
        <f t="shared" si="19"/>
        <v>0.89076914478384417</v>
      </c>
      <c r="R48" s="274">
        <f t="shared" si="19"/>
        <v>0.89076914478384417</v>
      </c>
      <c r="S48" s="274">
        <f t="shared" si="19"/>
        <v>0.89076914478384417</v>
      </c>
      <c r="T48" s="260">
        <f t="shared" si="16"/>
        <v>0.89076914478384428</v>
      </c>
      <c r="U48" s="260">
        <f t="shared" si="17"/>
        <v>0.89076914478384428</v>
      </c>
      <c r="V48" s="260">
        <f t="shared" si="18"/>
        <v>0.89076914478384428</v>
      </c>
      <c r="W48" s="260">
        <f t="shared" si="1"/>
        <v>1</v>
      </c>
    </row>
    <row r="49" spans="1:25" s="140" customFormat="1" ht="26.25" hidden="1" outlineLevel="5" thickBot="1">
      <c r="A49" s="216"/>
      <c r="B49" s="255" t="s">
        <v>134</v>
      </c>
      <c r="C49" s="245" t="s">
        <v>135</v>
      </c>
      <c r="D49" s="227" t="s">
        <v>136</v>
      </c>
      <c r="E49" s="241"/>
      <c r="F49" s="228">
        <v>7.1676986443886703E-2</v>
      </c>
      <c r="G49" s="269">
        <f>+F49*G48</f>
        <v>4.6927905441327002E-4</v>
      </c>
      <c r="H49" s="299"/>
      <c r="I49" s="299"/>
      <c r="J49" s="299"/>
      <c r="K49" s="299"/>
      <c r="L49" s="299"/>
      <c r="M49" s="299"/>
      <c r="N49" s="229">
        <v>1</v>
      </c>
      <c r="O49" s="229">
        <v>1</v>
      </c>
      <c r="P49" s="229">
        <v>1</v>
      </c>
      <c r="Q49" s="272">
        <v>1</v>
      </c>
      <c r="R49" s="272">
        <v>1</v>
      </c>
      <c r="S49" s="272">
        <v>1</v>
      </c>
      <c r="T49" s="256">
        <f t="shared" si="16"/>
        <v>1</v>
      </c>
      <c r="U49" s="256">
        <f t="shared" si="17"/>
        <v>1</v>
      </c>
      <c r="V49" s="256">
        <f t="shared" si="18"/>
        <v>1</v>
      </c>
      <c r="W49" s="256">
        <f t="shared" si="1"/>
        <v>1</v>
      </c>
      <c r="X49" s="216"/>
      <c r="Y49" s="216"/>
    </row>
    <row r="50" spans="1:25" s="140" customFormat="1" ht="26.25" hidden="1" outlineLevel="5" thickBot="1">
      <c r="A50" s="216"/>
      <c r="B50" s="255" t="s">
        <v>137</v>
      </c>
      <c r="C50" s="245" t="s">
        <v>138</v>
      </c>
      <c r="D50" s="227" t="s">
        <v>139</v>
      </c>
      <c r="E50" s="241"/>
      <c r="F50" s="228">
        <v>0.15362856123018082</v>
      </c>
      <c r="G50" s="269">
        <f>+F50*G48</f>
        <v>1.0058272469561857E-3</v>
      </c>
      <c r="H50" s="299"/>
      <c r="I50" s="299"/>
      <c r="J50" s="299"/>
      <c r="K50" s="299"/>
      <c r="L50" s="299"/>
      <c r="M50" s="299"/>
      <c r="N50" s="229">
        <v>1</v>
      </c>
      <c r="O50" s="229">
        <v>1</v>
      </c>
      <c r="P50" s="229">
        <v>1</v>
      </c>
      <c r="Q50" s="272">
        <v>1</v>
      </c>
      <c r="R50" s="272">
        <v>1</v>
      </c>
      <c r="S50" s="272">
        <v>1</v>
      </c>
      <c r="T50" s="256">
        <f t="shared" si="16"/>
        <v>1</v>
      </c>
      <c r="U50" s="256">
        <f t="shared" si="17"/>
        <v>1</v>
      </c>
      <c r="V50" s="256">
        <f t="shared" si="18"/>
        <v>1</v>
      </c>
      <c r="W50" s="256">
        <f t="shared" si="1"/>
        <v>1</v>
      </c>
      <c r="X50" s="216"/>
      <c r="Y50" s="216"/>
    </row>
    <row r="51" spans="1:25" s="140" customFormat="1" ht="26.25" hidden="1" outlineLevel="5" thickBot="1">
      <c r="A51" s="216"/>
      <c r="B51" s="255" t="s">
        <v>140</v>
      </c>
      <c r="C51" s="245" t="s">
        <v>141</v>
      </c>
      <c r="D51" s="227" t="s">
        <v>142</v>
      </c>
      <c r="E51" s="241"/>
      <c r="F51" s="228">
        <v>0.20080921505829794</v>
      </c>
      <c r="G51" s="269">
        <f>+F51*G48</f>
        <v>1.3147254542265475E-3</v>
      </c>
      <c r="H51" s="299"/>
      <c r="I51" s="299"/>
      <c r="J51" s="299"/>
      <c r="K51" s="299"/>
      <c r="L51" s="299"/>
      <c r="M51" s="299"/>
      <c r="N51" s="229">
        <v>1</v>
      </c>
      <c r="O51" s="229">
        <v>1</v>
      </c>
      <c r="P51" s="229">
        <v>1</v>
      </c>
      <c r="Q51" s="272">
        <v>1</v>
      </c>
      <c r="R51" s="272">
        <v>1</v>
      </c>
      <c r="S51" s="272">
        <v>1</v>
      </c>
      <c r="T51" s="256">
        <f t="shared" si="16"/>
        <v>1</v>
      </c>
      <c r="U51" s="256">
        <f t="shared" si="17"/>
        <v>1</v>
      </c>
      <c r="V51" s="256">
        <f t="shared" si="18"/>
        <v>1</v>
      </c>
      <c r="W51" s="256">
        <f t="shared" si="1"/>
        <v>1</v>
      </c>
      <c r="X51" s="216"/>
      <c r="Y51" s="216"/>
    </row>
    <row r="52" spans="1:25" s="140" customFormat="1" ht="26.25" hidden="1" outlineLevel="5" thickBot="1">
      <c r="A52" s="216"/>
      <c r="B52" s="255" t="s">
        <v>143</v>
      </c>
      <c r="C52" s="245" t="s">
        <v>144</v>
      </c>
      <c r="D52" s="227" t="s">
        <v>145</v>
      </c>
      <c r="E52" s="241"/>
      <c r="F52" s="228">
        <v>0.23658747698852015</v>
      </c>
      <c r="G52" s="269">
        <f>+F52*G48</f>
        <v>1.5489706389108849E-3</v>
      </c>
      <c r="H52" s="299"/>
      <c r="I52" s="299"/>
      <c r="J52" s="299"/>
      <c r="K52" s="299"/>
      <c r="L52" s="299"/>
      <c r="M52" s="299"/>
      <c r="N52" s="229">
        <v>1</v>
      </c>
      <c r="O52" s="229">
        <v>1</v>
      </c>
      <c r="P52" s="229">
        <v>1</v>
      </c>
      <c r="Q52" s="272">
        <v>1</v>
      </c>
      <c r="R52" s="272">
        <v>1</v>
      </c>
      <c r="S52" s="272">
        <v>1</v>
      </c>
      <c r="T52" s="256">
        <f t="shared" si="16"/>
        <v>1</v>
      </c>
      <c r="U52" s="256">
        <f t="shared" si="17"/>
        <v>1</v>
      </c>
      <c r="V52" s="256">
        <f t="shared" si="18"/>
        <v>1</v>
      </c>
      <c r="W52" s="256">
        <f t="shared" si="1"/>
        <v>1</v>
      </c>
      <c r="X52" s="216"/>
      <c r="Y52" s="216"/>
    </row>
    <row r="53" spans="1:25" s="140" customFormat="1" ht="13.5" hidden="1" outlineLevel="5" thickBot="1">
      <c r="A53" s="216"/>
      <c r="B53" s="255" t="s">
        <v>146</v>
      </c>
      <c r="C53" s="245" t="s">
        <v>147</v>
      </c>
      <c r="D53" s="227" t="s">
        <v>148</v>
      </c>
      <c r="E53" s="241"/>
      <c r="F53" s="228">
        <v>0.1360559491040762</v>
      </c>
      <c r="G53" s="269">
        <f>+F53*G48</f>
        <v>8.9077694683558305E-4</v>
      </c>
      <c r="H53" s="299"/>
      <c r="I53" s="299"/>
      <c r="J53" s="299"/>
      <c r="K53" s="299"/>
      <c r="L53" s="299"/>
      <c r="M53" s="299"/>
      <c r="N53" s="229">
        <v>1</v>
      </c>
      <c r="O53" s="229">
        <v>1</v>
      </c>
      <c r="P53" s="229">
        <v>1</v>
      </c>
      <c r="Q53" s="272">
        <v>1</v>
      </c>
      <c r="R53" s="272">
        <v>1</v>
      </c>
      <c r="S53" s="272">
        <v>1</v>
      </c>
      <c r="T53" s="256">
        <f t="shared" si="16"/>
        <v>1</v>
      </c>
      <c r="U53" s="256">
        <f t="shared" si="17"/>
        <v>1</v>
      </c>
      <c r="V53" s="256">
        <f t="shared" si="18"/>
        <v>1</v>
      </c>
      <c r="W53" s="256">
        <f t="shared" si="1"/>
        <v>1</v>
      </c>
      <c r="X53" s="216"/>
      <c r="Y53" s="216"/>
    </row>
    <row r="54" spans="1:25" s="140" customFormat="1" ht="26.25" hidden="1" outlineLevel="5" thickBot="1">
      <c r="A54" s="216"/>
      <c r="B54" s="255" t="s">
        <v>149</v>
      </c>
      <c r="C54" s="245" t="s">
        <v>150</v>
      </c>
      <c r="D54" s="227" t="s">
        <v>151</v>
      </c>
      <c r="E54" s="241"/>
      <c r="F54" s="228">
        <v>0.10923085521615573</v>
      </c>
      <c r="G54" s="269">
        <f>+F54*G48</f>
        <v>7.1514938046006937E-4</v>
      </c>
      <c r="H54" s="338"/>
      <c r="I54" s="338"/>
      <c r="J54" s="338"/>
      <c r="K54" s="338"/>
      <c r="L54" s="338"/>
      <c r="M54" s="338"/>
      <c r="N54" s="229">
        <v>0.99999999999999989</v>
      </c>
      <c r="O54" s="229">
        <v>0.99999999999999989</v>
      </c>
      <c r="P54" s="229">
        <v>0.99999999999999989</v>
      </c>
      <c r="Q54" s="272">
        <v>0</v>
      </c>
      <c r="R54" s="272">
        <v>0</v>
      </c>
      <c r="S54" s="272">
        <v>0</v>
      </c>
      <c r="T54" s="256">
        <f t="shared" si="16"/>
        <v>0</v>
      </c>
      <c r="U54" s="256">
        <f t="shared" si="17"/>
        <v>0</v>
      </c>
      <c r="V54" s="256">
        <f t="shared" si="18"/>
        <v>0</v>
      </c>
      <c r="W54" s="256">
        <f t="shared" si="1"/>
        <v>0</v>
      </c>
      <c r="X54" s="216"/>
      <c r="Y54" s="216"/>
    </row>
    <row r="55" spans="1:25" s="140" customFormat="1" ht="26.25" hidden="1" outlineLevel="5" thickBot="1">
      <c r="A55" s="216"/>
      <c r="B55" s="255" t="s">
        <v>152</v>
      </c>
      <c r="C55" s="245" t="s">
        <v>153</v>
      </c>
      <c r="D55" s="227" t="s">
        <v>154</v>
      </c>
      <c r="E55" s="241"/>
      <c r="F55" s="228">
        <v>9.2010955958882465E-2</v>
      </c>
      <c r="G55" s="269">
        <f>+F55*G48</f>
        <v>6.0240833983510897E-4</v>
      </c>
      <c r="H55" s="299"/>
      <c r="I55" s="299"/>
      <c r="J55" s="299"/>
      <c r="K55" s="299"/>
      <c r="L55" s="299"/>
      <c r="M55" s="299"/>
      <c r="N55" s="229">
        <v>1</v>
      </c>
      <c r="O55" s="229">
        <v>1</v>
      </c>
      <c r="P55" s="229">
        <v>1</v>
      </c>
      <c r="Q55" s="272">
        <v>1</v>
      </c>
      <c r="R55" s="272">
        <v>1</v>
      </c>
      <c r="S55" s="272">
        <v>1</v>
      </c>
      <c r="T55" s="256">
        <f t="shared" si="16"/>
        <v>1</v>
      </c>
      <c r="U55" s="256">
        <f t="shared" si="17"/>
        <v>1</v>
      </c>
      <c r="V55" s="256">
        <f t="shared" si="18"/>
        <v>1</v>
      </c>
      <c r="W55" s="256">
        <f t="shared" si="1"/>
        <v>1</v>
      </c>
      <c r="X55" s="216"/>
      <c r="Y55" s="216"/>
    </row>
    <row r="56" spans="1:25" s="140" customFormat="1" ht="39" hidden="1" outlineLevel="2" collapsed="1" thickBot="1">
      <c r="B56" s="301" t="s">
        <v>155</v>
      </c>
      <c r="C56" s="236" t="s">
        <v>156</v>
      </c>
      <c r="D56" s="236" t="s">
        <v>157</v>
      </c>
      <c r="E56" s="242"/>
      <c r="F56" s="232">
        <v>6.7498463553477217E-2</v>
      </c>
      <c r="G56" s="232">
        <f>+F56*G35</f>
        <v>1.2142686155600128E-3</v>
      </c>
      <c r="H56" s="321"/>
      <c r="I56" s="321"/>
      <c r="J56" s="321"/>
      <c r="K56" s="321"/>
      <c r="L56" s="321"/>
      <c r="M56" s="321"/>
      <c r="N56" s="233">
        <f t="shared" ref="N56:S56" si="20">+SUMPRODUCT($F57:$F60,N57:N60)</f>
        <v>1</v>
      </c>
      <c r="O56" s="233">
        <f t="shared" si="20"/>
        <v>1</v>
      </c>
      <c r="P56" s="233">
        <f t="shared" si="20"/>
        <v>1</v>
      </c>
      <c r="Q56" s="274">
        <f t="shared" si="20"/>
        <v>0.96750701081262203</v>
      </c>
      <c r="R56" s="274">
        <f t="shared" si="20"/>
        <v>0.96750701081262203</v>
      </c>
      <c r="S56" s="274">
        <f t="shared" si="20"/>
        <v>0.96750701081262203</v>
      </c>
      <c r="T56" s="254">
        <f t="shared" si="16"/>
        <v>0.96750701081262203</v>
      </c>
      <c r="U56" s="254">
        <f t="shared" si="17"/>
        <v>0.96750701081262203</v>
      </c>
      <c r="V56" s="254">
        <f t="shared" si="18"/>
        <v>0.96750701081262203</v>
      </c>
      <c r="W56" s="254">
        <f t="shared" si="1"/>
        <v>1</v>
      </c>
    </row>
    <row r="57" spans="1:25" s="140" customFormat="1" ht="26.25" hidden="1" outlineLevel="2" thickBot="1">
      <c r="A57" s="216"/>
      <c r="B57" s="255" t="s">
        <v>158</v>
      </c>
      <c r="C57" s="245" t="s">
        <v>159</v>
      </c>
      <c r="D57" s="227" t="s">
        <v>160</v>
      </c>
      <c r="E57" s="241"/>
      <c r="F57" s="228">
        <v>0.49999532130347257</v>
      </c>
      <c r="G57" s="269">
        <f>+F57*G56</f>
        <v>6.0712862658565138E-4</v>
      </c>
      <c r="H57" s="299"/>
      <c r="I57" s="299"/>
      <c r="J57" s="299"/>
      <c r="K57" s="299"/>
      <c r="L57" s="299"/>
      <c r="M57" s="299"/>
      <c r="N57" s="229">
        <v>1</v>
      </c>
      <c r="O57" s="229">
        <v>1</v>
      </c>
      <c r="P57" s="229">
        <v>1</v>
      </c>
      <c r="Q57" s="272">
        <v>1</v>
      </c>
      <c r="R57" s="272">
        <v>1</v>
      </c>
      <c r="S57" s="272">
        <v>1</v>
      </c>
      <c r="T57" s="256">
        <f t="shared" si="16"/>
        <v>1</v>
      </c>
      <c r="U57" s="256">
        <f t="shared" si="17"/>
        <v>1</v>
      </c>
      <c r="V57" s="256">
        <f t="shared" si="18"/>
        <v>1</v>
      </c>
      <c r="W57" s="256">
        <f t="shared" si="1"/>
        <v>1</v>
      </c>
      <c r="X57" s="216"/>
      <c r="Y57" s="216"/>
    </row>
    <row r="58" spans="1:25" s="140" customFormat="1" ht="26.25" hidden="1" outlineLevel="2" thickBot="1">
      <c r="A58" s="216"/>
      <c r="B58" s="255" t="s">
        <v>161</v>
      </c>
      <c r="C58" s="245" t="s">
        <v>162</v>
      </c>
      <c r="D58" s="227" t="s">
        <v>163</v>
      </c>
      <c r="E58" s="241"/>
      <c r="F58" s="228">
        <v>0.1624649459368899</v>
      </c>
      <c r="G58" s="269">
        <f>+F58*G56</f>
        <v>1.9727608497981962E-4</v>
      </c>
      <c r="H58" s="338"/>
      <c r="I58" s="338"/>
      <c r="J58" s="338"/>
      <c r="K58" s="338"/>
      <c r="L58" s="338"/>
      <c r="M58" s="338"/>
      <c r="N58" s="229">
        <v>1</v>
      </c>
      <c r="O58" s="229">
        <v>1</v>
      </c>
      <c r="P58" s="229">
        <v>1</v>
      </c>
      <c r="Q58" s="336">
        <v>0.8</v>
      </c>
      <c r="R58" s="336">
        <v>0.8</v>
      </c>
      <c r="S58" s="336">
        <v>0.8</v>
      </c>
      <c r="T58" s="256">
        <f t="shared" si="16"/>
        <v>0.8</v>
      </c>
      <c r="U58" s="256">
        <f t="shared" si="17"/>
        <v>0.8</v>
      </c>
      <c r="V58" s="256">
        <f t="shared" si="18"/>
        <v>0.8</v>
      </c>
      <c r="W58" s="256">
        <f t="shared" si="1"/>
        <v>1</v>
      </c>
      <c r="X58" s="216"/>
      <c r="Y58" s="216"/>
    </row>
    <row r="59" spans="1:25" s="140" customFormat="1" ht="13.5" hidden="1" outlineLevel="2" thickBot="1">
      <c r="A59" s="216"/>
      <c r="B59" s="255" t="s">
        <v>164</v>
      </c>
      <c r="C59" s="245" t="s">
        <v>165</v>
      </c>
      <c r="D59" s="227" t="s">
        <v>166</v>
      </c>
      <c r="E59" s="241"/>
      <c r="F59" s="228">
        <v>0.19260369461123825</v>
      </c>
      <c r="G59" s="269">
        <f>+F59*G56</f>
        <v>2.3387262160733176E-4</v>
      </c>
      <c r="H59" s="299"/>
      <c r="I59" s="299"/>
      <c r="J59" s="299"/>
      <c r="K59" s="299"/>
      <c r="L59" s="299"/>
      <c r="M59" s="299"/>
      <c r="N59" s="229">
        <v>1</v>
      </c>
      <c r="O59" s="229">
        <v>1</v>
      </c>
      <c r="P59" s="229">
        <v>1</v>
      </c>
      <c r="Q59" s="272">
        <v>1</v>
      </c>
      <c r="R59" s="272">
        <v>1</v>
      </c>
      <c r="S59" s="272">
        <v>1</v>
      </c>
      <c r="T59" s="256">
        <f t="shared" si="16"/>
        <v>1</v>
      </c>
      <c r="U59" s="256">
        <f t="shared" si="17"/>
        <v>1</v>
      </c>
      <c r="V59" s="256">
        <f t="shared" si="18"/>
        <v>1</v>
      </c>
      <c r="W59" s="256">
        <f t="shared" si="1"/>
        <v>1</v>
      </c>
      <c r="X59" s="216"/>
      <c r="Y59" s="216"/>
    </row>
    <row r="60" spans="1:25" s="140" customFormat="1" ht="13.5" hidden="1" outlineLevel="2" thickBot="1">
      <c r="A60" s="216"/>
      <c r="B60" s="255" t="s">
        <v>167</v>
      </c>
      <c r="C60" s="245" t="s">
        <v>168</v>
      </c>
      <c r="D60" s="227" t="s">
        <v>169</v>
      </c>
      <c r="E60" s="241"/>
      <c r="F60" s="228">
        <v>0.14493603814839931</v>
      </c>
      <c r="G60" s="269">
        <f>+F60*G56</f>
        <v>1.7599128238721004E-4</v>
      </c>
      <c r="H60" s="299"/>
      <c r="I60" s="299"/>
      <c r="J60" s="299"/>
      <c r="K60" s="299"/>
      <c r="L60" s="299"/>
      <c r="M60" s="299"/>
      <c r="N60" s="229">
        <v>1</v>
      </c>
      <c r="O60" s="229">
        <v>1</v>
      </c>
      <c r="P60" s="229">
        <v>1</v>
      </c>
      <c r="Q60" s="272">
        <v>1</v>
      </c>
      <c r="R60" s="272">
        <v>1</v>
      </c>
      <c r="S60" s="272">
        <v>1</v>
      </c>
      <c r="T60" s="256">
        <f t="shared" si="16"/>
        <v>1</v>
      </c>
      <c r="U60" s="256">
        <f t="shared" si="17"/>
        <v>1</v>
      </c>
      <c r="V60" s="256">
        <f t="shared" si="18"/>
        <v>1</v>
      </c>
      <c r="W60" s="256">
        <f t="shared" si="1"/>
        <v>1</v>
      </c>
      <c r="X60" s="216"/>
      <c r="Y60" s="216"/>
    </row>
    <row r="61" spans="1:25" s="140" customFormat="1" ht="13.5" hidden="1" outlineLevel="1" collapsed="1" thickBot="1">
      <c r="A61" s="216"/>
      <c r="B61" s="303">
        <v>2.2000000000000002</v>
      </c>
      <c r="C61" s="304" t="s">
        <v>170</v>
      </c>
      <c r="D61" s="304" t="s">
        <v>171</v>
      </c>
      <c r="E61" s="302">
        <v>2231740000</v>
      </c>
      <c r="F61" s="305">
        <v>0.16700000000000001</v>
      </c>
      <c r="G61" s="305">
        <f>+F61*G11</f>
        <v>1.3043897657123235E-2</v>
      </c>
      <c r="H61" s="306"/>
      <c r="I61" s="306"/>
      <c r="J61" s="306"/>
      <c r="K61" s="306"/>
      <c r="L61" s="306"/>
      <c r="M61" s="306"/>
      <c r="N61" s="305">
        <v>1</v>
      </c>
      <c r="O61" s="305">
        <v>1</v>
      </c>
      <c r="P61" s="305">
        <v>1</v>
      </c>
      <c r="Q61" s="305">
        <v>0.92</v>
      </c>
      <c r="R61" s="305">
        <v>0.92</v>
      </c>
      <c r="S61" s="305">
        <v>0.92</v>
      </c>
      <c r="T61" s="305">
        <f t="shared" si="16"/>
        <v>0.92</v>
      </c>
      <c r="U61" s="305">
        <f t="shared" si="17"/>
        <v>0.92</v>
      </c>
      <c r="V61" s="305">
        <f t="shared" si="18"/>
        <v>0.92</v>
      </c>
      <c r="W61" s="305">
        <f t="shared" si="1"/>
        <v>1</v>
      </c>
      <c r="X61" s="216"/>
      <c r="Y61" s="216"/>
    </row>
    <row r="62" spans="1:25" s="140" customFormat="1" ht="21" hidden="1" customHeight="1" outlineLevel="1" thickBot="1">
      <c r="B62" s="303">
        <v>2.2999999999999998</v>
      </c>
      <c r="C62" s="304" t="s">
        <v>172</v>
      </c>
      <c r="D62" s="304" t="s">
        <v>173</v>
      </c>
      <c r="E62" s="302">
        <f>SUM(E63:E69)</f>
        <v>5455354289</v>
      </c>
      <c r="F62" s="305">
        <v>0.16700000000000001</v>
      </c>
      <c r="G62" s="305">
        <f>+F62*G35</f>
        <v>3.004258884172419E-3</v>
      </c>
      <c r="H62" s="306"/>
      <c r="I62" s="306"/>
      <c r="J62" s="306"/>
      <c r="K62" s="306"/>
      <c r="L62" s="306"/>
      <c r="M62" s="306"/>
      <c r="N62" s="305">
        <f t="shared" ref="N62:S62" si="21">+SUMPRODUCT($F63:$F69,N63:N69)</f>
        <v>1</v>
      </c>
      <c r="O62" s="305">
        <f t="shared" si="21"/>
        <v>1</v>
      </c>
      <c r="P62" s="305">
        <f t="shared" si="21"/>
        <v>1</v>
      </c>
      <c r="Q62" s="305">
        <f t="shared" si="21"/>
        <v>0.66504223132042306</v>
      </c>
      <c r="R62" s="305">
        <f t="shared" si="21"/>
        <v>0.66504223132042306</v>
      </c>
      <c r="S62" s="305">
        <f t="shared" si="21"/>
        <v>0.66504223132042306</v>
      </c>
      <c r="T62" s="305">
        <f t="shared" si="16"/>
        <v>0.66504223132042306</v>
      </c>
      <c r="U62" s="305">
        <f t="shared" si="17"/>
        <v>0.66504223132042306</v>
      </c>
      <c r="V62" s="305">
        <f t="shared" si="18"/>
        <v>0.66504223132042306</v>
      </c>
      <c r="W62" s="305">
        <f t="shared" si="1"/>
        <v>1</v>
      </c>
    </row>
    <row r="63" spans="1:25" s="140" customFormat="1" ht="26.25" hidden="1" outlineLevel="2" thickBot="1">
      <c r="A63" s="216"/>
      <c r="B63" s="255" t="s">
        <v>174</v>
      </c>
      <c r="C63" s="245" t="s">
        <v>175</v>
      </c>
      <c r="D63" s="227" t="s">
        <v>176</v>
      </c>
      <c r="E63" s="328">
        <v>505000000</v>
      </c>
      <c r="F63" s="228">
        <f>E63/$E$62</f>
        <v>9.256960652734611E-2</v>
      </c>
      <c r="G63" s="269">
        <f>+F63*G62</f>
        <v>2.781030628141247E-4</v>
      </c>
      <c r="H63" s="299"/>
      <c r="I63" s="299"/>
      <c r="J63" s="299"/>
      <c r="K63" s="299"/>
      <c r="L63" s="299"/>
      <c r="M63" s="299"/>
      <c r="N63" s="229">
        <v>1</v>
      </c>
      <c r="O63" s="229">
        <v>1</v>
      </c>
      <c r="P63" s="229">
        <v>1</v>
      </c>
      <c r="Q63" s="272">
        <v>1</v>
      </c>
      <c r="R63" s="272">
        <v>1</v>
      </c>
      <c r="S63" s="272">
        <v>1</v>
      </c>
      <c r="T63" s="256">
        <f t="shared" si="16"/>
        <v>1</v>
      </c>
      <c r="U63" s="256">
        <f t="shared" si="17"/>
        <v>1</v>
      </c>
      <c r="V63" s="256">
        <f t="shared" si="18"/>
        <v>1</v>
      </c>
      <c r="W63" s="256">
        <f t="shared" si="1"/>
        <v>1</v>
      </c>
      <c r="X63" s="216"/>
      <c r="Y63" s="216"/>
    </row>
    <row r="64" spans="1:25" s="140" customFormat="1" ht="26.25" hidden="1" outlineLevel="2" thickBot="1">
      <c r="A64" s="216"/>
      <c r="B64" s="255" t="s">
        <v>177</v>
      </c>
      <c r="C64" s="245" t="s">
        <v>178</v>
      </c>
      <c r="D64" s="227" t="s">
        <v>179</v>
      </c>
      <c r="E64" s="328">
        <v>0</v>
      </c>
      <c r="F64" s="228">
        <f t="shared" ref="F64:F68" si="22">E64/$E$62</f>
        <v>0</v>
      </c>
      <c r="G64" s="269">
        <f>+F64*G62</f>
        <v>0</v>
      </c>
      <c r="H64" s="299"/>
      <c r="I64" s="299"/>
      <c r="J64" s="299"/>
      <c r="K64" s="299"/>
      <c r="L64" s="299"/>
      <c r="M64" s="299"/>
      <c r="N64" s="229">
        <v>1</v>
      </c>
      <c r="O64" s="229">
        <v>1</v>
      </c>
      <c r="P64" s="229">
        <v>1</v>
      </c>
      <c r="Q64" s="272">
        <v>0</v>
      </c>
      <c r="R64" s="272">
        <v>0</v>
      </c>
      <c r="S64" s="272">
        <v>0</v>
      </c>
      <c r="T64" s="256">
        <f t="shared" si="16"/>
        <v>0</v>
      </c>
      <c r="U64" s="256">
        <f t="shared" si="17"/>
        <v>0</v>
      </c>
      <c r="V64" s="256">
        <f t="shared" si="18"/>
        <v>0</v>
      </c>
      <c r="W64" s="256">
        <f t="shared" si="1"/>
        <v>0</v>
      </c>
      <c r="X64" s="216"/>
      <c r="Y64" s="216"/>
    </row>
    <row r="65" spans="1:25" s="140" customFormat="1" ht="13.5" hidden="1" outlineLevel="2" thickBot="1">
      <c r="A65" s="216"/>
      <c r="B65" s="255" t="s">
        <v>180</v>
      </c>
      <c r="C65" s="245" t="s">
        <v>181</v>
      </c>
      <c r="D65" s="227" t="s">
        <v>182</v>
      </c>
      <c r="E65" s="328">
        <v>323040989</v>
      </c>
      <c r="F65" s="228">
        <f t="shared" si="22"/>
        <v>5.9215400483039096E-2</v>
      </c>
      <c r="G65" s="269">
        <f>+F65*G56</f>
        <v>7.1903402364371591E-5</v>
      </c>
      <c r="H65" s="299"/>
      <c r="I65" s="299"/>
      <c r="J65" s="299"/>
      <c r="K65" s="299"/>
      <c r="L65" s="299"/>
      <c r="M65" s="299"/>
      <c r="N65" s="229">
        <v>1</v>
      </c>
      <c r="O65" s="229">
        <v>1</v>
      </c>
      <c r="P65" s="229">
        <v>1</v>
      </c>
      <c r="Q65" s="272">
        <v>1</v>
      </c>
      <c r="R65" s="272">
        <v>1</v>
      </c>
      <c r="S65" s="272">
        <v>1</v>
      </c>
      <c r="T65" s="256">
        <f t="shared" si="16"/>
        <v>1</v>
      </c>
      <c r="U65" s="256">
        <f t="shared" si="17"/>
        <v>1</v>
      </c>
      <c r="V65" s="256">
        <f t="shared" si="18"/>
        <v>1</v>
      </c>
      <c r="W65" s="256">
        <f t="shared" si="1"/>
        <v>1</v>
      </c>
      <c r="X65" s="216"/>
      <c r="Y65" s="216"/>
    </row>
    <row r="66" spans="1:25" s="140" customFormat="1" ht="39" hidden="1" outlineLevel="2" thickBot="1">
      <c r="A66" s="216"/>
      <c r="B66" s="255" t="s">
        <v>180</v>
      </c>
      <c r="C66" s="245" t="s">
        <v>183</v>
      </c>
      <c r="D66" s="227" t="s">
        <v>184</v>
      </c>
      <c r="E66" s="328">
        <v>1500000000</v>
      </c>
      <c r="F66" s="228">
        <f t="shared" si="22"/>
        <v>0.27495922730894884</v>
      </c>
      <c r="G66" s="269">
        <f t="shared" ref="G66:G68" si="23">+F66*G57</f>
        <v>1.6693561804313403E-4</v>
      </c>
      <c r="H66" s="299"/>
      <c r="I66" s="299"/>
      <c r="J66" s="299"/>
      <c r="K66" s="299"/>
      <c r="L66" s="299"/>
      <c r="M66" s="299"/>
      <c r="N66" s="229">
        <v>1</v>
      </c>
      <c r="O66" s="229">
        <v>1</v>
      </c>
      <c r="P66" s="229">
        <v>1</v>
      </c>
      <c r="Q66" s="272">
        <v>0</v>
      </c>
      <c r="R66" s="272">
        <v>0</v>
      </c>
      <c r="S66" s="272">
        <v>0</v>
      </c>
      <c r="T66" s="256">
        <f t="shared" ref="T66:T68" si="24">+IF(N66=0,0,$S66/N66)</f>
        <v>0</v>
      </c>
      <c r="U66" s="256">
        <f t="shared" ref="U66:U68" si="25">+IF(O66=0,0,$S66/O66)</f>
        <v>0</v>
      </c>
      <c r="V66" s="256">
        <f t="shared" ref="V66:V68" si="26">+IF(P66=0,0,$S66/P66)</f>
        <v>0</v>
      </c>
      <c r="W66" s="256">
        <f t="shared" si="1"/>
        <v>0</v>
      </c>
      <c r="X66" s="216"/>
      <c r="Y66" s="216"/>
    </row>
    <row r="67" spans="1:25" s="140" customFormat="1" ht="39" hidden="1" outlineLevel="2" thickBot="1">
      <c r="A67" s="216"/>
      <c r="B67" s="255" t="s">
        <v>180</v>
      </c>
      <c r="C67" s="245" t="s">
        <v>185</v>
      </c>
      <c r="D67" s="227" t="s">
        <v>186</v>
      </c>
      <c r="E67" s="328">
        <v>327313300</v>
      </c>
      <c r="F67" s="228">
        <f t="shared" si="22"/>
        <v>5.9998541370628107E-2</v>
      </c>
      <c r="G67" s="269">
        <f t="shared" si="23"/>
        <v>1.1836277346097253E-5</v>
      </c>
      <c r="H67" s="299"/>
      <c r="I67" s="299"/>
      <c r="J67" s="299"/>
      <c r="K67" s="299"/>
      <c r="L67" s="299"/>
      <c r="M67" s="299"/>
      <c r="N67" s="229">
        <v>1</v>
      </c>
      <c r="O67" s="229">
        <v>1</v>
      </c>
      <c r="P67" s="229">
        <v>1</v>
      </c>
      <c r="Q67" s="272">
        <v>0</v>
      </c>
      <c r="R67" s="272">
        <v>0</v>
      </c>
      <c r="S67" s="272">
        <v>0</v>
      </c>
      <c r="T67" s="256">
        <f t="shared" si="24"/>
        <v>0</v>
      </c>
      <c r="U67" s="256">
        <f t="shared" si="25"/>
        <v>0</v>
      </c>
      <c r="V67" s="256">
        <f t="shared" si="26"/>
        <v>0</v>
      </c>
      <c r="W67" s="256">
        <f t="shared" si="1"/>
        <v>0</v>
      </c>
      <c r="X67" s="216"/>
      <c r="Y67" s="216"/>
    </row>
    <row r="68" spans="1:25" s="140" customFormat="1" ht="26.25" hidden="1" outlineLevel="2" thickBot="1">
      <c r="A68" s="216"/>
      <c r="B68" s="255" t="s">
        <v>180</v>
      </c>
      <c r="C68" s="245" t="s">
        <v>187</v>
      </c>
      <c r="D68" s="227" t="s">
        <v>188</v>
      </c>
      <c r="E68" s="328">
        <v>0</v>
      </c>
      <c r="F68" s="228">
        <f t="shared" si="22"/>
        <v>0</v>
      </c>
      <c r="G68" s="269">
        <f t="shared" si="23"/>
        <v>0</v>
      </c>
      <c r="H68" s="299"/>
      <c r="I68" s="299"/>
      <c r="J68" s="299"/>
      <c r="K68" s="299"/>
      <c r="L68" s="299"/>
      <c r="M68" s="299"/>
      <c r="N68" s="229">
        <v>1</v>
      </c>
      <c r="O68" s="229">
        <v>1</v>
      </c>
      <c r="P68" s="229">
        <v>1</v>
      </c>
      <c r="Q68" s="272">
        <v>0</v>
      </c>
      <c r="R68" s="272">
        <v>0</v>
      </c>
      <c r="S68" s="272">
        <v>0</v>
      </c>
      <c r="T68" s="256">
        <f t="shared" si="24"/>
        <v>0</v>
      </c>
      <c r="U68" s="256">
        <f t="shared" si="25"/>
        <v>0</v>
      </c>
      <c r="V68" s="256">
        <f t="shared" si="26"/>
        <v>0</v>
      </c>
      <c r="W68" s="256">
        <f t="shared" si="1"/>
        <v>0</v>
      </c>
      <c r="X68" s="216"/>
      <c r="Y68" s="216"/>
    </row>
    <row r="69" spans="1:25" s="140" customFormat="1" ht="51.75" hidden="1" outlineLevel="2" thickBot="1">
      <c r="A69" s="216"/>
      <c r="B69" s="255" t="s">
        <v>180</v>
      </c>
      <c r="C69" s="341" t="s">
        <v>189</v>
      </c>
      <c r="D69" s="227" t="s">
        <v>190</v>
      </c>
      <c r="E69" s="353">
        <v>2800000000</v>
      </c>
      <c r="F69" s="228">
        <f t="shared" ref="F69" si="27">E69/$E$62</f>
        <v>0.51325722431003784</v>
      </c>
      <c r="G69" s="269">
        <f t="shared" ref="G69" si="28">+F69*G60</f>
        <v>9.0328797100823477E-5</v>
      </c>
      <c r="H69" s="299"/>
      <c r="I69" s="299"/>
      <c r="J69" s="299"/>
      <c r="K69" s="299"/>
      <c r="L69" s="299"/>
      <c r="M69" s="299"/>
      <c r="N69" s="229">
        <v>1</v>
      </c>
      <c r="O69" s="229">
        <v>1</v>
      </c>
      <c r="P69" s="229">
        <v>1</v>
      </c>
      <c r="Q69" s="272">
        <v>1</v>
      </c>
      <c r="R69" s="272">
        <v>1</v>
      </c>
      <c r="S69" s="272">
        <v>1</v>
      </c>
      <c r="T69" s="256">
        <f t="shared" ref="T69" si="29">+IF(N69=0,0,$S69/N69)</f>
        <v>1</v>
      </c>
      <c r="U69" s="256">
        <f t="shared" ref="U69" si="30">+IF(O69=0,0,$S69/O69)</f>
        <v>1</v>
      </c>
      <c r="V69" s="256">
        <f t="shared" ref="V69" si="31">+IF(P69=0,0,$S69/P69)</f>
        <v>1</v>
      </c>
      <c r="W69" s="256">
        <f t="shared" si="1"/>
        <v>1</v>
      </c>
      <c r="X69" s="216"/>
      <c r="Y69" s="216"/>
    </row>
    <row r="70" spans="1:25" s="140" customFormat="1" ht="13.5" hidden="1" outlineLevel="1" thickBot="1">
      <c r="B70" s="300" t="s">
        <v>191</v>
      </c>
      <c r="C70" s="294" t="s">
        <v>192</v>
      </c>
      <c r="D70" s="294" t="s">
        <v>193</v>
      </c>
      <c r="E70" s="295"/>
      <c r="F70" s="296">
        <f t="shared" ref="F70:F82" si="32">F891</f>
        <v>7.0876940001895719E-2</v>
      </c>
      <c r="G70" s="296">
        <f>+F70*G9</f>
        <v>7.0876940001895726E-3</v>
      </c>
      <c r="H70" s="297"/>
      <c r="I70" s="297"/>
      <c r="J70" s="297"/>
      <c r="K70" s="297"/>
      <c r="L70" s="297"/>
      <c r="M70" s="297"/>
      <c r="N70" s="296">
        <f t="shared" ref="N70:S70" si="33">+SUMPRODUCT($F71:$F82,N71:N82)</f>
        <v>0</v>
      </c>
      <c r="O70" s="296">
        <f t="shared" si="33"/>
        <v>0</v>
      </c>
      <c r="P70" s="296">
        <f t="shared" si="33"/>
        <v>0</v>
      </c>
      <c r="Q70" s="296">
        <f t="shared" si="33"/>
        <v>9.1696347123260372E-2</v>
      </c>
      <c r="R70" s="296">
        <f t="shared" si="33"/>
        <v>9.1696347123260372E-2</v>
      </c>
      <c r="S70" s="296">
        <f t="shared" si="33"/>
        <v>9.1696347123260372E-2</v>
      </c>
      <c r="T70" s="296">
        <f t="shared" ref="T70:T82" si="34">+IF(N70=0,0,$S70/N70)</f>
        <v>0</v>
      </c>
      <c r="U70" s="296">
        <f t="shared" ref="U70:U82" si="35">+IF(O70=0,0,$S70/O70)</f>
        <v>0</v>
      </c>
      <c r="V70" s="296">
        <f t="shared" ref="V70:V82" si="36">+IF(P70=0,0,$S70/P70)</f>
        <v>0</v>
      </c>
      <c r="W70" s="296">
        <f t="shared" ref="W70:W133" si="37">+IF(R70=0,0,$S70/R70)</f>
        <v>1</v>
      </c>
    </row>
    <row r="71" spans="1:25" s="140" customFormat="1" ht="13.5" hidden="1" outlineLevel="1" thickBot="1">
      <c r="A71" s="216"/>
      <c r="B71" s="255" t="s">
        <v>194</v>
      </c>
      <c r="C71" s="245" t="s">
        <v>195</v>
      </c>
      <c r="D71" s="227" t="s">
        <v>196</v>
      </c>
      <c r="E71" s="241"/>
      <c r="F71" s="228">
        <f t="shared" si="32"/>
        <v>0.11462043390407546</v>
      </c>
      <c r="G71" s="269">
        <f>+F71*G70</f>
        <v>8.1239456168104112E-4</v>
      </c>
      <c r="H71" s="299"/>
      <c r="I71" s="299"/>
      <c r="J71" s="299"/>
      <c r="K71" s="299"/>
      <c r="L71" s="299"/>
      <c r="M71" s="299"/>
      <c r="N71" s="229">
        <v>0</v>
      </c>
      <c r="O71" s="229">
        <v>0</v>
      </c>
      <c r="P71" s="229">
        <v>0</v>
      </c>
      <c r="Q71" s="272">
        <v>0.8</v>
      </c>
      <c r="R71" s="272">
        <v>0.8</v>
      </c>
      <c r="S71" s="272">
        <v>0.8</v>
      </c>
      <c r="T71" s="256">
        <f t="shared" si="34"/>
        <v>0</v>
      </c>
      <c r="U71" s="256">
        <f t="shared" si="35"/>
        <v>0</v>
      </c>
      <c r="V71" s="256">
        <f t="shared" si="36"/>
        <v>0</v>
      </c>
      <c r="W71" s="256">
        <f t="shared" si="37"/>
        <v>1</v>
      </c>
      <c r="X71" s="216"/>
      <c r="Y71" s="216"/>
    </row>
    <row r="72" spans="1:25" s="140" customFormat="1" ht="13.5" hidden="1" outlineLevel="1" thickBot="1">
      <c r="A72" s="216"/>
      <c r="B72" s="255" t="s">
        <v>197</v>
      </c>
      <c r="C72" s="245" t="s">
        <v>198</v>
      </c>
      <c r="D72" s="227" t="s">
        <v>199</v>
      </c>
      <c r="E72" s="241"/>
      <c r="F72" s="228">
        <f t="shared" si="32"/>
        <v>0.16914444012256166</v>
      </c>
      <c r="G72" s="269">
        <f>+F72*G70</f>
        <v>1.1988440334221046E-3</v>
      </c>
      <c r="H72" s="299"/>
      <c r="I72" s="299"/>
      <c r="J72" s="299"/>
      <c r="K72" s="299"/>
      <c r="L72" s="299"/>
      <c r="M72" s="299"/>
      <c r="N72" s="229">
        <v>0</v>
      </c>
      <c r="O72" s="229">
        <v>0</v>
      </c>
      <c r="P72" s="229">
        <v>0</v>
      </c>
      <c r="Q72" s="272">
        <v>0</v>
      </c>
      <c r="R72" s="272">
        <v>0</v>
      </c>
      <c r="S72" s="272">
        <v>0</v>
      </c>
      <c r="T72" s="256">
        <f t="shared" si="34"/>
        <v>0</v>
      </c>
      <c r="U72" s="256">
        <f t="shared" si="35"/>
        <v>0</v>
      </c>
      <c r="V72" s="256">
        <f t="shared" si="36"/>
        <v>0</v>
      </c>
      <c r="W72" s="256">
        <f t="shared" si="37"/>
        <v>0</v>
      </c>
      <c r="X72" s="216"/>
      <c r="Y72" s="216"/>
    </row>
    <row r="73" spans="1:25" s="140" customFormat="1" ht="13.5" hidden="1" outlineLevel="1" thickBot="1">
      <c r="A73" s="216"/>
      <c r="B73" s="255" t="s">
        <v>200</v>
      </c>
      <c r="C73" s="245" t="s">
        <v>201</v>
      </c>
      <c r="D73" s="227" t="s">
        <v>202</v>
      </c>
      <c r="E73" s="241"/>
      <c r="F73" s="228">
        <f t="shared" si="32"/>
        <v>0.15393682703771108</v>
      </c>
      <c r="G73" s="269">
        <f>+F73*G70</f>
        <v>1.0910571254034048E-3</v>
      </c>
      <c r="H73" s="299"/>
      <c r="I73" s="299"/>
      <c r="J73" s="299"/>
      <c r="K73" s="299"/>
      <c r="L73" s="299"/>
      <c r="M73" s="299"/>
      <c r="N73" s="229">
        <v>0</v>
      </c>
      <c r="O73" s="229">
        <v>0</v>
      </c>
      <c r="P73" s="229">
        <v>0</v>
      </c>
      <c r="Q73" s="272">
        <v>0</v>
      </c>
      <c r="R73" s="272">
        <v>0</v>
      </c>
      <c r="S73" s="272">
        <v>0</v>
      </c>
      <c r="T73" s="256">
        <f t="shared" si="34"/>
        <v>0</v>
      </c>
      <c r="U73" s="256">
        <f t="shared" si="35"/>
        <v>0</v>
      </c>
      <c r="V73" s="256">
        <f t="shared" si="36"/>
        <v>0</v>
      </c>
      <c r="W73" s="256">
        <f t="shared" si="37"/>
        <v>0</v>
      </c>
      <c r="X73" s="216"/>
      <c r="Y73" s="216"/>
    </row>
    <row r="74" spans="1:25" s="140" customFormat="1" ht="13.5" hidden="1" outlineLevel="1" thickBot="1">
      <c r="A74" s="216"/>
      <c r="B74" s="255" t="s">
        <v>203</v>
      </c>
      <c r="C74" s="245" t="s">
        <v>204</v>
      </c>
      <c r="D74" s="227" t="s">
        <v>205</v>
      </c>
      <c r="E74" s="241"/>
      <c r="F74" s="228">
        <f t="shared" si="32"/>
        <v>3.9190487501575728E-2</v>
      </c>
      <c r="G74" s="269">
        <f>+F74*G70</f>
        <v>2.777701831294227E-4</v>
      </c>
      <c r="H74" s="299"/>
      <c r="I74" s="299"/>
      <c r="J74" s="299"/>
      <c r="K74" s="299"/>
      <c r="L74" s="299"/>
      <c r="M74" s="299"/>
      <c r="N74" s="229">
        <v>0</v>
      </c>
      <c r="O74" s="229">
        <v>0</v>
      </c>
      <c r="P74" s="229">
        <v>0</v>
      </c>
      <c r="Q74" s="272">
        <v>0</v>
      </c>
      <c r="R74" s="272">
        <v>0</v>
      </c>
      <c r="S74" s="272">
        <v>0</v>
      </c>
      <c r="T74" s="256">
        <f t="shared" si="34"/>
        <v>0</v>
      </c>
      <c r="U74" s="256">
        <f t="shared" si="35"/>
        <v>0</v>
      </c>
      <c r="V74" s="256">
        <f t="shared" si="36"/>
        <v>0</v>
      </c>
      <c r="W74" s="256">
        <f t="shared" si="37"/>
        <v>0</v>
      </c>
      <c r="X74" s="216"/>
      <c r="Y74" s="216"/>
    </row>
    <row r="75" spans="1:25" s="140" customFormat="1" ht="13.5" hidden="1" outlineLevel="1" thickBot="1">
      <c r="A75" s="216"/>
      <c r="B75" s="255" t="s">
        <v>206</v>
      </c>
      <c r="C75" s="245" t="s">
        <v>207</v>
      </c>
      <c r="D75" s="227" t="s">
        <v>205</v>
      </c>
      <c r="E75" s="241"/>
      <c r="F75" s="228">
        <f t="shared" si="32"/>
        <v>3.9190487501575728E-2</v>
      </c>
      <c r="G75" s="269">
        <f>+F75*G70</f>
        <v>2.777701831294227E-4</v>
      </c>
      <c r="H75" s="299"/>
      <c r="I75" s="299"/>
      <c r="J75" s="299"/>
      <c r="K75" s="299"/>
      <c r="L75" s="299"/>
      <c r="M75" s="299"/>
      <c r="N75" s="229">
        <v>0</v>
      </c>
      <c r="O75" s="229">
        <v>0</v>
      </c>
      <c r="P75" s="229">
        <v>0</v>
      </c>
      <c r="Q75" s="272">
        <v>0</v>
      </c>
      <c r="R75" s="272">
        <v>0</v>
      </c>
      <c r="S75" s="272">
        <v>0</v>
      </c>
      <c r="T75" s="256">
        <f t="shared" si="34"/>
        <v>0</v>
      </c>
      <c r="U75" s="256">
        <f t="shared" si="35"/>
        <v>0</v>
      </c>
      <c r="V75" s="256">
        <f t="shared" si="36"/>
        <v>0</v>
      </c>
      <c r="W75" s="256">
        <f t="shared" si="37"/>
        <v>0</v>
      </c>
      <c r="X75" s="216"/>
      <c r="Y75" s="216"/>
    </row>
    <row r="76" spans="1:25" s="140" customFormat="1" ht="13.5" hidden="1" outlineLevel="1" thickBot="1">
      <c r="A76" s="216"/>
      <c r="B76" s="255" t="s">
        <v>208</v>
      </c>
      <c r="C76" s="245" t="s">
        <v>209</v>
      </c>
      <c r="D76" s="227" t="s">
        <v>205</v>
      </c>
      <c r="E76" s="241"/>
      <c r="F76" s="228">
        <f t="shared" si="32"/>
        <v>3.9190487501575728E-2</v>
      </c>
      <c r="G76" s="269">
        <f>+F76*G70</f>
        <v>2.777701831294227E-4</v>
      </c>
      <c r="H76" s="299"/>
      <c r="I76" s="299"/>
      <c r="J76" s="299"/>
      <c r="K76" s="299"/>
      <c r="L76" s="299"/>
      <c r="M76" s="299"/>
      <c r="N76" s="229">
        <v>0</v>
      </c>
      <c r="O76" s="229">
        <v>0</v>
      </c>
      <c r="P76" s="229">
        <v>0</v>
      </c>
      <c r="Q76" s="272">
        <v>0</v>
      </c>
      <c r="R76" s="272">
        <v>0</v>
      </c>
      <c r="S76" s="272">
        <v>0</v>
      </c>
      <c r="T76" s="256">
        <f t="shared" si="34"/>
        <v>0</v>
      </c>
      <c r="U76" s="256">
        <f t="shared" si="35"/>
        <v>0</v>
      </c>
      <c r="V76" s="256">
        <f t="shared" si="36"/>
        <v>0</v>
      </c>
      <c r="W76" s="256">
        <f t="shared" si="37"/>
        <v>0</v>
      </c>
      <c r="X76" s="216"/>
      <c r="Y76" s="216"/>
    </row>
    <row r="77" spans="1:25" s="140" customFormat="1" ht="13.5" hidden="1" outlineLevel="1" thickBot="1">
      <c r="A77" s="216"/>
      <c r="B77" s="255" t="s">
        <v>210</v>
      </c>
      <c r="C77" s="245" t="s">
        <v>211</v>
      </c>
      <c r="D77" s="227" t="s">
        <v>205</v>
      </c>
      <c r="E77" s="241"/>
      <c r="F77" s="228">
        <f t="shared" si="32"/>
        <v>3.9190487501575728E-2</v>
      </c>
      <c r="G77" s="269">
        <f>+F77*G70</f>
        <v>2.777701831294227E-4</v>
      </c>
      <c r="H77" s="299"/>
      <c r="I77" s="299"/>
      <c r="J77" s="299"/>
      <c r="K77" s="299"/>
      <c r="L77" s="299"/>
      <c r="M77" s="299"/>
      <c r="N77" s="229">
        <v>0</v>
      </c>
      <c r="O77" s="229">
        <v>0</v>
      </c>
      <c r="P77" s="229">
        <v>0</v>
      </c>
      <c r="Q77" s="272">
        <v>0</v>
      </c>
      <c r="R77" s="272">
        <v>0</v>
      </c>
      <c r="S77" s="272">
        <v>0</v>
      </c>
      <c r="T77" s="256">
        <f t="shared" si="34"/>
        <v>0</v>
      </c>
      <c r="U77" s="256">
        <f t="shared" si="35"/>
        <v>0</v>
      </c>
      <c r="V77" s="256">
        <f t="shared" si="36"/>
        <v>0</v>
      </c>
      <c r="W77" s="256">
        <f t="shared" si="37"/>
        <v>0</v>
      </c>
      <c r="X77" s="216"/>
      <c r="Y77" s="216"/>
    </row>
    <row r="78" spans="1:25" s="140" customFormat="1" ht="13.5" hidden="1" outlineLevel="1" thickBot="1">
      <c r="A78" s="216"/>
      <c r="B78" s="255" t="s">
        <v>212</v>
      </c>
      <c r="C78" s="245" t="s">
        <v>213</v>
      </c>
      <c r="D78" s="227" t="s">
        <v>205</v>
      </c>
      <c r="E78" s="241"/>
      <c r="F78" s="228">
        <f t="shared" si="32"/>
        <v>3.9190487501575728E-2</v>
      </c>
      <c r="G78" s="269">
        <f>+F78*G70</f>
        <v>2.777701831294227E-4</v>
      </c>
      <c r="H78" s="299"/>
      <c r="I78" s="299"/>
      <c r="J78" s="299"/>
      <c r="K78" s="299"/>
      <c r="L78" s="299"/>
      <c r="M78" s="299"/>
      <c r="N78" s="229">
        <v>0</v>
      </c>
      <c r="O78" s="229">
        <v>0</v>
      </c>
      <c r="P78" s="229">
        <v>0</v>
      </c>
      <c r="Q78" s="272">
        <v>0</v>
      </c>
      <c r="R78" s="272">
        <v>0</v>
      </c>
      <c r="S78" s="272">
        <v>0</v>
      </c>
      <c r="T78" s="256">
        <f t="shared" si="34"/>
        <v>0</v>
      </c>
      <c r="U78" s="256">
        <f t="shared" si="35"/>
        <v>0</v>
      </c>
      <c r="V78" s="256">
        <f t="shared" si="36"/>
        <v>0</v>
      </c>
      <c r="W78" s="256">
        <f t="shared" si="37"/>
        <v>0</v>
      </c>
      <c r="X78" s="216"/>
      <c r="Y78" s="216"/>
    </row>
    <row r="79" spans="1:25" s="140" customFormat="1" ht="13.5" hidden="1" outlineLevel="1" thickBot="1">
      <c r="A79" s="216"/>
      <c r="B79" s="255" t="s">
        <v>214</v>
      </c>
      <c r="C79" s="281" t="s">
        <v>215</v>
      </c>
      <c r="D79" s="282" t="s">
        <v>216</v>
      </c>
      <c r="E79" s="283"/>
      <c r="F79" s="284">
        <f t="shared" si="32"/>
        <v>4.0894421740774678E-2</v>
      </c>
      <c r="G79" s="285">
        <f>+F79*G70</f>
        <v>2.8984714761331071E-4</v>
      </c>
      <c r="H79" s="322"/>
      <c r="I79" s="322"/>
      <c r="J79" s="322"/>
      <c r="K79" s="322"/>
      <c r="L79" s="322"/>
      <c r="M79" s="322"/>
      <c r="N79" s="286">
        <v>0</v>
      </c>
      <c r="O79" s="286">
        <v>0</v>
      </c>
      <c r="P79" s="286">
        <v>0</v>
      </c>
      <c r="Q79" s="287">
        <v>0</v>
      </c>
      <c r="R79" s="287">
        <v>0</v>
      </c>
      <c r="S79" s="287">
        <v>0</v>
      </c>
      <c r="T79" s="288">
        <f t="shared" si="34"/>
        <v>0</v>
      </c>
      <c r="U79" s="288">
        <f t="shared" si="35"/>
        <v>0</v>
      </c>
      <c r="V79" s="288">
        <f t="shared" si="36"/>
        <v>0</v>
      </c>
      <c r="W79" s="288">
        <f t="shared" si="37"/>
        <v>0</v>
      </c>
      <c r="X79" s="216"/>
      <c r="Y79" s="216"/>
    </row>
    <row r="80" spans="1:25" s="140" customFormat="1" ht="13.5" hidden="1" outlineLevel="1" thickBot="1">
      <c r="A80" s="216"/>
      <c r="B80" s="255" t="s">
        <v>217</v>
      </c>
      <c r="C80" s="281" t="s">
        <v>218</v>
      </c>
      <c r="D80" s="282" t="s">
        <v>219</v>
      </c>
      <c r="E80" s="283"/>
      <c r="F80" s="284">
        <f t="shared" si="32"/>
        <v>0.13120293641831876</v>
      </c>
      <c r="G80" s="285">
        <f>+F80*G70</f>
        <v>9.2992626525937184E-4</v>
      </c>
      <c r="H80" s="322"/>
      <c r="I80" s="322"/>
      <c r="J80" s="322"/>
      <c r="K80" s="322"/>
      <c r="L80" s="322"/>
      <c r="M80" s="322"/>
      <c r="N80" s="286">
        <v>0</v>
      </c>
      <c r="O80" s="286">
        <v>0</v>
      </c>
      <c r="P80" s="286">
        <v>0</v>
      </c>
      <c r="Q80" s="287">
        <v>0</v>
      </c>
      <c r="R80" s="287">
        <v>0</v>
      </c>
      <c r="S80" s="287">
        <v>0</v>
      </c>
      <c r="T80" s="288">
        <f t="shared" si="34"/>
        <v>0</v>
      </c>
      <c r="U80" s="288">
        <f t="shared" si="35"/>
        <v>0</v>
      </c>
      <c r="V80" s="288">
        <f t="shared" si="36"/>
        <v>0</v>
      </c>
      <c r="W80" s="288">
        <f t="shared" si="37"/>
        <v>0</v>
      </c>
      <c r="X80" s="216"/>
      <c r="Y80" s="216"/>
    </row>
    <row r="81" spans="1:25" s="140" customFormat="1" ht="13.5" hidden="1" outlineLevel="1" thickBot="1">
      <c r="A81" s="216"/>
      <c r="B81" s="255" t="s">
        <v>220</v>
      </c>
      <c r="C81" s="281" t="s">
        <v>221</v>
      </c>
      <c r="D81" s="282" t="s">
        <v>222</v>
      </c>
      <c r="E81" s="283"/>
      <c r="F81" s="284">
        <f t="shared" si="32"/>
        <v>0.17039342391989448</v>
      </c>
      <c r="G81" s="285">
        <f>+F81*G70</f>
        <v>1.2076964483887945E-3</v>
      </c>
      <c r="H81" s="322"/>
      <c r="I81" s="322"/>
      <c r="J81" s="322"/>
      <c r="K81" s="322"/>
      <c r="L81" s="322"/>
      <c r="M81" s="322"/>
      <c r="N81" s="286">
        <v>0</v>
      </c>
      <c r="O81" s="286">
        <v>0</v>
      </c>
      <c r="P81" s="286">
        <v>0</v>
      </c>
      <c r="Q81" s="287">
        <v>0</v>
      </c>
      <c r="R81" s="287">
        <v>0</v>
      </c>
      <c r="S81" s="287">
        <v>0</v>
      </c>
      <c r="T81" s="288">
        <f t="shared" si="34"/>
        <v>0</v>
      </c>
      <c r="U81" s="288">
        <f t="shared" si="35"/>
        <v>0</v>
      </c>
      <c r="V81" s="288">
        <f t="shared" si="36"/>
        <v>0</v>
      </c>
      <c r="W81" s="288">
        <f t="shared" si="37"/>
        <v>0</v>
      </c>
      <c r="X81" s="216"/>
      <c r="Y81" s="216"/>
    </row>
    <row r="82" spans="1:25" s="140" customFormat="1" ht="13.5" hidden="1" outlineLevel="1" thickBot="1">
      <c r="A82" s="216"/>
      <c r="B82" s="255" t="s">
        <v>223</v>
      </c>
      <c r="C82" s="281" t="s">
        <v>224</v>
      </c>
      <c r="D82" s="282" t="s">
        <v>225</v>
      </c>
      <c r="E82" s="283"/>
      <c r="F82" s="284">
        <f t="shared" si="32"/>
        <v>2.3855079348785228E-2</v>
      </c>
      <c r="G82" s="285">
        <f>+F82*G70</f>
        <v>1.6907750277443123E-4</v>
      </c>
      <c r="H82" s="322"/>
      <c r="I82" s="322"/>
      <c r="J82" s="322"/>
      <c r="K82" s="322"/>
      <c r="L82" s="322"/>
      <c r="M82" s="322"/>
      <c r="N82" s="286">
        <v>0</v>
      </c>
      <c r="O82" s="286">
        <v>0</v>
      </c>
      <c r="P82" s="286">
        <v>0</v>
      </c>
      <c r="Q82" s="287">
        <v>0</v>
      </c>
      <c r="R82" s="287">
        <v>0</v>
      </c>
      <c r="S82" s="287">
        <v>0</v>
      </c>
      <c r="T82" s="288">
        <f t="shared" si="34"/>
        <v>0</v>
      </c>
      <c r="U82" s="288">
        <f t="shared" si="35"/>
        <v>0</v>
      </c>
      <c r="V82" s="288">
        <f t="shared" si="36"/>
        <v>0</v>
      </c>
      <c r="W82" s="288">
        <f t="shared" si="37"/>
        <v>0</v>
      </c>
      <c r="X82" s="216"/>
      <c r="Y82" s="216"/>
    </row>
    <row r="83" spans="1:25" s="140" customFormat="1" ht="13.5" collapsed="1" thickBot="1">
      <c r="B83" s="312">
        <v>3</v>
      </c>
      <c r="C83" s="313"/>
      <c r="D83" s="314" t="s">
        <v>226</v>
      </c>
      <c r="E83" s="315"/>
      <c r="F83" s="316"/>
      <c r="G83" s="317">
        <v>0.03</v>
      </c>
      <c r="H83" s="358">
        <v>45932</v>
      </c>
      <c r="I83" s="358">
        <v>46047</v>
      </c>
      <c r="J83" s="358"/>
      <c r="K83" s="358"/>
      <c r="L83" s="358"/>
      <c r="M83" s="358"/>
      <c r="N83" s="318">
        <f>+($F84*N84+$F206*N206+$F222*N222)</f>
        <v>0.99999999999999978</v>
      </c>
      <c r="O83" s="318">
        <f>+($F84*O84+$F206*O206+$F222*O222)</f>
        <v>0.99999999999999978</v>
      </c>
      <c r="P83" s="318">
        <f>+($F84*P84+$F206*P206+$F222*P222)</f>
        <v>0.99999999999999978</v>
      </c>
      <c r="Q83" s="319">
        <v>0.93</v>
      </c>
      <c r="R83" s="319">
        <v>0.93</v>
      </c>
      <c r="S83" s="319">
        <v>0.93</v>
      </c>
      <c r="T83" s="320">
        <f t="shared" ref="T83:T270" si="38">+IF(N83=0,0,$S83/N83)</f>
        <v>0.93000000000000027</v>
      </c>
      <c r="U83" s="320">
        <f t="shared" ref="U83:U270" si="39">+IF(O83=0,0,$S83/O83)</f>
        <v>0.93000000000000027</v>
      </c>
      <c r="V83" s="320">
        <f t="shared" ref="V83:V270" si="40">+IF(P83=0,0,$S83/P83)</f>
        <v>0.93000000000000027</v>
      </c>
      <c r="W83" s="320">
        <f t="shared" si="37"/>
        <v>1</v>
      </c>
    </row>
    <row r="84" spans="1:25" s="140" customFormat="1" ht="13.5" hidden="1" outlineLevel="1" thickBot="1">
      <c r="B84" s="300" t="s">
        <v>227</v>
      </c>
      <c r="C84" s="294"/>
      <c r="D84" s="294" t="s">
        <v>31</v>
      </c>
      <c r="E84" s="295"/>
      <c r="F84" s="296">
        <f>F719</f>
        <v>0.78107171599540315</v>
      </c>
      <c r="G84" s="296">
        <f>+F84*G83</f>
        <v>2.3432151479862093E-2</v>
      </c>
      <c r="H84" s="297"/>
      <c r="I84" s="297"/>
      <c r="J84" s="297"/>
      <c r="K84" s="297"/>
      <c r="L84" s="297"/>
      <c r="M84" s="297"/>
      <c r="N84" s="296">
        <f>+$F85*N85+$F106*N106+$F133*N133+$F145*N145+$F158*N158+$F173*N173+$F191*N191</f>
        <v>0.99999999999999989</v>
      </c>
      <c r="O84" s="296">
        <f t="shared" ref="O84:S84" si="41">+$F85*O85+$F106*O106+$F133*O133+$F145*O145+$F158*O158+$F173*O173+$F191*O191</f>
        <v>0.99999999999999989</v>
      </c>
      <c r="P84" s="296">
        <f t="shared" si="41"/>
        <v>0.99999999999999989</v>
      </c>
      <c r="Q84" s="296">
        <f>+$F85*Q85+$F106*Q106+$F133*Q133+$F145*Q145+$F158*Q158+$F173*Q173+$F191*Q191</f>
        <v>0.96197182771917034</v>
      </c>
      <c r="R84" s="296">
        <f>+$F85*R85+$F106*R106+$F133*R133+$F145*R145+$F158*R158+$F173*R173+$F191*R191</f>
        <v>0.96197182771917034</v>
      </c>
      <c r="S84" s="296">
        <f t="shared" si="41"/>
        <v>0.96197182771917034</v>
      </c>
      <c r="T84" s="296">
        <f t="shared" ref="T84:T115" si="42">+IF(N84=0,0,$S84/N84)</f>
        <v>0.96197182771917045</v>
      </c>
      <c r="U84" s="296">
        <f t="shared" si="39"/>
        <v>0.96197182771917045</v>
      </c>
      <c r="V84" s="296">
        <f t="shared" si="40"/>
        <v>0.96197182771917045</v>
      </c>
      <c r="W84" s="296">
        <f t="shared" si="37"/>
        <v>1</v>
      </c>
    </row>
    <row r="85" spans="1:25" s="140" customFormat="1" ht="26.25" hidden="1" outlineLevel="2" thickBot="1">
      <c r="A85" s="216"/>
      <c r="B85" s="291" t="s">
        <v>228</v>
      </c>
      <c r="C85" s="292" t="s">
        <v>32</v>
      </c>
      <c r="D85" s="234" t="s">
        <v>33</v>
      </c>
      <c r="E85" s="240"/>
      <c r="F85" s="223">
        <v>0.20095296602369636</v>
      </c>
      <c r="G85" s="293">
        <f>+F85*G84</f>
        <v>4.7087603401948334E-3</v>
      </c>
      <c r="H85" s="298"/>
      <c r="I85" s="298"/>
      <c r="J85" s="298"/>
      <c r="K85" s="298"/>
      <c r="L85" s="298"/>
      <c r="M85" s="298"/>
      <c r="N85" s="224">
        <f t="shared" ref="N85:S85" si="43">+SUMPRODUCT($F86:$F105,N86:N105)</f>
        <v>0.99999999999999978</v>
      </c>
      <c r="O85" s="224">
        <f t="shared" si="43"/>
        <v>0.99999999999999978</v>
      </c>
      <c r="P85" s="224">
        <f t="shared" si="43"/>
        <v>0.99999999999999978</v>
      </c>
      <c r="Q85" s="270">
        <f t="shared" si="43"/>
        <v>0.85270909135365192</v>
      </c>
      <c r="R85" s="270">
        <f t="shared" si="43"/>
        <v>0.85270909135365192</v>
      </c>
      <c r="S85" s="270">
        <f t="shared" si="43"/>
        <v>0.85270909135365192</v>
      </c>
      <c r="T85" s="254">
        <f t="shared" si="42"/>
        <v>0.85270909135365214</v>
      </c>
      <c r="U85" s="254">
        <f t="shared" si="39"/>
        <v>0.85270909135365214</v>
      </c>
      <c r="V85" s="254">
        <f t="shared" si="40"/>
        <v>0.85270909135365214</v>
      </c>
      <c r="W85" s="254">
        <f t="shared" si="37"/>
        <v>1</v>
      </c>
      <c r="X85" s="216"/>
      <c r="Y85" s="216"/>
    </row>
    <row r="86" spans="1:25" s="140" customFormat="1" ht="26.25" hidden="1" outlineLevel="3" thickBot="1">
      <c r="A86" s="216"/>
      <c r="B86" s="255" t="s">
        <v>229</v>
      </c>
      <c r="C86" s="290" t="s">
        <v>230</v>
      </c>
      <c r="D86" s="227" t="s">
        <v>231</v>
      </c>
      <c r="E86" s="241"/>
      <c r="F86" s="228">
        <f t="shared" ref="F86:F105" si="44">F721</f>
        <v>4.4581817293365446E-2</v>
      </c>
      <c r="G86" s="269">
        <f>+F86*G85</f>
        <v>2.0992509316481139E-4</v>
      </c>
      <c r="H86" s="299"/>
      <c r="I86" s="299"/>
      <c r="J86" s="299"/>
      <c r="K86" s="299"/>
      <c r="L86" s="299"/>
      <c r="M86" s="299"/>
      <c r="N86" s="229">
        <v>1</v>
      </c>
      <c r="O86" s="229">
        <v>1</v>
      </c>
      <c r="P86" s="229">
        <v>1</v>
      </c>
      <c r="Q86" s="272">
        <v>1</v>
      </c>
      <c r="R86" s="272">
        <v>1</v>
      </c>
      <c r="S86" s="272">
        <v>1</v>
      </c>
      <c r="T86" s="256">
        <f t="shared" si="42"/>
        <v>1</v>
      </c>
      <c r="U86" s="256">
        <f t="shared" si="39"/>
        <v>1</v>
      </c>
      <c r="V86" s="256">
        <f t="shared" si="40"/>
        <v>1</v>
      </c>
      <c r="W86" s="256">
        <f t="shared" si="37"/>
        <v>1</v>
      </c>
      <c r="X86" s="216"/>
      <c r="Y86" s="216"/>
    </row>
    <row r="87" spans="1:25" s="140" customFormat="1" ht="26.25" hidden="1" outlineLevel="3" thickBot="1">
      <c r="A87" s="216"/>
      <c r="B87" s="255" t="s">
        <v>232</v>
      </c>
      <c r="C87" s="290" t="s">
        <v>233</v>
      </c>
      <c r="D87" s="227" t="s">
        <v>231</v>
      </c>
      <c r="E87" s="241"/>
      <c r="F87" s="228">
        <f t="shared" si="44"/>
        <v>4.4581817293365446E-2</v>
      </c>
      <c r="G87" s="269">
        <f>+F87*G85</f>
        <v>2.0992509316481139E-4</v>
      </c>
      <c r="H87" s="299"/>
      <c r="I87" s="299"/>
      <c r="J87" s="299"/>
      <c r="K87" s="299"/>
      <c r="L87" s="299"/>
      <c r="M87" s="299"/>
      <c r="N87" s="229">
        <v>1</v>
      </c>
      <c r="O87" s="229">
        <v>1</v>
      </c>
      <c r="P87" s="229">
        <v>1</v>
      </c>
      <c r="Q87" s="272">
        <v>1</v>
      </c>
      <c r="R87" s="272">
        <v>1</v>
      </c>
      <c r="S87" s="272">
        <v>1</v>
      </c>
      <c r="T87" s="256">
        <f t="shared" si="42"/>
        <v>1</v>
      </c>
      <c r="U87" s="256">
        <f t="shared" si="39"/>
        <v>1</v>
      </c>
      <c r="V87" s="256">
        <f t="shared" si="40"/>
        <v>1</v>
      </c>
      <c r="W87" s="256">
        <f t="shared" si="37"/>
        <v>1</v>
      </c>
      <c r="X87" s="216"/>
      <c r="Y87" s="216"/>
    </row>
    <row r="88" spans="1:25" s="140" customFormat="1" ht="26.25" hidden="1" outlineLevel="3" thickBot="1">
      <c r="A88" s="216"/>
      <c r="B88" s="255" t="s">
        <v>234</v>
      </c>
      <c r="C88" s="290" t="s">
        <v>235</v>
      </c>
      <c r="D88" s="227" t="s">
        <v>231</v>
      </c>
      <c r="E88" s="241"/>
      <c r="F88" s="228">
        <f t="shared" si="44"/>
        <v>4.4581817293365446E-2</v>
      </c>
      <c r="G88" s="269">
        <f>+F88*G85</f>
        <v>2.0992509316481139E-4</v>
      </c>
      <c r="H88" s="299"/>
      <c r="I88" s="299"/>
      <c r="J88" s="299"/>
      <c r="K88" s="299"/>
      <c r="L88" s="299"/>
      <c r="M88" s="299"/>
      <c r="N88" s="229">
        <v>1</v>
      </c>
      <c r="O88" s="229">
        <v>1</v>
      </c>
      <c r="P88" s="229">
        <v>1</v>
      </c>
      <c r="Q88" s="272">
        <v>1</v>
      </c>
      <c r="R88" s="272">
        <v>1</v>
      </c>
      <c r="S88" s="272">
        <v>1</v>
      </c>
      <c r="T88" s="256">
        <f t="shared" si="42"/>
        <v>1</v>
      </c>
      <c r="U88" s="256">
        <f t="shared" si="39"/>
        <v>1</v>
      </c>
      <c r="V88" s="256">
        <f t="shared" si="40"/>
        <v>1</v>
      </c>
      <c r="W88" s="256">
        <f t="shared" si="37"/>
        <v>1</v>
      </c>
      <c r="X88" s="216"/>
      <c r="Y88" s="216"/>
    </row>
    <row r="89" spans="1:25" s="140" customFormat="1" ht="26.25" hidden="1" outlineLevel="3" thickBot="1">
      <c r="A89" s="216"/>
      <c r="B89" s="255" t="s">
        <v>236</v>
      </c>
      <c r="C89" s="290" t="s">
        <v>237</v>
      </c>
      <c r="D89" s="227" t="s">
        <v>231</v>
      </c>
      <c r="E89" s="241"/>
      <c r="F89" s="228">
        <f t="shared" si="44"/>
        <v>4.4581817293365446E-2</v>
      </c>
      <c r="G89" s="269">
        <f>+F89*G85</f>
        <v>2.0992509316481139E-4</v>
      </c>
      <c r="H89" s="299"/>
      <c r="I89" s="299"/>
      <c r="J89" s="299"/>
      <c r="K89" s="299"/>
      <c r="L89" s="299"/>
      <c r="M89" s="299"/>
      <c r="N89" s="229">
        <v>1</v>
      </c>
      <c r="O89" s="229">
        <v>1</v>
      </c>
      <c r="P89" s="229">
        <v>1</v>
      </c>
      <c r="Q89" s="272">
        <v>1</v>
      </c>
      <c r="R89" s="272">
        <v>1</v>
      </c>
      <c r="S89" s="272">
        <v>1</v>
      </c>
      <c r="T89" s="256">
        <f t="shared" si="42"/>
        <v>1</v>
      </c>
      <c r="U89" s="256">
        <f t="shared" si="39"/>
        <v>1</v>
      </c>
      <c r="V89" s="256">
        <f t="shared" si="40"/>
        <v>1</v>
      </c>
      <c r="W89" s="256">
        <f t="shared" si="37"/>
        <v>1</v>
      </c>
      <c r="X89" s="216"/>
      <c r="Y89" s="216"/>
    </row>
    <row r="90" spans="1:25" s="140" customFormat="1" ht="26.25" hidden="1" outlineLevel="3" thickBot="1">
      <c r="A90" s="216"/>
      <c r="B90" s="255" t="s">
        <v>238</v>
      </c>
      <c r="C90" s="290" t="s">
        <v>239</v>
      </c>
      <c r="D90" s="227" t="s">
        <v>231</v>
      </c>
      <c r="E90" s="241"/>
      <c r="F90" s="228">
        <f t="shared" si="44"/>
        <v>4.4581817293365446E-2</v>
      </c>
      <c r="G90" s="269">
        <f>+F90*G85</f>
        <v>2.0992509316481139E-4</v>
      </c>
      <c r="H90" s="299"/>
      <c r="I90" s="299"/>
      <c r="J90" s="299"/>
      <c r="K90" s="299"/>
      <c r="L90" s="299"/>
      <c r="M90" s="299"/>
      <c r="N90" s="229">
        <v>1</v>
      </c>
      <c r="O90" s="229">
        <v>1</v>
      </c>
      <c r="P90" s="229">
        <v>1</v>
      </c>
      <c r="Q90" s="272">
        <v>1</v>
      </c>
      <c r="R90" s="272">
        <v>1</v>
      </c>
      <c r="S90" s="272">
        <v>1</v>
      </c>
      <c r="T90" s="256">
        <f t="shared" si="42"/>
        <v>1</v>
      </c>
      <c r="U90" s="256">
        <f t="shared" si="39"/>
        <v>1</v>
      </c>
      <c r="V90" s="256">
        <f t="shared" si="40"/>
        <v>1</v>
      </c>
      <c r="W90" s="256">
        <f t="shared" si="37"/>
        <v>1</v>
      </c>
      <c r="X90" s="216"/>
      <c r="Y90" s="216"/>
    </row>
    <row r="91" spans="1:25" s="140" customFormat="1" ht="26.25" hidden="1" outlineLevel="3" thickBot="1">
      <c r="A91" s="216"/>
      <c r="B91" s="255" t="s">
        <v>240</v>
      </c>
      <c r="C91" s="290" t="s">
        <v>241</v>
      </c>
      <c r="D91" s="227" t="s">
        <v>231</v>
      </c>
      <c r="E91" s="241"/>
      <c r="F91" s="228">
        <f t="shared" si="44"/>
        <v>4.4581817293365446E-2</v>
      </c>
      <c r="G91" s="269">
        <f>+F91*G85</f>
        <v>2.0992509316481139E-4</v>
      </c>
      <c r="H91" s="299"/>
      <c r="I91" s="299"/>
      <c r="J91" s="299"/>
      <c r="K91" s="299"/>
      <c r="L91" s="299"/>
      <c r="M91" s="299"/>
      <c r="N91" s="229">
        <v>1</v>
      </c>
      <c r="O91" s="229">
        <v>1</v>
      </c>
      <c r="P91" s="229">
        <v>1</v>
      </c>
      <c r="Q91" s="272">
        <v>1</v>
      </c>
      <c r="R91" s="272">
        <v>1</v>
      </c>
      <c r="S91" s="272">
        <v>1</v>
      </c>
      <c r="T91" s="256">
        <f t="shared" si="42"/>
        <v>1</v>
      </c>
      <c r="U91" s="256">
        <f t="shared" si="39"/>
        <v>1</v>
      </c>
      <c r="V91" s="256">
        <f t="shared" si="40"/>
        <v>1</v>
      </c>
      <c r="W91" s="256">
        <f t="shared" si="37"/>
        <v>1</v>
      </c>
      <c r="X91" s="216"/>
      <c r="Y91" s="216"/>
    </row>
    <row r="92" spans="1:25" s="140" customFormat="1" ht="26.25" hidden="1" outlineLevel="3" thickBot="1">
      <c r="A92" s="216"/>
      <c r="B92" s="255" t="s">
        <v>242</v>
      </c>
      <c r="C92" s="290" t="s">
        <v>243</v>
      </c>
      <c r="D92" s="227" t="s">
        <v>231</v>
      </c>
      <c r="E92" s="241"/>
      <c r="F92" s="228">
        <f t="shared" si="44"/>
        <v>4.4581817293365446E-2</v>
      </c>
      <c r="G92" s="269">
        <f>+F92*G85</f>
        <v>2.0992509316481139E-4</v>
      </c>
      <c r="H92" s="299"/>
      <c r="I92" s="299"/>
      <c r="J92" s="299"/>
      <c r="K92" s="299"/>
      <c r="L92" s="299"/>
      <c r="M92" s="299"/>
      <c r="N92" s="229">
        <v>1</v>
      </c>
      <c r="O92" s="229">
        <v>1</v>
      </c>
      <c r="P92" s="229">
        <v>1</v>
      </c>
      <c r="Q92" s="272">
        <v>0</v>
      </c>
      <c r="R92" s="272">
        <v>0</v>
      </c>
      <c r="S92" s="272">
        <v>0</v>
      </c>
      <c r="T92" s="256">
        <f t="shared" si="42"/>
        <v>0</v>
      </c>
      <c r="U92" s="256">
        <f t="shared" si="39"/>
        <v>0</v>
      </c>
      <c r="V92" s="256">
        <f t="shared" si="40"/>
        <v>0</v>
      </c>
      <c r="W92" s="256">
        <f t="shared" si="37"/>
        <v>0</v>
      </c>
      <c r="X92" s="216"/>
      <c r="Y92" s="216"/>
    </row>
    <row r="93" spans="1:25" s="140" customFormat="1" ht="26.25" hidden="1" outlineLevel="3" thickBot="1">
      <c r="A93" s="216"/>
      <c r="B93" s="255" t="s">
        <v>244</v>
      </c>
      <c r="C93" s="290" t="s">
        <v>245</v>
      </c>
      <c r="D93" s="227" t="s">
        <v>231</v>
      </c>
      <c r="E93" s="241"/>
      <c r="F93" s="228">
        <f t="shared" si="44"/>
        <v>4.4581817293365446E-2</v>
      </c>
      <c r="G93" s="269">
        <f>+F93*G85</f>
        <v>2.0992509316481139E-4</v>
      </c>
      <c r="H93" s="299"/>
      <c r="I93" s="299"/>
      <c r="J93" s="299"/>
      <c r="K93" s="299"/>
      <c r="L93" s="299"/>
      <c r="M93" s="299"/>
      <c r="N93" s="229">
        <v>1</v>
      </c>
      <c r="O93" s="229">
        <v>1</v>
      </c>
      <c r="P93" s="229">
        <v>1</v>
      </c>
      <c r="Q93" s="272">
        <v>1</v>
      </c>
      <c r="R93" s="272">
        <v>1</v>
      </c>
      <c r="S93" s="272">
        <v>1</v>
      </c>
      <c r="T93" s="256">
        <f t="shared" si="42"/>
        <v>1</v>
      </c>
      <c r="U93" s="256">
        <f t="shared" si="39"/>
        <v>1</v>
      </c>
      <c r="V93" s="256">
        <f t="shared" si="40"/>
        <v>1</v>
      </c>
      <c r="W93" s="256">
        <f t="shared" si="37"/>
        <v>1</v>
      </c>
      <c r="X93" s="216"/>
      <c r="Y93" s="216"/>
    </row>
    <row r="94" spans="1:25" s="140" customFormat="1" ht="26.25" hidden="1" outlineLevel="3" thickBot="1">
      <c r="A94" s="216"/>
      <c r="B94" s="255" t="s">
        <v>246</v>
      </c>
      <c r="C94" s="290" t="s">
        <v>247</v>
      </c>
      <c r="D94" s="227" t="s">
        <v>231</v>
      </c>
      <c r="E94" s="241"/>
      <c r="F94" s="228">
        <f t="shared" si="44"/>
        <v>4.4581817293365446E-2</v>
      </c>
      <c r="G94" s="269">
        <f>+F94*G85</f>
        <v>2.0992509316481139E-4</v>
      </c>
      <c r="H94" s="299"/>
      <c r="I94" s="299"/>
      <c r="J94" s="299"/>
      <c r="K94" s="299"/>
      <c r="L94" s="299"/>
      <c r="M94" s="299"/>
      <c r="N94" s="229">
        <v>1</v>
      </c>
      <c r="O94" s="229">
        <v>1</v>
      </c>
      <c r="P94" s="229">
        <v>1</v>
      </c>
      <c r="Q94" s="272">
        <v>1</v>
      </c>
      <c r="R94" s="272">
        <v>1</v>
      </c>
      <c r="S94" s="272">
        <v>1</v>
      </c>
      <c r="T94" s="256">
        <f t="shared" si="42"/>
        <v>1</v>
      </c>
      <c r="U94" s="256">
        <f t="shared" si="39"/>
        <v>1</v>
      </c>
      <c r="V94" s="256">
        <f t="shared" si="40"/>
        <v>1</v>
      </c>
      <c r="W94" s="256">
        <f t="shared" si="37"/>
        <v>1</v>
      </c>
      <c r="X94" s="216"/>
      <c r="Y94" s="216"/>
    </row>
    <row r="95" spans="1:25" s="140" customFormat="1" ht="26.25" hidden="1" outlineLevel="3" thickBot="1">
      <c r="A95" s="216"/>
      <c r="B95" s="255" t="s">
        <v>248</v>
      </c>
      <c r="C95" s="290" t="s">
        <v>249</v>
      </c>
      <c r="D95" s="227" t="s">
        <v>231</v>
      </c>
      <c r="E95" s="241"/>
      <c r="F95" s="228">
        <f t="shared" si="44"/>
        <v>4.4581817293365446E-2</v>
      </c>
      <c r="G95" s="269">
        <f>+F95*G85</f>
        <v>2.0992509316481139E-4</v>
      </c>
      <c r="H95" s="299"/>
      <c r="I95" s="299"/>
      <c r="J95" s="299"/>
      <c r="K95" s="299"/>
      <c r="L95" s="299"/>
      <c r="M95" s="299"/>
      <c r="N95" s="229">
        <v>1</v>
      </c>
      <c r="O95" s="229">
        <v>1</v>
      </c>
      <c r="P95" s="229">
        <v>1</v>
      </c>
      <c r="Q95" s="272">
        <v>1</v>
      </c>
      <c r="R95" s="272">
        <v>1</v>
      </c>
      <c r="S95" s="272">
        <v>1</v>
      </c>
      <c r="T95" s="256">
        <f t="shared" si="42"/>
        <v>1</v>
      </c>
      <c r="U95" s="256">
        <f t="shared" si="39"/>
        <v>1</v>
      </c>
      <c r="V95" s="256">
        <f t="shared" si="40"/>
        <v>1</v>
      </c>
      <c r="W95" s="256">
        <f t="shared" si="37"/>
        <v>1</v>
      </c>
      <c r="X95" s="216"/>
      <c r="Y95" s="216"/>
    </row>
    <row r="96" spans="1:25" s="140" customFormat="1" ht="26.25" hidden="1" outlineLevel="3" thickBot="1">
      <c r="A96" s="216"/>
      <c r="B96" s="255" t="s">
        <v>250</v>
      </c>
      <c r="C96" s="290" t="s">
        <v>251</v>
      </c>
      <c r="D96" s="227" t="s">
        <v>231</v>
      </c>
      <c r="E96" s="241"/>
      <c r="F96" s="228">
        <f t="shared" si="44"/>
        <v>4.4581817293365446E-2</v>
      </c>
      <c r="G96" s="269">
        <f>+F96*G85</f>
        <v>2.0992509316481139E-4</v>
      </c>
      <c r="H96" s="299"/>
      <c r="I96" s="299"/>
      <c r="J96" s="299"/>
      <c r="K96" s="299"/>
      <c r="L96" s="299"/>
      <c r="M96" s="299"/>
      <c r="N96" s="229">
        <v>1</v>
      </c>
      <c r="O96" s="229">
        <v>1</v>
      </c>
      <c r="P96" s="229">
        <v>1</v>
      </c>
      <c r="Q96" s="272">
        <v>1</v>
      </c>
      <c r="R96" s="272">
        <v>1</v>
      </c>
      <c r="S96" s="272">
        <v>1</v>
      </c>
      <c r="T96" s="256">
        <f t="shared" si="42"/>
        <v>1</v>
      </c>
      <c r="U96" s="256">
        <f t="shared" si="39"/>
        <v>1</v>
      </c>
      <c r="V96" s="256">
        <f t="shared" si="40"/>
        <v>1</v>
      </c>
      <c r="W96" s="256">
        <f t="shared" si="37"/>
        <v>1</v>
      </c>
      <c r="X96" s="216"/>
      <c r="Y96" s="216"/>
    </row>
    <row r="97" spans="1:25" s="140" customFormat="1" ht="26.25" hidden="1" outlineLevel="3" thickBot="1">
      <c r="A97" s="216"/>
      <c r="B97" s="255" t="s">
        <v>252</v>
      </c>
      <c r="C97" s="290" t="s">
        <v>253</v>
      </c>
      <c r="D97" s="227" t="s">
        <v>231</v>
      </c>
      <c r="E97" s="241"/>
      <c r="F97" s="228">
        <f t="shared" si="44"/>
        <v>4.4581817293365446E-2</v>
      </c>
      <c r="G97" s="269">
        <f>+F97*G85</f>
        <v>2.0992509316481139E-4</v>
      </c>
      <c r="H97" s="299"/>
      <c r="I97" s="299"/>
      <c r="J97" s="299"/>
      <c r="K97" s="299"/>
      <c r="L97" s="299"/>
      <c r="M97" s="299"/>
      <c r="N97" s="229">
        <v>1</v>
      </c>
      <c r="O97" s="229">
        <v>1</v>
      </c>
      <c r="P97" s="229">
        <v>1</v>
      </c>
      <c r="Q97" s="272">
        <v>0</v>
      </c>
      <c r="R97" s="272">
        <v>0</v>
      </c>
      <c r="S97" s="272">
        <v>0</v>
      </c>
      <c r="T97" s="256">
        <f t="shared" si="42"/>
        <v>0</v>
      </c>
      <c r="U97" s="256">
        <f t="shared" si="39"/>
        <v>0</v>
      </c>
      <c r="V97" s="256">
        <f t="shared" si="40"/>
        <v>0</v>
      </c>
      <c r="W97" s="256">
        <f t="shared" si="37"/>
        <v>0</v>
      </c>
      <c r="X97" s="216"/>
      <c r="Y97" s="216"/>
    </row>
    <row r="98" spans="1:25" s="140" customFormat="1" ht="26.25" hidden="1" outlineLevel="3" thickBot="1">
      <c r="A98" s="216"/>
      <c r="B98" s="255" t="s">
        <v>254</v>
      </c>
      <c r="C98" s="290" t="s">
        <v>255</v>
      </c>
      <c r="D98" s="227" t="s">
        <v>256</v>
      </c>
      <c r="E98" s="241"/>
      <c r="F98" s="228">
        <f t="shared" si="44"/>
        <v>5.8127274059616978E-2</v>
      </c>
      <c r="G98" s="269">
        <f>+F98*G85</f>
        <v>2.7370740277556034E-4</v>
      </c>
      <c r="H98" s="299"/>
      <c r="I98" s="299"/>
      <c r="J98" s="299"/>
      <c r="K98" s="299"/>
      <c r="L98" s="299"/>
      <c r="M98" s="299"/>
      <c r="N98" s="229">
        <v>1</v>
      </c>
      <c r="O98" s="229">
        <v>1</v>
      </c>
      <c r="P98" s="229">
        <v>1</v>
      </c>
      <c r="Q98" s="272">
        <v>1</v>
      </c>
      <c r="R98" s="272">
        <v>1</v>
      </c>
      <c r="S98" s="272">
        <v>1</v>
      </c>
      <c r="T98" s="256">
        <f t="shared" si="42"/>
        <v>1</v>
      </c>
      <c r="U98" s="256">
        <f t="shared" si="39"/>
        <v>1</v>
      </c>
      <c r="V98" s="256">
        <f t="shared" si="40"/>
        <v>1</v>
      </c>
      <c r="W98" s="256">
        <f t="shared" si="37"/>
        <v>1</v>
      </c>
      <c r="X98" s="216"/>
      <c r="Y98" s="216"/>
    </row>
    <row r="99" spans="1:25" s="140" customFormat="1" ht="26.25" hidden="1" outlineLevel="3" thickBot="1">
      <c r="A99" s="216"/>
      <c r="B99" s="255" t="s">
        <v>257</v>
      </c>
      <c r="C99" s="290" t="s">
        <v>258</v>
      </c>
      <c r="D99" s="227" t="s">
        <v>256</v>
      </c>
      <c r="E99" s="241"/>
      <c r="F99" s="228">
        <f t="shared" si="44"/>
        <v>5.8127274059616978E-2</v>
      </c>
      <c r="G99" s="269">
        <f>+F99*G85</f>
        <v>2.7370740277556034E-4</v>
      </c>
      <c r="H99" s="299"/>
      <c r="I99" s="299"/>
      <c r="J99" s="299"/>
      <c r="K99" s="299"/>
      <c r="L99" s="299"/>
      <c r="M99" s="299"/>
      <c r="N99" s="229">
        <v>1</v>
      </c>
      <c r="O99" s="229">
        <v>1</v>
      </c>
      <c r="P99" s="229">
        <v>1</v>
      </c>
      <c r="Q99" s="272">
        <v>1</v>
      </c>
      <c r="R99" s="272">
        <v>1</v>
      </c>
      <c r="S99" s="272">
        <v>1</v>
      </c>
      <c r="T99" s="256">
        <f t="shared" si="42"/>
        <v>1</v>
      </c>
      <c r="U99" s="256">
        <f t="shared" si="39"/>
        <v>1</v>
      </c>
      <c r="V99" s="256">
        <f t="shared" si="40"/>
        <v>1</v>
      </c>
      <c r="W99" s="256">
        <f t="shared" si="37"/>
        <v>1</v>
      </c>
      <c r="X99" s="216"/>
      <c r="Y99" s="216"/>
    </row>
    <row r="100" spans="1:25" s="140" customFormat="1" ht="26.25" hidden="1" outlineLevel="3" thickBot="1">
      <c r="A100" s="216"/>
      <c r="B100" s="255" t="s">
        <v>259</v>
      </c>
      <c r="C100" s="290" t="s">
        <v>260</v>
      </c>
      <c r="D100" s="227" t="s">
        <v>256</v>
      </c>
      <c r="E100" s="241"/>
      <c r="F100" s="228">
        <f t="shared" si="44"/>
        <v>5.8127274059616978E-2</v>
      </c>
      <c r="G100" s="269">
        <f>+F100*G85</f>
        <v>2.7370740277556034E-4</v>
      </c>
      <c r="H100" s="299"/>
      <c r="I100" s="299"/>
      <c r="J100" s="299"/>
      <c r="K100" s="299"/>
      <c r="L100" s="299"/>
      <c r="M100" s="299"/>
      <c r="N100" s="229">
        <v>1</v>
      </c>
      <c r="O100" s="229">
        <v>1</v>
      </c>
      <c r="P100" s="229">
        <v>1</v>
      </c>
      <c r="Q100" s="272">
        <v>1</v>
      </c>
      <c r="R100" s="272">
        <v>1</v>
      </c>
      <c r="S100" s="272">
        <v>1</v>
      </c>
      <c r="T100" s="256">
        <f t="shared" si="42"/>
        <v>1</v>
      </c>
      <c r="U100" s="256">
        <f t="shared" si="39"/>
        <v>1</v>
      </c>
      <c r="V100" s="256">
        <f t="shared" si="40"/>
        <v>1</v>
      </c>
      <c r="W100" s="256">
        <f t="shared" si="37"/>
        <v>1</v>
      </c>
      <c r="X100" s="216"/>
      <c r="Y100" s="216"/>
    </row>
    <row r="101" spans="1:25" s="140" customFormat="1" ht="26.25" hidden="1" outlineLevel="3" thickBot="1">
      <c r="A101" s="216"/>
      <c r="B101" s="255" t="s">
        <v>261</v>
      </c>
      <c r="C101" s="290" t="s">
        <v>262</v>
      </c>
      <c r="D101" s="227" t="s">
        <v>256</v>
      </c>
      <c r="E101" s="241"/>
      <c r="F101" s="228">
        <f t="shared" si="44"/>
        <v>5.8127274059616978E-2</v>
      </c>
      <c r="G101" s="269">
        <f>+F101*G85</f>
        <v>2.7370740277556034E-4</v>
      </c>
      <c r="H101" s="299"/>
      <c r="I101" s="299"/>
      <c r="J101" s="299"/>
      <c r="K101" s="299"/>
      <c r="L101" s="299"/>
      <c r="M101" s="299"/>
      <c r="N101" s="229">
        <v>1</v>
      </c>
      <c r="O101" s="229">
        <v>1</v>
      </c>
      <c r="P101" s="229">
        <v>1</v>
      </c>
      <c r="Q101" s="272">
        <v>1</v>
      </c>
      <c r="R101" s="272">
        <v>1</v>
      </c>
      <c r="S101" s="272">
        <v>1</v>
      </c>
      <c r="T101" s="256">
        <f t="shared" si="42"/>
        <v>1</v>
      </c>
      <c r="U101" s="256">
        <f t="shared" si="39"/>
        <v>1</v>
      </c>
      <c r="V101" s="256">
        <f t="shared" si="40"/>
        <v>1</v>
      </c>
      <c r="W101" s="256">
        <f t="shared" si="37"/>
        <v>1</v>
      </c>
      <c r="X101" s="216"/>
      <c r="Y101" s="216"/>
    </row>
    <row r="102" spans="1:25" s="140" customFormat="1" ht="26.25" hidden="1" outlineLevel="3" thickBot="1">
      <c r="A102" s="216"/>
      <c r="B102" s="255" t="s">
        <v>263</v>
      </c>
      <c r="C102" s="290" t="s">
        <v>264</v>
      </c>
      <c r="D102" s="227" t="s">
        <v>256</v>
      </c>
      <c r="E102" s="241"/>
      <c r="F102" s="228">
        <f t="shared" si="44"/>
        <v>5.8127274059616978E-2</v>
      </c>
      <c r="G102" s="269">
        <f>+F102*G85</f>
        <v>2.7370740277556034E-4</v>
      </c>
      <c r="H102" s="299"/>
      <c r="I102" s="299"/>
      <c r="J102" s="299"/>
      <c r="K102" s="299"/>
      <c r="L102" s="299"/>
      <c r="M102" s="299"/>
      <c r="N102" s="229">
        <v>1</v>
      </c>
      <c r="O102" s="229">
        <v>1</v>
      </c>
      <c r="P102" s="229">
        <v>1</v>
      </c>
      <c r="Q102" s="272">
        <v>0</v>
      </c>
      <c r="R102" s="272">
        <v>0</v>
      </c>
      <c r="S102" s="272">
        <v>0</v>
      </c>
      <c r="T102" s="256">
        <f t="shared" si="42"/>
        <v>0</v>
      </c>
      <c r="U102" s="256">
        <f t="shared" si="39"/>
        <v>0</v>
      </c>
      <c r="V102" s="256">
        <f t="shared" si="40"/>
        <v>0</v>
      </c>
      <c r="W102" s="256">
        <f t="shared" si="37"/>
        <v>0</v>
      </c>
      <c r="X102" s="216"/>
      <c r="Y102" s="216"/>
    </row>
    <row r="103" spans="1:25" s="140" customFormat="1" ht="26.25" hidden="1" outlineLevel="3" thickBot="1">
      <c r="A103" s="216"/>
      <c r="B103" s="255" t="s">
        <v>265</v>
      </c>
      <c r="C103" s="290" t="s">
        <v>266</v>
      </c>
      <c r="D103" s="227" t="s">
        <v>256</v>
      </c>
      <c r="E103" s="241"/>
      <c r="F103" s="228">
        <f t="shared" si="44"/>
        <v>5.8127274059616978E-2</v>
      </c>
      <c r="G103" s="269">
        <f>+F103*G85</f>
        <v>2.7370740277556034E-4</v>
      </c>
      <c r="H103" s="299"/>
      <c r="I103" s="299"/>
      <c r="J103" s="299"/>
      <c r="K103" s="299"/>
      <c r="L103" s="299"/>
      <c r="M103" s="299"/>
      <c r="N103" s="229">
        <v>1</v>
      </c>
      <c r="O103" s="229">
        <v>1</v>
      </c>
      <c r="P103" s="229">
        <v>1</v>
      </c>
      <c r="Q103" s="272">
        <v>1</v>
      </c>
      <c r="R103" s="272">
        <v>1</v>
      </c>
      <c r="S103" s="272">
        <v>1</v>
      </c>
      <c r="T103" s="256">
        <f t="shared" si="42"/>
        <v>1</v>
      </c>
      <c r="U103" s="256">
        <f t="shared" si="39"/>
        <v>1</v>
      </c>
      <c r="V103" s="256">
        <f t="shared" si="40"/>
        <v>1</v>
      </c>
      <c r="W103" s="256">
        <f t="shared" si="37"/>
        <v>1</v>
      </c>
      <c r="X103" s="216"/>
      <c r="Y103" s="216"/>
    </row>
    <row r="104" spans="1:25" s="140" customFormat="1" ht="26.25" hidden="1" outlineLevel="3" thickBot="1">
      <c r="A104" s="216"/>
      <c r="B104" s="255" t="s">
        <v>267</v>
      </c>
      <c r="C104" s="290" t="s">
        <v>268</v>
      </c>
      <c r="D104" s="227" t="s">
        <v>256</v>
      </c>
      <c r="E104" s="241"/>
      <c r="F104" s="228">
        <f t="shared" si="44"/>
        <v>5.8127274059616978E-2</v>
      </c>
      <c r="G104" s="269">
        <f>+F104*G85</f>
        <v>2.7370740277556034E-4</v>
      </c>
      <c r="H104" s="299"/>
      <c r="I104" s="299"/>
      <c r="J104" s="299"/>
      <c r="K104" s="299"/>
      <c r="L104" s="299"/>
      <c r="M104" s="299"/>
      <c r="N104" s="229">
        <v>1</v>
      </c>
      <c r="O104" s="229">
        <v>1</v>
      </c>
      <c r="P104" s="229">
        <v>1</v>
      </c>
      <c r="Q104" s="272">
        <v>1</v>
      </c>
      <c r="R104" s="272">
        <v>1</v>
      </c>
      <c r="S104" s="272">
        <v>1</v>
      </c>
      <c r="T104" s="256">
        <f t="shared" si="42"/>
        <v>1</v>
      </c>
      <c r="U104" s="256">
        <f t="shared" si="39"/>
        <v>1</v>
      </c>
      <c r="V104" s="256">
        <f t="shared" si="40"/>
        <v>1</v>
      </c>
      <c r="W104" s="256">
        <f t="shared" si="37"/>
        <v>1</v>
      </c>
      <c r="X104" s="216"/>
      <c r="Y104" s="216"/>
    </row>
    <row r="105" spans="1:25" s="140" customFormat="1" ht="26.25" hidden="1" outlineLevel="3" thickBot="1">
      <c r="A105" s="216"/>
      <c r="B105" s="255" t="s">
        <v>269</v>
      </c>
      <c r="C105" s="290" t="s">
        <v>270</v>
      </c>
      <c r="D105" s="227" t="s">
        <v>256</v>
      </c>
      <c r="E105" s="241"/>
      <c r="F105" s="228">
        <f t="shared" si="44"/>
        <v>5.8127274062295807E-2</v>
      </c>
      <c r="G105" s="269">
        <f>+F105*G85</f>
        <v>2.7370740278817433E-4</v>
      </c>
      <c r="H105" s="299"/>
      <c r="I105" s="299"/>
      <c r="J105" s="299"/>
      <c r="K105" s="299"/>
      <c r="L105" s="299"/>
      <c r="M105" s="299"/>
      <c r="N105" s="229">
        <v>1</v>
      </c>
      <c r="O105" s="229">
        <v>1</v>
      </c>
      <c r="P105" s="229">
        <v>1</v>
      </c>
      <c r="Q105" s="272">
        <v>1</v>
      </c>
      <c r="R105" s="272">
        <v>1</v>
      </c>
      <c r="S105" s="272">
        <v>1</v>
      </c>
      <c r="T105" s="256">
        <f t="shared" si="42"/>
        <v>1</v>
      </c>
      <c r="U105" s="256">
        <f t="shared" si="39"/>
        <v>1</v>
      </c>
      <c r="V105" s="256">
        <f t="shared" si="40"/>
        <v>1</v>
      </c>
      <c r="W105" s="256">
        <f t="shared" si="37"/>
        <v>1</v>
      </c>
      <c r="X105" s="216"/>
      <c r="Y105" s="216"/>
    </row>
    <row r="106" spans="1:25" s="140" customFormat="1" ht="26.25" hidden="1" outlineLevel="2" thickBot="1">
      <c r="A106" s="216"/>
      <c r="B106" s="291" t="s">
        <v>271</v>
      </c>
      <c r="C106" s="292" t="s">
        <v>35</v>
      </c>
      <c r="D106" s="234" t="s">
        <v>33</v>
      </c>
      <c r="E106" s="240"/>
      <c r="F106" s="223">
        <v>0.24153553060977856</v>
      </c>
      <c r="G106" s="293">
        <f>+F106*G84</f>
        <v>5.6596971410171988E-3</v>
      </c>
      <c r="H106" s="298"/>
      <c r="I106" s="298"/>
      <c r="J106" s="298"/>
      <c r="K106" s="298"/>
      <c r="L106" s="298"/>
      <c r="M106" s="298"/>
      <c r="N106" s="224">
        <f t="shared" ref="N106:S106" si="45">+SUMPRODUCT($F107:$F132,N107:N132)</f>
        <v>0.99999999999999956</v>
      </c>
      <c r="O106" s="224">
        <f t="shared" si="45"/>
        <v>0.99999999999999956</v>
      </c>
      <c r="P106" s="224">
        <f t="shared" si="45"/>
        <v>0.99999999999999956</v>
      </c>
      <c r="Q106" s="270">
        <f t="shared" si="45"/>
        <v>0.99999999999999956</v>
      </c>
      <c r="R106" s="270">
        <f t="shared" si="45"/>
        <v>0.99999999999999956</v>
      </c>
      <c r="S106" s="270">
        <f t="shared" si="45"/>
        <v>0.99999999999999956</v>
      </c>
      <c r="T106" s="254">
        <f t="shared" si="42"/>
        <v>1</v>
      </c>
      <c r="U106" s="254">
        <f t="shared" si="39"/>
        <v>1</v>
      </c>
      <c r="V106" s="254">
        <f t="shared" si="40"/>
        <v>1</v>
      </c>
      <c r="W106" s="254">
        <f t="shared" si="37"/>
        <v>1</v>
      </c>
      <c r="X106" s="216"/>
      <c r="Y106" s="216"/>
    </row>
    <row r="107" spans="1:25" s="140" customFormat="1" ht="26.25" hidden="1" outlineLevel="3" thickBot="1">
      <c r="A107" s="216"/>
      <c r="B107" s="255" t="s">
        <v>272</v>
      </c>
      <c r="C107" s="290" t="s">
        <v>230</v>
      </c>
      <c r="D107" s="227" t="s">
        <v>231</v>
      </c>
      <c r="E107" s="241"/>
      <c r="F107" s="228">
        <f t="shared" ref="F107:F132" si="46">F742</f>
        <v>3.6801995565609057E-2</v>
      </c>
      <c r="G107" s="269">
        <f>+F107*G106</f>
        <v>2.0828814908640522E-4</v>
      </c>
      <c r="H107" s="299"/>
      <c r="I107" s="299"/>
      <c r="J107" s="299"/>
      <c r="K107" s="299"/>
      <c r="L107" s="299"/>
      <c r="M107" s="299"/>
      <c r="N107" s="229">
        <v>1</v>
      </c>
      <c r="O107" s="229">
        <v>1</v>
      </c>
      <c r="P107" s="229">
        <v>1</v>
      </c>
      <c r="Q107" s="272">
        <v>1</v>
      </c>
      <c r="R107" s="272">
        <v>1</v>
      </c>
      <c r="S107" s="272">
        <v>1</v>
      </c>
      <c r="T107" s="256">
        <f t="shared" si="42"/>
        <v>1</v>
      </c>
      <c r="U107" s="256">
        <f t="shared" si="39"/>
        <v>1</v>
      </c>
      <c r="V107" s="256">
        <f t="shared" si="40"/>
        <v>1</v>
      </c>
      <c r="W107" s="256">
        <f t="shared" si="37"/>
        <v>1</v>
      </c>
      <c r="X107" s="216"/>
      <c r="Y107" s="216"/>
    </row>
    <row r="108" spans="1:25" s="140" customFormat="1" ht="26.25" hidden="1" outlineLevel="3" thickBot="1">
      <c r="A108" s="216"/>
      <c r="B108" s="255" t="s">
        <v>273</v>
      </c>
      <c r="C108" s="290" t="s">
        <v>233</v>
      </c>
      <c r="D108" s="227" t="s">
        <v>231</v>
      </c>
      <c r="E108" s="241"/>
      <c r="F108" s="228">
        <f t="shared" si="46"/>
        <v>3.6801995565609057E-2</v>
      </c>
      <c r="G108" s="269">
        <f>+F108*G106</f>
        <v>2.0828814908640522E-4</v>
      </c>
      <c r="H108" s="299"/>
      <c r="I108" s="299"/>
      <c r="J108" s="299"/>
      <c r="K108" s="299"/>
      <c r="L108" s="299"/>
      <c r="M108" s="299"/>
      <c r="N108" s="229">
        <v>1</v>
      </c>
      <c r="O108" s="229">
        <v>1</v>
      </c>
      <c r="P108" s="229">
        <v>1</v>
      </c>
      <c r="Q108" s="272">
        <v>1</v>
      </c>
      <c r="R108" s="272">
        <v>1</v>
      </c>
      <c r="S108" s="272">
        <v>1</v>
      </c>
      <c r="T108" s="256">
        <f t="shared" si="42"/>
        <v>1</v>
      </c>
      <c r="U108" s="256">
        <f t="shared" si="39"/>
        <v>1</v>
      </c>
      <c r="V108" s="256">
        <f t="shared" si="40"/>
        <v>1</v>
      </c>
      <c r="W108" s="256">
        <f t="shared" si="37"/>
        <v>1</v>
      </c>
      <c r="X108" s="216"/>
      <c r="Y108" s="216"/>
    </row>
    <row r="109" spans="1:25" s="140" customFormat="1" ht="26.25" hidden="1" outlineLevel="3" thickBot="1">
      <c r="A109" s="216"/>
      <c r="B109" s="255" t="s">
        <v>274</v>
      </c>
      <c r="C109" s="290" t="s">
        <v>235</v>
      </c>
      <c r="D109" s="227" t="s">
        <v>231</v>
      </c>
      <c r="E109" s="241"/>
      <c r="F109" s="228">
        <f t="shared" si="46"/>
        <v>3.6801995565609057E-2</v>
      </c>
      <c r="G109" s="269">
        <f>+F109*G106</f>
        <v>2.0828814908640522E-4</v>
      </c>
      <c r="H109" s="299"/>
      <c r="I109" s="299"/>
      <c r="J109" s="299"/>
      <c r="K109" s="299"/>
      <c r="L109" s="299"/>
      <c r="M109" s="299"/>
      <c r="N109" s="229">
        <v>1</v>
      </c>
      <c r="O109" s="229">
        <v>1</v>
      </c>
      <c r="P109" s="229">
        <v>1</v>
      </c>
      <c r="Q109" s="272">
        <v>1</v>
      </c>
      <c r="R109" s="272">
        <v>1</v>
      </c>
      <c r="S109" s="272">
        <v>1</v>
      </c>
      <c r="T109" s="256">
        <f t="shared" si="42"/>
        <v>1</v>
      </c>
      <c r="U109" s="256">
        <f t="shared" si="39"/>
        <v>1</v>
      </c>
      <c r="V109" s="256">
        <f t="shared" si="40"/>
        <v>1</v>
      </c>
      <c r="W109" s="256">
        <f t="shared" si="37"/>
        <v>1</v>
      </c>
      <c r="X109" s="216"/>
      <c r="Y109" s="216"/>
    </row>
    <row r="110" spans="1:25" s="140" customFormat="1" ht="26.25" hidden="1" outlineLevel="3" thickBot="1">
      <c r="A110" s="216"/>
      <c r="B110" s="255" t="s">
        <v>275</v>
      </c>
      <c r="C110" s="290" t="s">
        <v>237</v>
      </c>
      <c r="D110" s="227" t="s">
        <v>231</v>
      </c>
      <c r="E110" s="241"/>
      <c r="F110" s="228">
        <f t="shared" si="46"/>
        <v>3.6801995565609057E-2</v>
      </c>
      <c r="G110" s="269">
        <f>+F110*G106</f>
        <v>2.0828814908640522E-4</v>
      </c>
      <c r="H110" s="299"/>
      <c r="I110" s="299"/>
      <c r="J110" s="299"/>
      <c r="K110" s="299"/>
      <c r="L110" s="299"/>
      <c r="M110" s="299"/>
      <c r="N110" s="229">
        <v>1</v>
      </c>
      <c r="O110" s="229">
        <v>1</v>
      </c>
      <c r="P110" s="229">
        <v>1</v>
      </c>
      <c r="Q110" s="272">
        <v>1</v>
      </c>
      <c r="R110" s="272">
        <v>1</v>
      </c>
      <c r="S110" s="272">
        <v>1</v>
      </c>
      <c r="T110" s="256">
        <f t="shared" si="42"/>
        <v>1</v>
      </c>
      <c r="U110" s="256">
        <f t="shared" si="39"/>
        <v>1</v>
      </c>
      <c r="V110" s="256">
        <f t="shared" si="40"/>
        <v>1</v>
      </c>
      <c r="W110" s="256">
        <f t="shared" si="37"/>
        <v>1</v>
      </c>
      <c r="X110" s="216"/>
      <c r="Y110" s="216"/>
    </row>
    <row r="111" spans="1:25" s="140" customFormat="1" ht="26.25" hidden="1" outlineLevel="3" thickBot="1">
      <c r="A111" s="216"/>
      <c r="B111" s="255" t="s">
        <v>276</v>
      </c>
      <c r="C111" s="290" t="s">
        <v>239</v>
      </c>
      <c r="D111" s="227" t="s">
        <v>231</v>
      </c>
      <c r="E111" s="241"/>
      <c r="F111" s="228">
        <f t="shared" si="46"/>
        <v>3.6801995565609057E-2</v>
      </c>
      <c r="G111" s="269">
        <f>+F111*G106</f>
        <v>2.0828814908640522E-4</v>
      </c>
      <c r="H111" s="299"/>
      <c r="I111" s="299"/>
      <c r="J111" s="299"/>
      <c r="K111" s="299"/>
      <c r="L111" s="299"/>
      <c r="M111" s="299"/>
      <c r="N111" s="229">
        <v>1</v>
      </c>
      <c r="O111" s="229">
        <v>1</v>
      </c>
      <c r="P111" s="229">
        <v>1</v>
      </c>
      <c r="Q111" s="272">
        <v>1</v>
      </c>
      <c r="R111" s="272">
        <v>1</v>
      </c>
      <c r="S111" s="272">
        <v>1</v>
      </c>
      <c r="T111" s="256">
        <f t="shared" si="42"/>
        <v>1</v>
      </c>
      <c r="U111" s="256">
        <f t="shared" si="39"/>
        <v>1</v>
      </c>
      <c r="V111" s="256">
        <f t="shared" si="40"/>
        <v>1</v>
      </c>
      <c r="W111" s="256">
        <f t="shared" si="37"/>
        <v>1</v>
      </c>
      <c r="X111" s="216"/>
      <c r="Y111" s="216"/>
    </row>
    <row r="112" spans="1:25" s="140" customFormat="1" ht="26.25" hidden="1" outlineLevel="3" thickBot="1">
      <c r="A112" s="216"/>
      <c r="B112" s="255" t="s">
        <v>277</v>
      </c>
      <c r="C112" s="290" t="s">
        <v>241</v>
      </c>
      <c r="D112" s="227" t="s">
        <v>231</v>
      </c>
      <c r="E112" s="241"/>
      <c r="F112" s="228">
        <f t="shared" si="46"/>
        <v>3.6801995565609057E-2</v>
      </c>
      <c r="G112" s="269">
        <f>+F112*G106</f>
        <v>2.0828814908640522E-4</v>
      </c>
      <c r="H112" s="299"/>
      <c r="I112" s="299"/>
      <c r="J112" s="299"/>
      <c r="K112" s="299"/>
      <c r="L112" s="299"/>
      <c r="M112" s="299"/>
      <c r="N112" s="229">
        <v>1</v>
      </c>
      <c r="O112" s="229">
        <v>1</v>
      </c>
      <c r="P112" s="229">
        <v>1</v>
      </c>
      <c r="Q112" s="272">
        <v>1</v>
      </c>
      <c r="R112" s="272">
        <v>1</v>
      </c>
      <c r="S112" s="272">
        <v>1</v>
      </c>
      <c r="T112" s="256">
        <f t="shared" si="42"/>
        <v>1</v>
      </c>
      <c r="U112" s="256">
        <f t="shared" si="39"/>
        <v>1</v>
      </c>
      <c r="V112" s="256">
        <f t="shared" si="40"/>
        <v>1</v>
      </c>
      <c r="W112" s="256">
        <f t="shared" si="37"/>
        <v>1</v>
      </c>
      <c r="X112" s="216"/>
      <c r="Y112" s="216"/>
    </row>
    <row r="113" spans="1:25" s="140" customFormat="1" ht="26.25" hidden="1" outlineLevel="3" thickBot="1">
      <c r="A113" s="216"/>
      <c r="B113" s="255" t="s">
        <v>278</v>
      </c>
      <c r="C113" s="290" t="s">
        <v>243</v>
      </c>
      <c r="D113" s="227" t="s">
        <v>231</v>
      </c>
      <c r="E113" s="241"/>
      <c r="F113" s="228">
        <f t="shared" si="46"/>
        <v>3.6801995565609057E-2</v>
      </c>
      <c r="G113" s="269">
        <f>+F113*G106</f>
        <v>2.0828814908640522E-4</v>
      </c>
      <c r="H113" s="299"/>
      <c r="I113" s="299"/>
      <c r="J113" s="299"/>
      <c r="K113" s="299"/>
      <c r="L113" s="299"/>
      <c r="M113" s="299"/>
      <c r="N113" s="229">
        <v>1</v>
      </c>
      <c r="O113" s="229">
        <v>1</v>
      </c>
      <c r="P113" s="229">
        <v>1</v>
      </c>
      <c r="Q113" s="272">
        <v>1</v>
      </c>
      <c r="R113" s="272">
        <v>1</v>
      </c>
      <c r="S113" s="272">
        <v>1</v>
      </c>
      <c r="T113" s="256">
        <f t="shared" si="42"/>
        <v>1</v>
      </c>
      <c r="U113" s="256">
        <f t="shared" si="39"/>
        <v>1</v>
      </c>
      <c r="V113" s="256">
        <f t="shared" si="40"/>
        <v>1</v>
      </c>
      <c r="W113" s="256">
        <f t="shared" si="37"/>
        <v>1</v>
      </c>
      <c r="X113" s="216"/>
      <c r="Y113" s="216"/>
    </row>
    <row r="114" spans="1:25" s="140" customFormat="1" ht="26.25" hidden="1" outlineLevel="3" thickBot="1">
      <c r="A114" s="216"/>
      <c r="B114" s="255" t="s">
        <v>279</v>
      </c>
      <c r="C114" s="290" t="s">
        <v>245</v>
      </c>
      <c r="D114" s="227" t="s">
        <v>231</v>
      </c>
      <c r="E114" s="241"/>
      <c r="F114" s="228">
        <f t="shared" si="46"/>
        <v>3.6801995565609057E-2</v>
      </c>
      <c r="G114" s="269">
        <f>+F114*G106</f>
        <v>2.0828814908640522E-4</v>
      </c>
      <c r="H114" s="299"/>
      <c r="I114" s="299"/>
      <c r="J114" s="299"/>
      <c r="K114" s="299"/>
      <c r="L114" s="299"/>
      <c r="M114" s="299"/>
      <c r="N114" s="229">
        <v>1</v>
      </c>
      <c r="O114" s="229">
        <v>1</v>
      </c>
      <c r="P114" s="229">
        <v>1</v>
      </c>
      <c r="Q114" s="272">
        <v>1</v>
      </c>
      <c r="R114" s="272">
        <v>1</v>
      </c>
      <c r="S114" s="272">
        <v>1</v>
      </c>
      <c r="T114" s="256">
        <f t="shared" si="42"/>
        <v>1</v>
      </c>
      <c r="U114" s="256">
        <f t="shared" si="39"/>
        <v>1</v>
      </c>
      <c r="V114" s="256">
        <f t="shared" si="40"/>
        <v>1</v>
      </c>
      <c r="W114" s="256">
        <f t="shared" si="37"/>
        <v>1</v>
      </c>
      <c r="X114" s="216"/>
      <c r="Y114" s="216"/>
    </row>
    <row r="115" spans="1:25" s="140" customFormat="1" ht="26.25" hidden="1" outlineLevel="3" thickBot="1">
      <c r="A115" s="216"/>
      <c r="B115" s="255" t="s">
        <v>280</v>
      </c>
      <c r="C115" s="290" t="s">
        <v>247</v>
      </c>
      <c r="D115" s="227" t="s">
        <v>231</v>
      </c>
      <c r="E115" s="241"/>
      <c r="F115" s="228">
        <f t="shared" si="46"/>
        <v>3.6801995565609057E-2</v>
      </c>
      <c r="G115" s="269">
        <f>+F115*G106</f>
        <v>2.0828814908640522E-4</v>
      </c>
      <c r="H115" s="299"/>
      <c r="I115" s="299"/>
      <c r="J115" s="299"/>
      <c r="K115" s="299"/>
      <c r="L115" s="299"/>
      <c r="M115" s="299"/>
      <c r="N115" s="229">
        <v>1</v>
      </c>
      <c r="O115" s="229">
        <v>1</v>
      </c>
      <c r="P115" s="229">
        <v>1</v>
      </c>
      <c r="Q115" s="272">
        <v>1</v>
      </c>
      <c r="R115" s="272">
        <v>1</v>
      </c>
      <c r="S115" s="272">
        <v>1</v>
      </c>
      <c r="T115" s="256">
        <f t="shared" si="42"/>
        <v>1</v>
      </c>
      <c r="U115" s="256">
        <f t="shared" si="39"/>
        <v>1</v>
      </c>
      <c r="V115" s="256">
        <f t="shared" si="40"/>
        <v>1</v>
      </c>
      <c r="W115" s="256">
        <f t="shared" si="37"/>
        <v>1</v>
      </c>
      <c r="X115" s="216"/>
      <c r="Y115" s="216"/>
    </row>
    <row r="116" spans="1:25" s="140" customFormat="1" ht="26.25" hidden="1" outlineLevel="3" thickBot="1">
      <c r="A116" s="216"/>
      <c r="B116" s="255" t="s">
        <v>281</v>
      </c>
      <c r="C116" s="290" t="s">
        <v>249</v>
      </c>
      <c r="D116" s="227" t="s">
        <v>231</v>
      </c>
      <c r="E116" s="241"/>
      <c r="F116" s="228">
        <f t="shared" si="46"/>
        <v>3.6801995565609057E-2</v>
      </c>
      <c r="G116" s="269">
        <f>+F116*G106</f>
        <v>2.0828814908640522E-4</v>
      </c>
      <c r="H116" s="299"/>
      <c r="I116" s="299"/>
      <c r="J116" s="299"/>
      <c r="K116" s="299"/>
      <c r="L116" s="299"/>
      <c r="M116" s="299"/>
      <c r="N116" s="229">
        <v>1</v>
      </c>
      <c r="O116" s="229">
        <v>1</v>
      </c>
      <c r="P116" s="229">
        <v>1</v>
      </c>
      <c r="Q116" s="272">
        <v>1</v>
      </c>
      <c r="R116" s="272">
        <v>1</v>
      </c>
      <c r="S116" s="272">
        <v>1</v>
      </c>
      <c r="T116" s="256">
        <f t="shared" ref="T116:T147" si="47">+IF(N116=0,0,$S116/N116)</f>
        <v>1</v>
      </c>
      <c r="U116" s="256">
        <f t="shared" si="39"/>
        <v>1</v>
      </c>
      <c r="V116" s="256">
        <f t="shared" si="40"/>
        <v>1</v>
      </c>
      <c r="W116" s="256">
        <f t="shared" si="37"/>
        <v>1</v>
      </c>
      <c r="X116" s="216"/>
      <c r="Y116" s="216"/>
    </row>
    <row r="117" spans="1:25" s="140" customFormat="1" ht="26.25" hidden="1" outlineLevel="3" thickBot="1">
      <c r="A117" s="216"/>
      <c r="B117" s="255" t="s">
        <v>282</v>
      </c>
      <c r="C117" s="290" t="s">
        <v>251</v>
      </c>
      <c r="D117" s="227" t="s">
        <v>231</v>
      </c>
      <c r="E117" s="241"/>
      <c r="F117" s="228">
        <f t="shared" si="46"/>
        <v>3.6801995565609057E-2</v>
      </c>
      <c r="G117" s="269">
        <f>+F117*G106</f>
        <v>2.0828814908640522E-4</v>
      </c>
      <c r="H117" s="299"/>
      <c r="I117" s="299"/>
      <c r="J117" s="299"/>
      <c r="K117" s="299"/>
      <c r="L117" s="299"/>
      <c r="M117" s="299"/>
      <c r="N117" s="229">
        <v>1</v>
      </c>
      <c r="O117" s="229">
        <v>1</v>
      </c>
      <c r="P117" s="229">
        <v>1</v>
      </c>
      <c r="Q117" s="272">
        <v>1</v>
      </c>
      <c r="R117" s="272">
        <v>1</v>
      </c>
      <c r="S117" s="272">
        <v>1</v>
      </c>
      <c r="T117" s="256">
        <f t="shared" si="47"/>
        <v>1</v>
      </c>
      <c r="U117" s="256">
        <f t="shared" si="39"/>
        <v>1</v>
      </c>
      <c r="V117" s="256">
        <f t="shared" si="40"/>
        <v>1</v>
      </c>
      <c r="W117" s="256">
        <f t="shared" si="37"/>
        <v>1</v>
      </c>
      <c r="X117" s="216"/>
      <c r="Y117" s="216"/>
    </row>
    <row r="118" spans="1:25" s="140" customFormat="1" ht="26.25" hidden="1" outlineLevel="3" thickBot="1">
      <c r="A118" s="216"/>
      <c r="B118" s="255" t="s">
        <v>283</v>
      </c>
      <c r="C118" s="290" t="s">
        <v>253</v>
      </c>
      <c r="D118" s="227" t="s">
        <v>231</v>
      </c>
      <c r="E118" s="241"/>
      <c r="F118" s="228">
        <f t="shared" si="46"/>
        <v>3.6801995565609057E-2</v>
      </c>
      <c r="G118" s="269">
        <f>+F118*G106</f>
        <v>2.0828814908640522E-4</v>
      </c>
      <c r="H118" s="299"/>
      <c r="I118" s="299"/>
      <c r="J118" s="299"/>
      <c r="K118" s="299"/>
      <c r="L118" s="299"/>
      <c r="M118" s="299"/>
      <c r="N118" s="229">
        <v>1</v>
      </c>
      <c r="O118" s="229">
        <v>1</v>
      </c>
      <c r="P118" s="229">
        <v>1</v>
      </c>
      <c r="Q118" s="272">
        <v>1</v>
      </c>
      <c r="R118" s="272">
        <v>1</v>
      </c>
      <c r="S118" s="272">
        <v>1</v>
      </c>
      <c r="T118" s="256">
        <f t="shared" si="47"/>
        <v>1</v>
      </c>
      <c r="U118" s="256">
        <f t="shared" si="39"/>
        <v>1</v>
      </c>
      <c r="V118" s="256">
        <f t="shared" si="40"/>
        <v>1</v>
      </c>
      <c r="W118" s="256">
        <f t="shared" si="37"/>
        <v>1</v>
      </c>
      <c r="X118" s="216"/>
      <c r="Y118" s="216"/>
    </row>
    <row r="119" spans="1:25" s="140" customFormat="1" ht="26.25" hidden="1" outlineLevel="3" thickBot="1">
      <c r="A119" s="216"/>
      <c r="B119" s="255" t="s">
        <v>284</v>
      </c>
      <c r="C119" s="290" t="s">
        <v>285</v>
      </c>
      <c r="D119" s="227" t="s">
        <v>231</v>
      </c>
      <c r="E119" s="241"/>
      <c r="F119" s="228">
        <f t="shared" si="46"/>
        <v>3.6801995565609057E-2</v>
      </c>
      <c r="G119" s="269">
        <f>+F119*G106</f>
        <v>2.0828814908640522E-4</v>
      </c>
      <c r="H119" s="299"/>
      <c r="I119" s="299"/>
      <c r="J119" s="299"/>
      <c r="K119" s="299"/>
      <c r="L119" s="299"/>
      <c r="M119" s="299"/>
      <c r="N119" s="229">
        <v>1</v>
      </c>
      <c r="O119" s="229">
        <v>1</v>
      </c>
      <c r="P119" s="229">
        <v>1</v>
      </c>
      <c r="Q119" s="272">
        <v>1</v>
      </c>
      <c r="R119" s="272">
        <v>1</v>
      </c>
      <c r="S119" s="272">
        <v>1</v>
      </c>
      <c r="T119" s="256">
        <f t="shared" si="47"/>
        <v>1</v>
      </c>
      <c r="U119" s="256">
        <f t="shared" si="39"/>
        <v>1</v>
      </c>
      <c r="V119" s="256">
        <f t="shared" si="40"/>
        <v>1</v>
      </c>
      <c r="W119" s="256">
        <f t="shared" si="37"/>
        <v>1</v>
      </c>
      <c r="X119" s="216"/>
      <c r="Y119" s="216"/>
    </row>
    <row r="120" spans="1:25" s="140" customFormat="1" ht="26.25" hidden="1" outlineLevel="3" thickBot="1">
      <c r="A120" s="216"/>
      <c r="B120" s="255" t="s">
        <v>286</v>
      </c>
      <c r="C120" s="290" t="s">
        <v>287</v>
      </c>
      <c r="D120" s="227" t="s">
        <v>231</v>
      </c>
      <c r="E120" s="241"/>
      <c r="F120" s="228">
        <f t="shared" si="46"/>
        <v>3.6801995565609057E-2</v>
      </c>
      <c r="G120" s="269">
        <f>+F120*G106</f>
        <v>2.0828814908640522E-4</v>
      </c>
      <c r="H120" s="299"/>
      <c r="I120" s="299"/>
      <c r="J120" s="299"/>
      <c r="K120" s="299"/>
      <c r="L120" s="299"/>
      <c r="M120" s="299"/>
      <c r="N120" s="229">
        <v>1</v>
      </c>
      <c r="O120" s="229">
        <v>1</v>
      </c>
      <c r="P120" s="229">
        <v>1</v>
      </c>
      <c r="Q120" s="272">
        <v>1</v>
      </c>
      <c r="R120" s="272">
        <v>1</v>
      </c>
      <c r="S120" s="272">
        <v>1</v>
      </c>
      <c r="T120" s="256">
        <f t="shared" si="47"/>
        <v>1</v>
      </c>
      <c r="U120" s="256">
        <f t="shared" si="39"/>
        <v>1</v>
      </c>
      <c r="V120" s="256">
        <f t="shared" si="40"/>
        <v>1</v>
      </c>
      <c r="W120" s="256">
        <f t="shared" si="37"/>
        <v>1</v>
      </c>
      <c r="X120" s="216"/>
      <c r="Y120" s="216"/>
    </row>
    <row r="121" spans="1:25" s="140" customFormat="1" ht="26.25" hidden="1" outlineLevel="3" thickBot="1">
      <c r="A121" s="216"/>
      <c r="B121" s="255" t="s">
        <v>288</v>
      </c>
      <c r="C121" s="290" t="s">
        <v>289</v>
      </c>
      <c r="D121" s="227" t="s">
        <v>231</v>
      </c>
      <c r="E121" s="241"/>
      <c r="F121" s="228">
        <f t="shared" si="46"/>
        <v>3.6801995565609057E-2</v>
      </c>
      <c r="G121" s="269">
        <f>+F121*G106</f>
        <v>2.0828814908640522E-4</v>
      </c>
      <c r="H121" s="299"/>
      <c r="I121" s="299"/>
      <c r="J121" s="299"/>
      <c r="K121" s="299"/>
      <c r="L121" s="299"/>
      <c r="M121" s="299"/>
      <c r="N121" s="229">
        <v>1</v>
      </c>
      <c r="O121" s="229">
        <v>1</v>
      </c>
      <c r="P121" s="229">
        <v>1</v>
      </c>
      <c r="Q121" s="272">
        <v>1</v>
      </c>
      <c r="R121" s="272">
        <v>1</v>
      </c>
      <c r="S121" s="272">
        <v>1</v>
      </c>
      <c r="T121" s="256">
        <f t="shared" si="47"/>
        <v>1</v>
      </c>
      <c r="U121" s="256">
        <f t="shared" si="39"/>
        <v>1</v>
      </c>
      <c r="V121" s="256">
        <f t="shared" si="40"/>
        <v>1</v>
      </c>
      <c r="W121" s="256">
        <f t="shared" si="37"/>
        <v>1</v>
      </c>
      <c r="X121" s="216"/>
      <c r="Y121" s="216"/>
    </row>
    <row r="122" spans="1:25" s="140" customFormat="1" ht="26.25" hidden="1" outlineLevel="3" thickBot="1">
      <c r="A122" s="216"/>
      <c r="B122" s="255" t="s">
        <v>290</v>
      </c>
      <c r="C122" s="290" t="s">
        <v>291</v>
      </c>
      <c r="D122" s="227" t="s">
        <v>231</v>
      </c>
      <c r="E122" s="241"/>
      <c r="F122" s="228">
        <f t="shared" si="46"/>
        <v>3.6801995565609057E-2</v>
      </c>
      <c r="G122" s="269">
        <f>+F122*G106</f>
        <v>2.0828814908640522E-4</v>
      </c>
      <c r="H122" s="299"/>
      <c r="I122" s="299"/>
      <c r="J122" s="299"/>
      <c r="K122" s="299"/>
      <c r="L122" s="299"/>
      <c r="M122" s="299"/>
      <c r="N122" s="229">
        <v>1</v>
      </c>
      <c r="O122" s="229">
        <v>1</v>
      </c>
      <c r="P122" s="229">
        <v>1</v>
      </c>
      <c r="Q122" s="272">
        <v>1</v>
      </c>
      <c r="R122" s="272">
        <v>1</v>
      </c>
      <c r="S122" s="272">
        <v>1</v>
      </c>
      <c r="T122" s="256">
        <f t="shared" si="47"/>
        <v>1</v>
      </c>
      <c r="U122" s="256">
        <f t="shared" si="39"/>
        <v>1</v>
      </c>
      <c r="V122" s="256">
        <f t="shared" si="40"/>
        <v>1</v>
      </c>
      <c r="W122" s="256">
        <f t="shared" si="37"/>
        <v>1</v>
      </c>
      <c r="X122" s="216"/>
      <c r="Y122" s="216"/>
    </row>
    <row r="123" spans="1:25" s="140" customFormat="1" ht="26.25" hidden="1" outlineLevel="3" thickBot="1">
      <c r="A123" s="216"/>
      <c r="B123" s="255" t="s">
        <v>292</v>
      </c>
      <c r="C123" s="290" t="s">
        <v>293</v>
      </c>
      <c r="D123" s="227" t="s">
        <v>231</v>
      </c>
      <c r="E123" s="241"/>
      <c r="F123" s="228">
        <f t="shared" si="46"/>
        <v>3.6801995565609057E-2</v>
      </c>
      <c r="G123" s="269">
        <f>+F123*G106</f>
        <v>2.0828814908640522E-4</v>
      </c>
      <c r="H123" s="299"/>
      <c r="I123" s="299"/>
      <c r="J123" s="299"/>
      <c r="K123" s="299"/>
      <c r="L123" s="299"/>
      <c r="M123" s="299"/>
      <c r="N123" s="229">
        <v>1</v>
      </c>
      <c r="O123" s="229">
        <v>1</v>
      </c>
      <c r="P123" s="229">
        <v>1</v>
      </c>
      <c r="Q123" s="272">
        <v>1</v>
      </c>
      <c r="R123" s="272">
        <v>1</v>
      </c>
      <c r="S123" s="272">
        <v>1</v>
      </c>
      <c r="T123" s="256">
        <f t="shared" si="47"/>
        <v>1</v>
      </c>
      <c r="U123" s="256">
        <f t="shared" si="39"/>
        <v>1</v>
      </c>
      <c r="V123" s="256">
        <f t="shared" si="40"/>
        <v>1</v>
      </c>
      <c r="W123" s="256">
        <f t="shared" si="37"/>
        <v>1</v>
      </c>
      <c r="X123" s="216"/>
      <c r="Y123" s="216"/>
    </row>
    <row r="124" spans="1:25" s="140" customFormat="1" ht="26.25" hidden="1" outlineLevel="3" thickBot="1">
      <c r="A124" s="216"/>
      <c r="B124" s="255" t="s">
        <v>294</v>
      </c>
      <c r="C124" s="290" t="s">
        <v>295</v>
      </c>
      <c r="D124" s="227" t="s">
        <v>231</v>
      </c>
      <c r="E124" s="241"/>
      <c r="F124" s="228">
        <f t="shared" si="46"/>
        <v>3.6801995565609057E-2</v>
      </c>
      <c r="G124" s="269">
        <f>+F124*G106</f>
        <v>2.0828814908640522E-4</v>
      </c>
      <c r="H124" s="299"/>
      <c r="I124" s="299"/>
      <c r="J124" s="299"/>
      <c r="K124" s="299"/>
      <c r="L124" s="299"/>
      <c r="M124" s="299"/>
      <c r="N124" s="229">
        <v>1</v>
      </c>
      <c r="O124" s="229">
        <v>1</v>
      </c>
      <c r="P124" s="229">
        <v>1</v>
      </c>
      <c r="Q124" s="272">
        <v>1</v>
      </c>
      <c r="R124" s="272">
        <v>1</v>
      </c>
      <c r="S124" s="272">
        <v>1</v>
      </c>
      <c r="T124" s="256">
        <f t="shared" si="47"/>
        <v>1</v>
      </c>
      <c r="U124" s="256">
        <f t="shared" si="39"/>
        <v>1</v>
      </c>
      <c r="V124" s="256">
        <f t="shared" si="40"/>
        <v>1</v>
      </c>
      <c r="W124" s="256">
        <f t="shared" si="37"/>
        <v>1</v>
      </c>
      <c r="X124" s="216"/>
      <c r="Y124" s="216"/>
    </row>
    <row r="125" spans="1:25" s="140" customFormat="1" ht="26.25" hidden="1" outlineLevel="3" thickBot="1">
      <c r="A125" s="216"/>
      <c r="B125" s="255" t="s">
        <v>296</v>
      </c>
      <c r="C125" s="290" t="s">
        <v>297</v>
      </c>
      <c r="D125" s="227" t="s">
        <v>231</v>
      </c>
      <c r="E125" s="241"/>
      <c r="F125" s="228">
        <f t="shared" si="46"/>
        <v>3.6801995565609057E-2</v>
      </c>
      <c r="G125" s="269">
        <f>+F125*G106</f>
        <v>2.0828814908640522E-4</v>
      </c>
      <c r="H125" s="299"/>
      <c r="I125" s="299"/>
      <c r="J125" s="299"/>
      <c r="K125" s="299"/>
      <c r="L125" s="299"/>
      <c r="M125" s="299"/>
      <c r="N125" s="229">
        <v>1</v>
      </c>
      <c r="O125" s="229">
        <v>1</v>
      </c>
      <c r="P125" s="229">
        <v>1</v>
      </c>
      <c r="Q125" s="272">
        <v>1</v>
      </c>
      <c r="R125" s="272">
        <v>1</v>
      </c>
      <c r="S125" s="272">
        <v>1</v>
      </c>
      <c r="T125" s="256">
        <f t="shared" si="47"/>
        <v>1</v>
      </c>
      <c r="U125" s="256">
        <f t="shared" si="39"/>
        <v>1</v>
      </c>
      <c r="V125" s="256">
        <f t="shared" si="40"/>
        <v>1</v>
      </c>
      <c r="W125" s="256">
        <f t="shared" si="37"/>
        <v>1</v>
      </c>
      <c r="X125" s="216"/>
      <c r="Y125" s="216"/>
    </row>
    <row r="126" spans="1:25" s="140" customFormat="1" ht="26.25" hidden="1" outlineLevel="3" thickBot="1">
      <c r="A126" s="216"/>
      <c r="B126" s="255" t="s">
        <v>298</v>
      </c>
      <c r="C126" s="290" t="s">
        <v>299</v>
      </c>
      <c r="D126" s="227" t="s">
        <v>231</v>
      </c>
      <c r="E126" s="241"/>
      <c r="F126" s="228">
        <f t="shared" si="46"/>
        <v>3.6801995565609057E-2</v>
      </c>
      <c r="G126" s="269">
        <f>+F126*G106</f>
        <v>2.0828814908640522E-4</v>
      </c>
      <c r="H126" s="299"/>
      <c r="I126" s="299"/>
      <c r="J126" s="299"/>
      <c r="K126" s="299"/>
      <c r="L126" s="299"/>
      <c r="M126" s="299"/>
      <c r="N126" s="229">
        <v>1</v>
      </c>
      <c r="O126" s="229">
        <v>1</v>
      </c>
      <c r="P126" s="229">
        <v>1</v>
      </c>
      <c r="Q126" s="272">
        <v>1</v>
      </c>
      <c r="R126" s="272">
        <v>1</v>
      </c>
      <c r="S126" s="272">
        <v>1</v>
      </c>
      <c r="T126" s="256">
        <f t="shared" si="47"/>
        <v>1</v>
      </c>
      <c r="U126" s="256">
        <f t="shared" si="39"/>
        <v>1</v>
      </c>
      <c r="V126" s="256">
        <f t="shared" si="40"/>
        <v>1</v>
      </c>
      <c r="W126" s="256">
        <f t="shared" si="37"/>
        <v>1</v>
      </c>
      <c r="X126" s="216"/>
      <c r="Y126" s="216"/>
    </row>
    <row r="127" spans="1:25" s="140" customFormat="1" ht="26.25" hidden="1" outlineLevel="3" thickBot="1">
      <c r="A127" s="216"/>
      <c r="B127" s="255" t="s">
        <v>300</v>
      </c>
      <c r="C127" s="290" t="s">
        <v>301</v>
      </c>
      <c r="D127" s="227" t="s">
        <v>231</v>
      </c>
      <c r="E127" s="241"/>
      <c r="F127" s="228">
        <f t="shared" si="46"/>
        <v>3.6801995565609057E-2</v>
      </c>
      <c r="G127" s="269">
        <f>+F127*G106</f>
        <v>2.0828814908640522E-4</v>
      </c>
      <c r="H127" s="299"/>
      <c r="I127" s="299"/>
      <c r="J127" s="299"/>
      <c r="K127" s="299"/>
      <c r="L127" s="299"/>
      <c r="M127" s="299"/>
      <c r="N127" s="229">
        <v>1</v>
      </c>
      <c r="O127" s="229">
        <v>1</v>
      </c>
      <c r="P127" s="229">
        <v>1</v>
      </c>
      <c r="Q127" s="272">
        <v>1</v>
      </c>
      <c r="R127" s="272">
        <v>1</v>
      </c>
      <c r="S127" s="272">
        <v>1</v>
      </c>
      <c r="T127" s="256">
        <f t="shared" si="47"/>
        <v>1</v>
      </c>
      <c r="U127" s="256">
        <f t="shared" si="39"/>
        <v>1</v>
      </c>
      <c r="V127" s="256">
        <f t="shared" si="40"/>
        <v>1</v>
      </c>
      <c r="W127" s="256">
        <f t="shared" si="37"/>
        <v>1</v>
      </c>
      <c r="X127" s="216"/>
      <c r="Y127" s="216"/>
    </row>
    <row r="128" spans="1:25" s="140" customFormat="1" ht="26.25" hidden="1" outlineLevel="3" thickBot="1">
      <c r="A128" s="216"/>
      <c r="B128" s="255" t="s">
        <v>302</v>
      </c>
      <c r="C128" s="290" t="s">
        <v>303</v>
      </c>
      <c r="D128" s="227" t="s">
        <v>231</v>
      </c>
      <c r="E128" s="241"/>
      <c r="F128" s="228">
        <f t="shared" si="46"/>
        <v>3.6801995565609057E-2</v>
      </c>
      <c r="G128" s="269">
        <f>+F128*G106</f>
        <v>2.0828814908640522E-4</v>
      </c>
      <c r="H128" s="299"/>
      <c r="I128" s="299"/>
      <c r="J128" s="299"/>
      <c r="K128" s="299"/>
      <c r="L128" s="299"/>
      <c r="M128" s="299"/>
      <c r="N128" s="229">
        <v>1</v>
      </c>
      <c r="O128" s="229">
        <v>1</v>
      </c>
      <c r="P128" s="229">
        <v>1</v>
      </c>
      <c r="Q128" s="272">
        <v>1</v>
      </c>
      <c r="R128" s="272">
        <v>1</v>
      </c>
      <c r="S128" s="272">
        <v>1</v>
      </c>
      <c r="T128" s="256">
        <f t="shared" si="47"/>
        <v>1</v>
      </c>
      <c r="U128" s="256">
        <f t="shared" si="39"/>
        <v>1</v>
      </c>
      <c r="V128" s="256">
        <f t="shared" si="40"/>
        <v>1</v>
      </c>
      <c r="W128" s="256">
        <f t="shared" si="37"/>
        <v>1</v>
      </c>
      <c r="X128" s="216"/>
      <c r="Y128" s="216"/>
    </row>
    <row r="129" spans="1:25" s="140" customFormat="1" ht="26.25" hidden="1" outlineLevel="3" thickBot="1">
      <c r="A129" s="216"/>
      <c r="B129" s="255" t="s">
        <v>304</v>
      </c>
      <c r="C129" s="290" t="s">
        <v>255</v>
      </c>
      <c r="D129" s="227" t="s">
        <v>256</v>
      </c>
      <c r="E129" s="241"/>
      <c r="F129" s="228">
        <f t="shared" si="46"/>
        <v>4.7589024389150178E-2</v>
      </c>
      <c r="G129" s="269">
        <f>+F129*G106</f>
        <v>2.6933946527907103E-4</v>
      </c>
      <c r="H129" s="299"/>
      <c r="I129" s="299"/>
      <c r="J129" s="299"/>
      <c r="K129" s="299"/>
      <c r="L129" s="299"/>
      <c r="M129" s="299"/>
      <c r="N129" s="229">
        <v>1</v>
      </c>
      <c r="O129" s="229">
        <v>1</v>
      </c>
      <c r="P129" s="229">
        <v>1</v>
      </c>
      <c r="Q129" s="272">
        <v>1</v>
      </c>
      <c r="R129" s="272">
        <v>1</v>
      </c>
      <c r="S129" s="272">
        <v>1</v>
      </c>
      <c r="T129" s="256">
        <f t="shared" si="47"/>
        <v>1</v>
      </c>
      <c r="U129" s="256">
        <f t="shared" si="39"/>
        <v>1</v>
      </c>
      <c r="V129" s="256">
        <f t="shared" si="40"/>
        <v>1</v>
      </c>
      <c r="W129" s="256">
        <f t="shared" si="37"/>
        <v>1</v>
      </c>
      <c r="X129" s="216"/>
      <c r="Y129" s="216"/>
    </row>
    <row r="130" spans="1:25" s="140" customFormat="1" ht="26.25" hidden="1" outlineLevel="3" thickBot="1">
      <c r="A130" s="216"/>
      <c r="B130" s="255" t="s">
        <v>305</v>
      </c>
      <c r="C130" s="290" t="s">
        <v>258</v>
      </c>
      <c r="D130" s="227" t="s">
        <v>256</v>
      </c>
      <c r="E130" s="241"/>
      <c r="F130" s="228">
        <f t="shared" si="46"/>
        <v>4.7589024389150178E-2</v>
      </c>
      <c r="G130" s="269">
        <f>+F130*G106</f>
        <v>2.6933946527907103E-4</v>
      </c>
      <c r="H130" s="299"/>
      <c r="I130" s="299"/>
      <c r="J130" s="299"/>
      <c r="K130" s="299"/>
      <c r="L130" s="299"/>
      <c r="M130" s="299"/>
      <c r="N130" s="229">
        <v>1</v>
      </c>
      <c r="O130" s="229">
        <v>1</v>
      </c>
      <c r="P130" s="229">
        <v>1</v>
      </c>
      <c r="Q130" s="272">
        <v>1</v>
      </c>
      <c r="R130" s="272">
        <v>1</v>
      </c>
      <c r="S130" s="272">
        <v>1</v>
      </c>
      <c r="T130" s="256">
        <f t="shared" si="47"/>
        <v>1</v>
      </c>
      <c r="U130" s="256">
        <f t="shared" si="39"/>
        <v>1</v>
      </c>
      <c r="V130" s="256">
        <f t="shared" si="40"/>
        <v>1</v>
      </c>
      <c r="W130" s="256">
        <f t="shared" si="37"/>
        <v>1</v>
      </c>
      <c r="X130" s="216"/>
      <c r="Y130" s="216"/>
    </row>
    <row r="131" spans="1:25" s="140" customFormat="1" ht="26.25" hidden="1" outlineLevel="3" thickBot="1">
      <c r="A131" s="216"/>
      <c r="B131" s="255" t="s">
        <v>306</v>
      </c>
      <c r="C131" s="290" t="s">
        <v>260</v>
      </c>
      <c r="D131" s="227" t="s">
        <v>256</v>
      </c>
      <c r="E131" s="241"/>
      <c r="F131" s="228">
        <f t="shared" si="46"/>
        <v>4.7589024389150178E-2</v>
      </c>
      <c r="G131" s="269">
        <f>+F131*G106</f>
        <v>2.6933946527907103E-4</v>
      </c>
      <c r="H131" s="299"/>
      <c r="I131" s="299"/>
      <c r="J131" s="299"/>
      <c r="K131" s="299"/>
      <c r="L131" s="299"/>
      <c r="M131" s="299"/>
      <c r="N131" s="229">
        <v>1</v>
      </c>
      <c r="O131" s="229">
        <v>1</v>
      </c>
      <c r="P131" s="229">
        <v>1</v>
      </c>
      <c r="Q131" s="272">
        <v>1</v>
      </c>
      <c r="R131" s="272">
        <v>1</v>
      </c>
      <c r="S131" s="272">
        <v>1</v>
      </c>
      <c r="T131" s="256">
        <f t="shared" si="47"/>
        <v>1</v>
      </c>
      <c r="U131" s="256">
        <f t="shared" si="39"/>
        <v>1</v>
      </c>
      <c r="V131" s="256">
        <f t="shared" si="40"/>
        <v>1</v>
      </c>
      <c r="W131" s="256">
        <f t="shared" si="37"/>
        <v>1</v>
      </c>
      <c r="X131" s="216"/>
      <c r="Y131" s="216"/>
    </row>
    <row r="132" spans="1:25" s="140" customFormat="1" ht="26.25" hidden="1" outlineLevel="3" thickBot="1">
      <c r="A132" s="216"/>
      <c r="B132" s="255" t="s">
        <v>307</v>
      </c>
      <c r="C132" s="290" t="s">
        <v>262</v>
      </c>
      <c r="D132" s="227" t="s">
        <v>256</v>
      </c>
      <c r="E132" s="241"/>
      <c r="F132" s="228">
        <f t="shared" si="46"/>
        <v>4.7589024389150178E-2</v>
      </c>
      <c r="G132" s="269">
        <f>+F132*G106</f>
        <v>2.6933946527907103E-4</v>
      </c>
      <c r="H132" s="299"/>
      <c r="I132" s="299"/>
      <c r="J132" s="299"/>
      <c r="K132" s="299"/>
      <c r="L132" s="299"/>
      <c r="M132" s="299"/>
      <c r="N132" s="229">
        <v>1</v>
      </c>
      <c r="O132" s="229">
        <v>1</v>
      </c>
      <c r="P132" s="229">
        <v>1</v>
      </c>
      <c r="Q132" s="272">
        <v>1</v>
      </c>
      <c r="R132" s="272">
        <v>1</v>
      </c>
      <c r="S132" s="272">
        <v>1</v>
      </c>
      <c r="T132" s="256">
        <f t="shared" si="47"/>
        <v>1</v>
      </c>
      <c r="U132" s="256">
        <f t="shared" si="39"/>
        <v>1</v>
      </c>
      <c r="V132" s="256">
        <f t="shared" si="40"/>
        <v>1</v>
      </c>
      <c r="W132" s="256">
        <f t="shared" si="37"/>
        <v>1</v>
      </c>
      <c r="X132" s="216"/>
      <c r="Y132" s="216"/>
    </row>
    <row r="133" spans="1:25" s="140" customFormat="1" ht="26.25" hidden="1" outlineLevel="2" thickBot="1">
      <c r="A133" s="216"/>
      <c r="B133" s="291" t="s">
        <v>308</v>
      </c>
      <c r="C133" s="292" t="s">
        <v>37</v>
      </c>
      <c r="D133" s="234" t="s">
        <v>33</v>
      </c>
      <c r="E133" s="240"/>
      <c r="F133" s="223">
        <v>9.4678015032851906E-2</v>
      </c>
      <c r="G133" s="293">
        <f>+F133*G84</f>
        <v>2.2185095900624464E-3</v>
      </c>
      <c r="H133" s="298"/>
      <c r="I133" s="298"/>
      <c r="J133" s="298"/>
      <c r="K133" s="298"/>
      <c r="L133" s="298"/>
      <c r="M133" s="298"/>
      <c r="N133" s="224">
        <f t="shared" ref="N133:S133" si="48">+SUMPRODUCT($F134:$F144,N134:N144)</f>
        <v>1.0000000000000002</v>
      </c>
      <c r="O133" s="224">
        <f t="shared" si="48"/>
        <v>1.0000000000000002</v>
      </c>
      <c r="P133" s="224">
        <f t="shared" si="48"/>
        <v>1.0000000000000002</v>
      </c>
      <c r="Q133" s="270">
        <f t="shared" si="48"/>
        <v>1.0000000000000002</v>
      </c>
      <c r="R133" s="270">
        <f t="shared" si="48"/>
        <v>1.0000000000000002</v>
      </c>
      <c r="S133" s="270">
        <f t="shared" si="48"/>
        <v>1.0000000000000002</v>
      </c>
      <c r="T133" s="254">
        <f t="shared" si="47"/>
        <v>1</v>
      </c>
      <c r="U133" s="254">
        <f t="shared" si="39"/>
        <v>1</v>
      </c>
      <c r="V133" s="254">
        <f t="shared" si="40"/>
        <v>1</v>
      </c>
      <c r="W133" s="254">
        <f t="shared" si="37"/>
        <v>1</v>
      </c>
      <c r="X133" s="216"/>
      <c r="Y133" s="216"/>
    </row>
    <row r="134" spans="1:25" s="140" customFormat="1" ht="26.25" hidden="1" outlineLevel="3" thickBot="1">
      <c r="A134" s="216"/>
      <c r="B134" s="255" t="s">
        <v>309</v>
      </c>
      <c r="C134" s="290" t="s">
        <v>230</v>
      </c>
      <c r="D134" s="227" t="s">
        <v>231</v>
      </c>
      <c r="E134" s="241"/>
      <c r="F134" s="228">
        <f t="shared" ref="F134:F144" si="49">F769</f>
        <v>9.0909090909090912E-2</v>
      </c>
      <c r="G134" s="269">
        <f>+F134*G133</f>
        <v>2.0168269000567696E-4</v>
      </c>
      <c r="H134" s="299"/>
      <c r="I134" s="299"/>
      <c r="J134" s="299"/>
      <c r="K134" s="299"/>
      <c r="L134" s="299"/>
      <c r="M134" s="299"/>
      <c r="N134" s="229">
        <v>1</v>
      </c>
      <c r="O134" s="229">
        <v>1</v>
      </c>
      <c r="P134" s="229">
        <v>1</v>
      </c>
      <c r="Q134" s="272">
        <v>1</v>
      </c>
      <c r="R134" s="272">
        <v>1</v>
      </c>
      <c r="S134" s="272">
        <v>1</v>
      </c>
      <c r="T134" s="256">
        <f t="shared" si="47"/>
        <v>1</v>
      </c>
      <c r="U134" s="256">
        <f t="shared" si="39"/>
        <v>1</v>
      </c>
      <c r="V134" s="256">
        <f t="shared" si="40"/>
        <v>1</v>
      </c>
      <c r="W134" s="256">
        <f t="shared" ref="W134:W197" si="50">+IF(R134=0,0,$S134/R134)</f>
        <v>1</v>
      </c>
      <c r="X134" s="216"/>
      <c r="Y134" s="216"/>
    </row>
    <row r="135" spans="1:25" s="140" customFormat="1" ht="26.25" hidden="1" outlineLevel="3" thickBot="1">
      <c r="A135" s="216"/>
      <c r="B135" s="255" t="s">
        <v>310</v>
      </c>
      <c r="C135" s="290" t="s">
        <v>233</v>
      </c>
      <c r="D135" s="227" t="s">
        <v>231</v>
      </c>
      <c r="E135" s="241"/>
      <c r="F135" s="228">
        <f t="shared" si="49"/>
        <v>9.0909090909090912E-2</v>
      </c>
      <c r="G135" s="269">
        <f>+F135*G133</f>
        <v>2.0168269000567696E-4</v>
      </c>
      <c r="H135" s="299"/>
      <c r="I135" s="299"/>
      <c r="J135" s="299"/>
      <c r="K135" s="299"/>
      <c r="L135" s="299"/>
      <c r="M135" s="299"/>
      <c r="N135" s="229">
        <v>1</v>
      </c>
      <c r="O135" s="229">
        <v>1</v>
      </c>
      <c r="P135" s="229">
        <v>1</v>
      </c>
      <c r="Q135" s="272">
        <v>1</v>
      </c>
      <c r="R135" s="272">
        <v>1</v>
      </c>
      <c r="S135" s="272">
        <v>1</v>
      </c>
      <c r="T135" s="256">
        <f t="shared" si="47"/>
        <v>1</v>
      </c>
      <c r="U135" s="256">
        <f t="shared" si="39"/>
        <v>1</v>
      </c>
      <c r="V135" s="256">
        <f t="shared" si="40"/>
        <v>1</v>
      </c>
      <c r="W135" s="256">
        <f t="shared" si="50"/>
        <v>1</v>
      </c>
      <c r="X135" s="216"/>
      <c r="Y135" s="216"/>
    </row>
    <row r="136" spans="1:25" s="140" customFormat="1" ht="26.25" hidden="1" outlineLevel="3" thickBot="1">
      <c r="A136" s="216"/>
      <c r="B136" s="255" t="s">
        <v>311</v>
      </c>
      <c r="C136" s="290" t="s">
        <v>235</v>
      </c>
      <c r="D136" s="227" t="s">
        <v>231</v>
      </c>
      <c r="E136" s="241"/>
      <c r="F136" s="228">
        <f t="shared" si="49"/>
        <v>9.0909090909090912E-2</v>
      </c>
      <c r="G136" s="269">
        <f>+F136*G133</f>
        <v>2.0168269000567696E-4</v>
      </c>
      <c r="H136" s="299"/>
      <c r="I136" s="299"/>
      <c r="J136" s="299"/>
      <c r="K136" s="299"/>
      <c r="L136" s="299"/>
      <c r="M136" s="299"/>
      <c r="N136" s="229">
        <v>1</v>
      </c>
      <c r="O136" s="229">
        <v>1</v>
      </c>
      <c r="P136" s="229">
        <v>1</v>
      </c>
      <c r="Q136" s="272">
        <v>1</v>
      </c>
      <c r="R136" s="272">
        <v>1</v>
      </c>
      <c r="S136" s="272">
        <v>1</v>
      </c>
      <c r="T136" s="256">
        <f t="shared" si="47"/>
        <v>1</v>
      </c>
      <c r="U136" s="256">
        <f t="shared" si="39"/>
        <v>1</v>
      </c>
      <c r="V136" s="256">
        <f t="shared" si="40"/>
        <v>1</v>
      </c>
      <c r="W136" s="256">
        <f t="shared" si="50"/>
        <v>1</v>
      </c>
      <c r="X136" s="216"/>
      <c r="Y136" s="216"/>
    </row>
    <row r="137" spans="1:25" s="140" customFormat="1" ht="26.25" hidden="1" outlineLevel="3" thickBot="1">
      <c r="A137" s="216"/>
      <c r="B137" s="255" t="s">
        <v>312</v>
      </c>
      <c r="C137" s="290" t="s">
        <v>237</v>
      </c>
      <c r="D137" s="227" t="s">
        <v>231</v>
      </c>
      <c r="E137" s="241"/>
      <c r="F137" s="228">
        <f t="shared" si="49"/>
        <v>9.0909090909090912E-2</v>
      </c>
      <c r="G137" s="269">
        <f>+F137*G133</f>
        <v>2.0168269000567696E-4</v>
      </c>
      <c r="H137" s="299"/>
      <c r="I137" s="299"/>
      <c r="J137" s="299"/>
      <c r="K137" s="299"/>
      <c r="L137" s="299"/>
      <c r="M137" s="299"/>
      <c r="N137" s="229">
        <v>1</v>
      </c>
      <c r="O137" s="229">
        <v>1</v>
      </c>
      <c r="P137" s="229">
        <v>1</v>
      </c>
      <c r="Q137" s="272">
        <v>1</v>
      </c>
      <c r="R137" s="272">
        <v>1</v>
      </c>
      <c r="S137" s="272">
        <v>1</v>
      </c>
      <c r="T137" s="256">
        <f t="shared" si="47"/>
        <v>1</v>
      </c>
      <c r="U137" s="256">
        <f t="shared" si="39"/>
        <v>1</v>
      </c>
      <c r="V137" s="256">
        <f t="shared" si="40"/>
        <v>1</v>
      </c>
      <c r="W137" s="256">
        <f t="shared" si="50"/>
        <v>1</v>
      </c>
      <c r="X137" s="216"/>
      <c r="Y137" s="216"/>
    </row>
    <row r="138" spans="1:25" s="140" customFormat="1" ht="26.25" hidden="1" outlineLevel="3" thickBot="1">
      <c r="A138" s="216"/>
      <c r="B138" s="255" t="s">
        <v>313</v>
      </c>
      <c r="C138" s="290" t="s">
        <v>239</v>
      </c>
      <c r="D138" s="227" t="s">
        <v>231</v>
      </c>
      <c r="E138" s="241"/>
      <c r="F138" s="228">
        <f t="shared" si="49"/>
        <v>9.0909090909090912E-2</v>
      </c>
      <c r="G138" s="269">
        <f>+F138*G133</f>
        <v>2.0168269000567696E-4</v>
      </c>
      <c r="H138" s="299"/>
      <c r="I138" s="299"/>
      <c r="J138" s="299"/>
      <c r="K138" s="299"/>
      <c r="L138" s="299"/>
      <c r="M138" s="299"/>
      <c r="N138" s="229">
        <v>1</v>
      </c>
      <c r="O138" s="229">
        <v>1</v>
      </c>
      <c r="P138" s="229">
        <v>1</v>
      </c>
      <c r="Q138" s="272">
        <v>1</v>
      </c>
      <c r="R138" s="272">
        <v>1</v>
      </c>
      <c r="S138" s="272">
        <v>1</v>
      </c>
      <c r="T138" s="256">
        <f t="shared" si="47"/>
        <v>1</v>
      </c>
      <c r="U138" s="256">
        <f t="shared" si="39"/>
        <v>1</v>
      </c>
      <c r="V138" s="256">
        <f t="shared" si="40"/>
        <v>1</v>
      </c>
      <c r="W138" s="256">
        <f t="shared" si="50"/>
        <v>1</v>
      </c>
      <c r="X138" s="216"/>
      <c r="Y138" s="216"/>
    </row>
    <row r="139" spans="1:25" s="140" customFormat="1" ht="26.25" hidden="1" outlineLevel="3" thickBot="1">
      <c r="A139" s="216"/>
      <c r="B139" s="255" t="s">
        <v>314</v>
      </c>
      <c r="C139" s="290" t="s">
        <v>241</v>
      </c>
      <c r="D139" s="227" t="s">
        <v>231</v>
      </c>
      <c r="E139" s="241"/>
      <c r="F139" s="228">
        <f t="shared" si="49"/>
        <v>9.0909090909090912E-2</v>
      </c>
      <c r="G139" s="269">
        <f>+F139*G133</f>
        <v>2.0168269000567696E-4</v>
      </c>
      <c r="H139" s="299"/>
      <c r="I139" s="299"/>
      <c r="J139" s="299"/>
      <c r="K139" s="299"/>
      <c r="L139" s="299"/>
      <c r="M139" s="299"/>
      <c r="N139" s="229">
        <v>1</v>
      </c>
      <c r="O139" s="229">
        <v>1</v>
      </c>
      <c r="P139" s="229">
        <v>1</v>
      </c>
      <c r="Q139" s="272">
        <v>1</v>
      </c>
      <c r="R139" s="272">
        <v>1</v>
      </c>
      <c r="S139" s="272">
        <v>1</v>
      </c>
      <c r="T139" s="256">
        <f t="shared" si="47"/>
        <v>1</v>
      </c>
      <c r="U139" s="256">
        <f t="shared" si="39"/>
        <v>1</v>
      </c>
      <c r="V139" s="256">
        <f t="shared" si="40"/>
        <v>1</v>
      </c>
      <c r="W139" s="256">
        <f t="shared" si="50"/>
        <v>1</v>
      </c>
      <c r="X139" s="216"/>
      <c r="Y139" s="216"/>
    </row>
    <row r="140" spans="1:25" s="140" customFormat="1" ht="26.25" hidden="1" outlineLevel="3" thickBot="1">
      <c r="A140" s="216"/>
      <c r="B140" s="255" t="s">
        <v>315</v>
      </c>
      <c r="C140" s="290" t="s">
        <v>243</v>
      </c>
      <c r="D140" s="227" t="s">
        <v>231</v>
      </c>
      <c r="E140" s="241"/>
      <c r="F140" s="228">
        <f t="shared" si="49"/>
        <v>9.0909090909090912E-2</v>
      </c>
      <c r="G140" s="269">
        <f>+F140*G133</f>
        <v>2.0168269000567696E-4</v>
      </c>
      <c r="H140" s="299"/>
      <c r="I140" s="299"/>
      <c r="J140" s="299"/>
      <c r="K140" s="299"/>
      <c r="L140" s="299"/>
      <c r="M140" s="299"/>
      <c r="N140" s="229">
        <v>1</v>
      </c>
      <c r="O140" s="229">
        <v>1</v>
      </c>
      <c r="P140" s="229">
        <v>1</v>
      </c>
      <c r="Q140" s="272">
        <v>1</v>
      </c>
      <c r="R140" s="272">
        <v>1</v>
      </c>
      <c r="S140" s="272">
        <v>1</v>
      </c>
      <c r="T140" s="256">
        <f t="shared" si="47"/>
        <v>1</v>
      </c>
      <c r="U140" s="256">
        <f t="shared" si="39"/>
        <v>1</v>
      </c>
      <c r="V140" s="256">
        <f t="shared" si="40"/>
        <v>1</v>
      </c>
      <c r="W140" s="256">
        <f t="shared" si="50"/>
        <v>1</v>
      </c>
      <c r="X140" s="216"/>
      <c r="Y140" s="216"/>
    </row>
    <row r="141" spans="1:25" s="140" customFormat="1" ht="26.25" hidden="1" outlineLevel="3" thickBot="1">
      <c r="A141" s="216"/>
      <c r="B141" s="255" t="s">
        <v>316</v>
      </c>
      <c r="C141" s="290" t="s">
        <v>245</v>
      </c>
      <c r="D141" s="227" t="s">
        <v>231</v>
      </c>
      <c r="E141" s="241"/>
      <c r="F141" s="228">
        <f t="shared" si="49"/>
        <v>9.0909090909090912E-2</v>
      </c>
      <c r="G141" s="269">
        <f>+F141*G133</f>
        <v>2.0168269000567696E-4</v>
      </c>
      <c r="H141" s="299"/>
      <c r="I141" s="299"/>
      <c r="J141" s="299"/>
      <c r="K141" s="299"/>
      <c r="L141" s="299"/>
      <c r="M141" s="299"/>
      <c r="N141" s="229">
        <v>1</v>
      </c>
      <c r="O141" s="229">
        <v>1</v>
      </c>
      <c r="P141" s="229">
        <v>1</v>
      </c>
      <c r="Q141" s="272">
        <v>1</v>
      </c>
      <c r="R141" s="272">
        <v>1</v>
      </c>
      <c r="S141" s="272">
        <v>1</v>
      </c>
      <c r="T141" s="256">
        <f t="shared" si="47"/>
        <v>1</v>
      </c>
      <c r="U141" s="256">
        <f t="shared" si="39"/>
        <v>1</v>
      </c>
      <c r="V141" s="256">
        <f t="shared" si="40"/>
        <v>1</v>
      </c>
      <c r="W141" s="256">
        <f t="shared" si="50"/>
        <v>1</v>
      </c>
      <c r="X141" s="216"/>
      <c r="Y141" s="216"/>
    </row>
    <row r="142" spans="1:25" s="140" customFormat="1" ht="26.25" hidden="1" outlineLevel="3" thickBot="1">
      <c r="A142" s="216"/>
      <c r="B142" s="255" t="s">
        <v>317</v>
      </c>
      <c r="C142" s="290" t="s">
        <v>247</v>
      </c>
      <c r="D142" s="227" t="s">
        <v>231</v>
      </c>
      <c r="E142" s="241"/>
      <c r="F142" s="228">
        <f t="shared" si="49"/>
        <v>9.0909090909090912E-2</v>
      </c>
      <c r="G142" s="269">
        <f>+F142*G133</f>
        <v>2.0168269000567696E-4</v>
      </c>
      <c r="H142" s="299"/>
      <c r="I142" s="299"/>
      <c r="J142" s="299"/>
      <c r="K142" s="299"/>
      <c r="L142" s="299"/>
      <c r="M142" s="299"/>
      <c r="N142" s="229">
        <v>1</v>
      </c>
      <c r="O142" s="229">
        <v>1</v>
      </c>
      <c r="P142" s="229">
        <v>1</v>
      </c>
      <c r="Q142" s="272">
        <v>1</v>
      </c>
      <c r="R142" s="272">
        <v>1</v>
      </c>
      <c r="S142" s="272">
        <v>1</v>
      </c>
      <c r="T142" s="256">
        <f t="shared" si="47"/>
        <v>1</v>
      </c>
      <c r="U142" s="256">
        <f t="shared" si="39"/>
        <v>1</v>
      </c>
      <c r="V142" s="256">
        <f t="shared" si="40"/>
        <v>1</v>
      </c>
      <c r="W142" s="256">
        <f t="shared" si="50"/>
        <v>1</v>
      </c>
      <c r="X142" s="216"/>
      <c r="Y142" s="216"/>
    </row>
    <row r="143" spans="1:25" s="140" customFormat="1" ht="26.25" hidden="1" outlineLevel="3" thickBot="1">
      <c r="A143" s="216"/>
      <c r="B143" s="255" t="s">
        <v>318</v>
      </c>
      <c r="C143" s="290" t="s">
        <v>249</v>
      </c>
      <c r="D143" s="227" t="s">
        <v>231</v>
      </c>
      <c r="E143" s="241"/>
      <c r="F143" s="228">
        <f t="shared" si="49"/>
        <v>9.0909090909090912E-2</v>
      </c>
      <c r="G143" s="269">
        <f>+F143*G133</f>
        <v>2.0168269000567696E-4</v>
      </c>
      <c r="H143" s="299"/>
      <c r="I143" s="299"/>
      <c r="J143" s="299"/>
      <c r="K143" s="299"/>
      <c r="L143" s="299"/>
      <c r="M143" s="299"/>
      <c r="N143" s="229">
        <v>1</v>
      </c>
      <c r="O143" s="229">
        <v>1</v>
      </c>
      <c r="P143" s="229">
        <v>1</v>
      </c>
      <c r="Q143" s="272">
        <v>1</v>
      </c>
      <c r="R143" s="272">
        <v>1</v>
      </c>
      <c r="S143" s="272">
        <v>1</v>
      </c>
      <c r="T143" s="256">
        <f t="shared" si="47"/>
        <v>1</v>
      </c>
      <c r="U143" s="256">
        <f t="shared" si="39"/>
        <v>1</v>
      </c>
      <c r="V143" s="256">
        <f t="shared" si="40"/>
        <v>1</v>
      </c>
      <c r="W143" s="256">
        <f t="shared" si="50"/>
        <v>1</v>
      </c>
      <c r="X143" s="216"/>
      <c r="Y143" s="216"/>
    </row>
    <row r="144" spans="1:25" s="140" customFormat="1" ht="26.25" hidden="1" outlineLevel="3" thickBot="1">
      <c r="A144" s="216"/>
      <c r="B144" s="255" t="s">
        <v>319</v>
      </c>
      <c r="C144" s="290" t="s">
        <v>251</v>
      </c>
      <c r="D144" s="227" t="s">
        <v>231</v>
      </c>
      <c r="E144" s="241"/>
      <c r="F144" s="228">
        <f t="shared" si="49"/>
        <v>9.0909090909090912E-2</v>
      </c>
      <c r="G144" s="269">
        <f>+F144*G133</f>
        <v>2.0168269000567696E-4</v>
      </c>
      <c r="H144" s="299"/>
      <c r="I144" s="299"/>
      <c r="J144" s="299"/>
      <c r="K144" s="299"/>
      <c r="L144" s="299"/>
      <c r="M144" s="299"/>
      <c r="N144" s="229">
        <v>1</v>
      </c>
      <c r="O144" s="229">
        <v>1</v>
      </c>
      <c r="P144" s="229">
        <v>1</v>
      </c>
      <c r="Q144" s="272">
        <v>1</v>
      </c>
      <c r="R144" s="272">
        <v>1</v>
      </c>
      <c r="S144" s="272">
        <v>1</v>
      </c>
      <c r="T144" s="256">
        <f t="shared" si="47"/>
        <v>1</v>
      </c>
      <c r="U144" s="256">
        <f t="shared" si="39"/>
        <v>1</v>
      </c>
      <c r="V144" s="256">
        <f t="shared" si="40"/>
        <v>1</v>
      </c>
      <c r="W144" s="256">
        <f t="shared" si="50"/>
        <v>1</v>
      </c>
      <c r="X144" s="216"/>
      <c r="Y144" s="216"/>
    </row>
    <row r="145" spans="1:25" s="140" customFormat="1" ht="26.25" hidden="1" outlineLevel="2" thickBot="1">
      <c r="A145" s="216"/>
      <c r="B145" s="291" t="s">
        <v>320</v>
      </c>
      <c r="C145" s="292" t="s">
        <v>39</v>
      </c>
      <c r="D145" s="234" t="s">
        <v>33</v>
      </c>
      <c r="E145" s="240"/>
      <c r="F145" s="223">
        <v>0.10115552784024648</v>
      </c>
      <c r="G145" s="293">
        <f>+F145*G84</f>
        <v>2.3702916513780627E-3</v>
      </c>
      <c r="H145" s="298"/>
      <c r="I145" s="298"/>
      <c r="J145" s="298"/>
      <c r="K145" s="298"/>
      <c r="L145" s="298"/>
      <c r="M145" s="298"/>
      <c r="N145" s="224">
        <f t="shared" ref="N145:S145" si="51">+SUMPRODUCT($F146:$F157,N146:N157)</f>
        <v>1</v>
      </c>
      <c r="O145" s="224">
        <f t="shared" si="51"/>
        <v>1</v>
      </c>
      <c r="P145" s="224">
        <f t="shared" si="51"/>
        <v>1</v>
      </c>
      <c r="Q145" s="270">
        <f t="shared" si="51"/>
        <v>0.91666666666666674</v>
      </c>
      <c r="R145" s="270">
        <f t="shared" si="51"/>
        <v>0.91666666666666674</v>
      </c>
      <c r="S145" s="270">
        <f t="shared" si="51"/>
        <v>0.91666666666666674</v>
      </c>
      <c r="T145" s="254">
        <f t="shared" si="47"/>
        <v>0.91666666666666674</v>
      </c>
      <c r="U145" s="254">
        <f t="shared" si="39"/>
        <v>0.91666666666666674</v>
      </c>
      <c r="V145" s="254">
        <f t="shared" si="40"/>
        <v>0.91666666666666674</v>
      </c>
      <c r="W145" s="254">
        <f t="shared" si="50"/>
        <v>1</v>
      </c>
      <c r="X145" s="216"/>
      <c r="Y145" s="216"/>
    </row>
    <row r="146" spans="1:25" s="140" customFormat="1" ht="26.25" hidden="1" outlineLevel="3" thickBot="1">
      <c r="A146" s="216"/>
      <c r="B146" s="255" t="s">
        <v>321</v>
      </c>
      <c r="C146" s="290" t="s">
        <v>230</v>
      </c>
      <c r="D146" s="227" t="s">
        <v>231</v>
      </c>
      <c r="E146" s="241"/>
      <c r="F146" s="228">
        <f t="shared" ref="F146:F157" si="52">F781</f>
        <v>8.3333333333333329E-2</v>
      </c>
      <c r="G146" s="269">
        <f>+F146*G145</f>
        <v>1.9752430428150521E-4</v>
      </c>
      <c r="H146" s="299"/>
      <c r="I146" s="299"/>
      <c r="J146" s="299"/>
      <c r="K146" s="299"/>
      <c r="L146" s="299"/>
      <c r="M146" s="299"/>
      <c r="N146" s="229">
        <v>1</v>
      </c>
      <c r="O146" s="229">
        <v>1</v>
      </c>
      <c r="P146" s="229">
        <v>1</v>
      </c>
      <c r="Q146" s="272">
        <v>0</v>
      </c>
      <c r="R146" s="272">
        <v>0</v>
      </c>
      <c r="S146" s="272">
        <v>0</v>
      </c>
      <c r="T146" s="256">
        <f t="shared" si="47"/>
        <v>0</v>
      </c>
      <c r="U146" s="256">
        <f t="shared" si="39"/>
        <v>0</v>
      </c>
      <c r="V146" s="256">
        <f t="shared" si="40"/>
        <v>0</v>
      </c>
      <c r="W146" s="256">
        <f t="shared" si="50"/>
        <v>0</v>
      </c>
      <c r="X146" s="216"/>
      <c r="Y146" s="216"/>
    </row>
    <row r="147" spans="1:25" s="140" customFormat="1" ht="26.25" hidden="1" outlineLevel="3" thickBot="1">
      <c r="A147" s="216"/>
      <c r="B147" s="255" t="s">
        <v>322</v>
      </c>
      <c r="C147" s="290" t="s">
        <v>233</v>
      </c>
      <c r="D147" s="227" t="s">
        <v>231</v>
      </c>
      <c r="E147" s="241"/>
      <c r="F147" s="228">
        <f t="shared" si="52"/>
        <v>8.3333333333333329E-2</v>
      </c>
      <c r="G147" s="269">
        <f>+F147*G145</f>
        <v>1.9752430428150521E-4</v>
      </c>
      <c r="H147" s="299"/>
      <c r="I147" s="299"/>
      <c r="J147" s="299"/>
      <c r="K147" s="299"/>
      <c r="L147" s="299"/>
      <c r="M147" s="299"/>
      <c r="N147" s="229">
        <v>1</v>
      </c>
      <c r="O147" s="229">
        <v>1</v>
      </c>
      <c r="P147" s="229">
        <v>1</v>
      </c>
      <c r="Q147" s="272">
        <v>1</v>
      </c>
      <c r="R147" s="272">
        <v>1</v>
      </c>
      <c r="S147" s="272">
        <v>1</v>
      </c>
      <c r="T147" s="256">
        <f t="shared" si="47"/>
        <v>1</v>
      </c>
      <c r="U147" s="256">
        <f t="shared" si="39"/>
        <v>1</v>
      </c>
      <c r="V147" s="256">
        <f t="shared" si="40"/>
        <v>1</v>
      </c>
      <c r="W147" s="256">
        <f t="shared" si="50"/>
        <v>1</v>
      </c>
      <c r="X147" s="216"/>
      <c r="Y147" s="216"/>
    </row>
    <row r="148" spans="1:25" s="140" customFormat="1" ht="26.25" hidden="1" outlineLevel="3" thickBot="1">
      <c r="A148" s="216"/>
      <c r="B148" s="255" t="s">
        <v>323</v>
      </c>
      <c r="C148" s="290" t="s">
        <v>235</v>
      </c>
      <c r="D148" s="227" t="s">
        <v>231</v>
      </c>
      <c r="E148" s="241"/>
      <c r="F148" s="228">
        <f t="shared" si="52"/>
        <v>8.3333333333333329E-2</v>
      </c>
      <c r="G148" s="269">
        <f>+F148*G145</f>
        <v>1.9752430428150521E-4</v>
      </c>
      <c r="H148" s="299"/>
      <c r="I148" s="299"/>
      <c r="J148" s="299"/>
      <c r="K148" s="299"/>
      <c r="L148" s="299"/>
      <c r="M148" s="299"/>
      <c r="N148" s="229">
        <v>1</v>
      </c>
      <c r="O148" s="229">
        <v>1</v>
      </c>
      <c r="P148" s="229">
        <v>1</v>
      </c>
      <c r="Q148" s="272">
        <v>1</v>
      </c>
      <c r="R148" s="272">
        <v>1</v>
      </c>
      <c r="S148" s="272">
        <v>1</v>
      </c>
      <c r="T148" s="256">
        <f t="shared" ref="T148:T179" si="53">+IF(N148=0,0,$S148/N148)</f>
        <v>1</v>
      </c>
      <c r="U148" s="256">
        <f t="shared" si="39"/>
        <v>1</v>
      </c>
      <c r="V148" s="256">
        <f t="shared" si="40"/>
        <v>1</v>
      </c>
      <c r="W148" s="256">
        <f t="shared" si="50"/>
        <v>1</v>
      </c>
      <c r="X148" s="216"/>
      <c r="Y148" s="216"/>
    </row>
    <row r="149" spans="1:25" s="140" customFormat="1" ht="26.25" hidden="1" outlineLevel="3" thickBot="1">
      <c r="A149" s="216"/>
      <c r="B149" s="255" t="s">
        <v>324</v>
      </c>
      <c r="C149" s="290" t="s">
        <v>237</v>
      </c>
      <c r="D149" s="227" t="s">
        <v>231</v>
      </c>
      <c r="E149" s="241"/>
      <c r="F149" s="228">
        <f t="shared" si="52"/>
        <v>8.3333333333333329E-2</v>
      </c>
      <c r="G149" s="269">
        <f>+F149*G145</f>
        <v>1.9752430428150521E-4</v>
      </c>
      <c r="H149" s="299"/>
      <c r="I149" s="299"/>
      <c r="J149" s="299"/>
      <c r="K149" s="299"/>
      <c r="L149" s="299"/>
      <c r="M149" s="299"/>
      <c r="N149" s="229">
        <v>1</v>
      </c>
      <c r="O149" s="229">
        <v>1</v>
      </c>
      <c r="P149" s="229">
        <v>1</v>
      </c>
      <c r="Q149" s="272">
        <v>1</v>
      </c>
      <c r="R149" s="272">
        <v>1</v>
      </c>
      <c r="S149" s="272">
        <v>1</v>
      </c>
      <c r="T149" s="256">
        <f t="shared" si="53"/>
        <v>1</v>
      </c>
      <c r="U149" s="256">
        <f t="shared" si="39"/>
        <v>1</v>
      </c>
      <c r="V149" s="256">
        <f t="shared" si="40"/>
        <v>1</v>
      </c>
      <c r="W149" s="256">
        <f t="shared" si="50"/>
        <v>1</v>
      </c>
      <c r="X149" s="216"/>
      <c r="Y149" s="216"/>
    </row>
    <row r="150" spans="1:25" s="140" customFormat="1" ht="26.25" hidden="1" outlineLevel="3" thickBot="1">
      <c r="A150" s="216"/>
      <c r="B150" s="255" t="s">
        <v>325</v>
      </c>
      <c r="C150" s="290" t="s">
        <v>239</v>
      </c>
      <c r="D150" s="227" t="s">
        <v>231</v>
      </c>
      <c r="E150" s="241"/>
      <c r="F150" s="228">
        <f t="shared" si="52"/>
        <v>8.3333333333333329E-2</v>
      </c>
      <c r="G150" s="269">
        <f>+F150*G145</f>
        <v>1.9752430428150521E-4</v>
      </c>
      <c r="H150" s="299"/>
      <c r="I150" s="299"/>
      <c r="J150" s="299"/>
      <c r="K150" s="299"/>
      <c r="L150" s="299"/>
      <c r="M150" s="299"/>
      <c r="N150" s="229">
        <v>1</v>
      </c>
      <c r="O150" s="229">
        <v>1</v>
      </c>
      <c r="P150" s="229">
        <v>1</v>
      </c>
      <c r="Q150" s="272">
        <v>1</v>
      </c>
      <c r="R150" s="272">
        <v>1</v>
      </c>
      <c r="S150" s="272">
        <v>1</v>
      </c>
      <c r="T150" s="256">
        <f t="shared" si="53"/>
        <v>1</v>
      </c>
      <c r="U150" s="256">
        <f t="shared" si="39"/>
        <v>1</v>
      </c>
      <c r="V150" s="256">
        <f t="shared" si="40"/>
        <v>1</v>
      </c>
      <c r="W150" s="256">
        <f t="shared" si="50"/>
        <v>1</v>
      </c>
      <c r="X150" s="216"/>
      <c r="Y150" s="216"/>
    </row>
    <row r="151" spans="1:25" s="140" customFormat="1" ht="26.25" hidden="1" outlineLevel="3" thickBot="1">
      <c r="A151" s="216"/>
      <c r="B151" s="255" t="s">
        <v>326</v>
      </c>
      <c r="C151" s="290" t="s">
        <v>241</v>
      </c>
      <c r="D151" s="227" t="s">
        <v>231</v>
      </c>
      <c r="E151" s="241"/>
      <c r="F151" s="228">
        <f t="shared" si="52"/>
        <v>8.3333333333333329E-2</v>
      </c>
      <c r="G151" s="269">
        <f>+F151*G145</f>
        <v>1.9752430428150521E-4</v>
      </c>
      <c r="H151" s="299"/>
      <c r="I151" s="299"/>
      <c r="J151" s="299"/>
      <c r="K151" s="299"/>
      <c r="L151" s="299"/>
      <c r="M151" s="299"/>
      <c r="N151" s="229">
        <v>1</v>
      </c>
      <c r="O151" s="229">
        <v>1</v>
      </c>
      <c r="P151" s="229">
        <v>1</v>
      </c>
      <c r="Q151" s="272">
        <v>1</v>
      </c>
      <c r="R151" s="272">
        <v>1</v>
      </c>
      <c r="S151" s="272">
        <v>1</v>
      </c>
      <c r="T151" s="256">
        <f t="shared" si="53"/>
        <v>1</v>
      </c>
      <c r="U151" s="256">
        <f t="shared" si="39"/>
        <v>1</v>
      </c>
      <c r="V151" s="256">
        <f t="shared" si="40"/>
        <v>1</v>
      </c>
      <c r="W151" s="256">
        <f t="shared" si="50"/>
        <v>1</v>
      </c>
      <c r="X151" s="216"/>
      <c r="Y151" s="216"/>
    </row>
    <row r="152" spans="1:25" s="140" customFormat="1" ht="26.25" hidden="1" outlineLevel="3" thickBot="1">
      <c r="A152" s="216"/>
      <c r="B152" s="255" t="s">
        <v>327</v>
      </c>
      <c r="C152" s="290" t="s">
        <v>243</v>
      </c>
      <c r="D152" s="227" t="s">
        <v>231</v>
      </c>
      <c r="E152" s="241"/>
      <c r="F152" s="228">
        <f t="shared" si="52"/>
        <v>8.3333333333333329E-2</v>
      </c>
      <c r="G152" s="269">
        <f>+F152*G145</f>
        <v>1.9752430428150521E-4</v>
      </c>
      <c r="H152" s="299"/>
      <c r="I152" s="299"/>
      <c r="J152" s="299"/>
      <c r="K152" s="299"/>
      <c r="L152" s="299"/>
      <c r="M152" s="299"/>
      <c r="N152" s="229">
        <v>1</v>
      </c>
      <c r="O152" s="229">
        <v>1</v>
      </c>
      <c r="P152" s="229">
        <v>1</v>
      </c>
      <c r="Q152" s="272">
        <v>1</v>
      </c>
      <c r="R152" s="272">
        <v>1</v>
      </c>
      <c r="S152" s="272">
        <v>1</v>
      </c>
      <c r="T152" s="256">
        <f t="shared" si="53"/>
        <v>1</v>
      </c>
      <c r="U152" s="256">
        <f t="shared" si="39"/>
        <v>1</v>
      </c>
      <c r="V152" s="256">
        <f t="shared" si="40"/>
        <v>1</v>
      </c>
      <c r="W152" s="256">
        <f t="shared" si="50"/>
        <v>1</v>
      </c>
      <c r="X152" s="216"/>
      <c r="Y152" s="216"/>
    </row>
    <row r="153" spans="1:25" s="140" customFormat="1" ht="26.25" hidden="1" outlineLevel="3" thickBot="1">
      <c r="A153" s="216"/>
      <c r="B153" s="255" t="s">
        <v>328</v>
      </c>
      <c r="C153" s="290" t="s">
        <v>245</v>
      </c>
      <c r="D153" s="227" t="s">
        <v>231</v>
      </c>
      <c r="E153" s="241"/>
      <c r="F153" s="228">
        <f t="shared" si="52"/>
        <v>8.3333333333333329E-2</v>
      </c>
      <c r="G153" s="269">
        <f>+F153*G145</f>
        <v>1.9752430428150521E-4</v>
      </c>
      <c r="H153" s="299"/>
      <c r="I153" s="299"/>
      <c r="J153" s="299"/>
      <c r="K153" s="299"/>
      <c r="L153" s="299"/>
      <c r="M153" s="299"/>
      <c r="N153" s="229">
        <v>1</v>
      </c>
      <c r="O153" s="229">
        <v>1</v>
      </c>
      <c r="P153" s="229">
        <v>1</v>
      </c>
      <c r="Q153" s="272">
        <v>1</v>
      </c>
      <c r="R153" s="272">
        <v>1</v>
      </c>
      <c r="S153" s="272">
        <v>1</v>
      </c>
      <c r="T153" s="256">
        <f t="shared" si="53"/>
        <v>1</v>
      </c>
      <c r="U153" s="256">
        <f t="shared" si="39"/>
        <v>1</v>
      </c>
      <c r="V153" s="256">
        <f t="shared" si="40"/>
        <v>1</v>
      </c>
      <c r="W153" s="256">
        <f t="shared" si="50"/>
        <v>1</v>
      </c>
      <c r="X153" s="216"/>
      <c r="Y153" s="216"/>
    </row>
    <row r="154" spans="1:25" s="140" customFormat="1" ht="26.25" hidden="1" outlineLevel="3" thickBot="1">
      <c r="A154" s="216"/>
      <c r="B154" s="255" t="s">
        <v>329</v>
      </c>
      <c r="C154" s="290" t="s">
        <v>247</v>
      </c>
      <c r="D154" s="227" t="s">
        <v>231</v>
      </c>
      <c r="E154" s="241"/>
      <c r="F154" s="228">
        <f t="shared" si="52"/>
        <v>8.3333333333333329E-2</v>
      </c>
      <c r="G154" s="269">
        <f>+F154*G145</f>
        <v>1.9752430428150521E-4</v>
      </c>
      <c r="H154" s="299"/>
      <c r="I154" s="299"/>
      <c r="J154" s="299"/>
      <c r="K154" s="299"/>
      <c r="L154" s="299"/>
      <c r="M154" s="299"/>
      <c r="N154" s="229">
        <v>1</v>
      </c>
      <c r="O154" s="229">
        <v>1</v>
      </c>
      <c r="P154" s="229">
        <v>1</v>
      </c>
      <c r="Q154" s="272">
        <v>1</v>
      </c>
      <c r="R154" s="272">
        <v>1</v>
      </c>
      <c r="S154" s="272">
        <v>1</v>
      </c>
      <c r="T154" s="256">
        <f t="shared" si="53"/>
        <v>1</v>
      </c>
      <c r="U154" s="256">
        <f t="shared" si="39"/>
        <v>1</v>
      </c>
      <c r="V154" s="256">
        <f t="shared" si="40"/>
        <v>1</v>
      </c>
      <c r="W154" s="256">
        <f t="shared" si="50"/>
        <v>1</v>
      </c>
      <c r="X154" s="216"/>
      <c r="Y154" s="216"/>
    </row>
    <row r="155" spans="1:25" s="140" customFormat="1" ht="26.25" hidden="1" outlineLevel="3" thickBot="1">
      <c r="A155" s="216"/>
      <c r="B155" s="255" t="s">
        <v>330</v>
      </c>
      <c r="C155" s="290" t="s">
        <v>249</v>
      </c>
      <c r="D155" s="227" t="s">
        <v>231</v>
      </c>
      <c r="E155" s="241"/>
      <c r="F155" s="228">
        <f t="shared" si="52"/>
        <v>8.3333333333333329E-2</v>
      </c>
      <c r="G155" s="269">
        <f>+F155*G145</f>
        <v>1.9752430428150521E-4</v>
      </c>
      <c r="H155" s="299"/>
      <c r="I155" s="299"/>
      <c r="J155" s="299"/>
      <c r="K155" s="299"/>
      <c r="L155" s="299"/>
      <c r="M155" s="299"/>
      <c r="N155" s="229">
        <v>1</v>
      </c>
      <c r="O155" s="229">
        <v>1</v>
      </c>
      <c r="P155" s="229">
        <v>1</v>
      </c>
      <c r="Q155" s="272">
        <v>1</v>
      </c>
      <c r="R155" s="272">
        <v>1</v>
      </c>
      <c r="S155" s="272">
        <v>1</v>
      </c>
      <c r="T155" s="256">
        <f t="shared" si="53"/>
        <v>1</v>
      </c>
      <c r="U155" s="256">
        <f t="shared" si="39"/>
        <v>1</v>
      </c>
      <c r="V155" s="256">
        <f t="shared" si="40"/>
        <v>1</v>
      </c>
      <c r="W155" s="256">
        <f t="shared" si="50"/>
        <v>1</v>
      </c>
      <c r="X155" s="216"/>
      <c r="Y155" s="216"/>
    </row>
    <row r="156" spans="1:25" s="140" customFormat="1" ht="26.25" hidden="1" outlineLevel="3" thickBot="1">
      <c r="A156" s="216"/>
      <c r="B156" s="255" t="s">
        <v>331</v>
      </c>
      <c r="C156" s="290" t="s">
        <v>251</v>
      </c>
      <c r="D156" s="227" t="s">
        <v>231</v>
      </c>
      <c r="E156" s="241"/>
      <c r="F156" s="228">
        <f t="shared" si="52"/>
        <v>8.3333333333333329E-2</v>
      </c>
      <c r="G156" s="269">
        <f>+F156*G145</f>
        <v>1.9752430428150521E-4</v>
      </c>
      <c r="H156" s="299"/>
      <c r="I156" s="299"/>
      <c r="J156" s="299"/>
      <c r="K156" s="299"/>
      <c r="L156" s="299"/>
      <c r="M156" s="299"/>
      <c r="N156" s="229">
        <v>1</v>
      </c>
      <c r="O156" s="229">
        <v>1</v>
      </c>
      <c r="P156" s="229">
        <v>1</v>
      </c>
      <c r="Q156" s="272">
        <v>1</v>
      </c>
      <c r="R156" s="272">
        <v>1</v>
      </c>
      <c r="S156" s="272">
        <v>1</v>
      </c>
      <c r="T156" s="256">
        <f t="shared" si="53"/>
        <v>1</v>
      </c>
      <c r="U156" s="256">
        <f t="shared" si="39"/>
        <v>1</v>
      </c>
      <c r="V156" s="256">
        <f t="shared" si="40"/>
        <v>1</v>
      </c>
      <c r="W156" s="256">
        <f t="shared" si="50"/>
        <v>1</v>
      </c>
      <c r="X156" s="216"/>
      <c r="Y156" s="216"/>
    </row>
    <row r="157" spans="1:25" s="140" customFormat="1" ht="26.25" hidden="1" outlineLevel="3" thickBot="1">
      <c r="A157" s="216"/>
      <c r="B157" s="255" t="s">
        <v>332</v>
      </c>
      <c r="C157" s="290" t="s">
        <v>253</v>
      </c>
      <c r="D157" s="227" t="s">
        <v>231</v>
      </c>
      <c r="E157" s="241"/>
      <c r="F157" s="228">
        <f t="shared" si="52"/>
        <v>8.3333333333333329E-2</v>
      </c>
      <c r="G157" s="269">
        <f>+F157*G145</f>
        <v>1.9752430428150521E-4</v>
      </c>
      <c r="H157" s="299"/>
      <c r="I157" s="299"/>
      <c r="J157" s="299"/>
      <c r="K157" s="299"/>
      <c r="L157" s="299"/>
      <c r="M157" s="299"/>
      <c r="N157" s="229">
        <v>1</v>
      </c>
      <c r="O157" s="229">
        <v>1</v>
      </c>
      <c r="P157" s="229">
        <v>1</v>
      </c>
      <c r="Q157" s="272">
        <v>1</v>
      </c>
      <c r="R157" s="272">
        <v>1</v>
      </c>
      <c r="S157" s="272">
        <v>1</v>
      </c>
      <c r="T157" s="256">
        <f t="shared" si="53"/>
        <v>1</v>
      </c>
      <c r="U157" s="256">
        <f t="shared" si="39"/>
        <v>1</v>
      </c>
      <c r="V157" s="256">
        <f t="shared" si="40"/>
        <v>1</v>
      </c>
      <c r="W157" s="256">
        <f t="shared" si="50"/>
        <v>1</v>
      </c>
      <c r="X157" s="216"/>
      <c r="Y157" s="216"/>
    </row>
    <row r="158" spans="1:25" s="140" customFormat="1" ht="26.25" hidden="1" outlineLevel="2" thickBot="1">
      <c r="A158" s="216"/>
      <c r="B158" s="291" t="s">
        <v>333</v>
      </c>
      <c r="C158" s="292" t="s">
        <v>41</v>
      </c>
      <c r="D158" s="234" t="s">
        <v>33</v>
      </c>
      <c r="E158" s="240"/>
      <c r="F158" s="223">
        <v>0.11541079389014661</v>
      </c>
      <c r="G158" s="293">
        <f>+F158*G84</f>
        <v>2.7043232048450578E-3</v>
      </c>
      <c r="H158" s="298"/>
      <c r="I158" s="298"/>
      <c r="J158" s="298"/>
      <c r="K158" s="298"/>
      <c r="L158" s="298"/>
      <c r="M158" s="298"/>
      <c r="N158" s="224">
        <f t="shared" ref="N158:S158" si="54">+SUMPRODUCT($F159:$F172,N159:N172)</f>
        <v>0.99999999999999967</v>
      </c>
      <c r="O158" s="224">
        <f t="shared" si="54"/>
        <v>0.99999999999999967</v>
      </c>
      <c r="P158" s="224">
        <f t="shared" si="54"/>
        <v>0.99999999999999967</v>
      </c>
      <c r="Q158" s="270">
        <f t="shared" si="54"/>
        <v>0.99999999999999967</v>
      </c>
      <c r="R158" s="270">
        <f t="shared" si="54"/>
        <v>0.99999999999999967</v>
      </c>
      <c r="S158" s="270">
        <f t="shared" si="54"/>
        <v>0.99999999999999967</v>
      </c>
      <c r="T158" s="254">
        <f t="shared" si="53"/>
        <v>1</v>
      </c>
      <c r="U158" s="254">
        <f t="shared" si="39"/>
        <v>1</v>
      </c>
      <c r="V158" s="254">
        <f t="shared" si="40"/>
        <v>1</v>
      </c>
      <c r="W158" s="254">
        <f t="shared" si="50"/>
        <v>1</v>
      </c>
      <c r="X158" s="216"/>
      <c r="Y158" s="216"/>
    </row>
    <row r="159" spans="1:25" s="140" customFormat="1" ht="26.25" hidden="1" outlineLevel="3" thickBot="1">
      <c r="A159" s="216"/>
      <c r="B159" s="255" t="s">
        <v>334</v>
      </c>
      <c r="C159" s="290" t="s">
        <v>230</v>
      </c>
      <c r="D159" s="227" t="s">
        <v>231</v>
      </c>
      <c r="E159" s="241"/>
      <c r="F159" s="228">
        <f t="shared" ref="F159:F172" si="55">F794</f>
        <v>7.1428571428571411E-2</v>
      </c>
      <c r="G159" s="269">
        <f>+F159*G158</f>
        <v>1.9316594320321838E-4</v>
      </c>
      <c r="H159" s="299"/>
      <c r="I159" s="299"/>
      <c r="J159" s="299"/>
      <c r="K159" s="299"/>
      <c r="L159" s="299"/>
      <c r="M159" s="299"/>
      <c r="N159" s="229">
        <v>1</v>
      </c>
      <c r="O159" s="229">
        <v>1</v>
      </c>
      <c r="P159" s="229">
        <v>1</v>
      </c>
      <c r="Q159" s="272">
        <v>1</v>
      </c>
      <c r="R159" s="272">
        <v>1</v>
      </c>
      <c r="S159" s="272">
        <v>1</v>
      </c>
      <c r="T159" s="256">
        <f t="shared" si="53"/>
        <v>1</v>
      </c>
      <c r="U159" s="256">
        <f t="shared" si="39"/>
        <v>1</v>
      </c>
      <c r="V159" s="256">
        <f t="shared" si="40"/>
        <v>1</v>
      </c>
      <c r="W159" s="256">
        <f t="shared" si="50"/>
        <v>1</v>
      </c>
      <c r="X159" s="216"/>
      <c r="Y159" s="216"/>
    </row>
    <row r="160" spans="1:25" s="140" customFormat="1" ht="26.25" hidden="1" outlineLevel="3" thickBot="1">
      <c r="A160" s="216"/>
      <c r="B160" s="255" t="s">
        <v>335</v>
      </c>
      <c r="C160" s="290" t="s">
        <v>233</v>
      </c>
      <c r="D160" s="227" t="s">
        <v>231</v>
      </c>
      <c r="E160" s="241"/>
      <c r="F160" s="228">
        <f t="shared" si="55"/>
        <v>7.1428571428571411E-2</v>
      </c>
      <c r="G160" s="269">
        <f>+F160*G158</f>
        <v>1.9316594320321838E-4</v>
      </c>
      <c r="H160" s="299"/>
      <c r="I160" s="299"/>
      <c r="J160" s="299"/>
      <c r="K160" s="299"/>
      <c r="L160" s="299"/>
      <c r="M160" s="299"/>
      <c r="N160" s="229">
        <v>1</v>
      </c>
      <c r="O160" s="229">
        <v>1</v>
      </c>
      <c r="P160" s="229">
        <v>1</v>
      </c>
      <c r="Q160" s="272">
        <v>1</v>
      </c>
      <c r="R160" s="272">
        <v>1</v>
      </c>
      <c r="S160" s="272">
        <v>1</v>
      </c>
      <c r="T160" s="256">
        <f t="shared" si="53"/>
        <v>1</v>
      </c>
      <c r="U160" s="256">
        <f t="shared" si="39"/>
        <v>1</v>
      </c>
      <c r="V160" s="256">
        <f t="shared" si="40"/>
        <v>1</v>
      </c>
      <c r="W160" s="256">
        <f t="shared" si="50"/>
        <v>1</v>
      </c>
      <c r="X160" s="216"/>
      <c r="Y160" s="216"/>
    </row>
    <row r="161" spans="1:25" s="140" customFormat="1" ht="26.25" hidden="1" outlineLevel="3" thickBot="1">
      <c r="A161" s="216"/>
      <c r="B161" s="255" t="s">
        <v>336</v>
      </c>
      <c r="C161" s="290" t="s">
        <v>235</v>
      </c>
      <c r="D161" s="227" t="s">
        <v>231</v>
      </c>
      <c r="E161" s="241"/>
      <c r="F161" s="228">
        <f t="shared" si="55"/>
        <v>7.1428571428571411E-2</v>
      </c>
      <c r="G161" s="269">
        <f>+F161*G158</f>
        <v>1.9316594320321838E-4</v>
      </c>
      <c r="H161" s="299"/>
      <c r="I161" s="299"/>
      <c r="J161" s="299"/>
      <c r="K161" s="299"/>
      <c r="L161" s="299"/>
      <c r="M161" s="299"/>
      <c r="N161" s="229">
        <v>1</v>
      </c>
      <c r="O161" s="229">
        <v>1</v>
      </c>
      <c r="P161" s="229">
        <v>1</v>
      </c>
      <c r="Q161" s="272">
        <v>1</v>
      </c>
      <c r="R161" s="272">
        <v>1</v>
      </c>
      <c r="S161" s="272">
        <v>1</v>
      </c>
      <c r="T161" s="256">
        <f t="shared" si="53"/>
        <v>1</v>
      </c>
      <c r="U161" s="256">
        <f t="shared" si="39"/>
        <v>1</v>
      </c>
      <c r="V161" s="256">
        <f t="shared" si="40"/>
        <v>1</v>
      </c>
      <c r="W161" s="256">
        <f t="shared" si="50"/>
        <v>1</v>
      </c>
      <c r="X161" s="216"/>
      <c r="Y161" s="216"/>
    </row>
    <row r="162" spans="1:25" s="140" customFormat="1" ht="26.25" hidden="1" outlineLevel="3" thickBot="1">
      <c r="A162" s="216"/>
      <c r="B162" s="255" t="s">
        <v>337</v>
      </c>
      <c r="C162" s="290" t="s">
        <v>237</v>
      </c>
      <c r="D162" s="227" t="s">
        <v>231</v>
      </c>
      <c r="E162" s="241"/>
      <c r="F162" s="228">
        <f t="shared" si="55"/>
        <v>7.1428571428571411E-2</v>
      </c>
      <c r="G162" s="269">
        <f>+F162*G158</f>
        <v>1.9316594320321838E-4</v>
      </c>
      <c r="H162" s="299"/>
      <c r="I162" s="299"/>
      <c r="J162" s="299"/>
      <c r="K162" s="299"/>
      <c r="L162" s="299"/>
      <c r="M162" s="299"/>
      <c r="N162" s="229">
        <v>1</v>
      </c>
      <c r="O162" s="229">
        <v>1</v>
      </c>
      <c r="P162" s="229">
        <v>1</v>
      </c>
      <c r="Q162" s="272">
        <v>1</v>
      </c>
      <c r="R162" s="272">
        <v>1</v>
      </c>
      <c r="S162" s="272">
        <v>1</v>
      </c>
      <c r="T162" s="256">
        <f t="shared" si="53"/>
        <v>1</v>
      </c>
      <c r="U162" s="256">
        <f t="shared" si="39"/>
        <v>1</v>
      </c>
      <c r="V162" s="256">
        <f t="shared" si="40"/>
        <v>1</v>
      </c>
      <c r="W162" s="256">
        <f t="shared" si="50"/>
        <v>1</v>
      </c>
      <c r="X162" s="216"/>
      <c r="Y162" s="216"/>
    </row>
    <row r="163" spans="1:25" s="140" customFormat="1" ht="26.25" hidden="1" outlineLevel="3" thickBot="1">
      <c r="A163" s="216"/>
      <c r="B163" s="255" t="s">
        <v>338</v>
      </c>
      <c r="C163" s="290" t="s">
        <v>239</v>
      </c>
      <c r="D163" s="227" t="s">
        <v>231</v>
      </c>
      <c r="E163" s="241"/>
      <c r="F163" s="228">
        <f t="shared" si="55"/>
        <v>7.1428571428571411E-2</v>
      </c>
      <c r="G163" s="269">
        <f>+F163*G158</f>
        <v>1.9316594320321838E-4</v>
      </c>
      <c r="H163" s="299"/>
      <c r="I163" s="299"/>
      <c r="J163" s="299"/>
      <c r="K163" s="299"/>
      <c r="L163" s="299"/>
      <c r="M163" s="299"/>
      <c r="N163" s="229">
        <v>1</v>
      </c>
      <c r="O163" s="229">
        <v>1</v>
      </c>
      <c r="P163" s="229">
        <v>1</v>
      </c>
      <c r="Q163" s="272">
        <v>1</v>
      </c>
      <c r="R163" s="272">
        <v>1</v>
      </c>
      <c r="S163" s="272">
        <v>1</v>
      </c>
      <c r="T163" s="256">
        <f t="shared" si="53"/>
        <v>1</v>
      </c>
      <c r="U163" s="256">
        <f t="shared" si="39"/>
        <v>1</v>
      </c>
      <c r="V163" s="256">
        <f t="shared" si="40"/>
        <v>1</v>
      </c>
      <c r="W163" s="256">
        <f t="shared" si="50"/>
        <v>1</v>
      </c>
      <c r="X163" s="216"/>
      <c r="Y163" s="216"/>
    </row>
    <row r="164" spans="1:25" s="140" customFormat="1" ht="26.25" hidden="1" outlineLevel="3" thickBot="1">
      <c r="A164" s="216"/>
      <c r="B164" s="255" t="s">
        <v>339</v>
      </c>
      <c r="C164" s="290" t="s">
        <v>241</v>
      </c>
      <c r="D164" s="227" t="s">
        <v>231</v>
      </c>
      <c r="E164" s="241"/>
      <c r="F164" s="228">
        <f t="shared" si="55"/>
        <v>7.1428571428571411E-2</v>
      </c>
      <c r="G164" s="269">
        <f>+F164*G158</f>
        <v>1.9316594320321838E-4</v>
      </c>
      <c r="H164" s="299"/>
      <c r="I164" s="299"/>
      <c r="J164" s="299"/>
      <c r="K164" s="299"/>
      <c r="L164" s="299"/>
      <c r="M164" s="299"/>
      <c r="N164" s="229">
        <v>1</v>
      </c>
      <c r="O164" s="229">
        <v>1</v>
      </c>
      <c r="P164" s="229">
        <v>1</v>
      </c>
      <c r="Q164" s="272">
        <v>1</v>
      </c>
      <c r="R164" s="272">
        <v>1</v>
      </c>
      <c r="S164" s="272">
        <v>1</v>
      </c>
      <c r="T164" s="256">
        <f t="shared" si="53"/>
        <v>1</v>
      </c>
      <c r="U164" s="256">
        <f t="shared" si="39"/>
        <v>1</v>
      </c>
      <c r="V164" s="256">
        <f t="shared" si="40"/>
        <v>1</v>
      </c>
      <c r="W164" s="256">
        <f t="shared" si="50"/>
        <v>1</v>
      </c>
      <c r="X164" s="216"/>
      <c r="Y164" s="216"/>
    </row>
    <row r="165" spans="1:25" s="140" customFormat="1" ht="26.25" hidden="1" outlineLevel="3" thickBot="1">
      <c r="A165" s="216"/>
      <c r="B165" s="255" t="s">
        <v>340</v>
      </c>
      <c r="C165" s="290" t="s">
        <v>243</v>
      </c>
      <c r="D165" s="227" t="s">
        <v>231</v>
      </c>
      <c r="E165" s="241"/>
      <c r="F165" s="228">
        <f t="shared" si="55"/>
        <v>7.1428571428571411E-2</v>
      </c>
      <c r="G165" s="269">
        <f>+F165*G158</f>
        <v>1.9316594320321838E-4</v>
      </c>
      <c r="H165" s="299"/>
      <c r="I165" s="299"/>
      <c r="J165" s="299"/>
      <c r="K165" s="299"/>
      <c r="L165" s="299"/>
      <c r="M165" s="299"/>
      <c r="N165" s="229">
        <v>1</v>
      </c>
      <c r="O165" s="229">
        <v>1</v>
      </c>
      <c r="P165" s="229">
        <v>1</v>
      </c>
      <c r="Q165" s="272">
        <v>1</v>
      </c>
      <c r="R165" s="272">
        <v>1</v>
      </c>
      <c r="S165" s="272">
        <v>1</v>
      </c>
      <c r="T165" s="256">
        <f t="shared" si="53"/>
        <v>1</v>
      </c>
      <c r="U165" s="256">
        <f t="shared" si="39"/>
        <v>1</v>
      </c>
      <c r="V165" s="256">
        <f t="shared" si="40"/>
        <v>1</v>
      </c>
      <c r="W165" s="256">
        <f t="shared" si="50"/>
        <v>1</v>
      </c>
      <c r="X165" s="216"/>
      <c r="Y165" s="216"/>
    </row>
    <row r="166" spans="1:25" s="140" customFormat="1" ht="26.25" hidden="1" outlineLevel="3" thickBot="1">
      <c r="A166" s="216"/>
      <c r="B166" s="255" t="s">
        <v>341</v>
      </c>
      <c r="C166" s="290" t="s">
        <v>245</v>
      </c>
      <c r="D166" s="227" t="s">
        <v>231</v>
      </c>
      <c r="E166" s="241"/>
      <c r="F166" s="228">
        <f t="shared" si="55"/>
        <v>7.1428571428571411E-2</v>
      </c>
      <c r="G166" s="269">
        <f>+F166*G158</f>
        <v>1.9316594320321838E-4</v>
      </c>
      <c r="H166" s="299"/>
      <c r="I166" s="299"/>
      <c r="J166" s="299"/>
      <c r="K166" s="299"/>
      <c r="L166" s="299"/>
      <c r="M166" s="299"/>
      <c r="N166" s="229">
        <v>1</v>
      </c>
      <c r="O166" s="229">
        <v>1</v>
      </c>
      <c r="P166" s="229">
        <v>1</v>
      </c>
      <c r="Q166" s="272">
        <v>1</v>
      </c>
      <c r="R166" s="272">
        <v>1</v>
      </c>
      <c r="S166" s="272">
        <v>1</v>
      </c>
      <c r="T166" s="256">
        <f t="shared" si="53"/>
        <v>1</v>
      </c>
      <c r="U166" s="256">
        <f t="shared" si="39"/>
        <v>1</v>
      </c>
      <c r="V166" s="256">
        <f t="shared" si="40"/>
        <v>1</v>
      </c>
      <c r="W166" s="256">
        <f t="shared" si="50"/>
        <v>1</v>
      </c>
      <c r="X166" s="216"/>
      <c r="Y166" s="216"/>
    </row>
    <row r="167" spans="1:25" s="140" customFormat="1" ht="26.25" hidden="1" outlineLevel="3" thickBot="1">
      <c r="A167" s="216"/>
      <c r="B167" s="255" t="s">
        <v>342</v>
      </c>
      <c r="C167" s="290" t="s">
        <v>247</v>
      </c>
      <c r="D167" s="227" t="s">
        <v>231</v>
      </c>
      <c r="E167" s="241"/>
      <c r="F167" s="228">
        <f t="shared" si="55"/>
        <v>7.1428571428571411E-2</v>
      </c>
      <c r="G167" s="269">
        <f>+F167*G158</f>
        <v>1.9316594320321838E-4</v>
      </c>
      <c r="H167" s="299"/>
      <c r="I167" s="299"/>
      <c r="J167" s="299"/>
      <c r="K167" s="299"/>
      <c r="L167" s="299"/>
      <c r="M167" s="299"/>
      <c r="N167" s="229">
        <v>1</v>
      </c>
      <c r="O167" s="229">
        <v>1</v>
      </c>
      <c r="P167" s="229">
        <v>1</v>
      </c>
      <c r="Q167" s="272">
        <v>1</v>
      </c>
      <c r="R167" s="272">
        <v>1</v>
      </c>
      <c r="S167" s="272">
        <v>1</v>
      </c>
      <c r="T167" s="256">
        <f t="shared" si="53"/>
        <v>1</v>
      </c>
      <c r="U167" s="256">
        <f t="shared" si="39"/>
        <v>1</v>
      </c>
      <c r="V167" s="256">
        <f t="shared" si="40"/>
        <v>1</v>
      </c>
      <c r="W167" s="256">
        <f t="shared" si="50"/>
        <v>1</v>
      </c>
      <c r="X167" s="216"/>
      <c r="Y167" s="216"/>
    </row>
    <row r="168" spans="1:25" s="140" customFormat="1" ht="26.25" hidden="1" outlineLevel="3" thickBot="1">
      <c r="A168" s="216"/>
      <c r="B168" s="255" t="s">
        <v>343</v>
      </c>
      <c r="C168" s="290" t="s">
        <v>249</v>
      </c>
      <c r="D168" s="227" t="s">
        <v>231</v>
      </c>
      <c r="E168" s="241"/>
      <c r="F168" s="228">
        <f t="shared" si="55"/>
        <v>7.1428571428571411E-2</v>
      </c>
      <c r="G168" s="269">
        <f>+F168*G158</f>
        <v>1.9316594320321838E-4</v>
      </c>
      <c r="H168" s="299"/>
      <c r="I168" s="299"/>
      <c r="J168" s="299"/>
      <c r="K168" s="299"/>
      <c r="L168" s="299"/>
      <c r="M168" s="299"/>
      <c r="N168" s="229">
        <v>1</v>
      </c>
      <c r="O168" s="229">
        <v>1</v>
      </c>
      <c r="P168" s="229">
        <v>1</v>
      </c>
      <c r="Q168" s="272">
        <v>1</v>
      </c>
      <c r="R168" s="272">
        <v>1</v>
      </c>
      <c r="S168" s="272">
        <v>1</v>
      </c>
      <c r="T168" s="256">
        <f t="shared" si="53"/>
        <v>1</v>
      </c>
      <c r="U168" s="256">
        <f t="shared" si="39"/>
        <v>1</v>
      </c>
      <c r="V168" s="256">
        <f t="shared" si="40"/>
        <v>1</v>
      </c>
      <c r="W168" s="256">
        <f t="shared" si="50"/>
        <v>1</v>
      </c>
      <c r="X168" s="216"/>
      <c r="Y168" s="216"/>
    </row>
    <row r="169" spans="1:25" s="140" customFormat="1" ht="26.25" hidden="1" outlineLevel="3" thickBot="1">
      <c r="A169" s="216"/>
      <c r="B169" s="255" t="s">
        <v>344</v>
      </c>
      <c r="C169" s="290" t="s">
        <v>251</v>
      </c>
      <c r="D169" s="227" t="s">
        <v>231</v>
      </c>
      <c r="E169" s="241"/>
      <c r="F169" s="228">
        <f t="shared" si="55"/>
        <v>7.1428571428571411E-2</v>
      </c>
      <c r="G169" s="269">
        <f>+F169*G158</f>
        <v>1.9316594320321838E-4</v>
      </c>
      <c r="H169" s="299"/>
      <c r="I169" s="299"/>
      <c r="J169" s="299"/>
      <c r="K169" s="299"/>
      <c r="L169" s="299"/>
      <c r="M169" s="299"/>
      <c r="N169" s="229">
        <v>1</v>
      </c>
      <c r="O169" s="229">
        <v>1</v>
      </c>
      <c r="P169" s="229">
        <v>1</v>
      </c>
      <c r="Q169" s="272">
        <v>1</v>
      </c>
      <c r="R169" s="272">
        <v>1</v>
      </c>
      <c r="S169" s="272">
        <v>1</v>
      </c>
      <c r="T169" s="256">
        <f t="shared" si="53"/>
        <v>1</v>
      </c>
      <c r="U169" s="256">
        <f t="shared" si="39"/>
        <v>1</v>
      </c>
      <c r="V169" s="256">
        <f t="shared" si="40"/>
        <v>1</v>
      </c>
      <c r="W169" s="256">
        <f t="shared" si="50"/>
        <v>1</v>
      </c>
      <c r="X169" s="216"/>
      <c r="Y169" s="216"/>
    </row>
    <row r="170" spans="1:25" s="140" customFormat="1" ht="26.25" hidden="1" outlineLevel="3" thickBot="1">
      <c r="A170" s="216"/>
      <c r="B170" s="255" t="s">
        <v>345</v>
      </c>
      <c r="C170" s="290" t="s">
        <v>253</v>
      </c>
      <c r="D170" s="227" t="s">
        <v>231</v>
      </c>
      <c r="E170" s="241"/>
      <c r="F170" s="228">
        <f t="shared" si="55"/>
        <v>7.1428571428571411E-2</v>
      </c>
      <c r="G170" s="269">
        <f>+F170*G158</f>
        <v>1.9316594320321838E-4</v>
      </c>
      <c r="H170" s="299"/>
      <c r="I170" s="299"/>
      <c r="J170" s="299"/>
      <c r="K170" s="299"/>
      <c r="L170" s="299"/>
      <c r="M170" s="299"/>
      <c r="N170" s="229">
        <v>1</v>
      </c>
      <c r="O170" s="229">
        <v>1</v>
      </c>
      <c r="P170" s="229">
        <v>1</v>
      </c>
      <c r="Q170" s="272">
        <v>1</v>
      </c>
      <c r="R170" s="272">
        <v>1</v>
      </c>
      <c r="S170" s="272">
        <v>1</v>
      </c>
      <c r="T170" s="256">
        <f t="shared" si="53"/>
        <v>1</v>
      </c>
      <c r="U170" s="256">
        <f t="shared" si="39"/>
        <v>1</v>
      </c>
      <c r="V170" s="256">
        <f t="shared" si="40"/>
        <v>1</v>
      </c>
      <c r="W170" s="256">
        <f t="shared" si="50"/>
        <v>1</v>
      </c>
      <c r="X170" s="216"/>
      <c r="Y170" s="216"/>
    </row>
    <row r="171" spans="1:25" s="140" customFormat="1" ht="26.25" hidden="1" outlineLevel="3" thickBot="1">
      <c r="A171" s="216"/>
      <c r="B171" s="255" t="s">
        <v>346</v>
      </c>
      <c r="C171" s="290" t="s">
        <v>285</v>
      </c>
      <c r="D171" s="227" t="s">
        <v>231</v>
      </c>
      <c r="E171" s="241"/>
      <c r="F171" s="228">
        <f t="shared" si="55"/>
        <v>7.1428571428571411E-2</v>
      </c>
      <c r="G171" s="269">
        <f>+F171*G158</f>
        <v>1.9316594320321838E-4</v>
      </c>
      <c r="H171" s="299"/>
      <c r="I171" s="299"/>
      <c r="J171" s="299"/>
      <c r="K171" s="299"/>
      <c r="L171" s="299"/>
      <c r="M171" s="299"/>
      <c r="N171" s="229">
        <v>1</v>
      </c>
      <c r="O171" s="229">
        <v>1</v>
      </c>
      <c r="P171" s="229">
        <v>1</v>
      </c>
      <c r="Q171" s="272">
        <v>1</v>
      </c>
      <c r="R171" s="272">
        <v>1</v>
      </c>
      <c r="S171" s="272">
        <v>1</v>
      </c>
      <c r="T171" s="256">
        <f t="shared" si="53"/>
        <v>1</v>
      </c>
      <c r="U171" s="256">
        <f t="shared" si="39"/>
        <v>1</v>
      </c>
      <c r="V171" s="256">
        <f t="shared" si="40"/>
        <v>1</v>
      </c>
      <c r="W171" s="256">
        <f t="shared" si="50"/>
        <v>1</v>
      </c>
      <c r="X171" s="216"/>
      <c r="Y171" s="216"/>
    </row>
    <row r="172" spans="1:25" s="140" customFormat="1" ht="26.25" hidden="1" outlineLevel="3" thickBot="1">
      <c r="A172" s="216"/>
      <c r="B172" s="255" t="s">
        <v>347</v>
      </c>
      <c r="C172" s="290" t="s">
        <v>287</v>
      </c>
      <c r="D172" s="227" t="s">
        <v>231</v>
      </c>
      <c r="E172" s="241"/>
      <c r="F172" s="228">
        <f t="shared" si="55"/>
        <v>7.1428571428571411E-2</v>
      </c>
      <c r="G172" s="269">
        <f>+F172*G158</f>
        <v>1.9316594320321838E-4</v>
      </c>
      <c r="H172" s="299"/>
      <c r="I172" s="299"/>
      <c r="J172" s="299"/>
      <c r="K172" s="299"/>
      <c r="L172" s="299"/>
      <c r="M172" s="299"/>
      <c r="N172" s="229">
        <v>1</v>
      </c>
      <c r="O172" s="229">
        <v>1</v>
      </c>
      <c r="P172" s="229">
        <v>1</v>
      </c>
      <c r="Q172" s="272">
        <v>1</v>
      </c>
      <c r="R172" s="272">
        <v>1</v>
      </c>
      <c r="S172" s="272">
        <v>1</v>
      </c>
      <c r="T172" s="256">
        <f t="shared" si="53"/>
        <v>1</v>
      </c>
      <c r="U172" s="256">
        <f t="shared" si="39"/>
        <v>1</v>
      </c>
      <c r="V172" s="256">
        <f t="shared" si="40"/>
        <v>1</v>
      </c>
      <c r="W172" s="256">
        <f t="shared" si="50"/>
        <v>1</v>
      </c>
      <c r="X172" s="216"/>
      <c r="Y172" s="216"/>
    </row>
    <row r="173" spans="1:25" s="140" customFormat="1" ht="26.25" hidden="1" outlineLevel="2" thickBot="1">
      <c r="A173" s="216"/>
      <c r="B173" s="291" t="s">
        <v>348</v>
      </c>
      <c r="C173" s="292" t="s">
        <v>43</v>
      </c>
      <c r="D173" s="234" t="s">
        <v>33</v>
      </c>
      <c r="E173" s="240"/>
      <c r="F173" s="223">
        <v>0.13984312067866289</v>
      </c>
      <c r="G173" s="293">
        <f>+F173*G84</f>
        <v>3.276825187159064E-3</v>
      </c>
      <c r="H173" s="298"/>
      <c r="I173" s="298"/>
      <c r="J173" s="298"/>
      <c r="K173" s="298"/>
      <c r="L173" s="298"/>
      <c r="M173" s="298"/>
      <c r="N173" s="224">
        <f t="shared" ref="N173:S173" si="56">+SUMPRODUCT($F174:$F190,N174:N190)</f>
        <v>1.0000000000000002</v>
      </c>
      <c r="O173" s="224">
        <f t="shared" si="56"/>
        <v>1.0000000000000002</v>
      </c>
      <c r="P173" s="224">
        <f t="shared" si="56"/>
        <v>1.0000000000000002</v>
      </c>
      <c r="Q173" s="270">
        <f t="shared" si="56"/>
        <v>1.0000000000000002</v>
      </c>
      <c r="R173" s="270">
        <f t="shared" si="56"/>
        <v>1.0000000000000002</v>
      </c>
      <c r="S173" s="270">
        <f t="shared" si="56"/>
        <v>1.0000000000000002</v>
      </c>
      <c r="T173" s="254">
        <f t="shared" si="53"/>
        <v>1</v>
      </c>
      <c r="U173" s="254">
        <f t="shared" si="39"/>
        <v>1</v>
      </c>
      <c r="V173" s="254">
        <f t="shared" si="40"/>
        <v>1</v>
      </c>
      <c r="W173" s="254">
        <f t="shared" si="50"/>
        <v>1</v>
      </c>
      <c r="X173" s="216"/>
      <c r="Y173" s="216"/>
    </row>
    <row r="174" spans="1:25" s="140" customFormat="1" ht="26.25" hidden="1" outlineLevel="3" thickBot="1">
      <c r="A174" s="216"/>
      <c r="B174" s="255" t="s">
        <v>349</v>
      </c>
      <c r="C174" s="290" t="s">
        <v>230</v>
      </c>
      <c r="D174" s="227" t="s">
        <v>231</v>
      </c>
      <c r="E174" s="241"/>
      <c r="F174" s="228">
        <f t="shared" ref="F174:F190" si="57">F809</f>
        <v>6.2251019714089834E-2</v>
      </c>
      <c r="G174" s="269">
        <f>+F174*G173</f>
        <v>2.0398570932546499E-4</v>
      </c>
      <c r="H174" s="299"/>
      <c r="I174" s="299"/>
      <c r="J174" s="299"/>
      <c r="K174" s="299"/>
      <c r="L174" s="299"/>
      <c r="M174" s="299"/>
      <c r="N174" s="229">
        <v>1</v>
      </c>
      <c r="O174" s="229">
        <v>1</v>
      </c>
      <c r="P174" s="229">
        <v>1</v>
      </c>
      <c r="Q174" s="272">
        <v>1</v>
      </c>
      <c r="R174" s="272">
        <v>1</v>
      </c>
      <c r="S174" s="272">
        <v>1</v>
      </c>
      <c r="T174" s="256">
        <f t="shared" si="53"/>
        <v>1</v>
      </c>
      <c r="U174" s="256">
        <f t="shared" si="39"/>
        <v>1</v>
      </c>
      <c r="V174" s="256">
        <f t="shared" si="40"/>
        <v>1</v>
      </c>
      <c r="W174" s="256">
        <f t="shared" si="50"/>
        <v>1</v>
      </c>
      <c r="X174" s="216"/>
      <c r="Y174" s="216"/>
    </row>
    <row r="175" spans="1:25" s="140" customFormat="1" ht="26.25" hidden="1" outlineLevel="3" thickBot="1">
      <c r="A175" s="216"/>
      <c r="B175" s="255" t="s">
        <v>350</v>
      </c>
      <c r="C175" s="290" t="s">
        <v>233</v>
      </c>
      <c r="D175" s="227" t="s">
        <v>231</v>
      </c>
      <c r="E175" s="241"/>
      <c r="F175" s="228">
        <f t="shared" si="57"/>
        <v>6.2251019714089834E-2</v>
      </c>
      <c r="G175" s="269">
        <f>+F175*G173</f>
        <v>2.0398570932546499E-4</v>
      </c>
      <c r="H175" s="299"/>
      <c r="I175" s="299"/>
      <c r="J175" s="299"/>
      <c r="K175" s="299"/>
      <c r="L175" s="299"/>
      <c r="M175" s="299"/>
      <c r="N175" s="229">
        <v>1</v>
      </c>
      <c r="O175" s="229">
        <v>1</v>
      </c>
      <c r="P175" s="229">
        <v>1</v>
      </c>
      <c r="Q175" s="272">
        <v>1</v>
      </c>
      <c r="R175" s="272">
        <v>1</v>
      </c>
      <c r="S175" s="272">
        <v>1</v>
      </c>
      <c r="T175" s="256">
        <f t="shared" si="53"/>
        <v>1</v>
      </c>
      <c r="U175" s="256">
        <f t="shared" si="39"/>
        <v>1</v>
      </c>
      <c r="V175" s="256">
        <f t="shared" si="40"/>
        <v>1</v>
      </c>
      <c r="W175" s="256">
        <f t="shared" si="50"/>
        <v>1</v>
      </c>
      <c r="X175" s="216"/>
      <c r="Y175" s="216"/>
    </row>
    <row r="176" spans="1:25" s="140" customFormat="1" ht="26.25" hidden="1" outlineLevel="3" thickBot="1">
      <c r="A176" s="216"/>
      <c r="B176" s="255" t="s">
        <v>351</v>
      </c>
      <c r="C176" s="290" t="s">
        <v>235</v>
      </c>
      <c r="D176" s="227" t="s">
        <v>231</v>
      </c>
      <c r="E176" s="241"/>
      <c r="F176" s="228">
        <f t="shared" si="57"/>
        <v>6.2251019714089834E-2</v>
      </c>
      <c r="G176" s="269">
        <f>+F176*G173</f>
        <v>2.0398570932546499E-4</v>
      </c>
      <c r="H176" s="299"/>
      <c r="I176" s="299"/>
      <c r="J176" s="299"/>
      <c r="K176" s="299"/>
      <c r="L176" s="299"/>
      <c r="M176" s="299"/>
      <c r="N176" s="229">
        <v>1</v>
      </c>
      <c r="O176" s="229">
        <v>1</v>
      </c>
      <c r="P176" s="229">
        <v>1</v>
      </c>
      <c r="Q176" s="272">
        <v>1</v>
      </c>
      <c r="R176" s="272">
        <v>1</v>
      </c>
      <c r="S176" s="272">
        <v>1</v>
      </c>
      <c r="T176" s="256">
        <f t="shared" si="53"/>
        <v>1</v>
      </c>
      <c r="U176" s="256">
        <f t="shared" si="39"/>
        <v>1</v>
      </c>
      <c r="V176" s="256">
        <f t="shared" si="40"/>
        <v>1</v>
      </c>
      <c r="W176" s="256">
        <f t="shared" si="50"/>
        <v>1</v>
      </c>
      <c r="X176" s="216"/>
      <c r="Y176" s="216"/>
    </row>
    <row r="177" spans="1:25" s="140" customFormat="1" ht="26.25" hidden="1" outlineLevel="3" thickBot="1">
      <c r="A177" s="216"/>
      <c r="B177" s="255" t="s">
        <v>352</v>
      </c>
      <c r="C177" s="290" t="s">
        <v>237</v>
      </c>
      <c r="D177" s="227" t="s">
        <v>231</v>
      </c>
      <c r="E177" s="241"/>
      <c r="F177" s="228">
        <f t="shared" si="57"/>
        <v>6.2251019714089834E-2</v>
      </c>
      <c r="G177" s="269">
        <f>+F177*G173</f>
        <v>2.0398570932546499E-4</v>
      </c>
      <c r="H177" s="299"/>
      <c r="I177" s="299"/>
      <c r="J177" s="299"/>
      <c r="K177" s="299"/>
      <c r="L177" s="299"/>
      <c r="M177" s="299"/>
      <c r="N177" s="229">
        <v>1</v>
      </c>
      <c r="O177" s="229">
        <v>1</v>
      </c>
      <c r="P177" s="229">
        <v>1</v>
      </c>
      <c r="Q177" s="272">
        <v>1</v>
      </c>
      <c r="R177" s="272">
        <v>1</v>
      </c>
      <c r="S177" s="272">
        <v>1</v>
      </c>
      <c r="T177" s="256">
        <f t="shared" si="53"/>
        <v>1</v>
      </c>
      <c r="U177" s="256">
        <f t="shared" si="39"/>
        <v>1</v>
      </c>
      <c r="V177" s="256">
        <f t="shared" si="40"/>
        <v>1</v>
      </c>
      <c r="W177" s="256">
        <f t="shared" si="50"/>
        <v>1</v>
      </c>
      <c r="X177" s="216"/>
      <c r="Y177" s="216"/>
    </row>
    <row r="178" spans="1:25" s="140" customFormat="1" ht="26.25" hidden="1" outlineLevel="3" thickBot="1">
      <c r="A178" s="216"/>
      <c r="B178" s="255" t="s">
        <v>353</v>
      </c>
      <c r="C178" s="290" t="s">
        <v>239</v>
      </c>
      <c r="D178" s="227" t="s">
        <v>231</v>
      </c>
      <c r="E178" s="241"/>
      <c r="F178" s="228">
        <f t="shared" si="57"/>
        <v>6.2251019714089834E-2</v>
      </c>
      <c r="G178" s="269">
        <f>+F178*G173</f>
        <v>2.0398570932546499E-4</v>
      </c>
      <c r="H178" s="299"/>
      <c r="I178" s="299"/>
      <c r="J178" s="299"/>
      <c r="K178" s="299"/>
      <c r="L178" s="299"/>
      <c r="M178" s="299"/>
      <c r="N178" s="229">
        <v>1</v>
      </c>
      <c r="O178" s="229">
        <v>1</v>
      </c>
      <c r="P178" s="229">
        <v>1</v>
      </c>
      <c r="Q178" s="272">
        <v>1</v>
      </c>
      <c r="R178" s="272">
        <v>1</v>
      </c>
      <c r="S178" s="272">
        <v>1</v>
      </c>
      <c r="T178" s="256">
        <f t="shared" si="53"/>
        <v>1</v>
      </c>
      <c r="U178" s="256">
        <f t="shared" si="39"/>
        <v>1</v>
      </c>
      <c r="V178" s="256">
        <f t="shared" si="40"/>
        <v>1</v>
      </c>
      <c r="W178" s="256">
        <f t="shared" si="50"/>
        <v>1</v>
      </c>
      <c r="X178" s="216"/>
      <c r="Y178" s="216"/>
    </row>
    <row r="179" spans="1:25" s="140" customFormat="1" ht="26.25" hidden="1" outlineLevel="3" thickBot="1">
      <c r="A179" s="216"/>
      <c r="B179" s="255" t="s">
        <v>354</v>
      </c>
      <c r="C179" s="290" t="s">
        <v>241</v>
      </c>
      <c r="D179" s="227" t="s">
        <v>231</v>
      </c>
      <c r="E179" s="241"/>
      <c r="F179" s="228">
        <f t="shared" si="57"/>
        <v>6.2251019714089834E-2</v>
      </c>
      <c r="G179" s="269">
        <f>+F179*G173</f>
        <v>2.0398570932546499E-4</v>
      </c>
      <c r="H179" s="299"/>
      <c r="I179" s="299"/>
      <c r="J179" s="299"/>
      <c r="K179" s="299"/>
      <c r="L179" s="299"/>
      <c r="M179" s="299"/>
      <c r="N179" s="229">
        <v>1</v>
      </c>
      <c r="O179" s="229">
        <v>1</v>
      </c>
      <c r="P179" s="229">
        <v>1</v>
      </c>
      <c r="Q179" s="272">
        <v>1</v>
      </c>
      <c r="R179" s="272">
        <v>1</v>
      </c>
      <c r="S179" s="272">
        <v>1</v>
      </c>
      <c r="T179" s="256">
        <f t="shared" si="53"/>
        <v>1</v>
      </c>
      <c r="U179" s="256">
        <f t="shared" si="39"/>
        <v>1</v>
      </c>
      <c r="V179" s="256">
        <f t="shared" si="40"/>
        <v>1</v>
      </c>
      <c r="W179" s="256">
        <f t="shared" si="50"/>
        <v>1</v>
      </c>
      <c r="X179" s="216"/>
      <c r="Y179" s="216"/>
    </row>
    <row r="180" spans="1:25" s="140" customFormat="1" ht="26.25" hidden="1" outlineLevel="3" thickBot="1">
      <c r="A180" s="216"/>
      <c r="B180" s="255" t="s">
        <v>355</v>
      </c>
      <c r="C180" s="290" t="s">
        <v>243</v>
      </c>
      <c r="D180" s="227" t="s">
        <v>231</v>
      </c>
      <c r="E180" s="241"/>
      <c r="F180" s="228">
        <f t="shared" si="57"/>
        <v>6.2251019714089834E-2</v>
      </c>
      <c r="G180" s="269">
        <f>+F180*G173</f>
        <v>2.0398570932546499E-4</v>
      </c>
      <c r="H180" s="299"/>
      <c r="I180" s="299"/>
      <c r="J180" s="299"/>
      <c r="K180" s="299"/>
      <c r="L180" s="299"/>
      <c r="M180" s="299"/>
      <c r="N180" s="229">
        <v>1</v>
      </c>
      <c r="O180" s="229">
        <v>1</v>
      </c>
      <c r="P180" s="229">
        <v>1</v>
      </c>
      <c r="Q180" s="272">
        <v>1</v>
      </c>
      <c r="R180" s="272">
        <v>1</v>
      </c>
      <c r="S180" s="272">
        <v>1</v>
      </c>
      <c r="T180" s="256">
        <f t="shared" ref="T180:T211" si="58">+IF(N180=0,0,$S180/N180)</f>
        <v>1</v>
      </c>
      <c r="U180" s="256">
        <f t="shared" si="39"/>
        <v>1</v>
      </c>
      <c r="V180" s="256">
        <f t="shared" si="40"/>
        <v>1</v>
      </c>
      <c r="W180" s="256">
        <f t="shared" si="50"/>
        <v>1</v>
      </c>
      <c r="X180" s="216"/>
      <c r="Y180" s="216"/>
    </row>
    <row r="181" spans="1:25" s="140" customFormat="1" ht="26.25" hidden="1" outlineLevel="3" thickBot="1">
      <c r="A181" s="216"/>
      <c r="B181" s="255" t="s">
        <v>356</v>
      </c>
      <c r="C181" s="290" t="s">
        <v>245</v>
      </c>
      <c r="D181" s="227" t="s">
        <v>231</v>
      </c>
      <c r="E181" s="241"/>
      <c r="F181" s="228">
        <f t="shared" si="57"/>
        <v>6.2251019714089834E-2</v>
      </c>
      <c r="G181" s="269">
        <f>+F181*G173</f>
        <v>2.0398570932546499E-4</v>
      </c>
      <c r="H181" s="299"/>
      <c r="I181" s="299"/>
      <c r="J181" s="299"/>
      <c r="K181" s="299"/>
      <c r="L181" s="299"/>
      <c r="M181" s="299"/>
      <c r="N181" s="229">
        <v>1</v>
      </c>
      <c r="O181" s="229">
        <v>1</v>
      </c>
      <c r="P181" s="229">
        <v>1</v>
      </c>
      <c r="Q181" s="272">
        <v>1</v>
      </c>
      <c r="R181" s="272">
        <v>1</v>
      </c>
      <c r="S181" s="272">
        <v>1</v>
      </c>
      <c r="T181" s="256">
        <f t="shared" si="58"/>
        <v>1</v>
      </c>
      <c r="U181" s="256">
        <f t="shared" si="39"/>
        <v>1</v>
      </c>
      <c r="V181" s="256">
        <f t="shared" si="40"/>
        <v>1</v>
      </c>
      <c r="W181" s="256">
        <f t="shared" si="50"/>
        <v>1</v>
      </c>
      <c r="X181" s="216"/>
      <c r="Y181" s="216"/>
    </row>
    <row r="182" spans="1:25" s="140" customFormat="1" ht="26.25" hidden="1" outlineLevel="3" thickBot="1">
      <c r="A182" s="216"/>
      <c r="B182" s="255" t="s">
        <v>357</v>
      </c>
      <c r="C182" s="290" t="s">
        <v>247</v>
      </c>
      <c r="D182" s="227" t="s">
        <v>231</v>
      </c>
      <c r="E182" s="241"/>
      <c r="F182" s="228">
        <f t="shared" si="57"/>
        <v>6.2251019714089834E-2</v>
      </c>
      <c r="G182" s="269">
        <f>+F182*G173</f>
        <v>2.0398570932546499E-4</v>
      </c>
      <c r="H182" s="299"/>
      <c r="I182" s="299"/>
      <c r="J182" s="299"/>
      <c r="K182" s="299"/>
      <c r="L182" s="299"/>
      <c r="M182" s="299"/>
      <c r="N182" s="229">
        <v>1</v>
      </c>
      <c r="O182" s="229">
        <v>1</v>
      </c>
      <c r="P182" s="229">
        <v>1</v>
      </c>
      <c r="Q182" s="272">
        <v>1</v>
      </c>
      <c r="R182" s="272">
        <v>1</v>
      </c>
      <c r="S182" s="272">
        <v>1</v>
      </c>
      <c r="T182" s="256">
        <f t="shared" si="58"/>
        <v>1</v>
      </c>
      <c r="U182" s="256">
        <f t="shared" si="39"/>
        <v>1</v>
      </c>
      <c r="V182" s="256">
        <f t="shared" si="40"/>
        <v>1</v>
      </c>
      <c r="W182" s="256">
        <f t="shared" si="50"/>
        <v>1</v>
      </c>
      <c r="X182" s="216"/>
      <c r="Y182" s="216"/>
    </row>
    <row r="183" spans="1:25" s="140" customFormat="1" ht="26.25" hidden="1" outlineLevel="3" thickBot="1">
      <c r="A183" s="216"/>
      <c r="B183" s="255" t="s">
        <v>358</v>
      </c>
      <c r="C183" s="290" t="s">
        <v>249</v>
      </c>
      <c r="D183" s="227" t="s">
        <v>231</v>
      </c>
      <c r="E183" s="241"/>
      <c r="F183" s="228">
        <f t="shared" si="57"/>
        <v>6.2251019714089834E-2</v>
      </c>
      <c r="G183" s="269">
        <f>+F183*G173</f>
        <v>2.0398570932546499E-4</v>
      </c>
      <c r="H183" s="299"/>
      <c r="I183" s="299"/>
      <c r="J183" s="299"/>
      <c r="K183" s="299"/>
      <c r="L183" s="299"/>
      <c r="M183" s="299"/>
      <c r="N183" s="229">
        <v>1</v>
      </c>
      <c r="O183" s="229">
        <v>1</v>
      </c>
      <c r="P183" s="229">
        <v>1</v>
      </c>
      <c r="Q183" s="272">
        <v>1</v>
      </c>
      <c r="R183" s="272">
        <v>1</v>
      </c>
      <c r="S183" s="272">
        <v>1</v>
      </c>
      <c r="T183" s="256">
        <f t="shared" si="58"/>
        <v>1</v>
      </c>
      <c r="U183" s="256">
        <f t="shared" si="39"/>
        <v>1</v>
      </c>
      <c r="V183" s="256">
        <f t="shared" si="40"/>
        <v>1</v>
      </c>
      <c r="W183" s="256">
        <f t="shared" si="50"/>
        <v>1</v>
      </c>
      <c r="X183" s="216"/>
      <c r="Y183" s="216"/>
    </row>
    <row r="184" spans="1:25" s="140" customFormat="1" ht="26.25" hidden="1" outlineLevel="3" thickBot="1">
      <c r="A184" s="216"/>
      <c r="B184" s="255" t="s">
        <v>359</v>
      </c>
      <c r="C184" s="290" t="s">
        <v>251</v>
      </c>
      <c r="D184" s="227" t="s">
        <v>231</v>
      </c>
      <c r="E184" s="241"/>
      <c r="F184" s="228">
        <f t="shared" si="57"/>
        <v>6.2251019714089834E-2</v>
      </c>
      <c r="G184" s="269">
        <f>+F184*G173</f>
        <v>2.0398570932546499E-4</v>
      </c>
      <c r="H184" s="299"/>
      <c r="I184" s="299"/>
      <c r="J184" s="299"/>
      <c r="K184" s="299"/>
      <c r="L184" s="299"/>
      <c r="M184" s="299"/>
      <c r="N184" s="229">
        <v>1</v>
      </c>
      <c r="O184" s="229">
        <v>1</v>
      </c>
      <c r="P184" s="229">
        <v>1</v>
      </c>
      <c r="Q184" s="272">
        <v>1</v>
      </c>
      <c r="R184" s="272">
        <v>1</v>
      </c>
      <c r="S184" s="272">
        <v>1</v>
      </c>
      <c r="T184" s="256">
        <f t="shared" si="58"/>
        <v>1</v>
      </c>
      <c r="U184" s="256">
        <f t="shared" si="39"/>
        <v>1</v>
      </c>
      <c r="V184" s="256">
        <f t="shared" si="40"/>
        <v>1</v>
      </c>
      <c r="W184" s="256">
        <f t="shared" si="50"/>
        <v>1</v>
      </c>
      <c r="X184" s="216"/>
      <c r="Y184" s="216"/>
    </row>
    <row r="185" spans="1:25" s="140" customFormat="1" ht="26.25" hidden="1" outlineLevel="3" thickBot="1">
      <c r="A185" s="216"/>
      <c r="B185" s="255" t="s">
        <v>360</v>
      </c>
      <c r="C185" s="290" t="s">
        <v>253</v>
      </c>
      <c r="D185" s="227" t="s">
        <v>231</v>
      </c>
      <c r="E185" s="241"/>
      <c r="F185" s="228">
        <f t="shared" si="57"/>
        <v>6.2251019714089834E-2</v>
      </c>
      <c r="G185" s="269">
        <f>+F185*G173</f>
        <v>2.0398570932546499E-4</v>
      </c>
      <c r="H185" s="299"/>
      <c r="I185" s="299"/>
      <c r="J185" s="299"/>
      <c r="K185" s="299"/>
      <c r="L185" s="299"/>
      <c r="M185" s="299"/>
      <c r="N185" s="229">
        <v>1</v>
      </c>
      <c r="O185" s="229">
        <v>1</v>
      </c>
      <c r="P185" s="229">
        <v>1</v>
      </c>
      <c r="Q185" s="272">
        <v>1</v>
      </c>
      <c r="R185" s="272">
        <v>1</v>
      </c>
      <c r="S185" s="272">
        <v>1</v>
      </c>
      <c r="T185" s="256">
        <f t="shared" si="58"/>
        <v>1</v>
      </c>
      <c r="U185" s="256">
        <f t="shared" si="39"/>
        <v>1</v>
      </c>
      <c r="V185" s="256">
        <f t="shared" si="40"/>
        <v>1</v>
      </c>
      <c r="W185" s="256">
        <f t="shared" si="50"/>
        <v>1</v>
      </c>
      <c r="X185" s="216"/>
      <c r="Y185" s="216"/>
    </row>
    <row r="186" spans="1:25" s="140" customFormat="1" ht="26.25" hidden="1" outlineLevel="3" thickBot="1">
      <c r="A186" s="216"/>
      <c r="B186" s="255" t="s">
        <v>361</v>
      </c>
      <c r="C186" s="290" t="s">
        <v>285</v>
      </c>
      <c r="D186" s="227" t="s">
        <v>231</v>
      </c>
      <c r="E186" s="241"/>
      <c r="F186" s="228">
        <f t="shared" si="57"/>
        <v>6.2251019714089834E-2</v>
      </c>
      <c r="G186" s="269">
        <f>+F186*G173</f>
        <v>2.0398570932546499E-4</v>
      </c>
      <c r="H186" s="299"/>
      <c r="I186" s="299"/>
      <c r="J186" s="299"/>
      <c r="K186" s="299"/>
      <c r="L186" s="299"/>
      <c r="M186" s="299"/>
      <c r="N186" s="229">
        <v>1</v>
      </c>
      <c r="O186" s="229">
        <v>1</v>
      </c>
      <c r="P186" s="229">
        <v>1</v>
      </c>
      <c r="Q186" s="272">
        <v>1</v>
      </c>
      <c r="R186" s="272">
        <v>1</v>
      </c>
      <c r="S186" s="272">
        <v>1</v>
      </c>
      <c r="T186" s="256">
        <f t="shared" si="58"/>
        <v>1</v>
      </c>
      <c r="U186" s="256">
        <f t="shared" si="39"/>
        <v>1</v>
      </c>
      <c r="V186" s="256">
        <f t="shared" si="40"/>
        <v>1</v>
      </c>
      <c r="W186" s="256">
        <f t="shared" si="50"/>
        <v>1</v>
      </c>
      <c r="X186" s="216"/>
      <c r="Y186" s="216"/>
    </row>
    <row r="187" spans="1:25" s="140" customFormat="1" ht="26.25" hidden="1" outlineLevel="3" thickBot="1">
      <c r="A187" s="216"/>
      <c r="B187" s="255" t="s">
        <v>362</v>
      </c>
      <c r="C187" s="290" t="s">
        <v>287</v>
      </c>
      <c r="D187" s="227" t="s">
        <v>231</v>
      </c>
      <c r="E187" s="241"/>
      <c r="F187" s="228">
        <f t="shared" si="57"/>
        <v>6.2251019714089834E-2</v>
      </c>
      <c r="G187" s="269">
        <f>+F187*G173</f>
        <v>2.0398570932546499E-4</v>
      </c>
      <c r="H187" s="299"/>
      <c r="I187" s="299"/>
      <c r="J187" s="299"/>
      <c r="K187" s="299"/>
      <c r="L187" s="299"/>
      <c r="M187" s="299"/>
      <c r="N187" s="229">
        <v>1</v>
      </c>
      <c r="O187" s="229">
        <v>1</v>
      </c>
      <c r="P187" s="229">
        <v>1</v>
      </c>
      <c r="Q187" s="272">
        <v>1</v>
      </c>
      <c r="R187" s="272">
        <v>1</v>
      </c>
      <c r="S187" s="272">
        <v>1</v>
      </c>
      <c r="T187" s="256">
        <f t="shared" si="58"/>
        <v>1</v>
      </c>
      <c r="U187" s="256">
        <f t="shared" si="39"/>
        <v>1</v>
      </c>
      <c r="V187" s="256">
        <f t="shared" si="40"/>
        <v>1</v>
      </c>
      <c r="W187" s="256">
        <f t="shared" si="50"/>
        <v>1</v>
      </c>
      <c r="X187" s="216"/>
      <c r="Y187" s="216"/>
    </row>
    <row r="188" spans="1:25" s="140" customFormat="1" ht="26.25" hidden="1" outlineLevel="3" thickBot="1">
      <c r="A188" s="216"/>
      <c r="B188" s="255" t="s">
        <v>363</v>
      </c>
      <c r="C188" s="290" t="s">
        <v>289</v>
      </c>
      <c r="D188" s="227" t="s">
        <v>231</v>
      </c>
      <c r="E188" s="241"/>
      <c r="F188" s="228">
        <f t="shared" si="57"/>
        <v>6.2251019714089834E-2</v>
      </c>
      <c r="G188" s="269">
        <f>+F188*G173</f>
        <v>2.0398570932546499E-4</v>
      </c>
      <c r="H188" s="299"/>
      <c r="I188" s="299"/>
      <c r="J188" s="299"/>
      <c r="K188" s="299"/>
      <c r="L188" s="299"/>
      <c r="M188" s="299"/>
      <c r="N188" s="229">
        <v>1</v>
      </c>
      <c r="O188" s="229">
        <v>1</v>
      </c>
      <c r="P188" s="229">
        <v>1</v>
      </c>
      <c r="Q188" s="272">
        <v>1</v>
      </c>
      <c r="R188" s="272">
        <v>1</v>
      </c>
      <c r="S188" s="272">
        <v>1</v>
      </c>
      <c r="T188" s="256">
        <f t="shared" si="58"/>
        <v>1</v>
      </c>
      <c r="U188" s="256">
        <f t="shared" si="39"/>
        <v>1</v>
      </c>
      <c r="V188" s="256">
        <f t="shared" si="40"/>
        <v>1</v>
      </c>
      <c r="W188" s="256">
        <f t="shared" si="50"/>
        <v>1</v>
      </c>
      <c r="X188" s="216"/>
      <c r="Y188" s="216"/>
    </row>
    <row r="189" spans="1:25" s="140" customFormat="1" ht="26.25" hidden="1" outlineLevel="3" thickBot="1">
      <c r="A189" s="216"/>
      <c r="B189" s="255" t="s">
        <v>364</v>
      </c>
      <c r="C189" s="290" t="s">
        <v>291</v>
      </c>
      <c r="D189" s="227" t="s">
        <v>231</v>
      </c>
      <c r="E189" s="241"/>
      <c r="F189" s="228">
        <f t="shared" si="57"/>
        <v>6.2251019714089834E-2</v>
      </c>
      <c r="G189" s="269">
        <f>+F189*G173</f>
        <v>2.0398570932546499E-4</v>
      </c>
      <c r="H189" s="299"/>
      <c r="I189" s="299"/>
      <c r="J189" s="299"/>
      <c r="K189" s="299"/>
      <c r="L189" s="299"/>
      <c r="M189" s="299"/>
      <c r="N189" s="229">
        <v>1</v>
      </c>
      <c r="O189" s="229">
        <v>1</v>
      </c>
      <c r="P189" s="229">
        <v>1</v>
      </c>
      <c r="Q189" s="272">
        <v>1</v>
      </c>
      <c r="R189" s="272">
        <v>1</v>
      </c>
      <c r="S189" s="272">
        <v>1</v>
      </c>
      <c r="T189" s="256">
        <f t="shared" si="58"/>
        <v>1</v>
      </c>
      <c r="U189" s="256">
        <f t="shared" si="39"/>
        <v>1</v>
      </c>
      <c r="V189" s="256">
        <f t="shared" si="40"/>
        <v>1</v>
      </c>
      <c r="W189" s="256">
        <f t="shared" si="50"/>
        <v>1</v>
      </c>
      <c r="X189" s="216"/>
      <c r="Y189" s="216"/>
    </row>
    <row r="190" spans="1:25" s="140" customFormat="1" ht="26.25" hidden="1" outlineLevel="3" thickBot="1">
      <c r="A190" s="216"/>
      <c r="B190" s="255" t="s">
        <v>365</v>
      </c>
      <c r="C190" s="290" t="s">
        <v>366</v>
      </c>
      <c r="D190" s="227" t="s">
        <v>367</v>
      </c>
      <c r="E190" s="241"/>
      <c r="F190" s="228">
        <f t="shared" si="57"/>
        <v>3.9836845745626157E-3</v>
      </c>
      <c r="G190" s="269">
        <f>+F190*G173</f>
        <v>1.305383795162382E-5</v>
      </c>
      <c r="H190" s="299"/>
      <c r="I190" s="299"/>
      <c r="J190" s="299"/>
      <c r="K190" s="299"/>
      <c r="L190" s="299"/>
      <c r="M190" s="299"/>
      <c r="N190" s="229">
        <v>1</v>
      </c>
      <c r="O190" s="229">
        <v>1</v>
      </c>
      <c r="P190" s="229">
        <v>1</v>
      </c>
      <c r="Q190" s="272">
        <v>1</v>
      </c>
      <c r="R190" s="272">
        <v>1</v>
      </c>
      <c r="S190" s="272">
        <v>1</v>
      </c>
      <c r="T190" s="256">
        <f t="shared" si="58"/>
        <v>1</v>
      </c>
      <c r="U190" s="256">
        <f t="shared" si="39"/>
        <v>1</v>
      </c>
      <c r="V190" s="256">
        <f t="shared" si="40"/>
        <v>1</v>
      </c>
      <c r="W190" s="256">
        <f t="shared" si="50"/>
        <v>1</v>
      </c>
      <c r="X190" s="216"/>
      <c r="Y190" s="216"/>
    </row>
    <row r="191" spans="1:25" s="140" customFormat="1" ht="26.25" hidden="1" outlineLevel="2" thickBot="1">
      <c r="A191" s="216"/>
      <c r="B191" s="291" t="s">
        <v>368</v>
      </c>
      <c r="C191" s="292" t="s">
        <v>45</v>
      </c>
      <c r="D191" s="234" t="s">
        <v>33</v>
      </c>
      <c r="E191" s="240"/>
      <c r="F191" s="223">
        <v>0.10642404592461722</v>
      </c>
      <c r="G191" s="293">
        <f>+F191*G84</f>
        <v>2.493744365205431E-3</v>
      </c>
      <c r="H191" s="298"/>
      <c r="I191" s="298"/>
      <c r="J191" s="298"/>
      <c r="K191" s="298"/>
      <c r="L191" s="298"/>
      <c r="M191" s="298"/>
      <c r="N191" s="224">
        <f t="shared" ref="N191:S191" si="59">+SUMPRODUCT($F192:$F205,N192:N205)</f>
        <v>1.0000000000000002</v>
      </c>
      <c r="O191" s="224">
        <f t="shared" si="59"/>
        <v>1.0000000000000002</v>
      </c>
      <c r="P191" s="224">
        <f t="shared" si="59"/>
        <v>1.0000000000000002</v>
      </c>
      <c r="Q191" s="270">
        <f t="shared" si="59"/>
        <v>1.0000000000000002</v>
      </c>
      <c r="R191" s="270">
        <f t="shared" si="59"/>
        <v>1.0000000000000002</v>
      </c>
      <c r="S191" s="270">
        <f t="shared" si="59"/>
        <v>1.0000000000000002</v>
      </c>
      <c r="T191" s="254">
        <f t="shared" si="58"/>
        <v>1</v>
      </c>
      <c r="U191" s="254">
        <f t="shared" si="39"/>
        <v>1</v>
      </c>
      <c r="V191" s="254">
        <f t="shared" si="40"/>
        <v>1</v>
      </c>
      <c r="W191" s="254">
        <f t="shared" si="50"/>
        <v>1</v>
      </c>
      <c r="X191" s="216"/>
      <c r="Y191" s="216"/>
    </row>
    <row r="192" spans="1:25" s="140" customFormat="1" ht="26.25" hidden="1" outlineLevel="3" thickBot="1">
      <c r="A192" s="216"/>
      <c r="B192" s="255" t="s">
        <v>369</v>
      </c>
      <c r="C192" s="290" t="s">
        <v>230</v>
      </c>
      <c r="D192" s="227" t="s">
        <v>231</v>
      </c>
      <c r="E192" s="241"/>
      <c r="F192" s="228">
        <f t="shared" ref="F192:F205" si="60">F827</f>
        <v>7.4469037330616245E-2</v>
      </c>
      <c r="G192" s="269">
        <f>+F192*G191</f>
        <v>1.8570674222549716E-4</v>
      </c>
      <c r="H192" s="299"/>
      <c r="I192" s="299"/>
      <c r="J192" s="299"/>
      <c r="K192" s="299"/>
      <c r="L192" s="299"/>
      <c r="M192" s="299"/>
      <c r="N192" s="229">
        <v>1</v>
      </c>
      <c r="O192" s="229">
        <v>1</v>
      </c>
      <c r="P192" s="229">
        <v>1</v>
      </c>
      <c r="Q192" s="272">
        <v>1</v>
      </c>
      <c r="R192" s="272">
        <v>1</v>
      </c>
      <c r="S192" s="272">
        <v>1</v>
      </c>
      <c r="T192" s="256">
        <f t="shared" si="58"/>
        <v>1</v>
      </c>
      <c r="U192" s="256">
        <f t="shared" si="39"/>
        <v>1</v>
      </c>
      <c r="V192" s="256">
        <f t="shared" si="40"/>
        <v>1</v>
      </c>
      <c r="W192" s="256">
        <f t="shared" si="50"/>
        <v>1</v>
      </c>
      <c r="X192" s="216"/>
      <c r="Y192" s="216"/>
    </row>
    <row r="193" spans="1:25" s="140" customFormat="1" ht="26.25" hidden="1" outlineLevel="3" thickBot="1">
      <c r="A193" s="216"/>
      <c r="B193" s="255" t="s">
        <v>370</v>
      </c>
      <c r="C193" s="290" t="s">
        <v>233</v>
      </c>
      <c r="D193" s="227" t="s">
        <v>231</v>
      </c>
      <c r="E193" s="241"/>
      <c r="F193" s="228">
        <f t="shared" si="60"/>
        <v>7.4469037330616245E-2</v>
      </c>
      <c r="G193" s="269">
        <f>+F193*G191</f>
        <v>1.8570674222549716E-4</v>
      </c>
      <c r="H193" s="299"/>
      <c r="I193" s="299"/>
      <c r="J193" s="299"/>
      <c r="K193" s="299"/>
      <c r="L193" s="299"/>
      <c r="M193" s="299"/>
      <c r="N193" s="229">
        <v>1</v>
      </c>
      <c r="O193" s="229">
        <v>1</v>
      </c>
      <c r="P193" s="229">
        <v>1</v>
      </c>
      <c r="Q193" s="272">
        <v>1</v>
      </c>
      <c r="R193" s="272">
        <v>1</v>
      </c>
      <c r="S193" s="272">
        <v>1</v>
      </c>
      <c r="T193" s="256">
        <f t="shared" si="58"/>
        <v>1</v>
      </c>
      <c r="U193" s="256">
        <f t="shared" si="39"/>
        <v>1</v>
      </c>
      <c r="V193" s="256">
        <f t="shared" si="40"/>
        <v>1</v>
      </c>
      <c r="W193" s="256">
        <f t="shared" si="50"/>
        <v>1</v>
      </c>
      <c r="X193" s="216"/>
      <c r="Y193" s="216"/>
    </row>
    <row r="194" spans="1:25" s="140" customFormat="1" ht="26.25" hidden="1" outlineLevel="3" thickBot="1">
      <c r="A194" s="216"/>
      <c r="B194" s="255" t="s">
        <v>371</v>
      </c>
      <c r="C194" s="290" t="s">
        <v>235</v>
      </c>
      <c r="D194" s="227" t="s">
        <v>231</v>
      </c>
      <c r="E194" s="241"/>
      <c r="F194" s="228">
        <f t="shared" si="60"/>
        <v>7.4469037330616245E-2</v>
      </c>
      <c r="G194" s="269">
        <f>+F194*G191</f>
        <v>1.8570674222549716E-4</v>
      </c>
      <c r="H194" s="299"/>
      <c r="I194" s="299"/>
      <c r="J194" s="299"/>
      <c r="K194" s="299"/>
      <c r="L194" s="299"/>
      <c r="M194" s="299"/>
      <c r="N194" s="229">
        <v>1</v>
      </c>
      <c r="O194" s="229">
        <v>1</v>
      </c>
      <c r="P194" s="229">
        <v>1</v>
      </c>
      <c r="Q194" s="272">
        <v>1</v>
      </c>
      <c r="R194" s="272">
        <v>1</v>
      </c>
      <c r="S194" s="272">
        <v>1</v>
      </c>
      <c r="T194" s="256">
        <f t="shared" si="58"/>
        <v>1</v>
      </c>
      <c r="U194" s="256">
        <f t="shared" si="39"/>
        <v>1</v>
      </c>
      <c r="V194" s="256">
        <f t="shared" si="40"/>
        <v>1</v>
      </c>
      <c r="W194" s="256">
        <f t="shared" si="50"/>
        <v>1</v>
      </c>
      <c r="X194" s="216"/>
      <c r="Y194" s="216"/>
    </row>
    <row r="195" spans="1:25" s="140" customFormat="1" ht="26.25" hidden="1" outlineLevel="3" thickBot="1">
      <c r="A195" s="216"/>
      <c r="B195" s="255" t="s">
        <v>372</v>
      </c>
      <c r="C195" s="290" t="s">
        <v>237</v>
      </c>
      <c r="D195" s="227" t="s">
        <v>231</v>
      </c>
      <c r="E195" s="241"/>
      <c r="F195" s="228">
        <f t="shared" si="60"/>
        <v>7.4469037330616245E-2</v>
      </c>
      <c r="G195" s="269">
        <f>+F195*G191</f>
        <v>1.8570674222549716E-4</v>
      </c>
      <c r="H195" s="299"/>
      <c r="I195" s="299"/>
      <c r="J195" s="299"/>
      <c r="K195" s="299"/>
      <c r="L195" s="299"/>
      <c r="M195" s="299"/>
      <c r="N195" s="229">
        <v>1</v>
      </c>
      <c r="O195" s="229">
        <v>1</v>
      </c>
      <c r="P195" s="229">
        <v>1</v>
      </c>
      <c r="Q195" s="272">
        <v>1</v>
      </c>
      <c r="R195" s="272">
        <v>1</v>
      </c>
      <c r="S195" s="272">
        <v>1</v>
      </c>
      <c r="T195" s="256">
        <f t="shared" si="58"/>
        <v>1</v>
      </c>
      <c r="U195" s="256">
        <f t="shared" si="39"/>
        <v>1</v>
      </c>
      <c r="V195" s="256">
        <f t="shared" si="40"/>
        <v>1</v>
      </c>
      <c r="W195" s="256">
        <f t="shared" si="50"/>
        <v>1</v>
      </c>
      <c r="X195" s="216"/>
      <c r="Y195" s="216"/>
    </row>
    <row r="196" spans="1:25" s="140" customFormat="1" ht="26.25" hidden="1" outlineLevel="3" thickBot="1">
      <c r="A196" s="216"/>
      <c r="B196" s="255" t="s">
        <v>373</v>
      </c>
      <c r="C196" s="290" t="s">
        <v>239</v>
      </c>
      <c r="D196" s="227" t="s">
        <v>231</v>
      </c>
      <c r="E196" s="241"/>
      <c r="F196" s="228">
        <f t="shared" si="60"/>
        <v>7.4469037330616245E-2</v>
      </c>
      <c r="G196" s="269">
        <f>+F196*G191</f>
        <v>1.8570674222549716E-4</v>
      </c>
      <c r="H196" s="299"/>
      <c r="I196" s="299"/>
      <c r="J196" s="299"/>
      <c r="K196" s="299"/>
      <c r="L196" s="299"/>
      <c r="M196" s="299"/>
      <c r="N196" s="229">
        <v>1</v>
      </c>
      <c r="O196" s="229">
        <v>1</v>
      </c>
      <c r="P196" s="229">
        <v>1</v>
      </c>
      <c r="Q196" s="272">
        <v>1</v>
      </c>
      <c r="R196" s="272">
        <v>1</v>
      </c>
      <c r="S196" s="272">
        <v>1</v>
      </c>
      <c r="T196" s="256">
        <f t="shared" si="58"/>
        <v>1</v>
      </c>
      <c r="U196" s="256">
        <f t="shared" si="39"/>
        <v>1</v>
      </c>
      <c r="V196" s="256">
        <f t="shared" si="40"/>
        <v>1</v>
      </c>
      <c r="W196" s="256">
        <f t="shared" si="50"/>
        <v>1</v>
      </c>
      <c r="X196" s="216"/>
      <c r="Y196" s="216"/>
    </row>
    <row r="197" spans="1:25" s="140" customFormat="1" ht="26.25" hidden="1" outlineLevel="3" thickBot="1">
      <c r="A197" s="216"/>
      <c r="B197" s="255" t="s">
        <v>374</v>
      </c>
      <c r="C197" s="290" t="s">
        <v>241</v>
      </c>
      <c r="D197" s="227" t="s">
        <v>231</v>
      </c>
      <c r="E197" s="241"/>
      <c r="F197" s="228">
        <f t="shared" si="60"/>
        <v>7.4469037330616245E-2</v>
      </c>
      <c r="G197" s="269">
        <f>+F197*G191</f>
        <v>1.8570674222549716E-4</v>
      </c>
      <c r="H197" s="299"/>
      <c r="I197" s="299"/>
      <c r="J197" s="299"/>
      <c r="K197" s="299"/>
      <c r="L197" s="299"/>
      <c r="M197" s="299"/>
      <c r="N197" s="229">
        <v>1</v>
      </c>
      <c r="O197" s="229">
        <v>1</v>
      </c>
      <c r="P197" s="229">
        <v>1</v>
      </c>
      <c r="Q197" s="272">
        <v>1</v>
      </c>
      <c r="R197" s="272">
        <v>1</v>
      </c>
      <c r="S197" s="272">
        <v>1</v>
      </c>
      <c r="T197" s="256">
        <f t="shared" si="58"/>
        <v>1</v>
      </c>
      <c r="U197" s="256">
        <f t="shared" si="39"/>
        <v>1</v>
      </c>
      <c r="V197" s="256">
        <f t="shared" si="40"/>
        <v>1</v>
      </c>
      <c r="W197" s="256">
        <f t="shared" si="50"/>
        <v>1</v>
      </c>
      <c r="X197" s="216"/>
      <c r="Y197" s="216"/>
    </row>
    <row r="198" spans="1:25" s="140" customFormat="1" ht="26.25" hidden="1" outlineLevel="3" thickBot="1">
      <c r="A198" s="216"/>
      <c r="B198" s="255" t="s">
        <v>375</v>
      </c>
      <c r="C198" s="290" t="s">
        <v>376</v>
      </c>
      <c r="D198" s="227" t="s">
        <v>256</v>
      </c>
      <c r="E198" s="241"/>
      <c r="F198" s="228">
        <f t="shared" si="60"/>
        <v>6.9148222002037796E-2</v>
      </c>
      <c r="G198" s="269">
        <f>+F198*G191</f>
        <v>1.7243798898155597E-4</v>
      </c>
      <c r="H198" s="299"/>
      <c r="I198" s="299"/>
      <c r="J198" s="299"/>
      <c r="K198" s="299"/>
      <c r="L198" s="299"/>
      <c r="M198" s="299"/>
      <c r="N198" s="229">
        <v>1</v>
      </c>
      <c r="O198" s="229">
        <v>1</v>
      </c>
      <c r="P198" s="229">
        <v>1</v>
      </c>
      <c r="Q198" s="272">
        <v>1</v>
      </c>
      <c r="R198" s="272">
        <v>1</v>
      </c>
      <c r="S198" s="272">
        <v>1</v>
      </c>
      <c r="T198" s="256">
        <f t="shared" si="58"/>
        <v>1</v>
      </c>
      <c r="U198" s="256">
        <f t="shared" si="39"/>
        <v>1</v>
      </c>
      <c r="V198" s="256">
        <f t="shared" si="40"/>
        <v>1</v>
      </c>
      <c r="W198" s="256">
        <f t="shared" ref="W198:W261" si="61">+IF(R198=0,0,$S198/R198)</f>
        <v>1</v>
      </c>
      <c r="X198" s="216"/>
      <c r="Y198" s="216"/>
    </row>
    <row r="199" spans="1:25" s="140" customFormat="1" ht="26.25" hidden="1" outlineLevel="3" thickBot="1">
      <c r="A199" s="216"/>
      <c r="B199" s="255" t="s">
        <v>377</v>
      </c>
      <c r="C199" s="290" t="s">
        <v>378</v>
      </c>
      <c r="D199" s="227" t="s">
        <v>256</v>
      </c>
      <c r="E199" s="241"/>
      <c r="F199" s="228">
        <f t="shared" si="60"/>
        <v>6.9148222002037796E-2</v>
      </c>
      <c r="G199" s="269">
        <f>+F199*G191</f>
        <v>1.7243798898155597E-4</v>
      </c>
      <c r="H199" s="299"/>
      <c r="I199" s="299"/>
      <c r="J199" s="299"/>
      <c r="K199" s="299"/>
      <c r="L199" s="299"/>
      <c r="M199" s="299"/>
      <c r="N199" s="229">
        <v>1</v>
      </c>
      <c r="O199" s="229">
        <v>1</v>
      </c>
      <c r="P199" s="229">
        <v>1</v>
      </c>
      <c r="Q199" s="272">
        <v>1</v>
      </c>
      <c r="R199" s="272">
        <v>1</v>
      </c>
      <c r="S199" s="272">
        <v>1</v>
      </c>
      <c r="T199" s="256">
        <f t="shared" si="58"/>
        <v>1</v>
      </c>
      <c r="U199" s="256">
        <f t="shared" si="39"/>
        <v>1</v>
      </c>
      <c r="V199" s="256">
        <f t="shared" si="40"/>
        <v>1</v>
      </c>
      <c r="W199" s="256">
        <f t="shared" si="61"/>
        <v>1</v>
      </c>
      <c r="X199" s="216"/>
      <c r="Y199" s="216"/>
    </row>
    <row r="200" spans="1:25" s="140" customFormat="1" ht="26.25" hidden="1" outlineLevel="3" thickBot="1">
      <c r="A200" s="216"/>
      <c r="B200" s="255" t="s">
        <v>379</v>
      </c>
      <c r="C200" s="290" t="s">
        <v>380</v>
      </c>
      <c r="D200" s="227" t="s">
        <v>256</v>
      </c>
      <c r="E200" s="241"/>
      <c r="F200" s="228">
        <f t="shared" si="60"/>
        <v>6.9148222002037796E-2</v>
      </c>
      <c r="G200" s="269">
        <f>+F200*G191</f>
        <v>1.7243798898155597E-4</v>
      </c>
      <c r="H200" s="299"/>
      <c r="I200" s="299"/>
      <c r="J200" s="299"/>
      <c r="K200" s="299"/>
      <c r="L200" s="299"/>
      <c r="M200" s="299"/>
      <c r="N200" s="229">
        <v>1</v>
      </c>
      <c r="O200" s="229">
        <v>1</v>
      </c>
      <c r="P200" s="229">
        <v>1</v>
      </c>
      <c r="Q200" s="272">
        <v>1</v>
      </c>
      <c r="R200" s="272">
        <v>1</v>
      </c>
      <c r="S200" s="272">
        <v>1</v>
      </c>
      <c r="T200" s="256">
        <f t="shared" si="58"/>
        <v>1</v>
      </c>
      <c r="U200" s="256">
        <f t="shared" si="39"/>
        <v>1</v>
      </c>
      <c r="V200" s="256">
        <f t="shared" si="40"/>
        <v>1</v>
      </c>
      <c r="W200" s="256">
        <f t="shared" si="61"/>
        <v>1</v>
      </c>
      <c r="X200" s="216"/>
      <c r="Y200" s="216"/>
    </row>
    <row r="201" spans="1:25" s="140" customFormat="1" ht="26.25" hidden="1" outlineLevel="3" thickBot="1">
      <c r="A201" s="216"/>
      <c r="B201" s="255" t="s">
        <v>381</v>
      </c>
      <c r="C201" s="290" t="s">
        <v>382</v>
      </c>
      <c r="D201" s="227" t="s">
        <v>256</v>
      </c>
      <c r="E201" s="241"/>
      <c r="F201" s="228">
        <f t="shared" si="60"/>
        <v>6.9148222002037796E-2</v>
      </c>
      <c r="G201" s="269">
        <f>+F201*G191</f>
        <v>1.7243798898155597E-4</v>
      </c>
      <c r="H201" s="299"/>
      <c r="I201" s="299"/>
      <c r="J201" s="299"/>
      <c r="K201" s="299"/>
      <c r="L201" s="299"/>
      <c r="M201" s="299"/>
      <c r="N201" s="229">
        <v>1</v>
      </c>
      <c r="O201" s="229">
        <v>1</v>
      </c>
      <c r="P201" s="229">
        <v>1</v>
      </c>
      <c r="Q201" s="272">
        <v>1</v>
      </c>
      <c r="R201" s="272">
        <v>1</v>
      </c>
      <c r="S201" s="272">
        <v>1</v>
      </c>
      <c r="T201" s="256">
        <f t="shared" si="58"/>
        <v>1</v>
      </c>
      <c r="U201" s="256">
        <f t="shared" si="39"/>
        <v>1</v>
      </c>
      <c r="V201" s="256">
        <f t="shared" si="40"/>
        <v>1</v>
      </c>
      <c r="W201" s="256">
        <f t="shared" si="61"/>
        <v>1</v>
      </c>
      <c r="X201" s="216"/>
      <c r="Y201" s="216"/>
    </row>
    <row r="202" spans="1:25" s="140" customFormat="1" ht="26.25" hidden="1" outlineLevel="3" thickBot="1">
      <c r="A202" s="216"/>
      <c r="B202" s="255" t="s">
        <v>383</v>
      </c>
      <c r="C202" s="290" t="s">
        <v>384</v>
      </c>
      <c r="D202" s="227" t="s">
        <v>256</v>
      </c>
      <c r="E202" s="241"/>
      <c r="F202" s="228">
        <f t="shared" si="60"/>
        <v>6.9148222002037796E-2</v>
      </c>
      <c r="G202" s="269">
        <f>+F202*G191</f>
        <v>1.7243798898155597E-4</v>
      </c>
      <c r="H202" s="299"/>
      <c r="I202" s="299"/>
      <c r="J202" s="299"/>
      <c r="K202" s="299"/>
      <c r="L202" s="299"/>
      <c r="M202" s="299"/>
      <c r="N202" s="229">
        <v>1</v>
      </c>
      <c r="O202" s="229">
        <v>1</v>
      </c>
      <c r="P202" s="229">
        <v>1</v>
      </c>
      <c r="Q202" s="272">
        <v>1</v>
      </c>
      <c r="R202" s="272">
        <v>1</v>
      </c>
      <c r="S202" s="272">
        <v>1</v>
      </c>
      <c r="T202" s="256">
        <f t="shared" si="58"/>
        <v>1</v>
      </c>
      <c r="U202" s="256">
        <f t="shared" si="39"/>
        <v>1</v>
      </c>
      <c r="V202" s="256">
        <f t="shared" si="40"/>
        <v>1</v>
      </c>
      <c r="W202" s="256">
        <f t="shared" si="61"/>
        <v>1</v>
      </c>
      <c r="X202" s="216"/>
      <c r="Y202" s="216"/>
    </row>
    <row r="203" spans="1:25" s="140" customFormat="1" ht="26.25" hidden="1" outlineLevel="3" thickBot="1">
      <c r="A203" s="216"/>
      <c r="B203" s="255" t="s">
        <v>385</v>
      </c>
      <c r="C203" s="290" t="s">
        <v>386</v>
      </c>
      <c r="D203" s="227" t="s">
        <v>256</v>
      </c>
      <c r="E203" s="241"/>
      <c r="F203" s="228">
        <f t="shared" si="60"/>
        <v>6.9148222002037796E-2</v>
      </c>
      <c r="G203" s="269">
        <f>+F203*G191</f>
        <v>1.7243798898155597E-4</v>
      </c>
      <c r="H203" s="299"/>
      <c r="I203" s="299"/>
      <c r="J203" s="299"/>
      <c r="K203" s="299"/>
      <c r="L203" s="299"/>
      <c r="M203" s="299"/>
      <c r="N203" s="229">
        <v>1</v>
      </c>
      <c r="O203" s="229">
        <v>1</v>
      </c>
      <c r="P203" s="229">
        <v>1</v>
      </c>
      <c r="Q203" s="272">
        <v>1</v>
      </c>
      <c r="R203" s="272">
        <v>1</v>
      </c>
      <c r="S203" s="272">
        <v>1</v>
      </c>
      <c r="T203" s="256">
        <f t="shared" si="58"/>
        <v>1</v>
      </c>
      <c r="U203" s="256">
        <f t="shared" si="39"/>
        <v>1</v>
      </c>
      <c r="V203" s="256">
        <f t="shared" si="40"/>
        <v>1</v>
      </c>
      <c r="W203" s="256">
        <f t="shared" si="61"/>
        <v>1</v>
      </c>
      <c r="X203" s="216"/>
      <c r="Y203" s="216"/>
    </row>
    <row r="204" spans="1:25" s="140" customFormat="1" ht="26.25" hidden="1" outlineLevel="3" thickBot="1">
      <c r="A204" s="216"/>
      <c r="B204" s="255" t="s">
        <v>387</v>
      </c>
      <c r="C204" s="290" t="s">
        <v>388</v>
      </c>
      <c r="D204" s="227" t="s">
        <v>256</v>
      </c>
      <c r="E204" s="241"/>
      <c r="F204" s="228">
        <f t="shared" si="60"/>
        <v>6.9148222002037796E-2</v>
      </c>
      <c r="G204" s="269">
        <f>+F204*G191</f>
        <v>1.7243798898155597E-4</v>
      </c>
      <c r="H204" s="299"/>
      <c r="I204" s="299"/>
      <c r="J204" s="299"/>
      <c r="K204" s="299"/>
      <c r="L204" s="299"/>
      <c r="M204" s="299"/>
      <c r="N204" s="229">
        <v>1</v>
      </c>
      <c r="O204" s="229">
        <v>1</v>
      </c>
      <c r="P204" s="229">
        <v>1</v>
      </c>
      <c r="Q204" s="272">
        <v>1</v>
      </c>
      <c r="R204" s="272">
        <v>1</v>
      </c>
      <c r="S204" s="272">
        <v>1</v>
      </c>
      <c r="T204" s="256">
        <f t="shared" si="58"/>
        <v>1</v>
      </c>
      <c r="U204" s="256">
        <f t="shared" si="39"/>
        <v>1</v>
      </c>
      <c r="V204" s="256">
        <f t="shared" si="40"/>
        <v>1</v>
      </c>
      <c r="W204" s="256">
        <f t="shared" si="61"/>
        <v>1</v>
      </c>
      <c r="X204" s="216"/>
      <c r="Y204" s="216"/>
    </row>
    <row r="205" spans="1:25" s="140" customFormat="1" ht="26.25" hidden="1" outlineLevel="3" thickBot="1">
      <c r="A205" s="216"/>
      <c r="B205" s="255" t="s">
        <v>389</v>
      </c>
      <c r="C205" s="290" t="s">
        <v>390</v>
      </c>
      <c r="D205" s="227" t="s">
        <v>256</v>
      </c>
      <c r="E205" s="241"/>
      <c r="F205" s="228">
        <f t="shared" si="60"/>
        <v>6.9148222002037796E-2</v>
      </c>
      <c r="G205" s="269">
        <f>+F205*G191</f>
        <v>1.7243798898155597E-4</v>
      </c>
      <c r="H205" s="299"/>
      <c r="I205" s="299"/>
      <c r="J205" s="299"/>
      <c r="K205" s="299"/>
      <c r="L205" s="299"/>
      <c r="M205" s="299"/>
      <c r="N205" s="229">
        <v>1</v>
      </c>
      <c r="O205" s="229">
        <v>1</v>
      </c>
      <c r="P205" s="229">
        <v>1</v>
      </c>
      <c r="Q205" s="272">
        <v>1</v>
      </c>
      <c r="R205" s="272">
        <v>1</v>
      </c>
      <c r="S205" s="272">
        <v>1</v>
      </c>
      <c r="T205" s="256">
        <f t="shared" si="58"/>
        <v>1</v>
      </c>
      <c r="U205" s="256">
        <f t="shared" si="39"/>
        <v>1</v>
      </c>
      <c r="V205" s="256">
        <f t="shared" si="40"/>
        <v>1</v>
      </c>
      <c r="W205" s="256">
        <f t="shared" si="61"/>
        <v>1</v>
      </c>
      <c r="X205" s="216"/>
      <c r="Y205" s="216"/>
    </row>
    <row r="206" spans="1:25" s="140" customFormat="1" ht="13.5" hidden="1" outlineLevel="1" thickBot="1">
      <c r="B206" s="300" t="s">
        <v>391</v>
      </c>
      <c r="C206" s="294" t="s">
        <v>392</v>
      </c>
      <c r="D206" s="294" t="s">
        <v>47</v>
      </c>
      <c r="E206" s="295"/>
      <c r="F206" s="296">
        <f t="shared" ref="F206:F232" si="62">F842</f>
        <v>3.9032542437386124E-2</v>
      </c>
      <c r="G206" s="296">
        <f>+F206*G83</f>
        <v>1.1709762731215837E-3</v>
      </c>
      <c r="H206" s="297"/>
      <c r="I206" s="297"/>
      <c r="J206" s="297"/>
      <c r="K206" s="297"/>
      <c r="L206" s="297"/>
      <c r="M206" s="297"/>
      <c r="N206" s="296">
        <f t="shared" ref="N206:S206" si="63">+SUMPRODUCT($F207:$F221,N207:N221)</f>
        <v>1</v>
      </c>
      <c r="O206" s="296">
        <f t="shared" si="63"/>
        <v>1</v>
      </c>
      <c r="P206" s="296">
        <f t="shared" si="63"/>
        <v>1</v>
      </c>
      <c r="Q206" s="296">
        <f t="shared" si="63"/>
        <v>0.96396476787106988</v>
      </c>
      <c r="R206" s="296">
        <f t="shared" si="63"/>
        <v>0.96396476787106988</v>
      </c>
      <c r="S206" s="296">
        <f t="shared" si="63"/>
        <v>0.96396476787106966</v>
      </c>
      <c r="T206" s="296">
        <f t="shared" si="58"/>
        <v>0.96396476787106966</v>
      </c>
      <c r="U206" s="296">
        <f t="shared" si="39"/>
        <v>0.96396476787106966</v>
      </c>
      <c r="V206" s="296">
        <f t="shared" si="40"/>
        <v>0.96396476787106966</v>
      </c>
      <c r="W206" s="296">
        <f t="shared" si="61"/>
        <v>0.99999999999999978</v>
      </c>
    </row>
    <row r="207" spans="1:25" s="140" customFormat="1" ht="13.5" hidden="1" outlineLevel="2" thickBot="1">
      <c r="A207" s="216"/>
      <c r="B207" s="255" t="s">
        <v>393</v>
      </c>
      <c r="C207" s="245" t="s">
        <v>49</v>
      </c>
      <c r="D207" s="227" t="s">
        <v>50</v>
      </c>
      <c r="E207" s="241"/>
      <c r="F207" s="228">
        <f t="shared" si="62"/>
        <v>9.2877610796635368E-2</v>
      </c>
      <c r="G207" s="269">
        <f>+F207*G206</f>
        <v>1.0875747854708105E-4</v>
      </c>
      <c r="H207" s="299"/>
      <c r="I207" s="299"/>
      <c r="J207" s="299"/>
      <c r="K207" s="299"/>
      <c r="L207" s="299"/>
      <c r="M207" s="299"/>
      <c r="N207" s="229">
        <v>1</v>
      </c>
      <c r="O207" s="229">
        <v>1</v>
      </c>
      <c r="P207" s="229">
        <v>1</v>
      </c>
      <c r="Q207" s="272">
        <v>0.85270909135365203</v>
      </c>
      <c r="R207" s="272">
        <v>0.85270909135365203</v>
      </c>
      <c r="S207" s="272">
        <v>0.85270909135365192</v>
      </c>
      <c r="T207" s="256">
        <f t="shared" si="58"/>
        <v>0.85270909135365192</v>
      </c>
      <c r="U207" s="256">
        <f t="shared" si="39"/>
        <v>0.85270909135365192</v>
      </c>
      <c r="V207" s="256">
        <f t="shared" si="40"/>
        <v>0.85270909135365192</v>
      </c>
      <c r="W207" s="256">
        <f t="shared" si="61"/>
        <v>0.99999999999999989</v>
      </c>
      <c r="X207" s="216"/>
      <c r="Y207" s="216"/>
    </row>
    <row r="208" spans="1:25" s="140" customFormat="1" ht="13.5" hidden="1" outlineLevel="2" thickBot="1">
      <c r="A208" s="216"/>
      <c r="B208" s="255" t="s">
        <v>394</v>
      </c>
      <c r="C208" s="245" t="s">
        <v>52</v>
      </c>
      <c r="D208" s="227" t="s">
        <v>53</v>
      </c>
      <c r="E208" s="241"/>
      <c r="F208" s="228">
        <f t="shared" si="62"/>
        <v>5.8105219309829384E-2</v>
      </c>
      <c r="G208" s="269">
        <f>+F208*G206</f>
        <v>6.8039833156336297E-5</v>
      </c>
      <c r="H208" s="299"/>
      <c r="I208" s="299"/>
      <c r="J208" s="299"/>
      <c r="K208" s="299"/>
      <c r="L208" s="299"/>
      <c r="M208" s="299"/>
      <c r="N208" s="229">
        <v>1</v>
      </c>
      <c r="O208" s="229">
        <v>1</v>
      </c>
      <c r="P208" s="229">
        <v>1</v>
      </c>
      <c r="Q208" s="272">
        <v>1</v>
      </c>
      <c r="R208" s="272">
        <v>1</v>
      </c>
      <c r="S208" s="272">
        <v>0.99999999999999956</v>
      </c>
      <c r="T208" s="256">
        <f t="shared" si="58"/>
        <v>0.99999999999999956</v>
      </c>
      <c r="U208" s="256">
        <f t="shared" si="39"/>
        <v>0.99999999999999956</v>
      </c>
      <c r="V208" s="256">
        <f t="shared" si="40"/>
        <v>0.99999999999999956</v>
      </c>
      <c r="W208" s="256">
        <f t="shared" si="61"/>
        <v>0.99999999999999956</v>
      </c>
      <c r="X208" s="216"/>
      <c r="Y208" s="216"/>
    </row>
    <row r="209" spans="1:25" s="140" customFormat="1" ht="13.5" hidden="1" outlineLevel="2" thickBot="1">
      <c r="A209" s="216"/>
      <c r="B209" s="255" t="s">
        <v>395</v>
      </c>
      <c r="C209" s="245" t="s">
        <v>55</v>
      </c>
      <c r="D209" s="227" t="s">
        <v>56</v>
      </c>
      <c r="E209" s="241"/>
      <c r="F209" s="228">
        <f t="shared" si="62"/>
        <v>2.7796911320762424E-2</v>
      </c>
      <c r="G209" s="269">
        <f>+F209*G206</f>
        <v>3.2549523622677542E-5</v>
      </c>
      <c r="H209" s="299"/>
      <c r="I209" s="299"/>
      <c r="J209" s="299"/>
      <c r="K209" s="299"/>
      <c r="L209" s="299"/>
      <c r="M209" s="299"/>
      <c r="N209" s="229">
        <v>1</v>
      </c>
      <c r="O209" s="229">
        <v>1</v>
      </c>
      <c r="P209" s="229">
        <v>1</v>
      </c>
      <c r="Q209" s="272">
        <v>1</v>
      </c>
      <c r="R209" s="272">
        <v>1</v>
      </c>
      <c r="S209" s="272">
        <v>1.0000000000000002</v>
      </c>
      <c r="T209" s="256">
        <f t="shared" si="58"/>
        <v>1.0000000000000002</v>
      </c>
      <c r="U209" s="256">
        <f t="shared" si="39"/>
        <v>1.0000000000000002</v>
      </c>
      <c r="V209" s="256">
        <f t="shared" si="40"/>
        <v>1.0000000000000002</v>
      </c>
      <c r="W209" s="256">
        <f t="shared" si="61"/>
        <v>1.0000000000000002</v>
      </c>
      <c r="X209" s="216"/>
      <c r="Y209" s="216"/>
    </row>
    <row r="210" spans="1:25" s="140" customFormat="1" ht="13.5" hidden="1" outlineLevel="2" thickBot="1">
      <c r="A210" s="216"/>
      <c r="B210" s="255" t="s">
        <v>396</v>
      </c>
      <c r="C210" s="245" t="s">
        <v>58</v>
      </c>
      <c r="D210" s="227" t="s">
        <v>59</v>
      </c>
      <c r="E210" s="241"/>
      <c r="F210" s="228">
        <f t="shared" si="62"/>
        <v>2.9155300375276354E-2</v>
      </c>
      <c r="G210" s="269">
        <f>+F210*G206</f>
        <v>3.4140164975181419E-5</v>
      </c>
      <c r="H210" s="299"/>
      <c r="I210" s="299"/>
      <c r="J210" s="299"/>
      <c r="K210" s="299"/>
      <c r="L210" s="299"/>
      <c r="M210" s="299"/>
      <c r="N210" s="229">
        <v>1</v>
      </c>
      <c r="O210" s="229">
        <v>1</v>
      </c>
      <c r="P210" s="229">
        <v>1</v>
      </c>
      <c r="Q210" s="272">
        <v>0.91666666666666696</v>
      </c>
      <c r="R210" s="272">
        <v>0.91666666666666696</v>
      </c>
      <c r="S210" s="272">
        <v>0.91666666666666674</v>
      </c>
      <c r="T210" s="256">
        <f t="shared" si="58"/>
        <v>0.91666666666666674</v>
      </c>
      <c r="U210" s="256">
        <f t="shared" si="39"/>
        <v>0.91666666666666674</v>
      </c>
      <c r="V210" s="256">
        <f t="shared" si="40"/>
        <v>0.91666666666666674</v>
      </c>
      <c r="W210" s="256">
        <f t="shared" si="61"/>
        <v>0.99999999999999978</v>
      </c>
      <c r="X210" s="216"/>
      <c r="Y210" s="216"/>
    </row>
    <row r="211" spans="1:25" s="140" customFormat="1" ht="13.5" hidden="1" outlineLevel="2" thickBot="1">
      <c r="A211" s="216"/>
      <c r="B211" s="255" t="s">
        <v>397</v>
      </c>
      <c r="C211" s="245" t="s">
        <v>61</v>
      </c>
      <c r="D211" s="227" t="s">
        <v>62</v>
      </c>
      <c r="E211" s="241"/>
      <c r="F211" s="228">
        <f t="shared" si="62"/>
        <v>4.0182801717972776E-2</v>
      </c>
      <c r="G211" s="269">
        <f>+F211*G206</f>
        <v>4.7053107399295334E-5</v>
      </c>
      <c r="H211" s="299"/>
      <c r="I211" s="299"/>
      <c r="J211" s="299"/>
      <c r="K211" s="299"/>
      <c r="L211" s="299"/>
      <c r="M211" s="299"/>
      <c r="N211" s="229">
        <v>1</v>
      </c>
      <c r="O211" s="229">
        <v>1</v>
      </c>
      <c r="P211" s="229">
        <v>1</v>
      </c>
      <c r="Q211" s="272">
        <v>1</v>
      </c>
      <c r="R211" s="272">
        <v>1</v>
      </c>
      <c r="S211" s="272">
        <v>0.99999999999999967</v>
      </c>
      <c r="T211" s="256">
        <f t="shared" si="58"/>
        <v>0.99999999999999967</v>
      </c>
      <c r="U211" s="256">
        <f t="shared" si="39"/>
        <v>0.99999999999999967</v>
      </c>
      <c r="V211" s="256">
        <f t="shared" si="40"/>
        <v>0.99999999999999967</v>
      </c>
      <c r="W211" s="256">
        <f t="shared" si="61"/>
        <v>0.99999999999999967</v>
      </c>
      <c r="X211" s="216"/>
      <c r="Y211" s="216"/>
    </row>
    <row r="212" spans="1:25" s="140" customFormat="1" ht="13.5" hidden="1" outlineLevel="2" thickBot="1">
      <c r="A212" s="216"/>
      <c r="B212" s="255" t="s">
        <v>398</v>
      </c>
      <c r="C212" s="245" t="s">
        <v>64</v>
      </c>
      <c r="D212" s="227" t="s">
        <v>65</v>
      </c>
      <c r="E212" s="241"/>
      <c r="F212" s="228">
        <f t="shared" si="62"/>
        <v>9.8615013818202632E-2</v>
      </c>
      <c r="G212" s="269">
        <f>+F212*G206</f>
        <v>1.154758413546724E-4</v>
      </c>
      <c r="H212" s="299"/>
      <c r="I212" s="299"/>
      <c r="J212" s="299"/>
      <c r="K212" s="299"/>
      <c r="L212" s="299"/>
      <c r="M212" s="299"/>
      <c r="N212" s="229">
        <v>1</v>
      </c>
      <c r="O212" s="229">
        <v>1</v>
      </c>
      <c r="P212" s="229">
        <v>1</v>
      </c>
      <c r="Q212" s="272">
        <v>1</v>
      </c>
      <c r="R212" s="272">
        <v>1</v>
      </c>
      <c r="S212" s="272">
        <v>0.99999999999999967</v>
      </c>
      <c r="T212" s="256">
        <f t="shared" ref="T212:T243" si="64">+IF(N212=0,0,$S212/N212)</f>
        <v>0.99999999999999967</v>
      </c>
      <c r="U212" s="256">
        <f t="shared" si="39"/>
        <v>0.99999999999999967</v>
      </c>
      <c r="V212" s="256">
        <f t="shared" si="40"/>
        <v>0.99999999999999967</v>
      </c>
      <c r="W212" s="256">
        <f t="shared" si="61"/>
        <v>0.99999999999999967</v>
      </c>
      <c r="X212" s="216"/>
      <c r="Y212" s="216"/>
    </row>
    <row r="213" spans="1:25" s="140" customFormat="1" ht="13.5" hidden="1" outlineLevel="2" thickBot="1">
      <c r="A213" s="216"/>
      <c r="B213" s="255" t="s">
        <v>399</v>
      </c>
      <c r="C213" s="245" t="s">
        <v>67</v>
      </c>
      <c r="D213" s="227" t="s">
        <v>68</v>
      </c>
      <c r="E213" s="241"/>
      <c r="F213" s="228">
        <f t="shared" si="62"/>
        <v>9.164980880972666E-2</v>
      </c>
      <c r="G213" s="269">
        <f>+F213*G206</f>
        <v>1.0731975155231942E-4</v>
      </c>
      <c r="H213" s="299"/>
      <c r="I213" s="299"/>
      <c r="J213" s="299"/>
      <c r="K213" s="299"/>
      <c r="L213" s="299"/>
      <c r="M213" s="299"/>
      <c r="N213" s="229">
        <v>1</v>
      </c>
      <c r="O213" s="229">
        <v>1</v>
      </c>
      <c r="P213" s="229">
        <v>1</v>
      </c>
      <c r="Q213" s="272">
        <v>1</v>
      </c>
      <c r="R213" s="272">
        <v>1</v>
      </c>
      <c r="S213" s="272">
        <v>0.99999999999999967</v>
      </c>
      <c r="T213" s="256">
        <f t="shared" si="64"/>
        <v>0.99999999999999967</v>
      </c>
      <c r="U213" s="256">
        <f t="shared" si="39"/>
        <v>0.99999999999999967</v>
      </c>
      <c r="V213" s="256">
        <f t="shared" si="40"/>
        <v>0.99999999999999967</v>
      </c>
      <c r="W213" s="256">
        <f t="shared" si="61"/>
        <v>0.99999999999999967</v>
      </c>
      <c r="X213" s="216"/>
      <c r="Y213" s="216"/>
    </row>
    <row r="214" spans="1:25" s="140" customFormat="1" ht="26.25" hidden="1" outlineLevel="2" thickBot="1">
      <c r="A214" s="216"/>
      <c r="B214" s="255" t="s">
        <v>400</v>
      </c>
      <c r="C214" s="245" t="s">
        <v>70</v>
      </c>
      <c r="D214" s="227" t="s">
        <v>71</v>
      </c>
      <c r="E214" s="241"/>
      <c r="F214" s="228">
        <f t="shared" si="62"/>
        <v>9.2909380612212003E-2</v>
      </c>
      <c r="G214" s="269">
        <f>+F214*G206</f>
        <v>1.0879468024732273E-4</v>
      </c>
      <c r="H214" s="299"/>
      <c r="I214" s="299"/>
      <c r="J214" s="299"/>
      <c r="K214" s="299"/>
      <c r="L214" s="299"/>
      <c r="M214" s="299"/>
      <c r="N214" s="229">
        <v>1</v>
      </c>
      <c r="O214" s="229">
        <v>1</v>
      </c>
      <c r="P214" s="229">
        <v>1</v>
      </c>
      <c r="Q214" s="272">
        <v>0.96197182771917</v>
      </c>
      <c r="R214" s="272">
        <v>0.96197182771917</v>
      </c>
      <c r="S214" s="272">
        <v>0.96197182771917034</v>
      </c>
      <c r="T214" s="256">
        <f t="shared" si="64"/>
        <v>0.96197182771917034</v>
      </c>
      <c r="U214" s="256">
        <f t="shared" si="39"/>
        <v>0.96197182771917034</v>
      </c>
      <c r="V214" s="256">
        <f t="shared" si="40"/>
        <v>0.96197182771917034</v>
      </c>
      <c r="W214" s="256">
        <f t="shared" si="61"/>
        <v>1.0000000000000004</v>
      </c>
      <c r="X214" s="216"/>
      <c r="Y214" s="216"/>
    </row>
    <row r="215" spans="1:25" s="140" customFormat="1" ht="13.5" hidden="1" outlineLevel="2" thickBot="1">
      <c r="A215" s="216"/>
      <c r="B215" s="255" t="s">
        <v>401</v>
      </c>
      <c r="C215" s="245" t="s">
        <v>73</v>
      </c>
      <c r="D215" s="227" t="s">
        <v>74</v>
      </c>
      <c r="E215" s="241"/>
      <c r="F215" s="228">
        <f t="shared" si="62"/>
        <v>8.0887028733242702E-2</v>
      </c>
      <c r="G215" s="269">
        <f>+F215*G206</f>
        <v>9.4716791449931003E-5</v>
      </c>
      <c r="H215" s="299"/>
      <c r="I215" s="299"/>
      <c r="J215" s="299"/>
      <c r="K215" s="299"/>
      <c r="L215" s="299"/>
      <c r="M215" s="299"/>
      <c r="N215" s="229">
        <v>1</v>
      </c>
      <c r="O215" s="229">
        <v>1</v>
      </c>
      <c r="P215" s="229">
        <v>1</v>
      </c>
      <c r="Q215" s="272">
        <v>0.85270909135365203</v>
      </c>
      <c r="R215" s="272">
        <v>0.85270909135365203</v>
      </c>
      <c r="S215" s="272">
        <v>0.85270909135365192</v>
      </c>
      <c r="T215" s="256">
        <f t="shared" si="64"/>
        <v>0.85270909135365192</v>
      </c>
      <c r="U215" s="256">
        <f t="shared" si="39"/>
        <v>0.85270909135365192</v>
      </c>
      <c r="V215" s="256">
        <f t="shared" si="40"/>
        <v>0.85270909135365192</v>
      </c>
      <c r="W215" s="256">
        <f t="shared" si="61"/>
        <v>0.99999999999999989</v>
      </c>
      <c r="X215" s="216"/>
      <c r="Y215" s="216"/>
    </row>
    <row r="216" spans="1:25" s="140" customFormat="1" ht="13.5" hidden="1" outlineLevel="2" thickBot="1">
      <c r="A216" s="216"/>
      <c r="B216" s="255" t="s">
        <v>402</v>
      </c>
      <c r="C216" s="245" t="s">
        <v>76</v>
      </c>
      <c r="D216" s="227" t="s">
        <v>77</v>
      </c>
      <c r="E216" s="241"/>
      <c r="F216" s="228">
        <f t="shared" si="62"/>
        <v>0.11788367881609482</v>
      </c>
      <c r="G216" s="269">
        <f>+F216*G206</f>
        <v>1.3803899088193252E-4</v>
      </c>
      <c r="H216" s="299"/>
      <c r="I216" s="299"/>
      <c r="J216" s="299"/>
      <c r="K216" s="299"/>
      <c r="L216" s="299"/>
      <c r="M216" s="299"/>
      <c r="N216" s="229">
        <v>1</v>
      </c>
      <c r="O216" s="229">
        <v>1</v>
      </c>
      <c r="P216" s="229">
        <v>1</v>
      </c>
      <c r="Q216" s="272">
        <v>1</v>
      </c>
      <c r="R216" s="272">
        <v>1</v>
      </c>
      <c r="S216" s="272">
        <v>0.99999999999999956</v>
      </c>
      <c r="T216" s="256">
        <f t="shared" si="64"/>
        <v>0.99999999999999956</v>
      </c>
      <c r="U216" s="256">
        <f t="shared" si="39"/>
        <v>0.99999999999999956</v>
      </c>
      <c r="V216" s="256">
        <f t="shared" si="40"/>
        <v>0.99999999999999956</v>
      </c>
      <c r="W216" s="256">
        <f t="shared" si="61"/>
        <v>0.99999999999999956</v>
      </c>
      <c r="X216" s="216"/>
      <c r="Y216" s="216"/>
    </row>
    <row r="217" spans="1:25" s="140" customFormat="1" ht="13.5" hidden="1" outlineLevel="2" thickBot="1">
      <c r="A217" s="216"/>
      <c r="B217" s="255" t="s">
        <v>403</v>
      </c>
      <c r="C217" s="245" t="s">
        <v>79</v>
      </c>
      <c r="D217" s="227" t="s">
        <v>80</v>
      </c>
      <c r="E217" s="241"/>
      <c r="F217" s="228">
        <f t="shared" si="62"/>
        <v>4.1046638926131508E-2</v>
      </c>
      <c r="G217" s="269">
        <f>+F217*G206</f>
        <v>4.8064640273888798E-5</v>
      </c>
      <c r="H217" s="299"/>
      <c r="I217" s="299"/>
      <c r="J217" s="299"/>
      <c r="K217" s="299"/>
      <c r="L217" s="299"/>
      <c r="M217" s="299"/>
      <c r="N217" s="229">
        <v>1</v>
      </c>
      <c r="O217" s="229">
        <v>1</v>
      </c>
      <c r="P217" s="229">
        <v>1</v>
      </c>
      <c r="Q217" s="272">
        <v>1</v>
      </c>
      <c r="R217" s="272">
        <v>1</v>
      </c>
      <c r="S217" s="272">
        <v>1.0000000000000002</v>
      </c>
      <c r="T217" s="256">
        <f t="shared" si="64"/>
        <v>1.0000000000000002</v>
      </c>
      <c r="U217" s="256">
        <f t="shared" si="39"/>
        <v>1.0000000000000002</v>
      </c>
      <c r="V217" s="256">
        <f t="shared" si="40"/>
        <v>1.0000000000000002</v>
      </c>
      <c r="W217" s="256">
        <f t="shared" si="61"/>
        <v>1.0000000000000002</v>
      </c>
      <c r="X217" s="216"/>
      <c r="Y217" s="216"/>
    </row>
    <row r="218" spans="1:25" s="140" customFormat="1" ht="13.5" hidden="1" outlineLevel="2" thickBot="1">
      <c r="A218" s="216"/>
      <c r="B218" s="255" t="s">
        <v>404</v>
      </c>
      <c r="C218" s="245" t="s">
        <v>82</v>
      </c>
      <c r="D218" s="227" t="s">
        <v>83</v>
      </c>
      <c r="E218" s="241"/>
      <c r="F218" s="228">
        <f t="shared" si="62"/>
        <v>5.3741978219236555E-2</v>
      </c>
      <c r="G218" s="269">
        <f>+F218*G206</f>
        <v>6.2930581365342947E-5</v>
      </c>
      <c r="H218" s="299"/>
      <c r="I218" s="299"/>
      <c r="J218" s="299"/>
      <c r="K218" s="299"/>
      <c r="L218" s="299"/>
      <c r="M218" s="299"/>
      <c r="N218" s="229">
        <v>1</v>
      </c>
      <c r="O218" s="229">
        <v>1</v>
      </c>
      <c r="P218" s="229">
        <v>1</v>
      </c>
      <c r="Q218" s="272">
        <v>0.91666666666666696</v>
      </c>
      <c r="R218" s="272">
        <v>0.91666666666666696</v>
      </c>
      <c r="S218" s="272">
        <v>0.91666666666666674</v>
      </c>
      <c r="T218" s="256">
        <f t="shared" si="64"/>
        <v>0.91666666666666674</v>
      </c>
      <c r="U218" s="256">
        <f t="shared" si="39"/>
        <v>0.91666666666666674</v>
      </c>
      <c r="V218" s="256">
        <f t="shared" si="40"/>
        <v>0.91666666666666674</v>
      </c>
      <c r="W218" s="256">
        <f t="shared" si="61"/>
        <v>0.99999999999999978</v>
      </c>
      <c r="X218" s="216"/>
      <c r="Y218" s="216"/>
    </row>
    <row r="219" spans="1:25" s="140" customFormat="1" ht="13.5" hidden="1" outlineLevel="2" thickBot="1">
      <c r="A219" s="216"/>
      <c r="B219" s="255" t="s">
        <v>405</v>
      </c>
      <c r="C219" s="245" t="s">
        <v>85</v>
      </c>
      <c r="D219" s="227" t="s">
        <v>86</v>
      </c>
      <c r="E219" s="241"/>
      <c r="F219" s="228">
        <f t="shared" si="62"/>
        <v>5.8057394561842592E-2</v>
      </c>
      <c r="G219" s="269">
        <f>+F219*G206</f>
        <v>6.798383151117574E-5</v>
      </c>
      <c r="H219" s="299"/>
      <c r="I219" s="299"/>
      <c r="J219" s="299"/>
      <c r="K219" s="299"/>
      <c r="L219" s="299"/>
      <c r="M219" s="299"/>
      <c r="N219" s="229">
        <v>1</v>
      </c>
      <c r="O219" s="229">
        <v>1</v>
      </c>
      <c r="P219" s="229">
        <v>1</v>
      </c>
      <c r="Q219" s="272">
        <v>1</v>
      </c>
      <c r="R219" s="272">
        <v>1</v>
      </c>
      <c r="S219" s="272">
        <v>0.99999999999999967</v>
      </c>
      <c r="T219" s="256">
        <f t="shared" si="64"/>
        <v>0.99999999999999967</v>
      </c>
      <c r="U219" s="256">
        <f t="shared" si="39"/>
        <v>0.99999999999999967</v>
      </c>
      <c r="V219" s="256">
        <f t="shared" si="40"/>
        <v>0.99999999999999967</v>
      </c>
      <c r="W219" s="256">
        <f t="shared" si="61"/>
        <v>0.99999999999999967</v>
      </c>
      <c r="X219" s="216"/>
      <c r="Y219" s="216"/>
    </row>
    <row r="220" spans="1:25" s="140" customFormat="1" ht="13.5" hidden="1" outlineLevel="2" thickBot="1">
      <c r="A220" s="216"/>
      <c r="B220" s="255" t="s">
        <v>406</v>
      </c>
      <c r="C220" s="245" t="s">
        <v>88</v>
      </c>
      <c r="D220" s="227" t="s">
        <v>89</v>
      </c>
      <c r="E220" s="241"/>
      <c r="F220" s="228">
        <f t="shared" si="62"/>
        <v>6.1612726844928238E-2</v>
      </c>
      <c r="G220" s="269">
        <f>+F220*G206</f>
        <v>7.2147041257732228E-5</v>
      </c>
      <c r="H220" s="299"/>
      <c r="I220" s="299"/>
      <c r="J220" s="299"/>
      <c r="K220" s="299"/>
      <c r="L220" s="299"/>
      <c r="M220" s="299"/>
      <c r="N220" s="229">
        <v>1</v>
      </c>
      <c r="O220" s="229">
        <v>1</v>
      </c>
      <c r="P220" s="229">
        <v>1</v>
      </c>
      <c r="Q220" s="272">
        <v>1</v>
      </c>
      <c r="R220" s="272">
        <v>1</v>
      </c>
      <c r="S220" s="272">
        <v>0.99999999999999967</v>
      </c>
      <c r="T220" s="256">
        <f t="shared" si="64"/>
        <v>0.99999999999999967</v>
      </c>
      <c r="U220" s="256">
        <f t="shared" si="39"/>
        <v>0.99999999999999967</v>
      </c>
      <c r="V220" s="256">
        <f t="shared" si="40"/>
        <v>0.99999999999999967</v>
      </c>
      <c r="W220" s="256">
        <f t="shared" si="61"/>
        <v>0.99999999999999967</v>
      </c>
      <c r="X220" s="216"/>
      <c r="Y220" s="216"/>
    </row>
    <row r="221" spans="1:25" s="140" customFormat="1" ht="13.5" hidden="1" outlineLevel="2" thickBot="1">
      <c r="A221" s="216"/>
      <c r="B221" s="255" t="s">
        <v>407</v>
      </c>
      <c r="C221" s="245" t="s">
        <v>91</v>
      </c>
      <c r="D221" s="227" t="s">
        <v>92</v>
      </c>
      <c r="E221" s="241"/>
      <c r="F221" s="228">
        <f t="shared" si="62"/>
        <v>5.5478507137905975E-2</v>
      </c>
      <c r="G221" s="269">
        <f>+F221*G206</f>
        <v>6.496401552669432E-5</v>
      </c>
      <c r="H221" s="299"/>
      <c r="I221" s="299"/>
      <c r="J221" s="299"/>
      <c r="K221" s="299"/>
      <c r="L221" s="299"/>
      <c r="M221" s="299"/>
      <c r="N221" s="229">
        <v>1</v>
      </c>
      <c r="O221" s="229">
        <v>1</v>
      </c>
      <c r="P221" s="229">
        <v>1</v>
      </c>
      <c r="Q221" s="272">
        <v>1</v>
      </c>
      <c r="R221" s="272">
        <v>1</v>
      </c>
      <c r="S221" s="272">
        <v>0.99999999999999967</v>
      </c>
      <c r="T221" s="256">
        <f t="shared" si="64"/>
        <v>0.99999999999999967</v>
      </c>
      <c r="U221" s="256">
        <f t="shared" si="39"/>
        <v>0.99999999999999967</v>
      </c>
      <c r="V221" s="256">
        <f t="shared" si="40"/>
        <v>0.99999999999999967</v>
      </c>
      <c r="W221" s="256">
        <f t="shared" si="61"/>
        <v>0.99999999999999967</v>
      </c>
      <c r="X221" s="216"/>
      <c r="Y221" s="216"/>
    </row>
    <row r="222" spans="1:25" s="140" customFormat="1" ht="13.5" hidden="1" outlineLevel="2" thickBot="1">
      <c r="A222" s="216"/>
      <c r="B222" s="300" t="s">
        <v>408</v>
      </c>
      <c r="C222" s="294"/>
      <c r="D222" s="294" t="s">
        <v>94</v>
      </c>
      <c r="E222" s="295"/>
      <c r="F222" s="296">
        <f t="shared" si="62"/>
        <v>0.17989574156721069</v>
      </c>
      <c r="G222" s="296">
        <f>+F222*G83</f>
        <v>5.3968722470163202E-3</v>
      </c>
      <c r="H222" s="297"/>
      <c r="I222" s="297"/>
      <c r="J222" s="297"/>
      <c r="K222" s="297"/>
      <c r="L222" s="297"/>
      <c r="M222" s="297"/>
      <c r="N222" s="296">
        <f t="shared" ref="N222:S222" si="65">+$F223*N223+$F235*N235+$F243*N243+$F249*N249+$F253*N253</f>
        <v>1</v>
      </c>
      <c r="O222" s="296">
        <f t="shared" si="65"/>
        <v>1</v>
      </c>
      <c r="P222" s="296">
        <f t="shared" si="65"/>
        <v>1</v>
      </c>
      <c r="Q222" s="296">
        <f t="shared" si="65"/>
        <v>0.93200000000000016</v>
      </c>
      <c r="R222" s="296">
        <f t="shared" si="65"/>
        <v>0.93200000000000016</v>
      </c>
      <c r="S222" s="296">
        <f t="shared" si="65"/>
        <v>0.93200000000000016</v>
      </c>
      <c r="T222" s="296">
        <f t="shared" si="64"/>
        <v>0.93200000000000016</v>
      </c>
      <c r="U222" s="296">
        <f t="shared" si="39"/>
        <v>0.93200000000000016</v>
      </c>
      <c r="V222" s="296">
        <f t="shared" si="40"/>
        <v>0.93200000000000016</v>
      </c>
      <c r="W222" s="296">
        <f t="shared" si="61"/>
        <v>1</v>
      </c>
      <c r="X222" s="216"/>
      <c r="Y222" s="216"/>
    </row>
    <row r="223" spans="1:25" s="140" customFormat="1" ht="13.5" hidden="1" outlineLevel="2" thickBot="1">
      <c r="B223" s="301" t="s">
        <v>409</v>
      </c>
      <c r="C223" s="251"/>
      <c r="D223" s="236" t="s">
        <v>97</v>
      </c>
      <c r="E223" s="242"/>
      <c r="F223" s="232">
        <f t="shared" si="62"/>
        <v>0.2064703407829992</v>
      </c>
      <c r="G223" s="232">
        <f>+F223*G222</f>
        <v>1.1142940520037703E-3</v>
      </c>
      <c r="H223" s="321"/>
      <c r="I223" s="321"/>
      <c r="J223" s="321"/>
      <c r="K223" s="321"/>
      <c r="L223" s="321"/>
      <c r="M223" s="321"/>
      <c r="N223" s="233">
        <f t="shared" ref="N223:S223" si="66">+SUMPRODUCT($F224:$F234,N224:N234)</f>
        <v>1</v>
      </c>
      <c r="O223" s="233">
        <f t="shared" si="66"/>
        <v>1</v>
      </c>
      <c r="P223" s="233">
        <f t="shared" si="66"/>
        <v>1</v>
      </c>
      <c r="Q223" s="274">
        <f t="shared" si="66"/>
        <v>0.93200000000000005</v>
      </c>
      <c r="R223" s="274">
        <f t="shared" si="66"/>
        <v>0.93200000000000005</v>
      </c>
      <c r="S223" s="274">
        <f t="shared" si="66"/>
        <v>0.93200000000000005</v>
      </c>
      <c r="T223" s="260">
        <f t="shared" si="64"/>
        <v>0.93200000000000005</v>
      </c>
      <c r="U223" s="260">
        <f t="shared" si="39"/>
        <v>0.93200000000000005</v>
      </c>
      <c r="V223" s="260">
        <f t="shared" si="40"/>
        <v>0.93200000000000005</v>
      </c>
      <c r="W223" s="260">
        <f t="shared" si="61"/>
        <v>1</v>
      </c>
    </row>
    <row r="224" spans="1:25" s="140" customFormat="1" ht="26.25" hidden="1" outlineLevel="3" thickBot="1">
      <c r="A224" s="216"/>
      <c r="B224" s="255" t="s">
        <v>410</v>
      </c>
      <c r="C224" s="245" t="s">
        <v>99</v>
      </c>
      <c r="D224" s="227" t="s">
        <v>100</v>
      </c>
      <c r="E224" s="241"/>
      <c r="F224" s="228">
        <f t="shared" si="62"/>
        <v>5.8885812178438031E-2</v>
      </c>
      <c r="G224" s="269">
        <f>+F224*G223</f>
        <v>6.5616110257844674E-5</v>
      </c>
      <c r="H224" s="299"/>
      <c r="I224" s="299"/>
      <c r="J224" s="299"/>
      <c r="K224" s="299"/>
      <c r="L224" s="299"/>
      <c r="M224" s="299"/>
      <c r="N224" s="229">
        <v>1</v>
      </c>
      <c r="O224" s="229">
        <v>1</v>
      </c>
      <c r="P224" s="229">
        <v>1</v>
      </c>
      <c r="Q224" s="272">
        <v>0.93200000000000005</v>
      </c>
      <c r="R224" s="272">
        <v>0.93200000000000005</v>
      </c>
      <c r="S224" s="272">
        <v>0.93200000000000005</v>
      </c>
      <c r="T224" s="256">
        <f t="shared" si="64"/>
        <v>0.93200000000000005</v>
      </c>
      <c r="U224" s="256">
        <f t="shared" si="39"/>
        <v>0.93200000000000005</v>
      </c>
      <c r="V224" s="256">
        <f t="shared" si="40"/>
        <v>0.93200000000000005</v>
      </c>
      <c r="W224" s="256">
        <f t="shared" si="61"/>
        <v>1</v>
      </c>
      <c r="X224" s="216"/>
      <c r="Y224" s="216"/>
    </row>
    <row r="225" spans="1:25" s="140" customFormat="1" ht="26.25" hidden="1" outlineLevel="3" thickBot="1">
      <c r="A225" s="216"/>
      <c r="B225" s="255" t="s">
        <v>411</v>
      </c>
      <c r="C225" s="245" t="s">
        <v>102</v>
      </c>
      <c r="D225" s="227" t="s">
        <v>103</v>
      </c>
      <c r="E225" s="241"/>
      <c r="F225" s="228">
        <f t="shared" si="62"/>
        <v>9.5476860808951347E-2</v>
      </c>
      <c r="G225" s="269">
        <f>+F225*G223</f>
        <v>1.0638929810340637E-4</v>
      </c>
      <c r="H225" s="299"/>
      <c r="I225" s="299"/>
      <c r="J225" s="299"/>
      <c r="K225" s="299"/>
      <c r="L225" s="299"/>
      <c r="M225" s="299"/>
      <c r="N225" s="229">
        <v>1</v>
      </c>
      <c r="O225" s="229">
        <v>1</v>
      </c>
      <c r="P225" s="229">
        <v>1</v>
      </c>
      <c r="Q225" s="272">
        <v>0.93200000000000005</v>
      </c>
      <c r="R225" s="272">
        <v>0.93200000000000005</v>
      </c>
      <c r="S225" s="272">
        <v>0.93200000000000005</v>
      </c>
      <c r="T225" s="256">
        <f t="shared" si="64"/>
        <v>0.93200000000000005</v>
      </c>
      <c r="U225" s="256">
        <f t="shared" si="39"/>
        <v>0.93200000000000005</v>
      </c>
      <c r="V225" s="256">
        <f t="shared" si="40"/>
        <v>0.93200000000000005</v>
      </c>
      <c r="W225" s="256">
        <f t="shared" si="61"/>
        <v>1</v>
      </c>
      <c r="X225" s="216"/>
      <c r="Y225" s="216"/>
    </row>
    <row r="226" spans="1:25" s="140" customFormat="1" ht="26.25" hidden="1" outlineLevel="3" thickBot="1">
      <c r="A226" s="216"/>
      <c r="B226" s="255" t="s">
        <v>412</v>
      </c>
      <c r="C226" s="245" t="s">
        <v>105</v>
      </c>
      <c r="D226" s="227" t="s">
        <v>106</v>
      </c>
      <c r="E226" s="241"/>
      <c r="F226" s="228">
        <f t="shared" si="62"/>
        <v>7.7851641421759807E-2</v>
      </c>
      <c r="G226" s="269">
        <f>+F226*G223</f>
        <v>8.67496209749973E-5</v>
      </c>
      <c r="H226" s="299"/>
      <c r="I226" s="299"/>
      <c r="J226" s="299"/>
      <c r="K226" s="299"/>
      <c r="L226" s="299"/>
      <c r="M226" s="299"/>
      <c r="N226" s="229">
        <v>1</v>
      </c>
      <c r="O226" s="229">
        <v>1</v>
      </c>
      <c r="P226" s="229">
        <v>1</v>
      </c>
      <c r="Q226" s="272">
        <v>0.93200000000000005</v>
      </c>
      <c r="R226" s="272">
        <v>0.93200000000000005</v>
      </c>
      <c r="S226" s="272">
        <v>0.93200000000000005</v>
      </c>
      <c r="T226" s="256">
        <f t="shared" si="64"/>
        <v>0.93200000000000005</v>
      </c>
      <c r="U226" s="256">
        <f t="shared" si="39"/>
        <v>0.93200000000000005</v>
      </c>
      <c r="V226" s="256">
        <f t="shared" si="40"/>
        <v>0.93200000000000005</v>
      </c>
      <c r="W226" s="256">
        <f t="shared" si="61"/>
        <v>1</v>
      </c>
      <c r="X226" s="216"/>
      <c r="Y226" s="216"/>
    </row>
    <row r="227" spans="1:25" s="140" customFormat="1" ht="26.25" hidden="1" outlineLevel="3" thickBot="1">
      <c r="A227" s="216"/>
      <c r="B227" s="255" t="s">
        <v>413</v>
      </c>
      <c r="C227" s="245" t="s">
        <v>108</v>
      </c>
      <c r="D227" s="227" t="s">
        <v>109</v>
      </c>
      <c r="E227" s="241"/>
      <c r="F227" s="228">
        <f t="shared" si="62"/>
        <v>9.6299858611877787E-2</v>
      </c>
      <c r="G227" s="269">
        <f>+F227*G223</f>
        <v>1.0730635966001946E-4</v>
      </c>
      <c r="H227" s="299"/>
      <c r="I227" s="299"/>
      <c r="J227" s="299"/>
      <c r="K227" s="299"/>
      <c r="L227" s="299"/>
      <c r="M227" s="299"/>
      <c r="N227" s="229">
        <v>1</v>
      </c>
      <c r="O227" s="229">
        <v>1</v>
      </c>
      <c r="P227" s="229">
        <v>1</v>
      </c>
      <c r="Q227" s="272">
        <v>0.93200000000000005</v>
      </c>
      <c r="R227" s="272">
        <v>0.93200000000000005</v>
      </c>
      <c r="S227" s="272">
        <v>0.93200000000000005</v>
      </c>
      <c r="T227" s="256">
        <f t="shared" si="64"/>
        <v>0.93200000000000005</v>
      </c>
      <c r="U227" s="256">
        <f t="shared" si="39"/>
        <v>0.93200000000000005</v>
      </c>
      <c r="V227" s="256">
        <f t="shared" si="40"/>
        <v>0.93200000000000005</v>
      </c>
      <c r="W227" s="256">
        <f t="shared" si="61"/>
        <v>1</v>
      </c>
      <c r="X227" s="216"/>
      <c r="Y227" s="216"/>
    </row>
    <row r="228" spans="1:25" s="140" customFormat="1" ht="39" hidden="1" outlineLevel="3" thickBot="1">
      <c r="A228" s="216"/>
      <c r="B228" s="255" t="s">
        <v>414</v>
      </c>
      <c r="C228" s="245" t="s">
        <v>111</v>
      </c>
      <c r="D228" s="227" t="s">
        <v>112</v>
      </c>
      <c r="E228" s="241"/>
      <c r="F228" s="228">
        <f t="shared" si="62"/>
        <v>0.2149063701910354</v>
      </c>
      <c r="G228" s="269">
        <f>+F228*G223</f>
        <v>2.3946889004159111E-4</v>
      </c>
      <c r="H228" s="299"/>
      <c r="I228" s="299"/>
      <c r="J228" s="299"/>
      <c r="K228" s="299"/>
      <c r="L228" s="299"/>
      <c r="M228" s="299"/>
      <c r="N228" s="229">
        <v>1</v>
      </c>
      <c r="O228" s="229">
        <v>1</v>
      </c>
      <c r="P228" s="229">
        <v>1</v>
      </c>
      <c r="Q228" s="272">
        <v>0.93200000000000005</v>
      </c>
      <c r="R228" s="272">
        <v>0.93200000000000005</v>
      </c>
      <c r="S228" s="272">
        <v>0.93200000000000005</v>
      </c>
      <c r="T228" s="256">
        <f t="shared" si="64"/>
        <v>0.93200000000000005</v>
      </c>
      <c r="U228" s="256">
        <f t="shared" si="39"/>
        <v>0.93200000000000005</v>
      </c>
      <c r="V228" s="256">
        <f t="shared" si="40"/>
        <v>0.93200000000000005</v>
      </c>
      <c r="W228" s="256">
        <f t="shared" si="61"/>
        <v>1</v>
      </c>
      <c r="X228" s="216"/>
      <c r="Y228" s="216"/>
    </row>
    <row r="229" spans="1:25" s="140" customFormat="1" ht="39" hidden="1" outlineLevel="3" thickBot="1">
      <c r="A229" s="216"/>
      <c r="B229" s="255" t="s">
        <v>415</v>
      </c>
      <c r="C229" s="245" t="s">
        <v>114</v>
      </c>
      <c r="D229" s="227" t="s">
        <v>115</v>
      </c>
      <c r="E229" s="241"/>
      <c r="F229" s="228">
        <f t="shared" si="62"/>
        <v>0.11738040352185054</v>
      </c>
      <c r="G229" s="269">
        <f>+F229*G223</f>
        <v>1.3079628546620045E-4</v>
      </c>
      <c r="H229" s="299"/>
      <c r="I229" s="299"/>
      <c r="J229" s="299"/>
      <c r="K229" s="299"/>
      <c r="L229" s="299"/>
      <c r="M229" s="299"/>
      <c r="N229" s="229">
        <v>1</v>
      </c>
      <c r="O229" s="229">
        <v>1</v>
      </c>
      <c r="P229" s="229">
        <v>1</v>
      </c>
      <c r="Q229" s="272">
        <v>0.93200000000000005</v>
      </c>
      <c r="R229" s="272">
        <v>0.93200000000000005</v>
      </c>
      <c r="S229" s="272">
        <v>0.93200000000000005</v>
      </c>
      <c r="T229" s="256">
        <f t="shared" si="64"/>
        <v>0.93200000000000005</v>
      </c>
      <c r="U229" s="256">
        <f t="shared" si="39"/>
        <v>0.93200000000000005</v>
      </c>
      <c r="V229" s="256">
        <f t="shared" si="40"/>
        <v>0.93200000000000005</v>
      </c>
      <c r="W229" s="256">
        <f t="shared" si="61"/>
        <v>1</v>
      </c>
      <c r="X229" s="216"/>
      <c r="Y229" s="216"/>
    </row>
    <row r="230" spans="1:25" s="140" customFormat="1" ht="39" hidden="1" outlineLevel="3" thickBot="1">
      <c r="A230" s="216"/>
      <c r="B230" s="255" t="s">
        <v>416</v>
      </c>
      <c r="C230" s="245" t="s">
        <v>117</v>
      </c>
      <c r="D230" s="227" t="s">
        <v>118</v>
      </c>
      <c r="E230" s="241"/>
      <c r="F230" s="228">
        <f t="shared" si="62"/>
        <v>0.11930471289964986</v>
      </c>
      <c r="G230" s="269">
        <f>+F230*G223</f>
        <v>1.3294053196009732E-4</v>
      </c>
      <c r="H230" s="299"/>
      <c r="I230" s="299"/>
      <c r="J230" s="299"/>
      <c r="K230" s="299"/>
      <c r="L230" s="299"/>
      <c r="M230" s="299"/>
      <c r="N230" s="229">
        <v>1</v>
      </c>
      <c r="O230" s="229">
        <v>1</v>
      </c>
      <c r="P230" s="229">
        <v>1</v>
      </c>
      <c r="Q230" s="272">
        <v>0.93200000000000005</v>
      </c>
      <c r="R230" s="272">
        <v>0.93200000000000005</v>
      </c>
      <c r="S230" s="272">
        <v>0.93200000000000005</v>
      </c>
      <c r="T230" s="256">
        <f t="shared" si="64"/>
        <v>0.93200000000000005</v>
      </c>
      <c r="U230" s="256">
        <f t="shared" si="39"/>
        <v>0.93200000000000005</v>
      </c>
      <c r="V230" s="256">
        <f t="shared" si="40"/>
        <v>0.93200000000000005</v>
      </c>
      <c r="W230" s="256">
        <f t="shared" si="61"/>
        <v>1</v>
      </c>
      <c r="X230" s="216"/>
      <c r="Y230" s="216"/>
    </row>
    <row r="231" spans="1:25" s="140" customFormat="1" ht="39" hidden="1" outlineLevel="3" thickBot="1">
      <c r="A231" s="216"/>
      <c r="B231" s="255" t="s">
        <v>417</v>
      </c>
      <c r="C231" s="245" t="s">
        <v>120</v>
      </c>
      <c r="D231" s="227" t="s">
        <v>121</v>
      </c>
      <c r="E231" s="241"/>
      <c r="F231" s="228">
        <f t="shared" si="62"/>
        <v>0.19167132064328818</v>
      </c>
      <c r="G231" s="269">
        <f>+F231*G223</f>
        <v>2.1357821253252348E-4</v>
      </c>
      <c r="H231" s="299"/>
      <c r="I231" s="299"/>
      <c r="J231" s="299"/>
      <c r="K231" s="299"/>
      <c r="L231" s="299"/>
      <c r="M231" s="299"/>
      <c r="N231" s="229">
        <v>1</v>
      </c>
      <c r="O231" s="229">
        <v>1</v>
      </c>
      <c r="P231" s="229">
        <v>1</v>
      </c>
      <c r="Q231" s="272">
        <v>0.93200000000000005</v>
      </c>
      <c r="R231" s="272">
        <v>0.93200000000000005</v>
      </c>
      <c r="S231" s="272">
        <v>0.93200000000000005</v>
      </c>
      <c r="T231" s="256">
        <f t="shared" si="64"/>
        <v>0.93200000000000005</v>
      </c>
      <c r="U231" s="256">
        <f t="shared" si="39"/>
        <v>0.93200000000000005</v>
      </c>
      <c r="V231" s="256">
        <f t="shared" si="40"/>
        <v>0.93200000000000005</v>
      </c>
      <c r="W231" s="256">
        <f t="shared" si="61"/>
        <v>1</v>
      </c>
      <c r="X231" s="216"/>
      <c r="Y231" s="216"/>
    </row>
    <row r="232" spans="1:25" s="140" customFormat="1" ht="26.25" hidden="1" outlineLevel="3" thickBot="1">
      <c r="A232" s="216"/>
      <c r="B232" s="255" t="s">
        <v>418</v>
      </c>
      <c r="C232" s="245" t="s">
        <v>123</v>
      </c>
      <c r="D232" s="227" t="s">
        <v>124</v>
      </c>
      <c r="E232" s="241"/>
      <c r="F232" s="228">
        <f t="shared" si="62"/>
        <v>5.2427274764052581E-3</v>
      </c>
      <c r="G232" s="269">
        <f>+F232*G223</f>
        <v>5.8419400432351156E-6</v>
      </c>
      <c r="H232" s="299"/>
      <c r="I232" s="299"/>
      <c r="J232" s="299"/>
      <c r="K232" s="299"/>
      <c r="L232" s="299"/>
      <c r="M232" s="299"/>
      <c r="N232" s="229">
        <v>1</v>
      </c>
      <c r="O232" s="229">
        <v>1</v>
      </c>
      <c r="P232" s="229">
        <v>1</v>
      </c>
      <c r="Q232" s="272">
        <v>0.93200000000000005</v>
      </c>
      <c r="R232" s="272">
        <v>0.93200000000000005</v>
      </c>
      <c r="S232" s="272">
        <v>0.93200000000000005</v>
      </c>
      <c r="T232" s="256">
        <f t="shared" si="64"/>
        <v>0.93200000000000005</v>
      </c>
      <c r="U232" s="256">
        <f t="shared" si="39"/>
        <v>0.93200000000000005</v>
      </c>
      <c r="V232" s="256">
        <f t="shared" si="40"/>
        <v>0.93200000000000005</v>
      </c>
      <c r="W232" s="256">
        <f t="shared" si="61"/>
        <v>1</v>
      </c>
      <c r="X232" s="216"/>
      <c r="Y232" s="216"/>
    </row>
    <row r="233" spans="1:25" s="140" customFormat="1" ht="26.25" hidden="1" outlineLevel="3" thickBot="1">
      <c r="A233" s="216"/>
      <c r="B233" s="255" t="s">
        <v>419</v>
      </c>
      <c r="C233" s="245" t="s">
        <v>126</v>
      </c>
      <c r="D233" s="227" t="s">
        <v>127</v>
      </c>
      <c r="E233" s="241"/>
      <c r="F233" s="228">
        <f>F869</f>
        <v>0</v>
      </c>
      <c r="G233" s="269">
        <f>+F233*G223</f>
        <v>0</v>
      </c>
      <c r="H233" s="299"/>
      <c r="I233" s="299"/>
      <c r="J233" s="299"/>
      <c r="K233" s="299"/>
      <c r="L233" s="299"/>
      <c r="M233" s="299"/>
      <c r="N233" s="229">
        <v>1</v>
      </c>
      <c r="O233" s="229">
        <v>1</v>
      </c>
      <c r="P233" s="229">
        <v>1</v>
      </c>
      <c r="Q233" s="272">
        <v>0.93200000000000005</v>
      </c>
      <c r="R233" s="272">
        <v>0.93200000000000005</v>
      </c>
      <c r="S233" s="272">
        <v>0.93200000000000005</v>
      </c>
      <c r="T233" s="256">
        <f t="shared" si="64"/>
        <v>0.93200000000000005</v>
      </c>
      <c r="U233" s="256">
        <f t="shared" si="39"/>
        <v>0.93200000000000005</v>
      </c>
      <c r="V233" s="256">
        <f t="shared" si="40"/>
        <v>0.93200000000000005</v>
      </c>
      <c r="W233" s="256">
        <f t="shared" si="61"/>
        <v>1</v>
      </c>
      <c r="X233" s="216"/>
      <c r="Y233" s="216"/>
    </row>
    <row r="234" spans="1:25" s="140" customFormat="1" ht="39" hidden="1" outlineLevel="3" thickBot="1">
      <c r="A234" s="216"/>
      <c r="B234" s="255" t="s">
        <v>420</v>
      </c>
      <c r="C234" s="245" t="s">
        <v>129</v>
      </c>
      <c r="D234" s="227" t="s">
        <v>130</v>
      </c>
      <c r="E234" s="241"/>
      <c r="F234" s="228">
        <f>F870</f>
        <v>2.2980292246743819E-2</v>
      </c>
      <c r="G234" s="269">
        <f>+F234*G223</f>
        <v>2.5606802963854995E-5</v>
      </c>
      <c r="H234" s="299"/>
      <c r="I234" s="299"/>
      <c r="J234" s="299"/>
      <c r="K234" s="299"/>
      <c r="L234" s="299"/>
      <c r="M234" s="299"/>
      <c r="N234" s="229">
        <v>1</v>
      </c>
      <c r="O234" s="229">
        <v>1</v>
      </c>
      <c r="P234" s="229">
        <v>1</v>
      </c>
      <c r="Q234" s="272">
        <v>0.93200000000000005</v>
      </c>
      <c r="R234" s="272">
        <v>0.93200000000000005</v>
      </c>
      <c r="S234" s="272">
        <v>0.93200000000000005</v>
      </c>
      <c r="T234" s="256">
        <f t="shared" si="64"/>
        <v>0.93200000000000005</v>
      </c>
      <c r="U234" s="256">
        <f t="shared" si="39"/>
        <v>0.93200000000000005</v>
      </c>
      <c r="V234" s="256">
        <f t="shared" si="40"/>
        <v>0.93200000000000005</v>
      </c>
      <c r="W234" s="256">
        <f t="shared" si="61"/>
        <v>1</v>
      </c>
      <c r="X234" s="216"/>
      <c r="Y234" s="216"/>
    </row>
    <row r="235" spans="1:25" s="140" customFormat="1" ht="26.25" hidden="1" outlineLevel="2" thickBot="1">
      <c r="B235" s="301" t="s">
        <v>421</v>
      </c>
      <c r="C235" s="251"/>
      <c r="D235" s="236" t="s">
        <v>133</v>
      </c>
      <c r="E235" s="242"/>
      <c r="F235" s="232">
        <f>F871</f>
        <v>0.15364965195292599</v>
      </c>
      <c r="G235" s="232">
        <f>+F235*G222</f>
        <v>8.2922754238846322E-4</v>
      </c>
      <c r="H235" s="321"/>
      <c r="I235" s="321"/>
      <c r="J235" s="321"/>
      <c r="K235" s="321"/>
      <c r="L235" s="321"/>
      <c r="M235" s="321"/>
      <c r="N235" s="233">
        <f t="shared" ref="N235:S235" si="67">+SUMPRODUCT($F236:$F242,N236:N242)</f>
        <v>1.0000000000000002</v>
      </c>
      <c r="O235" s="233">
        <f t="shared" si="67"/>
        <v>1.0000000000000002</v>
      </c>
      <c r="P235" s="233">
        <f t="shared" si="67"/>
        <v>1.0000000000000002</v>
      </c>
      <c r="Q235" s="274">
        <f t="shared" si="67"/>
        <v>0.93200000000000005</v>
      </c>
      <c r="R235" s="274">
        <f t="shared" si="67"/>
        <v>0.93200000000000005</v>
      </c>
      <c r="S235" s="274">
        <f t="shared" si="67"/>
        <v>0.93200000000000005</v>
      </c>
      <c r="T235" s="260">
        <f t="shared" si="64"/>
        <v>0.93199999999999983</v>
      </c>
      <c r="U235" s="260">
        <f t="shared" si="39"/>
        <v>0.93199999999999983</v>
      </c>
      <c r="V235" s="260">
        <f t="shared" si="40"/>
        <v>0.93199999999999983</v>
      </c>
      <c r="W235" s="260">
        <f t="shared" si="61"/>
        <v>1</v>
      </c>
    </row>
    <row r="236" spans="1:25" s="140" customFormat="1" ht="26.25" hidden="1" outlineLevel="3" thickBot="1">
      <c r="A236" s="216"/>
      <c r="B236" s="255" t="s">
        <v>422</v>
      </c>
      <c r="C236" s="245" t="s">
        <v>135</v>
      </c>
      <c r="D236" s="227" t="s">
        <v>136</v>
      </c>
      <c r="E236" s="241"/>
      <c r="F236" s="228">
        <f>F872</f>
        <v>7.1676986389805894E-2</v>
      </c>
      <c r="G236" s="269">
        <f>+F236*G235</f>
        <v>5.9436531269830068E-5</v>
      </c>
      <c r="H236" s="299"/>
      <c r="I236" s="299"/>
      <c r="J236" s="299"/>
      <c r="K236" s="299"/>
      <c r="L236" s="299"/>
      <c r="M236" s="299"/>
      <c r="N236" s="229">
        <v>1</v>
      </c>
      <c r="O236" s="229">
        <v>1</v>
      </c>
      <c r="P236" s="229">
        <v>1</v>
      </c>
      <c r="Q236" s="272">
        <v>0.93200000000000005</v>
      </c>
      <c r="R236" s="272">
        <v>0.93200000000000005</v>
      </c>
      <c r="S236" s="272">
        <v>0.93200000000000005</v>
      </c>
      <c r="T236" s="256">
        <f t="shared" si="64"/>
        <v>0.93200000000000005</v>
      </c>
      <c r="U236" s="256">
        <f t="shared" si="39"/>
        <v>0.93200000000000005</v>
      </c>
      <c r="V236" s="256">
        <f t="shared" si="40"/>
        <v>0.93200000000000005</v>
      </c>
      <c r="W236" s="256">
        <f t="shared" si="61"/>
        <v>1</v>
      </c>
      <c r="X236" s="216"/>
      <c r="Y236" s="216"/>
    </row>
    <row r="237" spans="1:25" s="140" customFormat="1" ht="26.25" hidden="1" outlineLevel="3" thickBot="1">
      <c r="A237" s="216"/>
      <c r="B237" s="255" t="s">
        <v>423</v>
      </c>
      <c r="C237" s="245" t="s">
        <v>138</v>
      </c>
      <c r="D237" s="227" t="s">
        <v>139</v>
      </c>
      <c r="E237" s="241"/>
      <c r="F237" s="228">
        <f>F873</f>
        <v>0.15362856123913068</v>
      </c>
      <c r="G237" s="269">
        <f>+F237*G235</f>
        <v>1.2739303427699986E-4</v>
      </c>
      <c r="H237" s="299"/>
      <c r="I237" s="299"/>
      <c r="J237" s="299"/>
      <c r="K237" s="299"/>
      <c r="L237" s="299"/>
      <c r="M237" s="299"/>
      <c r="N237" s="229">
        <v>1</v>
      </c>
      <c r="O237" s="229">
        <v>1</v>
      </c>
      <c r="P237" s="229">
        <v>1</v>
      </c>
      <c r="Q237" s="272">
        <v>0.93200000000000005</v>
      </c>
      <c r="R237" s="272">
        <v>0.93200000000000005</v>
      </c>
      <c r="S237" s="272">
        <v>0.93200000000000005</v>
      </c>
      <c r="T237" s="256">
        <f t="shared" si="64"/>
        <v>0.93200000000000005</v>
      </c>
      <c r="U237" s="256">
        <f t="shared" si="39"/>
        <v>0.93200000000000005</v>
      </c>
      <c r="V237" s="256">
        <f t="shared" si="40"/>
        <v>0.93200000000000005</v>
      </c>
      <c r="W237" s="256">
        <f t="shared" si="61"/>
        <v>1</v>
      </c>
      <c r="X237" s="216"/>
      <c r="Y237" s="216"/>
    </row>
    <row r="238" spans="1:25" s="140" customFormat="1" ht="26.25" hidden="1" outlineLevel="3" thickBot="1">
      <c r="A238" s="216"/>
      <c r="B238" s="255" t="s">
        <v>424</v>
      </c>
      <c r="C238" s="245" t="s">
        <v>141</v>
      </c>
      <c r="D238" s="227" t="s">
        <v>142</v>
      </c>
      <c r="E238" s="241"/>
      <c r="F238" s="228">
        <f t="shared" ref="F238:F267" si="68">F874</f>
        <v>0.20080921506999638</v>
      </c>
      <c r="G238" s="269">
        <f>+F238*G235</f>
        <v>1.6651653190144944E-4</v>
      </c>
      <c r="H238" s="299"/>
      <c r="I238" s="299"/>
      <c r="J238" s="299"/>
      <c r="K238" s="299"/>
      <c r="L238" s="299"/>
      <c r="M238" s="299"/>
      <c r="N238" s="229">
        <v>1</v>
      </c>
      <c r="O238" s="229">
        <v>1</v>
      </c>
      <c r="P238" s="229">
        <v>1</v>
      </c>
      <c r="Q238" s="272">
        <v>0.93200000000000005</v>
      </c>
      <c r="R238" s="272">
        <v>0.93200000000000005</v>
      </c>
      <c r="S238" s="272">
        <v>0.93200000000000005</v>
      </c>
      <c r="T238" s="256">
        <f t="shared" si="64"/>
        <v>0.93200000000000005</v>
      </c>
      <c r="U238" s="256">
        <f t="shared" si="39"/>
        <v>0.93200000000000005</v>
      </c>
      <c r="V238" s="256">
        <f t="shared" si="40"/>
        <v>0.93200000000000005</v>
      </c>
      <c r="W238" s="256">
        <f t="shared" si="61"/>
        <v>1</v>
      </c>
      <c r="X238" s="216"/>
      <c r="Y238" s="216"/>
    </row>
    <row r="239" spans="1:25" s="140" customFormat="1" ht="26.25" hidden="1" outlineLevel="3" thickBot="1">
      <c r="A239" s="216"/>
      <c r="B239" s="255" t="s">
        <v>425</v>
      </c>
      <c r="C239" s="245" t="s">
        <v>144</v>
      </c>
      <c r="D239" s="227" t="s">
        <v>145</v>
      </c>
      <c r="E239" s="241"/>
      <c r="F239" s="228">
        <f t="shared" si="68"/>
        <v>0.2365874770023029</v>
      </c>
      <c r="G239" s="269">
        <f>+F239*G235</f>
        <v>1.9618485211450669E-4</v>
      </c>
      <c r="H239" s="299"/>
      <c r="I239" s="299"/>
      <c r="J239" s="299"/>
      <c r="K239" s="299"/>
      <c r="L239" s="299"/>
      <c r="M239" s="299"/>
      <c r="N239" s="229">
        <v>1</v>
      </c>
      <c r="O239" s="229">
        <v>1</v>
      </c>
      <c r="P239" s="229">
        <v>1</v>
      </c>
      <c r="Q239" s="272">
        <v>0.93200000000000005</v>
      </c>
      <c r="R239" s="272">
        <v>0.93200000000000005</v>
      </c>
      <c r="S239" s="272">
        <v>0.93200000000000005</v>
      </c>
      <c r="T239" s="256">
        <f t="shared" si="64"/>
        <v>0.93200000000000005</v>
      </c>
      <c r="U239" s="256">
        <f t="shared" si="39"/>
        <v>0.93200000000000005</v>
      </c>
      <c r="V239" s="256">
        <f t="shared" si="40"/>
        <v>0.93200000000000005</v>
      </c>
      <c r="W239" s="256">
        <f t="shared" si="61"/>
        <v>1</v>
      </c>
      <c r="X239" s="216"/>
      <c r="Y239" s="216"/>
    </row>
    <row r="240" spans="1:25" s="140" customFormat="1" ht="13.5" hidden="1" outlineLevel="3" thickBot="1">
      <c r="A240" s="216"/>
      <c r="B240" s="255" t="s">
        <v>426</v>
      </c>
      <c r="C240" s="245" t="s">
        <v>147</v>
      </c>
      <c r="D240" s="227" t="s">
        <v>148</v>
      </c>
      <c r="E240" s="241"/>
      <c r="F240" s="228">
        <f t="shared" si="68"/>
        <v>0.13605594911200233</v>
      </c>
      <c r="G240" s="269">
        <f>+F240*G235</f>
        <v>1.1282134030947551E-4</v>
      </c>
      <c r="H240" s="299"/>
      <c r="I240" s="299"/>
      <c r="J240" s="299"/>
      <c r="K240" s="299"/>
      <c r="L240" s="299"/>
      <c r="M240" s="299"/>
      <c r="N240" s="229">
        <v>1</v>
      </c>
      <c r="O240" s="229">
        <v>1</v>
      </c>
      <c r="P240" s="229">
        <v>1</v>
      </c>
      <c r="Q240" s="272">
        <v>0.93200000000000005</v>
      </c>
      <c r="R240" s="272">
        <v>0.93200000000000005</v>
      </c>
      <c r="S240" s="272">
        <v>0.93200000000000005</v>
      </c>
      <c r="T240" s="256">
        <f t="shared" si="64"/>
        <v>0.93200000000000005</v>
      </c>
      <c r="U240" s="256">
        <f t="shared" si="39"/>
        <v>0.93200000000000005</v>
      </c>
      <c r="V240" s="256">
        <f t="shared" si="40"/>
        <v>0.93200000000000005</v>
      </c>
      <c r="W240" s="256">
        <f t="shared" si="61"/>
        <v>1</v>
      </c>
      <c r="X240" s="216"/>
      <c r="Y240" s="216"/>
    </row>
    <row r="241" spans="1:25" s="140" customFormat="1" ht="26.25" hidden="1" outlineLevel="3" thickBot="1">
      <c r="A241" s="216"/>
      <c r="B241" s="255" t="s">
        <v>427</v>
      </c>
      <c r="C241" s="245" t="s">
        <v>150</v>
      </c>
      <c r="D241" s="227" t="s">
        <v>151</v>
      </c>
      <c r="E241" s="241"/>
      <c r="F241" s="228">
        <f t="shared" si="68"/>
        <v>0.10923085522251913</v>
      </c>
      <c r="G241" s="269">
        <f>+F241*G235</f>
        <v>9.0577233629159567E-5</v>
      </c>
      <c r="H241" s="299"/>
      <c r="I241" s="299"/>
      <c r="J241" s="299"/>
      <c r="K241" s="299"/>
      <c r="L241" s="299"/>
      <c r="M241" s="299"/>
      <c r="N241" s="229">
        <v>1</v>
      </c>
      <c r="O241" s="229">
        <v>1</v>
      </c>
      <c r="P241" s="229">
        <v>1</v>
      </c>
      <c r="Q241" s="272">
        <v>0.93200000000000005</v>
      </c>
      <c r="R241" s="272">
        <v>0.93200000000000005</v>
      </c>
      <c r="S241" s="272">
        <v>0.93200000000000005</v>
      </c>
      <c r="T241" s="256">
        <f t="shared" si="64"/>
        <v>0.93200000000000005</v>
      </c>
      <c r="U241" s="256">
        <f t="shared" si="39"/>
        <v>0.93200000000000005</v>
      </c>
      <c r="V241" s="256">
        <f t="shared" si="40"/>
        <v>0.93200000000000005</v>
      </c>
      <c r="W241" s="256">
        <f t="shared" si="61"/>
        <v>1</v>
      </c>
      <c r="X241" s="216"/>
      <c r="Y241" s="216"/>
    </row>
    <row r="242" spans="1:25" s="140" customFormat="1" ht="26.25" hidden="1" outlineLevel="3" thickBot="1">
      <c r="A242" s="216"/>
      <c r="B242" s="255" t="s">
        <v>428</v>
      </c>
      <c r="C242" s="245" t="s">
        <v>153</v>
      </c>
      <c r="D242" s="227" t="s">
        <v>154</v>
      </c>
      <c r="E242" s="241"/>
      <c r="F242" s="228">
        <f t="shared" si="68"/>
        <v>9.2010955964242705E-2</v>
      </c>
      <c r="G242" s="269">
        <f>+F242*G235</f>
        <v>7.6298018887042097E-5</v>
      </c>
      <c r="H242" s="299"/>
      <c r="I242" s="299"/>
      <c r="J242" s="299"/>
      <c r="K242" s="299"/>
      <c r="L242" s="299"/>
      <c r="M242" s="299"/>
      <c r="N242" s="229">
        <v>1</v>
      </c>
      <c r="O242" s="229">
        <v>1</v>
      </c>
      <c r="P242" s="229">
        <v>1</v>
      </c>
      <c r="Q242" s="272">
        <v>0.93200000000000005</v>
      </c>
      <c r="R242" s="272">
        <v>0.93200000000000005</v>
      </c>
      <c r="S242" s="272">
        <v>0.93200000000000005</v>
      </c>
      <c r="T242" s="256">
        <f t="shared" si="64"/>
        <v>0.93200000000000005</v>
      </c>
      <c r="U242" s="256">
        <f t="shared" si="39"/>
        <v>0.93200000000000005</v>
      </c>
      <c r="V242" s="256">
        <f t="shared" si="40"/>
        <v>0.93200000000000005</v>
      </c>
      <c r="W242" s="256">
        <f t="shared" si="61"/>
        <v>1</v>
      </c>
      <c r="X242" s="216"/>
      <c r="Y242" s="216"/>
    </row>
    <row r="243" spans="1:25" s="140" customFormat="1" ht="26.25" hidden="1" outlineLevel="1" thickBot="1">
      <c r="B243" s="301" t="s">
        <v>429</v>
      </c>
      <c r="C243" s="251"/>
      <c r="D243" s="236" t="s">
        <v>157</v>
      </c>
      <c r="E243" s="242"/>
      <c r="F243" s="232">
        <f t="shared" si="68"/>
        <v>0.15245155571846505</v>
      </c>
      <c r="G243" s="232">
        <f>+F243*G222</f>
        <v>8.2276157007144619E-4</v>
      </c>
      <c r="H243" s="321"/>
      <c r="I243" s="321"/>
      <c r="J243" s="321"/>
      <c r="K243" s="321"/>
      <c r="L243" s="321"/>
      <c r="M243" s="321"/>
      <c r="N243" s="233">
        <f t="shared" ref="N243:S243" si="69">+SUMPRODUCT($F244:$F248,N244:N248)</f>
        <v>1</v>
      </c>
      <c r="O243" s="233">
        <f t="shared" si="69"/>
        <v>1</v>
      </c>
      <c r="P243" s="233">
        <f t="shared" si="69"/>
        <v>1</v>
      </c>
      <c r="Q243" s="274">
        <f t="shared" si="69"/>
        <v>0.93200000000000016</v>
      </c>
      <c r="R243" s="274">
        <f t="shared" si="69"/>
        <v>0.93200000000000016</v>
      </c>
      <c r="S243" s="274">
        <f t="shared" si="69"/>
        <v>0.93200000000000016</v>
      </c>
      <c r="T243" s="254">
        <f t="shared" si="64"/>
        <v>0.93200000000000016</v>
      </c>
      <c r="U243" s="254">
        <f t="shared" si="39"/>
        <v>0.93200000000000016</v>
      </c>
      <c r="V243" s="254">
        <f t="shared" si="40"/>
        <v>0.93200000000000016</v>
      </c>
      <c r="W243" s="254">
        <f t="shared" si="61"/>
        <v>1</v>
      </c>
    </row>
    <row r="244" spans="1:25" s="140" customFormat="1" ht="13.5" hidden="1" outlineLevel="2" thickBot="1">
      <c r="A244" s="216"/>
      <c r="B244" s="255" t="s">
        <v>430</v>
      </c>
      <c r="C244" s="245" t="s">
        <v>181</v>
      </c>
      <c r="D244" s="227" t="s">
        <v>182</v>
      </c>
      <c r="E244" s="241"/>
      <c r="F244" s="228">
        <f t="shared" si="68"/>
        <v>0.81307686435397697</v>
      </c>
      <c r="G244" s="269">
        <f>+F244*G243</f>
        <v>6.6896839750464642E-4</v>
      </c>
      <c r="H244" s="299"/>
      <c r="I244" s="299"/>
      <c r="J244" s="299"/>
      <c r="K244" s="299"/>
      <c r="L244" s="299"/>
      <c r="M244" s="299"/>
      <c r="N244" s="229">
        <v>1</v>
      </c>
      <c r="O244" s="229">
        <v>1</v>
      </c>
      <c r="P244" s="229">
        <v>1</v>
      </c>
      <c r="Q244" s="272">
        <v>0.93200000000000005</v>
      </c>
      <c r="R244" s="272">
        <v>0.93200000000000005</v>
      </c>
      <c r="S244" s="272">
        <v>0.93200000000000005</v>
      </c>
      <c r="T244" s="256">
        <f t="shared" ref="T244:T267" si="70">+IF(N244=0,0,$S244/N244)</f>
        <v>0.93200000000000005</v>
      </c>
      <c r="U244" s="256">
        <f t="shared" si="39"/>
        <v>0.93200000000000005</v>
      </c>
      <c r="V244" s="256">
        <f t="shared" si="40"/>
        <v>0.93200000000000005</v>
      </c>
      <c r="W244" s="256">
        <f t="shared" si="61"/>
        <v>1</v>
      </c>
      <c r="X244" s="216"/>
      <c r="Y244" s="216"/>
    </row>
    <row r="245" spans="1:25" s="140" customFormat="1" ht="26.25" hidden="1" outlineLevel="2" thickBot="1">
      <c r="A245" s="216"/>
      <c r="B245" s="255" t="s">
        <v>431</v>
      </c>
      <c r="C245" s="245" t="s">
        <v>159</v>
      </c>
      <c r="D245" s="227" t="s">
        <v>160</v>
      </c>
      <c r="E245" s="241"/>
      <c r="F245" s="228">
        <f t="shared" si="68"/>
        <v>9.3460693266385869E-2</v>
      </c>
      <c r="G245" s="269">
        <f>+F245*G243</f>
        <v>7.6895866731817476E-5</v>
      </c>
      <c r="H245" s="299"/>
      <c r="I245" s="299"/>
      <c r="J245" s="299"/>
      <c r="K245" s="299"/>
      <c r="L245" s="299"/>
      <c r="M245" s="299"/>
      <c r="N245" s="229">
        <v>1</v>
      </c>
      <c r="O245" s="229">
        <v>1</v>
      </c>
      <c r="P245" s="229">
        <v>1</v>
      </c>
      <c r="Q245" s="272">
        <v>0.93200000000000005</v>
      </c>
      <c r="R245" s="272">
        <v>0.93200000000000005</v>
      </c>
      <c r="S245" s="272">
        <v>0.93200000000000005</v>
      </c>
      <c r="T245" s="256">
        <f t="shared" si="70"/>
        <v>0.93200000000000005</v>
      </c>
      <c r="U245" s="256">
        <f t="shared" si="39"/>
        <v>0.93200000000000005</v>
      </c>
      <c r="V245" s="256">
        <f t="shared" si="40"/>
        <v>0.93200000000000005</v>
      </c>
      <c r="W245" s="256">
        <f t="shared" si="61"/>
        <v>1</v>
      </c>
      <c r="X245" s="216"/>
      <c r="Y245" s="216"/>
    </row>
    <row r="246" spans="1:25" s="140" customFormat="1" ht="26.25" hidden="1" outlineLevel="2" thickBot="1">
      <c r="A246" s="216"/>
      <c r="B246" s="255" t="s">
        <v>432</v>
      </c>
      <c r="C246" s="245" t="s">
        <v>162</v>
      </c>
      <c r="D246" s="227" t="s">
        <v>163</v>
      </c>
      <c r="E246" s="241"/>
      <c r="F246" s="228">
        <f t="shared" si="68"/>
        <v>3.036845712708507E-2</v>
      </c>
      <c r="G246" s="269">
        <f>+F246*G243</f>
        <v>2.498599946652791E-5</v>
      </c>
      <c r="H246" s="299"/>
      <c r="I246" s="299"/>
      <c r="J246" s="299"/>
      <c r="K246" s="299"/>
      <c r="L246" s="299"/>
      <c r="M246" s="299"/>
      <c r="N246" s="229">
        <v>1</v>
      </c>
      <c r="O246" s="229">
        <v>1</v>
      </c>
      <c r="P246" s="229">
        <v>1</v>
      </c>
      <c r="Q246" s="272">
        <v>0.93200000000000005</v>
      </c>
      <c r="R246" s="272">
        <v>0.93200000000000005</v>
      </c>
      <c r="S246" s="272">
        <v>0.93200000000000005</v>
      </c>
      <c r="T246" s="256">
        <f t="shared" si="70"/>
        <v>0.93200000000000005</v>
      </c>
      <c r="U246" s="256">
        <f t="shared" si="39"/>
        <v>0.93200000000000005</v>
      </c>
      <c r="V246" s="256">
        <f t="shared" si="40"/>
        <v>0.93200000000000005</v>
      </c>
      <c r="W246" s="256">
        <f t="shared" si="61"/>
        <v>1</v>
      </c>
      <c r="X246" s="216"/>
      <c r="Y246" s="216"/>
    </row>
    <row r="247" spans="1:25" s="140" customFormat="1" ht="13.5" hidden="1" outlineLevel="2" thickBot="1">
      <c r="A247" s="216"/>
      <c r="B247" s="255" t="s">
        <v>433</v>
      </c>
      <c r="C247" s="245" t="s">
        <v>165</v>
      </c>
      <c r="D247" s="227" t="s">
        <v>166</v>
      </c>
      <c r="E247" s="241"/>
      <c r="F247" s="228">
        <f t="shared" si="68"/>
        <v>3.6002086533741685E-2</v>
      </c>
      <c r="G247" s="269">
        <f>+F247*G243</f>
        <v>2.9621133242349378E-5</v>
      </c>
      <c r="H247" s="299"/>
      <c r="I247" s="299"/>
      <c r="J247" s="299"/>
      <c r="K247" s="299"/>
      <c r="L247" s="299"/>
      <c r="M247" s="299"/>
      <c r="N247" s="229">
        <v>1</v>
      </c>
      <c r="O247" s="229">
        <v>1</v>
      </c>
      <c r="P247" s="229">
        <v>1</v>
      </c>
      <c r="Q247" s="272">
        <v>0.93200000000000005</v>
      </c>
      <c r="R247" s="272">
        <v>0.93200000000000005</v>
      </c>
      <c r="S247" s="272">
        <v>0.93200000000000005</v>
      </c>
      <c r="T247" s="256">
        <f t="shared" si="70"/>
        <v>0.93200000000000005</v>
      </c>
      <c r="U247" s="256">
        <f t="shared" si="39"/>
        <v>0.93200000000000005</v>
      </c>
      <c r="V247" s="256">
        <f t="shared" si="40"/>
        <v>0.93200000000000005</v>
      </c>
      <c r="W247" s="256">
        <f t="shared" si="61"/>
        <v>1</v>
      </c>
      <c r="X247" s="216"/>
      <c r="Y247" s="216"/>
    </row>
    <row r="248" spans="1:25" s="140" customFormat="1" ht="13.5" hidden="1" outlineLevel="2" thickBot="1">
      <c r="A248" s="216"/>
      <c r="B248" s="255" t="s">
        <v>434</v>
      </c>
      <c r="C248" s="245" t="s">
        <v>168</v>
      </c>
      <c r="D248" s="227" t="s">
        <v>169</v>
      </c>
      <c r="E248" s="241"/>
      <c r="F248" s="228">
        <f t="shared" si="68"/>
        <v>2.7091898718810414E-2</v>
      </c>
      <c r="G248" s="269">
        <f>+F248*G243</f>
        <v>2.2290173126105057E-5</v>
      </c>
      <c r="H248" s="299"/>
      <c r="I248" s="299"/>
      <c r="J248" s="299"/>
      <c r="K248" s="299"/>
      <c r="L248" s="299"/>
      <c r="M248" s="299"/>
      <c r="N248" s="229">
        <v>1</v>
      </c>
      <c r="O248" s="229">
        <v>1</v>
      </c>
      <c r="P248" s="229">
        <v>1</v>
      </c>
      <c r="Q248" s="272">
        <v>0.93200000000000005</v>
      </c>
      <c r="R248" s="272">
        <v>0.93200000000000005</v>
      </c>
      <c r="S248" s="272">
        <v>0.93200000000000005</v>
      </c>
      <c r="T248" s="256">
        <f t="shared" si="70"/>
        <v>0.93200000000000005</v>
      </c>
      <c r="U248" s="256">
        <f t="shared" si="39"/>
        <v>0.93200000000000005</v>
      </c>
      <c r="V248" s="256">
        <f t="shared" si="40"/>
        <v>0.93200000000000005</v>
      </c>
      <c r="W248" s="256">
        <f t="shared" si="61"/>
        <v>1</v>
      </c>
      <c r="X248" s="216"/>
      <c r="Y248" s="216"/>
    </row>
    <row r="249" spans="1:25" s="140" customFormat="1" ht="26.25" hidden="1" outlineLevel="1" thickBot="1">
      <c r="B249" s="301" t="s">
        <v>435</v>
      </c>
      <c r="C249" s="251"/>
      <c r="D249" s="236" t="s">
        <v>173</v>
      </c>
      <c r="E249" s="242"/>
      <c r="F249" s="232">
        <f t="shared" si="68"/>
        <v>0.30792579068332282</v>
      </c>
      <c r="G249" s="232">
        <f>+F249*G222</f>
        <v>1.6618361538793815E-3</v>
      </c>
      <c r="H249" s="321"/>
      <c r="I249" s="321"/>
      <c r="J249" s="321"/>
      <c r="K249" s="321"/>
      <c r="L249" s="321"/>
      <c r="M249" s="321"/>
      <c r="N249" s="233">
        <f t="shared" ref="N249:S249" si="71">+SUMPRODUCT($F250:$F252,N250:N252)</f>
        <v>1</v>
      </c>
      <c r="O249" s="233">
        <f t="shared" si="71"/>
        <v>1</v>
      </c>
      <c r="P249" s="233">
        <f t="shared" si="71"/>
        <v>1</v>
      </c>
      <c r="Q249" s="274">
        <f t="shared" si="71"/>
        <v>0.93200000000000005</v>
      </c>
      <c r="R249" s="274">
        <f t="shared" si="71"/>
        <v>0.93200000000000005</v>
      </c>
      <c r="S249" s="274">
        <f t="shared" si="71"/>
        <v>0.93200000000000005</v>
      </c>
      <c r="T249" s="254">
        <f t="shared" si="70"/>
        <v>0.93200000000000005</v>
      </c>
      <c r="U249" s="254">
        <f t="shared" si="39"/>
        <v>0.93200000000000005</v>
      </c>
      <c r="V249" s="254">
        <f t="shared" si="40"/>
        <v>0.93200000000000005</v>
      </c>
      <c r="W249" s="254">
        <f t="shared" si="61"/>
        <v>1</v>
      </c>
    </row>
    <row r="250" spans="1:25" s="140" customFormat="1" ht="26.25" hidden="1" outlineLevel="2" thickBot="1">
      <c r="A250" s="216"/>
      <c r="B250" s="255" t="s">
        <v>436</v>
      </c>
      <c r="C250" s="245" t="s">
        <v>175</v>
      </c>
      <c r="D250" s="227" t="s">
        <v>176</v>
      </c>
      <c r="E250" s="241"/>
      <c r="F250" s="228">
        <f t="shared" si="68"/>
        <v>0.16618782649623062</v>
      </c>
      <c r="G250" s="269">
        <f>+F250*G249</f>
        <v>2.7617693840606986E-4</v>
      </c>
      <c r="H250" s="299"/>
      <c r="I250" s="299"/>
      <c r="J250" s="299"/>
      <c r="K250" s="299"/>
      <c r="L250" s="299"/>
      <c r="M250" s="299"/>
      <c r="N250" s="229">
        <v>1</v>
      </c>
      <c r="O250" s="229">
        <v>1</v>
      </c>
      <c r="P250" s="229">
        <v>1</v>
      </c>
      <c r="Q250" s="272">
        <v>0.93200000000000005</v>
      </c>
      <c r="R250" s="272">
        <v>0.93200000000000005</v>
      </c>
      <c r="S250" s="272">
        <v>0.93200000000000005</v>
      </c>
      <c r="T250" s="256">
        <f t="shared" si="70"/>
        <v>0.93200000000000005</v>
      </c>
      <c r="U250" s="256">
        <f t="shared" si="39"/>
        <v>0.93200000000000005</v>
      </c>
      <c r="V250" s="256">
        <f t="shared" si="40"/>
        <v>0.93200000000000005</v>
      </c>
      <c r="W250" s="256">
        <f t="shared" si="61"/>
        <v>1</v>
      </c>
      <c r="X250" s="216"/>
      <c r="Y250" s="216"/>
    </row>
    <row r="251" spans="1:25" s="140" customFormat="1" ht="26.25" hidden="1" outlineLevel="2" thickBot="1">
      <c r="A251" s="216"/>
      <c r="B251" s="255" t="s">
        <v>437</v>
      </c>
      <c r="C251" s="245" t="s">
        <v>178</v>
      </c>
      <c r="D251" s="227" t="s">
        <v>179</v>
      </c>
      <c r="E251" s="241"/>
      <c r="F251" s="228">
        <f t="shared" si="68"/>
        <v>0.36085232777611836</v>
      </c>
      <c r="G251" s="269">
        <f>+F251*G249</f>
        <v>5.9967744450988643E-4</v>
      </c>
      <c r="H251" s="299"/>
      <c r="I251" s="299"/>
      <c r="J251" s="299"/>
      <c r="K251" s="299"/>
      <c r="L251" s="299"/>
      <c r="M251" s="299"/>
      <c r="N251" s="229">
        <v>1</v>
      </c>
      <c r="O251" s="229">
        <v>1</v>
      </c>
      <c r="P251" s="229">
        <v>1</v>
      </c>
      <c r="Q251" s="272">
        <v>0.93200000000000005</v>
      </c>
      <c r="R251" s="272">
        <v>0.93200000000000005</v>
      </c>
      <c r="S251" s="272">
        <v>0.93200000000000005</v>
      </c>
      <c r="T251" s="256">
        <f t="shared" si="70"/>
        <v>0.93200000000000005</v>
      </c>
      <c r="U251" s="256">
        <f t="shared" si="39"/>
        <v>0.93200000000000005</v>
      </c>
      <c r="V251" s="256">
        <f t="shared" si="40"/>
        <v>0.93200000000000005</v>
      </c>
      <c r="W251" s="256">
        <f t="shared" si="61"/>
        <v>1</v>
      </c>
      <c r="X251" s="216"/>
      <c r="Y251" s="216"/>
    </row>
    <row r="252" spans="1:25" s="140" customFormat="1" ht="26.25" hidden="1" outlineLevel="2" thickBot="1">
      <c r="A252" s="216"/>
      <c r="B252" s="255" t="s">
        <v>438</v>
      </c>
      <c r="C252" s="245"/>
      <c r="D252" s="227" t="s">
        <v>439</v>
      </c>
      <c r="E252" s="241"/>
      <c r="F252" s="228">
        <f t="shared" si="68"/>
        <v>0.47295984572765098</v>
      </c>
      <c r="G252" s="269">
        <f>+F252*G249</f>
        <v>7.859817709634252E-4</v>
      </c>
      <c r="H252" s="299"/>
      <c r="I252" s="299"/>
      <c r="J252" s="299"/>
      <c r="K252" s="299"/>
      <c r="L252" s="299"/>
      <c r="M252" s="299"/>
      <c r="N252" s="229">
        <v>1</v>
      </c>
      <c r="O252" s="229">
        <v>1</v>
      </c>
      <c r="P252" s="229">
        <v>1</v>
      </c>
      <c r="Q252" s="272">
        <v>0.93200000000000005</v>
      </c>
      <c r="R252" s="272">
        <v>0.93200000000000005</v>
      </c>
      <c r="S252" s="272">
        <v>0.93200000000000005</v>
      </c>
      <c r="T252" s="256">
        <f t="shared" si="70"/>
        <v>0.93200000000000005</v>
      </c>
      <c r="U252" s="256">
        <f t="shared" si="39"/>
        <v>0.93200000000000005</v>
      </c>
      <c r="V252" s="256">
        <f t="shared" si="40"/>
        <v>0.93200000000000005</v>
      </c>
      <c r="W252" s="256">
        <f t="shared" si="61"/>
        <v>1</v>
      </c>
      <c r="X252" s="216"/>
      <c r="Y252" s="216"/>
    </row>
    <row r="253" spans="1:25" s="140" customFormat="1" ht="13.5" hidden="1" outlineLevel="1" thickBot="1">
      <c r="B253" s="301" t="s">
        <v>440</v>
      </c>
      <c r="C253" s="251"/>
      <c r="D253" s="236" t="s">
        <v>441</v>
      </c>
      <c r="E253" s="242"/>
      <c r="F253" s="232">
        <f t="shared" si="68"/>
        <v>0.17950266086228694</v>
      </c>
      <c r="G253" s="232">
        <f>+F253*G222</f>
        <v>9.6875292867325898E-4</v>
      </c>
      <c r="H253" s="321"/>
      <c r="I253" s="321"/>
      <c r="J253" s="321"/>
      <c r="K253" s="321"/>
      <c r="L253" s="321"/>
      <c r="M253" s="321"/>
      <c r="N253" s="233">
        <f t="shared" ref="N253:S253" si="72">+SUMPRODUCT($F254:$F254,N254:N254)</f>
        <v>1</v>
      </c>
      <c r="O253" s="233">
        <f t="shared" si="72"/>
        <v>1</v>
      </c>
      <c r="P253" s="233">
        <f t="shared" si="72"/>
        <v>1</v>
      </c>
      <c r="Q253" s="274">
        <f t="shared" si="72"/>
        <v>0.93200000000000005</v>
      </c>
      <c r="R253" s="274">
        <f t="shared" si="72"/>
        <v>0.93200000000000005</v>
      </c>
      <c r="S253" s="274">
        <f t="shared" si="72"/>
        <v>0.93200000000000005</v>
      </c>
      <c r="T253" s="254">
        <f t="shared" si="70"/>
        <v>0.93200000000000005</v>
      </c>
      <c r="U253" s="254">
        <f t="shared" si="39"/>
        <v>0.93200000000000005</v>
      </c>
      <c r="V253" s="254">
        <f t="shared" si="40"/>
        <v>0.93200000000000005</v>
      </c>
      <c r="W253" s="254">
        <f t="shared" si="61"/>
        <v>1</v>
      </c>
    </row>
    <row r="254" spans="1:25" s="140" customFormat="1" ht="13.5" hidden="1" outlineLevel="2" thickBot="1">
      <c r="A254" s="216"/>
      <c r="B254" s="255" t="s">
        <v>442</v>
      </c>
      <c r="C254" s="245" t="s">
        <v>187</v>
      </c>
      <c r="D254" s="227" t="s">
        <v>443</v>
      </c>
      <c r="E254" s="241"/>
      <c r="F254" s="228">
        <f t="shared" si="68"/>
        <v>1</v>
      </c>
      <c r="G254" s="269">
        <f>+F254*G253</f>
        <v>9.6875292867325898E-4</v>
      </c>
      <c r="H254" s="299"/>
      <c r="I254" s="299"/>
      <c r="J254" s="299"/>
      <c r="K254" s="299"/>
      <c r="L254" s="299"/>
      <c r="M254" s="299"/>
      <c r="N254" s="229">
        <v>1</v>
      </c>
      <c r="O254" s="229">
        <v>1</v>
      </c>
      <c r="P254" s="229">
        <v>1</v>
      </c>
      <c r="Q254" s="272">
        <v>0.93200000000000005</v>
      </c>
      <c r="R254" s="272">
        <v>0.93200000000000005</v>
      </c>
      <c r="S254" s="272">
        <v>0.93200000000000005</v>
      </c>
      <c r="T254" s="256">
        <f t="shared" si="70"/>
        <v>0.93200000000000005</v>
      </c>
      <c r="U254" s="256">
        <f t="shared" si="39"/>
        <v>0.93200000000000005</v>
      </c>
      <c r="V254" s="256">
        <f t="shared" si="40"/>
        <v>0.93200000000000005</v>
      </c>
      <c r="W254" s="256">
        <f t="shared" si="61"/>
        <v>1</v>
      </c>
      <c r="X254" s="216"/>
      <c r="Y254" s="216"/>
    </row>
    <row r="255" spans="1:25" s="140" customFormat="1" ht="13.5" hidden="1" outlineLevel="1" thickBot="1">
      <c r="B255" s="300" t="s">
        <v>444</v>
      </c>
      <c r="C255" s="294"/>
      <c r="D255" s="294" t="s">
        <v>193</v>
      </c>
      <c r="E255" s="295"/>
      <c r="F255" s="296">
        <f t="shared" si="68"/>
        <v>7.0876940001895719E-2</v>
      </c>
      <c r="G255" s="296">
        <f>+F255*G83</f>
        <v>2.1263082000568716E-3</v>
      </c>
      <c r="H255" s="297"/>
      <c r="I255" s="297"/>
      <c r="J255" s="297"/>
      <c r="K255" s="297"/>
      <c r="L255" s="297"/>
      <c r="M255" s="297"/>
      <c r="N255" s="296">
        <f t="shared" ref="N255:S255" si="73">+SUMPRODUCT($F256:$F267,N256:N267)</f>
        <v>1</v>
      </c>
      <c r="O255" s="296">
        <f t="shared" si="73"/>
        <v>1</v>
      </c>
      <c r="P255" s="296">
        <f t="shared" si="73"/>
        <v>1</v>
      </c>
      <c r="Q255" s="296">
        <f t="shared" si="73"/>
        <v>0.93200000000000005</v>
      </c>
      <c r="R255" s="296">
        <f t="shared" si="73"/>
        <v>0.93200000000000005</v>
      </c>
      <c r="S255" s="296">
        <f t="shared" si="73"/>
        <v>0.93200000000000005</v>
      </c>
      <c r="T255" s="296">
        <f t="shared" si="70"/>
        <v>0.93200000000000005</v>
      </c>
      <c r="U255" s="296">
        <f t="shared" si="39"/>
        <v>0.93200000000000005</v>
      </c>
      <c r="V255" s="296">
        <f t="shared" si="40"/>
        <v>0.93200000000000005</v>
      </c>
      <c r="W255" s="296">
        <f t="shared" si="61"/>
        <v>1</v>
      </c>
    </row>
    <row r="256" spans="1:25" s="140" customFormat="1" ht="13.5" hidden="1" outlineLevel="1" thickBot="1">
      <c r="A256" s="216"/>
      <c r="B256" s="255" t="s">
        <v>445</v>
      </c>
      <c r="C256" s="245" t="s">
        <v>195</v>
      </c>
      <c r="D256" s="227" t="s">
        <v>196</v>
      </c>
      <c r="E256" s="241"/>
      <c r="F256" s="228">
        <f t="shared" si="68"/>
        <v>0.11462043390407546</v>
      </c>
      <c r="G256" s="269">
        <f>+F256*G255</f>
        <v>2.4371836850431232E-4</v>
      </c>
      <c r="H256" s="299"/>
      <c r="I256" s="299"/>
      <c r="J256" s="299"/>
      <c r="K256" s="299"/>
      <c r="L256" s="299"/>
      <c r="M256" s="299"/>
      <c r="N256" s="229">
        <v>1</v>
      </c>
      <c r="O256" s="229">
        <v>1</v>
      </c>
      <c r="P256" s="229">
        <v>1</v>
      </c>
      <c r="Q256" s="272">
        <v>0.93200000000000005</v>
      </c>
      <c r="R256" s="272">
        <v>0.93200000000000005</v>
      </c>
      <c r="S256" s="272">
        <v>0.93200000000000005</v>
      </c>
      <c r="T256" s="256">
        <f t="shared" si="70"/>
        <v>0.93200000000000005</v>
      </c>
      <c r="U256" s="256">
        <f t="shared" si="39"/>
        <v>0.93200000000000005</v>
      </c>
      <c r="V256" s="256">
        <f t="shared" si="40"/>
        <v>0.93200000000000005</v>
      </c>
      <c r="W256" s="256">
        <f t="shared" si="61"/>
        <v>1</v>
      </c>
      <c r="X256" s="216"/>
      <c r="Y256" s="216"/>
    </row>
    <row r="257" spans="1:25" s="140" customFormat="1" ht="13.5" hidden="1" outlineLevel="1" thickBot="1">
      <c r="A257" s="216"/>
      <c r="B257" s="255" t="s">
        <v>446</v>
      </c>
      <c r="C257" s="245" t="s">
        <v>198</v>
      </c>
      <c r="D257" s="227" t="s">
        <v>199</v>
      </c>
      <c r="E257" s="241"/>
      <c r="F257" s="228">
        <f t="shared" si="68"/>
        <v>0.16914444012256166</v>
      </c>
      <c r="G257" s="269">
        <f>+F257*G255</f>
        <v>3.5965321002663137E-4</v>
      </c>
      <c r="H257" s="299"/>
      <c r="I257" s="299"/>
      <c r="J257" s="299"/>
      <c r="K257" s="299"/>
      <c r="L257" s="299"/>
      <c r="M257" s="299"/>
      <c r="N257" s="229">
        <v>1</v>
      </c>
      <c r="O257" s="229">
        <v>1</v>
      </c>
      <c r="P257" s="229">
        <v>1</v>
      </c>
      <c r="Q257" s="272">
        <v>0.93200000000000005</v>
      </c>
      <c r="R257" s="272">
        <v>0.93200000000000005</v>
      </c>
      <c r="S257" s="272">
        <v>0.93200000000000005</v>
      </c>
      <c r="T257" s="256">
        <f t="shared" si="70"/>
        <v>0.93200000000000005</v>
      </c>
      <c r="U257" s="256">
        <f t="shared" si="39"/>
        <v>0.93200000000000005</v>
      </c>
      <c r="V257" s="256">
        <f t="shared" si="40"/>
        <v>0.93200000000000005</v>
      </c>
      <c r="W257" s="256">
        <f t="shared" si="61"/>
        <v>1</v>
      </c>
      <c r="X257" s="216"/>
      <c r="Y257" s="216"/>
    </row>
    <row r="258" spans="1:25" s="140" customFormat="1" ht="13.5" hidden="1" outlineLevel="1" thickBot="1">
      <c r="A258" s="216"/>
      <c r="B258" s="255" t="s">
        <v>447</v>
      </c>
      <c r="C258" s="245" t="s">
        <v>201</v>
      </c>
      <c r="D258" s="227" t="s">
        <v>202</v>
      </c>
      <c r="E258" s="241"/>
      <c r="F258" s="228">
        <f t="shared" si="68"/>
        <v>0.15393682703771108</v>
      </c>
      <c r="G258" s="269">
        <f>+F258*G255</f>
        <v>3.2731713762102144E-4</v>
      </c>
      <c r="H258" s="299"/>
      <c r="I258" s="299"/>
      <c r="J258" s="299"/>
      <c r="K258" s="299"/>
      <c r="L258" s="299"/>
      <c r="M258" s="299"/>
      <c r="N258" s="229">
        <v>1</v>
      </c>
      <c r="O258" s="229">
        <v>1</v>
      </c>
      <c r="P258" s="229">
        <v>1</v>
      </c>
      <c r="Q258" s="272">
        <v>0.93200000000000005</v>
      </c>
      <c r="R258" s="272">
        <v>0.93200000000000005</v>
      </c>
      <c r="S258" s="272">
        <v>0.93200000000000005</v>
      </c>
      <c r="T258" s="256">
        <f t="shared" si="70"/>
        <v>0.93200000000000005</v>
      </c>
      <c r="U258" s="256">
        <f t="shared" si="39"/>
        <v>0.93200000000000005</v>
      </c>
      <c r="V258" s="256">
        <f t="shared" si="40"/>
        <v>0.93200000000000005</v>
      </c>
      <c r="W258" s="256">
        <f t="shared" si="61"/>
        <v>1</v>
      </c>
      <c r="X258" s="216"/>
      <c r="Y258" s="216"/>
    </row>
    <row r="259" spans="1:25" s="140" customFormat="1" ht="13.5" hidden="1" outlineLevel="1" thickBot="1">
      <c r="A259" s="216"/>
      <c r="B259" s="255" t="s">
        <v>448</v>
      </c>
      <c r="C259" s="245" t="s">
        <v>204</v>
      </c>
      <c r="D259" s="227" t="s">
        <v>205</v>
      </c>
      <c r="E259" s="241"/>
      <c r="F259" s="228">
        <f t="shared" si="68"/>
        <v>3.9190487501575728E-2</v>
      </c>
      <c r="G259" s="269">
        <f>+F259*G255</f>
        <v>8.3331054938826809E-5</v>
      </c>
      <c r="H259" s="299"/>
      <c r="I259" s="299"/>
      <c r="J259" s="299"/>
      <c r="K259" s="299"/>
      <c r="L259" s="299"/>
      <c r="M259" s="299"/>
      <c r="N259" s="229">
        <v>1</v>
      </c>
      <c r="O259" s="229">
        <v>1</v>
      </c>
      <c r="P259" s="229">
        <v>1</v>
      </c>
      <c r="Q259" s="272">
        <v>0.93200000000000005</v>
      </c>
      <c r="R259" s="272">
        <v>0.93200000000000005</v>
      </c>
      <c r="S259" s="272">
        <v>0.93200000000000005</v>
      </c>
      <c r="T259" s="256">
        <f t="shared" si="70"/>
        <v>0.93200000000000005</v>
      </c>
      <c r="U259" s="256">
        <f t="shared" si="39"/>
        <v>0.93200000000000005</v>
      </c>
      <c r="V259" s="256">
        <f t="shared" si="40"/>
        <v>0.93200000000000005</v>
      </c>
      <c r="W259" s="256">
        <f t="shared" si="61"/>
        <v>1</v>
      </c>
      <c r="X259" s="216"/>
      <c r="Y259" s="216"/>
    </row>
    <row r="260" spans="1:25" s="140" customFormat="1" ht="13.5" hidden="1" outlineLevel="1" thickBot="1">
      <c r="A260" s="216"/>
      <c r="B260" s="255" t="s">
        <v>449</v>
      </c>
      <c r="C260" s="245" t="s">
        <v>207</v>
      </c>
      <c r="D260" s="227" t="s">
        <v>205</v>
      </c>
      <c r="E260" s="241"/>
      <c r="F260" s="228">
        <f t="shared" si="68"/>
        <v>3.9190487501575728E-2</v>
      </c>
      <c r="G260" s="269">
        <f>+F260*G255</f>
        <v>8.3331054938826809E-5</v>
      </c>
      <c r="H260" s="299"/>
      <c r="I260" s="299"/>
      <c r="J260" s="299"/>
      <c r="K260" s="299"/>
      <c r="L260" s="299"/>
      <c r="M260" s="299"/>
      <c r="N260" s="229">
        <v>1</v>
      </c>
      <c r="O260" s="229">
        <v>1</v>
      </c>
      <c r="P260" s="229">
        <v>1</v>
      </c>
      <c r="Q260" s="272">
        <v>0.93200000000000005</v>
      </c>
      <c r="R260" s="272">
        <v>0.93200000000000005</v>
      </c>
      <c r="S260" s="272">
        <v>0.93200000000000005</v>
      </c>
      <c r="T260" s="256">
        <f t="shared" si="70"/>
        <v>0.93200000000000005</v>
      </c>
      <c r="U260" s="256">
        <f t="shared" si="39"/>
        <v>0.93200000000000005</v>
      </c>
      <c r="V260" s="256">
        <f t="shared" si="40"/>
        <v>0.93200000000000005</v>
      </c>
      <c r="W260" s="256">
        <f t="shared" si="61"/>
        <v>1</v>
      </c>
      <c r="X260" s="216"/>
      <c r="Y260" s="216"/>
    </row>
    <row r="261" spans="1:25" s="140" customFormat="1" ht="13.5" hidden="1" outlineLevel="1" thickBot="1">
      <c r="A261" s="216"/>
      <c r="B261" s="255" t="s">
        <v>450</v>
      </c>
      <c r="C261" s="245" t="s">
        <v>209</v>
      </c>
      <c r="D261" s="227" t="s">
        <v>205</v>
      </c>
      <c r="E261" s="241"/>
      <c r="F261" s="228">
        <f t="shared" si="68"/>
        <v>3.9190487501575728E-2</v>
      </c>
      <c r="G261" s="269">
        <f>+F261*G255</f>
        <v>8.3331054938826809E-5</v>
      </c>
      <c r="H261" s="299"/>
      <c r="I261" s="299"/>
      <c r="J261" s="299"/>
      <c r="K261" s="299"/>
      <c r="L261" s="299"/>
      <c r="M261" s="299"/>
      <c r="N261" s="229">
        <v>1</v>
      </c>
      <c r="O261" s="229">
        <v>1</v>
      </c>
      <c r="P261" s="229">
        <v>1</v>
      </c>
      <c r="Q261" s="272">
        <v>0.93200000000000005</v>
      </c>
      <c r="R261" s="272">
        <v>0.93200000000000005</v>
      </c>
      <c r="S261" s="272">
        <v>0.93200000000000005</v>
      </c>
      <c r="T261" s="256">
        <f t="shared" si="70"/>
        <v>0.93200000000000005</v>
      </c>
      <c r="U261" s="256">
        <f t="shared" si="39"/>
        <v>0.93200000000000005</v>
      </c>
      <c r="V261" s="256">
        <f t="shared" si="40"/>
        <v>0.93200000000000005</v>
      </c>
      <c r="W261" s="256">
        <f t="shared" si="61"/>
        <v>1</v>
      </c>
      <c r="X261" s="216"/>
      <c r="Y261" s="216"/>
    </row>
    <row r="262" spans="1:25" s="140" customFormat="1" ht="13.5" hidden="1" outlineLevel="1" thickBot="1">
      <c r="A262" s="216"/>
      <c r="B262" s="255" t="s">
        <v>451</v>
      </c>
      <c r="C262" s="245" t="s">
        <v>211</v>
      </c>
      <c r="D262" s="227" t="s">
        <v>205</v>
      </c>
      <c r="E262" s="241"/>
      <c r="F262" s="228">
        <f t="shared" si="68"/>
        <v>3.9190487501575728E-2</v>
      </c>
      <c r="G262" s="269">
        <f>+F262*G255</f>
        <v>8.3331054938826809E-5</v>
      </c>
      <c r="H262" s="299"/>
      <c r="I262" s="299"/>
      <c r="J262" s="299"/>
      <c r="K262" s="299"/>
      <c r="L262" s="299"/>
      <c r="M262" s="299"/>
      <c r="N262" s="229">
        <v>1</v>
      </c>
      <c r="O262" s="229">
        <v>1</v>
      </c>
      <c r="P262" s="229">
        <v>1</v>
      </c>
      <c r="Q262" s="272">
        <v>0.93200000000000005</v>
      </c>
      <c r="R262" s="272">
        <v>0.93200000000000005</v>
      </c>
      <c r="S262" s="272">
        <v>0.93200000000000005</v>
      </c>
      <c r="T262" s="256">
        <f t="shared" si="70"/>
        <v>0.93200000000000005</v>
      </c>
      <c r="U262" s="256">
        <f t="shared" si="39"/>
        <v>0.93200000000000005</v>
      </c>
      <c r="V262" s="256">
        <f t="shared" si="40"/>
        <v>0.93200000000000005</v>
      </c>
      <c r="W262" s="256">
        <f t="shared" ref="W262:W325" si="74">+IF(R262=0,0,$S262/R262)</f>
        <v>1</v>
      </c>
      <c r="X262" s="216"/>
      <c r="Y262" s="216"/>
    </row>
    <row r="263" spans="1:25" s="140" customFormat="1" ht="13.5" hidden="1" outlineLevel="1" thickBot="1">
      <c r="A263" s="216"/>
      <c r="B263" s="255" t="s">
        <v>452</v>
      </c>
      <c r="C263" s="245" t="s">
        <v>213</v>
      </c>
      <c r="D263" s="227" t="s">
        <v>205</v>
      </c>
      <c r="E263" s="241"/>
      <c r="F263" s="228">
        <f t="shared" si="68"/>
        <v>3.9190487501575728E-2</v>
      </c>
      <c r="G263" s="269">
        <f>+F263*G255</f>
        <v>8.3331054938826809E-5</v>
      </c>
      <c r="H263" s="299"/>
      <c r="I263" s="299"/>
      <c r="J263" s="299"/>
      <c r="K263" s="299"/>
      <c r="L263" s="299"/>
      <c r="M263" s="299"/>
      <c r="N263" s="229">
        <v>1</v>
      </c>
      <c r="O263" s="229">
        <v>1</v>
      </c>
      <c r="P263" s="229">
        <v>1</v>
      </c>
      <c r="Q263" s="272">
        <v>0.93200000000000005</v>
      </c>
      <c r="R263" s="272">
        <v>0.93200000000000005</v>
      </c>
      <c r="S263" s="272">
        <v>0.93200000000000005</v>
      </c>
      <c r="T263" s="256">
        <f t="shared" si="70"/>
        <v>0.93200000000000005</v>
      </c>
      <c r="U263" s="256">
        <f t="shared" si="39"/>
        <v>0.93200000000000005</v>
      </c>
      <c r="V263" s="256">
        <f t="shared" si="40"/>
        <v>0.93200000000000005</v>
      </c>
      <c r="W263" s="256">
        <f t="shared" si="74"/>
        <v>1</v>
      </c>
      <c r="X263" s="216"/>
      <c r="Y263" s="216"/>
    </row>
    <row r="264" spans="1:25" s="140" customFormat="1" ht="13.5" hidden="1" outlineLevel="1" thickBot="1">
      <c r="A264" s="216"/>
      <c r="B264" s="255" t="s">
        <v>453</v>
      </c>
      <c r="C264" s="281" t="s">
        <v>215</v>
      </c>
      <c r="D264" s="282" t="s">
        <v>216</v>
      </c>
      <c r="E264" s="283"/>
      <c r="F264" s="284">
        <f t="shared" si="68"/>
        <v>4.0894421740774678E-2</v>
      </c>
      <c r="G264" s="285">
        <f>+F264*G255</f>
        <v>8.6954144283993208E-5</v>
      </c>
      <c r="H264" s="322"/>
      <c r="I264" s="322"/>
      <c r="J264" s="322"/>
      <c r="K264" s="322"/>
      <c r="L264" s="322"/>
      <c r="M264" s="322"/>
      <c r="N264" s="286">
        <v>1</v>
      </c>
      <c r="O264" s="286">
        <v>1</v>
      </c>
      <c r="P264" s="286">
        <v>1</v>
      </c>
      <c r="Q264" s="287">
        <v>0.93200000000000005</v>
      </c>
      <c r="R264" s="287">
        <v>0.93200000000000005</v>
      </c>
      <c r="S264" s="287">
        <v>0.93200000000000005</v>
      </c>
      <c r="T264" s="288">
        <f t="shared" si="70"/>
        <v>0.93200000000000005</v>
      </c>
      <c r="U264" s="288">
        <f t="shared" si="39"/>
        <v>0.93200000000000005</v>
      </c>
      <c r="V264" s="288">
        <f t="shared" si="40"/>
        <v>0.93200000000000005</v>
      </c>
      <c r="W264" s="288">
        <f t="shared" si="74"/>
        <v>1</v>
      </c>
      <c r="X264" s="216"/>
      <c r="Y264" s="216"/>
    </row>
    <row r="265" spans="1:25" s="140" customFormat="1" ht="13.5" hidden="1" outlineLevel="1" thickBot="1">
      <c r="A265" s="216"/>
      <c r="B265" s="255" t="s">
        <v>454</v>
      </c>
      <c r="C265" s="281" t="s">
        <v>218</v>
      </c>
      <c r="D265" s="282" t="s">
        <v>219</v>
      </c>
      <c r="E265" s="283"/>
      <c r="F265" s="284">
        <f t="shared" si="68"/>
        <v>0.13120293641831876</v>
      </c>
      <c r="G265" s="285">
        <f>+F265*G255</f>
        <v>2.7897787957781154E-4</v>
      </c>
      <c r="H265" s="322"/>
      <c r="I265" s="322"/>
      <c r="J265" s="322"/>
      <c r="K265" s="322"/>
      <c r="L265" s="322"/>
      <c r="M265" s="322"/>
      <c r="N265" s="286">
        <v>1</v>
      </c>
      <c r="O265" s="286">
        <v>1</v>
      </c>
      <c r="P265" s="286">
        <v>1</v>
      </c>
      <c r="Q265" s="287">
        <v>0.93200000000000005</v>
      </c>
      <c r="R265" s="287">
        <v>0.93200000000000005</v>
      </c>
      <c r="S265" s="287">
        <v>0.93200000000000005</v>
      </c>
      <c r="T265" s="288">
        <f t="shared" si="70"/>
        <v>0.93200000000000005</v>
      </c>
      <c r="U265" s="288">
        <f t="shared" si="39"/>
        <v>0.93200000000000005</v>
      </c>
      <c r="V265" s="288">
        <f t="shared" si="40"/>
        <v>0.93200000000000005</v>
      </c>
      <c r="W265" s="288">
        <f t="shared" si="74"/>
        <v>1</v>
      </c>
      <c r="X265" s="216"/>
      <c r="Y265" s="216"/>
    </row>
    <row r="266" spans="1:25" s="140" customFormat="1" ht="13.5" hidden="1" outlineLevel="1" thickBot="1">
      <c r="A266" s="216"/>
      <c r="B266" s="255" t="s">
        <v>455</v>
      </c>
      <c r="C266" s="281" t="s">
        <v>221</v>
      </c>
      <c r="D266" s="282" t="s">
        <v>222</v>
      </c>
      <c r="E266" s="283"/>
      <c r="F266" s="284">
        <f t="shared" si="68"/>
        <v>0.17039342391989448</v>
      </c>
      <c r="G266" s="285">
        <f>+F266*G255</f>
        <v>3.6230893451663832E-4</v>
      </c>
      <c r="H266" s="322"/>
      <c r="I266" s="322"/>
      <c r="J266" s="322"/>
      <c r="K266" s="322"/>
      <c r="L266" s="322"/>
      <c r="M266" s="322"/>
      <c r="N266" s="286">
        <v>1</v>
      </c>
      <c r="O266" s="286">
        <v>1</v>
      </c>
      <c r="P266" s="286">
        <v>1</v>
      </c>
      <c r="Q266" s="287">
        <v>0.93200000000000005</v>
      </c>
      <c r="R266" s="287">
        <v>0.93200000000000005</v>
      </c>
      <c r="S266" s="287">
        <v>0.93200000000000005</v>
      </c>
      <c r="T266" s="288">
        <f t="shared" si="70"/>
        <v>0.93200000000000005</v>
      </c>
      <c r="U266" s="288">
        <f t="shared" si="39"/>
        <v>0.93200000000000005</v>
      </c>
      <c r="V266" s="288">
        <f t="shared" si="40"/>
        <v>0.93200000000000005</v>
      </c>
      <c r="W266" s="288">
        <f t="shared" si="74"/>
        <v>1</v>
      </c>
      <c r="X266" s="216"/>
      <c r="Y266" s="216"/>
    </row>
    <row r="267" spans="1:25" s="140" customFormat="1" ht="13.5" hidden="1" outlineLevel="1" thickBot="1">
      <c r="A267" s="216"/>
      <c r="B267" s="255" t="s">
        <v>456</v>
      </c>
      <c r="C267" s="281" t="s">
        <v>224</v>
      </c>
      <c r="D267" s="282" t="s">
        <v>225</v>
      </c>
      <c r="E267" s="283"/>
      <c r="F267" s="284">
        <f t="shared" si="68"/>
        <v>2.3855079348785228E-2</v>
      </c>
      <c r="G267" s="285">
        <f>+F267*G255</f>
        <v>5.0723250832329369E-5</v>
      </c>
      <c r="H267" s="322"/>
      <c r="I267" s="322"/>
      <c r="J267" s="322"/>
      <c r="K267" s="322"/>
      <c r="L267" s="322"/>
      <c r="M267" s="322"/>
      <c r="N267" s="286">
        <v>1</v>
      </c>
      <c r="O267" s="286">
        <v>1</v>
      </c>
      <c r="P267" s="286">
        <v>1</v>
      </c>
      <c r="Q267" s="287">
        <v>0.93200000000000005</v>
      </c>
      <c r="R267" s="287">
        <v>0.93200000000000005</v>
      </c>
      <c r="S267" s="287">
        <v>0.93200000000000005</v>
      </c>
      <c r="T267" s="288">
        <f t="shared" si="70"/>
        <v>0.93200000000000005</v>
      </c>
      <c r="U267" s="288">
        <f t="shared" si="39"/>
        <v>0.93200000000000005</v>
      </c>
      <c r="V267" s="288">
        <f t="shared" si="40"/>
        <v>0.93200000000000005</v>
      </c>
      <c r="W267" s="288">
        <f t="shared" si="74"/>
        <v>1</v>
      </c>
      <c r="X267" s="216"/>
      <c r="Y267" s="216"/>
    </row>
    <row r="268" spans="1:25" s="140" customFormat="1" ht="13.5" collapsed="1" thickBot="1">
      <c r="B268" s="312">
        <v>3</v>
      </c>
      <c r="C268" s="313"/>
      <c r="D268" s="314" t="s">
        <v>457</v>
      </c>
      <c r="E268" s="315"/>
      <c r="F268" s="316"/>
      <c r="G268" s="317">
        <v>0.01</v>
      </c>
      <c r="H268" s="358">
        <v>45884</v>
      </c>
      <c r="I268" s="358">
        <v>46387</v>
      </c>
      <c r="J268" s="358"/>
      <c r="K268" s="358"/>
      <c r="L268" s="358"/>
      <c r="M268" s="358"/>
      <c r="N268" s="318">
        <f t="shared" ref="N268:S268" si="75">+($G269*N269+$G270*N270)/$G268</f>
        <v>0.9742444654215664</v>
      </c>
      <c r="O268" s="318">
        <f t="shared" si="75"/>
        <v>0.9742444654215664</v>
      </c>
      <c r="P268" s="318">
        <f t="shared" si="75"/>
        <v>0.9742444654215664</v>
      </c>
      <c r="Q268" s="319">
        <f t="shared" si="75"/>
        <v>0.86743723464683364</v>
      </c>
      <c r="R268" s="319">
        <f t="shared" si="75"/>
        <v>0.86743723464683364</v>
      </c>
      <c r="S268" s="319">
        <f t="shared" si="75"/>
        <v>0.86743723464683364</v>
      </c>
      <c r="T268" s="320">
        <f t="shared" si="38"/>
        <v>0.89036916855512638</v>
      </c>
      <c r="U268" s="320">
        <f t="shared" si="39"/>
        <v>0.89036916855512638</v>
      </c>
      <c r="V268" s="320">
        <f t="shared" si="40"/>
        <v>0.89036916855512638</v>
      </c>
      <c r="W268" s="320">
        <f t="shared" si="74"/>
        <v>1</v>
      </c>
    </row>
    <row r="269" spans="1:25" s="140" customFormat="1" ht="13.5" hidden="1" outlineLevel="1" thickBot="1">
      <c r="B269" s="252">
        <v>3.1</v>
      </c>
      <c r="C269" s="244"/>
      <c r="D269" s="225" t="s">
        <v>458</v>
      </c>
      <c r="E269" s="239"/>
      <c r="F269" s="221">
        <v>0.2</v>
      </c>
      <c r="G269" s="226">
        <v>2E-3</v>
      </c>
      <c r="H269" s="359"/>
      <c r="I269" s="359"/>
      <c r="J269" s="359"/>
      <c r="K269" s="359"/>
      <c r="L269" s="359"/>
      <c r="M269" s="359"/>
      <c r="N269" s="222">
        <v>1</v>
      </c>
      <c r="O269" s="222">
        <v>1</v>
      </c>
      <c r="P269" s="222">
        <v>1</v>
      </c>
      <c r="Q269" s="250">
        <v>1</v>
      </c>
      <c r="R269" s="250">
        <v>1</v>
      </c>
      <c r="S269" s="250">
        <v>1</v>
      </c>
      <c r="T269" s="253">
        <f t="shared" si="38"/>
        <v>1</v>
      </c>
      <c r="U269" s="253">
        <f t="shared" si="39"/>
        <v>1</v>
      </c>
      <c r="V269" s="253">
        <f t="shared" si="40"/>
        <v>1</v>
      </c>
      <c r="W269" s="253">
        <f t="shared" si="74"/>
        <v>1</v>
      </c>
    </row>
    <row r="270" spans="1:25" s="140" customFormat="1" ht="13.5" hidden="1" outlineLevel="1" thickBot="1">
      <c r="B270" s="252">
        <v>3.2</v>
      </c>
      <c r="C270" s="244"/>
      <c r="D270" s="225" t="s">
        <v>459</v>
      </c>
      <c r="E270" s="239"/>
      <c r="F270" s="221">
        <v>0.8</v>
      </c>
      <c r="G270" s="226">
        <v>8.0000000000000002E-3</v>
      </c>
      <c r="H270" s="359"/>
      <c r="I270" s="359"/>
      <c r="J270" s="359"/>
      <c r="K270" s="359"/>
      <c r="L270" s="359"/>
      <c r="M270" s="359"/>
      <c r="N270" s="222">
        <f t="shared" ref="N270:S270" si="76">+($F271*N271+$F280*N280+$F296*N296)</f>
        <v>0.96780558177695797</v>
      </c>
      <c r="O270" s="222">
        <f t="shared" si="76"/>
        <v>0.96780558177695797</v>
      </c>
      <c r="P270" s="222">
        <f t="shared" si="76"/>
        <v>0.96780558177695797</v>
      </c>
      <c r="Q270" s="250">
        <f t="shared" si="76"/>
        <v>0.83429654330854208</v>
      </c>
      <c r="R270" s="250">
        <f t="shared" si="76"/>
        <v>0.83429654330854208</v>
      </c>
      <c r="S270" s="250">
        <f t="shared" si="76"/>
        <v>0.83429654330854208</v>
      </c>
      <c r="T270" s="253">
        <f t="shared" si="38"/>
        <v>0.86204973293986997</v>
      </c>
      <c r="U270" s="253">
        <f t="shared" si="39"/>
        <v>0.86204973293986997</v>
      </c>
      <c r="V270" s="253">
        <f t="shared" si="40"/>
        <v>0.86204973293986997</v>
      </c>
      <c r="W270" s="253">
        <f t="shared" si="74"/>
        <v>1</v>
      </c>
    </row>
    <row r="271" spans="1:25" s="140" customFormat="1" ht="13.5" hidden="1" outlineLevel="2" thickBot="1">
      <c r="B271" s="300" t="s">
        <v>393</v>
      </c>
      <c r="C271" s="294"/>
      <c r="D271" s="294" t="s">
        <v>31</v>
      </c>
      <c r="E271" s="295"/>
      <c r="F271" s="296">
        <f>F719</f>
        <v>0.78107171599540315</v>
      </c>
      <c r="G271" s="296">
        <f>+F271*G270</f>
        <v>6.2485737279632256E-3</v>
      </c>
      <c r="H271" s="297"/>
      <c r="I271" s="297"/>
      <c r="J271" s="297"/>
      <c r="K271" s="297"/>
      <c r="L271" s="297"/>
      <c r="M271" s="297"/>
      <c r="N271" s="296">
        <f t="shared" ref="N271:S271" si="77">+$F272*N272+$F273*N273+$F274*N274+$F275*N275+$F276*N276+$F277*N277+$F278*N278+$F279*N279</f>
        <v>1.0000000000000002</v>
      </c>
      <c r="O271" s="296">
        <f t="shared" si="77"/>
        <v>1.0000000000000002</v>
      </c>
      <c r="P271" s="296">
        <f t="shared" si="77"/>
        <v>1.0000000000000002</v>
      </c>
      <c r="Q271" s="296">
        <f t="shared" si="77"/>
        <v>1.0000000000000002</v>
      </c>
      <c r="R271" s="296">
        <f t="shared" si="77"/>
        <v>1.0000000000000002</v>
      </c>
      <c r="S271" s="296">
        <f t="shared" si="77"/>
        <v>1.0000000000000002</v>
      </c>
      <c r="T271" s="296">
        <f t="shared" ref="T271:T302" si="78">+IF(N271=0,0,$S271/N271)</f>
        <v>1</v>
      </c>
      <c r="U271" s="296">
        <f t="shared" ref="U271:U302" si="79">+IF(O271=0,0,$S271/O271)</f>
        <v>1</v>
      </c>
      <c r="V271" s="296">
        <f t="shared" ref="V271:V302" si="80">+IF(P271=0,0,$S271/P271)</f>
        <v>1</v>
      </c>
      <c r="W271" s="296">
        <f t="shared" si="74"/>
        <v>1</v>
      </c>
    </row>
    <row r="272" spans="1:25" s="140" customFormat="1" ht="26.25" hidden="1" outlineLevel="3" thickBot="1">
      <c r="A272" s="216"/>
      <c r="B272" s="291" t="s">
        <v>460</v>
      </c>
      <c r="C272" s="292" t="s">
        <v>32</v>
      </c>
      <c r="D272" s="234" t="s">
        <v>33</v>
      </c>
      <c r="E272" s="240"/>
      <c r="F272" s="223">
        <f>F720</f>
        <v>0.19239834958539684</v>
      </c>
      <c r="G272" s="293">
        <f>+F272*G271</f>
        <v>1.2022152725227951E-3</v>
      </c>
      <c r="H272" s="298"/>
      <c r="I272" s="298"/>
      <c r="J272" s="298"/>
      <c r="K272" s="298"/>
      <c r="L272" s="298"/>
      <c r="M272" s="298"/>
      <c r="N272" s="224">
        <v>1</v>
      </c>
      <c r="O272" s="224">
        <v>1</v>
      </c>
      <c r="P272" s="224">
        <v>1</v>
      </c>
      <c r="Q272" s="270">
        <v>1</v>
      </c>
      <c r="R272" s="270">
        <v>1</v>
      </c>
      <c r="S272" s="270">
        <v>1</v>
      </c>
      <c r="T272" s="254">
        <f t="shared" si="78"/>
        <v>1</v>
      </c>
      <c r="U272" s="254">
        <f t="shared" si="79"/>
        <v>1</v>
      </c>
      <c r="V272" s="254">
        <f t="shared" si="80"/>
        <v>1</v>
      </c>
      <c r="W272" s="254">
        <f t="shared" si="74"/>
        <v>1</v>
      </c>
      <c r="X272" s="216"/>
      <c r="Y272" s="216"/>
    </row>
    <row r="273" spans="1:25" s="140" customFormat="1" ht="26.25" hidden="1" outlineLevel="3" thickBot="1">
      <c r="A273" s="216"/>
      <c r="B273" s="291" t="s">
        <v>461</v>
      </c>
      <c r="C273" s="292" t="s">
        <v>35</v>
      </c>
      <c r="D273" s="234" t="s">
        <v>33</v>
      </c>
      <c r="E273" s="240"/>
      <c r="F273" s="223">
        <f>F741</f>
        <v>0.23125330456717236</v>
      </c>
      <c r="G273" s="293">
        <f>+F273*G271</f>
        <v>1.4450033234231115E-3</v>
      </c>
      <c r="H273" s="298"/>
      <c r="I273" s="298"/>
      <c r="J273" s="298"/>
      <c r="K273" s="298"/>
      <c r="L273" s="298"/>
      <c r="M273" s="298"/>
      <c r="N273" s="224">
        <v>1</v>
      </c>
      <c r="O273" s="224">
        <v>1</v>
      </c>
      <c r="P273" s="224">
        <v>1</v>
      </c>
      <c r="Q273" s="270">
        <v>1</v>
      </c>
      <c r="R273" s="270">
        <v>1</v>
      </c>
      <c r="S273" s="270">
        <v>1</v>
      </c>
      <c r="T273" s="254">
        <f t="shared" si="78"/>
        <v>1</v>
      </c>
      <c r="U273" s="254">
        <f t="shared" si="79"/>
        <v>1</v>
      </c>
      <c r="V273" s="254">
        <f t="shared" si="80"/>
        <v>1</v>
      </c>
      <c r="W273" s="254">
        <f t="shared" si="74"/>
        <v>1</v>
      </c>
      <c r="X273" s="216"/>
      <c r="Y273" s="216"/>
    </row>
    <row r="274" spans="1:25" s="140" customFormat="1" ht="26.25" hidden="1" outlineLevel="3" thickBot="1">
      <c r="A274" s="216"/>
      <c r="B274" s="291" t="s">
        <v>462</v>
      </c>
      <c r="C274" s="292" t="s">
        <v>37</v>
      </c>
      <c r="D274" s="234" t="s">
        <v>33</v>
      </c>
      <c r="E274" s="240"/>
      <c r="F274" s="223">
        <f>F768</f>
        <v>9.0647549000068411E-2</v>
      </c>
      <c r="G274" s="293">
        <f>+F274*G271</f>
        <v>5.6641789318608666E-4</v>
      </c>
      <c r="H274" s="298"/>
      <c r="I274" s="298"/>
      <c r="J274" s="298"/>
      <c r="K274" s="298"/>
      <c r="L274" s="298"/>
      <c r="M274" s="298"/>
      <c r="N274" s="224">
        <v>1</v>
      </c>
      <c r="O274" s="224">
        <v>1</v>
      </c>
      <c r="P274" s="224">
        <v>1</v>
      </c>
      <c r="Q274" s="270">
        <v>1</v>
      </c>
      <c r="R274" s="270">
        <v>1</v>
      </c>
      <c r="S274" s="270">
        <v>1</v>
      </c>
      <c r="T274" s="254">
        <f t="shared" si="78"/>
        <v>1</v>
      </c>
      <c r="U274" s="254">
        <f t="shared" si="79"/>
        <v>1</v>
      </c>
      <c r="V274" s="254">
        <f t="shared" si="80"/>
        <v>1</v>
      </c>
      <c r="W274" s="254">
        <f t="shared" si="74"/>
        <v>1</v>
      </c>
      <c r="X274" s="216"/>
      <c r="Y274" s="216"/>
    </row>
    <row r="275" spans="1:25" s="140" customFormat="1" ht="26.25" hidden="1" outlineLevel="3" thickBot="1">
      <c r="A275" s="216"/>
      <c r="B275" s="291" t="s">
        <v>463</v>
      </c>
      <c r="C275" s="292" t="s">
        <v>39</v>
      </c>
      <c r="D275" s="234" t="s">
        <v>33</v>
      </c>
      <c r="E275" s="240"/>
      <c r="F275" s="223">
        <f>F780</f>
        <v>9.6849312518274097E-2</v>
      </c>
      <c r="G275" s="293">
        <f>+F275*G271</f>
        <v>6.0517006977298744E-4</v>
      </c>
      <c r="H275" s="298"/>
      <c r="I275" s="298"/>
      <c r="J275" s="298"/>
      <c r="K275" s="298"/>
      <c r="L275" s="298"/>
      <c r="M275" s="298"/>
      <c r="N275" s="224">
        <v>1</v>
      </c>
      <c r="O275" s="224">
        <v>1</v>
      </c>
      <c r="P275" s="224">
        <v>1</v>
      </c>
      <c r="Q275" s="270">
        <v>1</v>
      </c>
      <c r="R275" s="270">
        <v>1</v>
      </c>
      <c r="S275" s="270">
        <v>1</v>
      </c>
      <c r="T275" s="254">
        <f t="shared" si="78"/>
        <v>1</v>
      </c>
      <c r="U275" s="254">
        <f t="shared" si="79"/>
        <v>1</v>
      </c>
      <c r="V275" s="254">
        <f t="shared" si="80"/>
        <v>1</v>
      </c>
      <c r="W275" s="254">
        <f t="shared" si="74"/>
        <v>1</v>
      </c>
      <c r="X275" s="216"/>
      <c r="Y275" s="216"/>
    </row>
    <row r="276" spans="1:25" s="140" customFormat="1" ht="26.25" hidden="1" outlineLevel="3" thickBot="1">
      <c r="A276" s="216"/>
      <c r="B276" s="291" t="s">
        <v>464</v>
      </c>
      <c r="C276" s="292" t="s">
        <v>41</v>
      </c>
      <c r="D276" s="234" t="s">
        <v>33</v>
      </c>
      <c r="E276" s="240"/>
      <c r="F276" s="223">
        <f>F793</f>
        <v>0.11049772843953055</v>
      </c>
      <c r="G276" s="293">
        <f>+F276*G271</f>
        <v>6.9045320292686558E-4</v>
      </c>
      <c r="H276" s="298"/>
      <c r="I276" s="298"/>
      <c r="J276" s="298"/>
      <c r="K276" s="298"/>
      <c r="L276" s="298"/>
      <c r="M276" s="298"/>
      <c r="N276" s="224">
        <v>1</v>
      </c>
      <c r="O276" s="224">
        <v>1</v>
      </c>
      <c r="P276" s="224">
        <v>1</v>
      </c>
      <c r="Q276" s="270">
        <v>1</v>
      </c>
      <c r="R276" s="270">
        <v>1</v>
      </c>
      <c r="S276" s="270">
        <v>1</v>
      </c>
      <c r="T276" s="254">
        <f t="shared" si="78"/>
        <v>1</v>
      </c>
      <c r="U276" s="254">
        <f t="shared" si="79"/>
        <v>1</v>
      </c>
      <c r="V276" s="254">
        <f t="shared" si="80"/>
        <v>1</v>
      </c>
      <c r="W276" s="254">
        <f t="shared" si="74"/>
        <v>1</v>
      </c>
      <c r="X276" s="216"/>
      <c r="Y276" s="216"/>
    </row>
    <row r="277" spans="1:25" s="140" customFormat="1" ht="26.25" hidden="1" outlineLevel="3" thickBot="1">
      <c r="A277" s="216"/>
      <c r="B277" s="291" t="s">
        <v>465</v>
      </c>
      <c r="C277" s="292" t="s">
        <v>43</v>
      </c>
      <c r="D277" s="234" t="s">
        <v>33</v>
      </c>
      <c r="E277" s="240"/>
      <c r="F277" s="223">
        <f>F808</f>
        <v>0.13388996515868054</v>
      </c>
      <c r="G277" s="293">
        <f>+F277*G271</f>
        <v>8.366213187284429E-4</v>
      </c>
      <c r="H277" s="298"/>
      <c r="I277" s="298"/>
      <c r="J277" s="298"/>
      <c r="K277" s="298"/>
      <c r="L277" s="298"/>
      <c r="M277" s="298"/>
      <c r="N277" s="224">
        <v>1</v>
      </c>
      <c r="O277" s="224">
        <v>1</v>
      </c>
      <c r="P277" s="224">
        <v>1</v>
      </c>
      <c r="Q277" s="270">
        <v>1</v>
      </c>
      <c r="R277" s="270">
        <v>1</v>
      </c>
      <c r="S277" s="270">
        <v>1</v>
      </c>
      <c r="T277" s="254">
        <f t="shared" si="78"/>
        <v>1</v>
      </c>
      <c r="U277" s="254">
        <f t="shared" si="79"/>
        <v>1</v>
      </c>
      <c r="V277" s="254">
        <f t="shared" si="80"/>
        <v>1</v>
      </c>
      <c r="W277" s="254">
        <f t="shared" si="74"/>
        <v>1</v>
      </c>
      <c r="X277" s="216"/>
      <c r="Y277" s="216"/>
    </row>
    <row r="278" spans="1:25" s="140" customFormat="1" ht="26.25" hidden="1" outlineLevel="3" thickBot="1">
      <c r="A278" s="216"/>
      <c r="B278" s="291" t="s">
        <v>466</v>
      </c>
      <c r="C278" s="292" t="s">
        <v>45</v>
      </c>
      <c r="D278" s="234" t="s">
        <v>33</v>
      </c>
      <c r="E278" s="240"/>
      <c r="F278" s="223">
        <f>F826</f>
        <v>0.10189354851165684</v>
      </c>
      <c r="G278" s="293">
        <f>+F278*G271</f>
        <v>6.3668935027888539E-4</v>
      </c>
      <c r="H278" s="298"/>
      <c r="I278" s="298"/>
      <c r="J278" s="298"/>
      <c r="K278" s="298"/>
      <c r="L278" s="298"/>
      <c r="M278" s="298"/>
      <c r="N278" s="224">
        <v>1</v>
      </c>
      <c r="O278" s="224">
        <v>1</v>
      </c>
      <c r="P278" s="224">
        <v>1</v>
      </c>
      <c r="Q278" s="270">
        <v>1</v>
      </c>
      <c r="R278" s="270">
        <v>1</v>
      </c>
      <c r="S278" s="270">
        <v>1</v>
      </c>
      <c r="T278" s="254">
        <f t="shared" si="78"/>
        <v>1</v>
      </c>
      <c r="U278" s="254">
        <f t="shared" si="79"/>
        <v>1</v>
      </c>
      <c r="V278" s="254">
        <f t="shared" si="80"/>
        <v>1</v>
      </c>
      <c r="W278" s="254">
        <f t="shared" si="74"/>
        <v>1</v>
      </c>
      <c r="X278" s="216"/>
      <c r="Y278" s="216"/>
    </row>
    <row r="279" spans="1:25" s="140" customFormat="1" ht="13.5" hidden="1" outlineLevel="3" thickBot="1">
      <c r="A279" s="216"/>
      <c r="B279" s="291" t="s">
        <v>467</v>
      </c>
      <c r="C279" s="292" t="s">
        <v>170</v>
      </c>
      <c r="D279" s="234" t="s">
        <v>171</v>
      </c>
      <c r="E279" s="240"/>
      <c r="F279" s="223">
        <f t="shared" ref="F279:F306" si="81">F841</f>
        <v>4.25702422192204E-2</v>
      </c>
      <c r="G279" s="293">
        <f>+F279*G271</f>
        <v>2.660032971240515E-4</v>
      </c>
      <c r="H279" s="298"/>
      <c r="I279" s="298"/>
      <c r="J279" s="298"/>
      <c r="K279" s="298"/>
      <c r="L279" s="298"/>
      <c r="M279" s="298"/>
      <c r="N279" s="224">
        <v>1</v>
      </c>
      <c r="O279" s="224">
        <v>1</v>
      </c>
      <c r="P279" s="224">
        <v>1</v>
      </c>
      <c r="Q279" s="270">
        <v>1</v>
      </c>
      <c r="R279" s="270">
        <v>1</v>
      </c>
      <c r="S279" s="270">
        <v>1</v>
      </c>
      <c r="T279" s="254">
        <f t="shared" si="78"/>
        <v>1</v>
      </c>
      <c r="U279" s="254">
        <f t="shared" si="79"/>
        <v>1</v>
      </c>
      <c r="V279" s="254">
        <f t="shared" si="80"/>
        <v>1</v>
      </c>
      <c r="W279" s="254">
        <f t="shared" si="74"/>
        <v>1</v>
      </c>
      <c r="X279" s="216"/>
      <c r="Y279" s="216"/>
    </row>
    <row r="280" spans="1:25" s="140" customFormat="1" ht="13.5" hidden="1" outlineLevel="2" thickBot="1">
      <c r="B280" s="300" t="s">
        <v>394</v>
      </c>
      <c r="C280" s="294" t="s">
        <v>392</v>
      </c>
      <c r="D280" s="294" t="s">
        <v>47</v>
      </c>
      <c r="E280" s="295"/>
      <c r="F280" s="296">
        <f t="shared" si="81"/>
        <v>3.9032542437386124E-2</v>
      </c>
      <c r="G280" s="296">
        <f>+F280*G270</f>
        <v>3.1226033949908902E-4</v>
      </c>
      <c r="H280" s="297"/>
      <c r="I280" s="297"/>
      <c r="J280" s="297"/>
      <c r="K280" s="297"/>
      <c r="L280" s="297"/>
      <c r="M280" s="297"/>
      <c r="N280" s="296">
        <f t="shared" ref="N280:S280" si="82">+SUMPRODUCT($F281:$F295,N281:N295)</f>
        <v>0.53129204676061759</v>
      </c>
      <c r="O280" s="296">
        <f t="shared" si="82"/>
        <v>0.53129204676061759</v>
      </c>
      <c r="P280" s="296">
        <f t="shared" si="82"/>
        <v>0.53129204676061759</v>
      </c>
      <c r="Q280" s="296">
        <f t="shared" si="82"/>
        <v>0.4383826661484056</v>
      </c>
      <c r="R280" s="296">
        <f t="shared" si="82"/>
        <v>0.4383826661484056</v>
      </c>
      <c r="S280" s="296">
        <f t="shared" si="82"/>
        <v>0.4383826661484056</v>
      </c>
      <c r="T280" s="296">
        <f t="shared" si="78"/>
        <v>0.82512559489889403</v>
      </c>
      <c r="U280" s="296">
        <f t="shared" si="79"/>
        <v>0.82512559489889403</v>
      </c>
      <c r="V280" s="296">
        <f t="shared" si="80"/>
        <v>0.82512559489889403</v>
      </c>
      <c r="W280" s="296">
        <f t="shared" si="74"/>
        <v>1</v>
      </c>
    </row>
    <row r="281" spans="1:25" s="140" customFormat="1" ht="13.5" hidden="1" outlineLevel="3" thickBot="1">
      <c r="A281" s="216"/>
      <c r="B281" s="255" t="s">
        <v>468</v>
      </c>
      <c r="C281" s="245" t="s">
        <v>49</v>
      </c>
      <c r="D281" s="227" t="s">
        <v>50</v>
      </c>
      <c r="E281" s="241"/>
      <c r="F281" s="228">
        <f t="shared" si="81"/>
        <v>9.2877610796635368E-2</v>
      </c>
      <c r="G281" s="269">
        <f>+F281*G280</f>
        <v>2.9001994279221617E-5</v>
      </c>
      <c r="H281" s="299"/>
      <c r="I281" s="299"/>
      <c r="J281" s="299"/>
      <c r="K281" s="299"/>
      <c r="L281" s="299"/>
      <c r="M281" s="299"/>
      <c r="N281" s="229">
        <v>1</v>
      </c>
      <c r="O281" s="229">
        <v>1</v>
      </c>
      <c r="P281" s="229">
        <v>1</v>
      </c>
      <c r="Q281" s="272">
        <v>1</v>
      </c>
      <c r="R281" s="272">
        <v>1</v>
      </c>
      <c r="S281" s="272">
        <v>1</v>
      </c>
      <c r="T281" s="256">
        <f t="shared" si="78"/>
        <v>1</v>
      </c>
      <c r="U281" s="256">
        <f t="shared" si="79"/>
        <v>1</v>
      </c>
      <c r="V281" s="256">
        <f t="shared" si="80"/>
        <v>1</v>
      </c>
      <c r="W281" s="256">
        <f t="shared" si="74"/>
        <v>1</v>
      </c>
      <c r="X281" s="216"/>
      <c r="Y281" s="216"/>
    </row>
    <row r="282" spans="1:25" s="140" customFormat="1" ht="13.5" hidden="1" outlineLevel="3" thickBot="1">
      <c r="A282" s="216"/>
      <c r="B282" s="255" t="s">
        <v>469</v>
      </c>
      <c r="C282" s="245" t="s">
        <v>52</v>
      </c>
      <c r="D282" s="227" t="s">
        <v>53</v>
      </c>
      <c r="E282" s="241"/>
      <c r="F282" s="228">
        <f t="shared" si="81"/>
        <v>5.8105219309829384E-2</v>
      </c>
      <c r="G282" s="269">
        <f>+F282*G280</f>
        <v>1.8143955508356345E-5</v>
      </c>
      <c r="H282" s="299"/>
      <c r="I282" s="299"/>
      <c r="J282" s="299"/>
      <c r="K282" s="299"/>
      <c r="L282" s="299"/>
      <c r="M282" s="299"/>
      <c r="N282" s="229">
        <v>1</v>
      </c>
      <c r="O282" s="229">
        <v>1</v>
      </c>
      <c r="P282" s="229">
        <v>1</v>
      </c>
      <c r="Q282" s="272">
        <v>1</v>
      </c>
      <c r="R282" s="272">
        <v>1</v>
      </c>
      <c r="S282" s="272">
        <v>1</v>
      </c>
      <c r="T282" s="256">
        <f t="shared" si="78"/>
        <v>1</v>
      </c>
      <c r="U282" s="256">
        <f t="shared" si="79"/>
        <v>1</v>
      </c>
      <c r="V282" s="256">
        <f t="shared" si="80"/>
        <v>1</v>
      </c>
      <c r="W282" s="256">
        <f t="shared" si="74"/>
        <v>1</v>
      </c>
      <c r="X282" s="216"/>
      <c r="Y282" s="216"/>
    </row>
    <row r="283" spans="1:25" s="140" customFormat="1" ht="13.5" hidden="1" outlineLevel="3" thickBot="1">
      <c r="A283" s="216"/>
      <c r="B283" s="255" t="s">
        <v>470</v>
      </c>
      <c r="C283" s="245" t="s">
        <v>55</v>
      </c>
      <c r="D283" s="227" t="s">
        <v>56</v>
      </c>
      <c r="E283" s="241"/>
      <c r="F283" s="228">
        <f t="shared" si="81"/>
        <v>2.7796911320762424E-2</v>
      </c>
      <c r="G283" s="269">
        <f>+F283*G280</f>
        <v>8.6798729660473458E-6</v>
      </c>
      <c r="H283" s="299"/>
      <c r="I283" s="299"/>
      <c r="J283" s="299"/>
      <c r="K283" s="299"/>
      <c r="L283" s="299"/>
      <c r="M283" s="299"/>
      <c r="N283" s="229">
        <v>1</v>
      </c>
      <c r="O283" s="229">
        <v>1</v>
      </c>
      <c r="P283" s="229">
        <v>1</v>
      </c>
      <c r="Q283" s="272">
        <v>1</v>
      </c>
      <c r="R283" s="272">
        <v>1</v>
      </c>
      <c r="S283" s="272">
        <v>1</v>
      </c>
      <c r="T283" s="256">
        <f t="shared" si="78"/>
        <v>1</v>
      </c>
      <c r="U283" s="256">
        <f t="shared" si="79"/>
        <v>1</v>
      </c>
      <c r="V283" s="256">
        <f t="shared" si="80"/>
        <v>1</v>
      </c>
      <c r="W283" s="256">
        <f t="shared" si="74"/>
        <v>1</v>
      </c>
      <c r="X283" s="216"/>
      <c r="Y283" s="216"/>
    </row>
    <row r="284" spans="1:25" s="140" customFormat="1" ht="13.5" hidden="1" outlineLevel="3" thickBot="1">
      <c r="A284" s="216"/>
      <c r="B284" s="255" t="s">
        <v>471</v>
      </c>
      <c r="C284" s="245" t="s">
        <v>58</v>
      </c>
      <c r="D284" s="227" t="s">
        <v>59</v>
      </c>
      <c r="E284" s="241"/>
      <c r="F284" s="228">
        <f t="shared" si="81"/>
        <v>2.9155300375276354E-2</v>
      </c>
      <c r="G284" s="269">
        <f>+F284*G280</f>
        <v>9.1040439933817114E-6</v>
      </c>
      <c r="H284" s="299"/>
      <c r="I284" s="299"/>
      <c r="J284" s="299"/>
      <c r="K284" s="299"/>
      <c r="L284" s="299"/>
      <c r="M284" s="299"/>
      <c r="N284" s="229">
        <v>1</v>
      </c>
      <c r="O284" s="229">
        <v>1</v>
      </c>
      <c r="P284" s="229">
        <v>1</v>
      </c>
      <c r="Q284" s="272">
        <v>1</v>
      </c>
      <c r="R284" s="272">
        <v>1</v>
      </c>
      <c r="S284" s="272">
        <v>1</v>
      </c>
      <c r="T284" s="256">
        <f t="shared" si="78"/>
        <v>1</v>
      </c>
      <c r="U284" s="256">
        <f t="shared" si="79"/>
        <v>1</v>
      </c>
      <c r="V284" s="256">
        <f t="shared" si="80"/>
        <v>1</v>
      </c>
      <c r="W284" s="256">
        <f t="shared" si="74"/>
        <v>1</v>
      </c>
      <c r="X284" s="216"/>
      <c r="Y284" s="216"/>
    </row>
    <row r="285" spans="1:25" s="140" customFormat="1" ht="13.5" hidden="1" outlineLevel="3" thickBot="1">
      <c r="A285" s="216"/>
      <c r="B285" s="255" t="s">
        <v>472</v>
      </c>
      <c r="C285" s="245" t="s">
        <v>61</v>
      </c>
      <c r="D285" s="227" t="s">
        <v>62</v>
      </c>
      <c r="E285" s="241"/>
      <c r="F285" s="228">
        <f t="shared" si="81"/>
        <v>4.0182801717972776E-2</v>
      </c>
      <c r="G285" s="269">
        <f>+F285*G280</f>
        <v>1.2547495306478756E-5</v>
      </c>
      <c r="H285" s="299"/>
      <c r="I285" s="299"/>
      <c r="J285" s="299"/>
      <c r="K285" s="299"/>
      <c r="L285" s="299"/>
      <c r="M285" s="299"/>
      <c r="N285" s="229">
        <v>1</v>
      </c>
      <c r="O285" s="229">
        <v>1</v>
      </c>
      <c r="P285" s="229">
        <v>1</v>
      </c>
      <c r="Q285" s="272">
        <v>1</v>
      </c>
      <c r="R285" s="272">
        <v>1</v>
      </c>
      <c r="S285" s="272">
        <v>1</v>
      </c>
      <c r="T285" s="256">
        <f t="shared" si="78"/>
        <v>1</v>
      </c>
      <c r="U285" s="256">
        <f t="shared" si="79"/>
        <v>1</v>
      </c>
      <c r="V285" s="256">
        <f t="shared" si="80"/>
        <v>1</v>
      </c>
      <c r="W285" s="256">
        <f t="shared" si="74"/>
        <v>1</v>
      </c>
      <c r="X285" s="216"/>
      <c r="Y285" s="216"/>
    </row>
    <row r="286" spans="1:25" s="140" customFormat="1" ht="13.5" hidden="1" outlineLevel="3" thickBot="1">
      <c r="A286" s="216"/>
      <c r="B286" s="255" t="s">
        <v>473</v>
      </c>
      <c r="C286" s="245" t="s">
        <v>64</v>
      </c>
      <c r="D286" s="227" t="s">
        <v>65</v>
      </c>
      <c r="E286" s="241"/>
      <c r="F286" s="228">
        <f t="shared" si="81"/>
        <v>9.8615013818202632E-2</v>
      </c>
      <c r="G286" s="269">
        <f>+F286*G280</f>
        <v>3.0793557694579307E-5</v>
      </c>
      <c r="H286" s="299"/>
      <c r="I286" s="299"/>
      <c r="J286" s="299"/>
      <c r="K286" s="299"/>
      <c r="L286" s="299"/>
      <c r="M286" s="299"/>
      <c r="N286" s="229">
        <v>1</v>
      </c>
      <c r="O286" s="229">
        <v>1</v>
      </c>
      <c r="P286" s="229">
        <v>1</v>
      </c>
      <c r="Q286" s="272">
        <v>1</v>
      </c>
      <c r="R286" s="272">
        <v>1</v>
      </c>
      <c r="S286" s="272">
        <v>1</v>
      </c>
      <c r="T286" s="256">
        <f t="shared" si="78"/>
        <v>1</v>
      </c>
      <c r="U286" s="256">
        <f t="shared" si="79"/>
        <v>1</v>
      </c>
      <c r="V286" s="256">
        <f t="shared" si="80"/>
        <v>1</v>
      </c>
      <c r="W286" s="256">
        <f t="shared" si="74"/>
        <v>1</v>
      </c>
      <c r="X286" s="216"/>
      <c r="Y286" s="216"/>
    </row>
    <row r="287" spans="1:25" s="140" customFormat="1" ht="13.5" hidden="1" outlineLevel="3" thickBot="1">
      <c r="A287" s="216"/>
      <c r="B287" s="255" t="s">
        <v>474</v>
      </c>
      <c r="C287" s="245" t="s">
        <v>67</v>
      </c>
      <c r="D287" s="227" t="s">
        <v>68</v>
      </c>
      <c r="E287" s="241"/>
      <c r="F287" s="228">
        <f t="shared" si="81"/>
        <v>9.164980880972666E-2</v>
      </c>
      <c r="G287" s="269">
        <f>+F287*G280</f>
        <v>2.8618600413951846E-5</v>
      </c>
      <c r="H287" s="299"/>
      <c r="I287" s="299"/>
      <c r="J287" s="299"/>
      <c r="K287" s="299"/>
      <c r="L287" s="299"/>
      <c r="M287" s="299"/>
      <c r="N287" s="229">
        <v>1</v>
      </c>
      <c r="O287" s="229">
        <v>1</v>
      </c>
      <c r="P287" s="229">
        <v>1</v>
      </c>
      <c r="Q287" s="272">
        <v>1</v>
      </c>
      <c r="R287" s="272">
        <v>1</v>
      </c>
      <c r="S287" s="272">
        <v>1</v>
      </c>
      <c r="T287" s="256">
        <f t="shared" si="78"/>
        <v>1</v>
      </c>
      <c r="U287" s="256">
        <f t="shared" si="79"/>
        <v>1</v>
      </c>
      <c r="V287" s="256">
        <f t="shared" si="80"/>
        <v>1</v>
      </c>
      <c r="W287" s="256">
        <f t="shared" si="74"/>
        <v>1</v>
      </c>
      <c r="X287" s="216"/>
      <c r="Y287" s="216"/>
    </row>
    <row r="288" spans="1:25" s="140" customFormat="1" ht="26.25" hidden="1" outlineLevel="3" thickBot="1">
      <c r="A288" s="216"/>
      <c r="B288" s="255" t="s">
        <v>475</v>
      </c>
      <c r="C288" s="245" t="s">
        <v>70</v>
      </c>
      <c r="D288" s="227" t="s">
        <v>71</v>
      </c>
      <c r="E288" s="241"/>
      <c r="F288" s="228">
        <f t="shared" si="81"/>
        <v>9.2909380612212003E-2</v>
      </c>
      <c r="G288" s="269">
        <f>+F288*G280</f>
        <v>2.90119147326194E-5</v>
      </c>
      <c r="H288" s="299"/>
      <c r="I288" s="299"/>
      <c r="J288" s="299"/>
      <c r="K288" s="299"/>
      <c r="L288" s="299"/>
      <c r="M288" s="299"/>
      <c r="N288" s="229">
        <v>1</v>
      </c>
      <c r="O288" s="229">
        <v>1</v>
      </c>
      <c r="P288" s="229">
        <v>1</v>
      </c>
      <c r="Q288" s="272">
        <v>0</v>
      </c>
      <c r="R288" s="272">
        <v>0</v>
      </c>
      <c r="S288" s="272">
        <v>0</v>
      </c>
      <c r="T288" s="256">
        <f t="shared" si="78"/>
        <v>0</v>
      </c>
      <c r="U288" s="256">
        <f t="shared" si="79"/>
        <v>0</v>
      </c>
      <c r="V288" s="256">
        <f t="shared" si="80"/>
        <v>0</v>
      </c>
      <c r="W288" s="256">
        <f t="shared" si="74"/>
        <v>0</v>
      </c>
      <c r="X288" s="216"/>
      <c r="Y288" s="216"/>
    </row>
    <row r="289" spans="1:25" s="140" customFormat="1" ht="13.5" hidden="1" outlineLevel="3" thickBot="1">
      <c r="A289" s="216"/>
      <c r="B289" s="255" t="s">
        <v>476</v>
      </c>
      <c r="C289" s="245" t="s">
        <v>73</v>
      </c>
      <c r="D289" s="227" t="s">
        <v>74</v>
      </c>
      <c r="E289" s="241"/>
      <c r="F289" s="228">
        <f t="shared" si="81"/>
        <v>8.0887028733242702E-2</v>
      </c>
      <c r="G289" s="269">
        <f>+F289*G280</f>
        <v>2.5257811053314934E-5</v>
      </c>
      <c r="H289" s="299"/>
      <c r="I289" s="299"/>
      <c r="J289" s="299"/>
      <c r="K289" s="299"/>
      <c r="L289" s="299"/>
      <c r="M289" s="299"/>
      <c r="N289" s="229">
        <v>0</v>
      </c>
      <c r="O289" s="229">
        <v>0</v>
      </c>
      <c r="P289" s="229">
        <v>0</v>
      </c>
      <c r="Q289" s="272">
        <v>0</v>
      </c>
      <c r="R289" s="272">
        <v>0</v>
      </c>
      <c r="S289" s="272">
        <v>0</v>
      </c>
      <c r="T289" s="256">
        <f t="shared" si="78"/>
        <v>0</v>
      </c>
      <c r="U289" s="256">
        <f t="shared" si="79"/>
        <v>0</v>
      </c>
      <c r="V289" s="256">
        <f t="shared" si="80"/>
        <v>0</v>
      </c>
      <c r="W289" s="256">
        <f t="shared" si="74"/>
        <v>0</v>
      </c>
      <c r="X289" s="216"/>
      <c r="Y289" s="216"/>
    </row>
    <row r="290" spans="1:25" s="140" customFormat="1" ht="13.5" hidden="1" outlineLevel="3" thickBot="1">
      <c r="A290" s="216"/>
      <c r="B290" s="255" t="s">
        <v>477</v>
      </c>
      <c r="C290" s="245" t="s">
        <v>76</v>
      </c>
      <c r="D290" s="227" t="s">
        <v>77</v>
      </c>
      <c r="E290" s="241"/>
      <c r="F290" s="228">
        <f t="shared" si="81"/>
        <v>0.11788367881609482</v>
      </c>
      <c r="G290" s="269">
        <f>+F290*G280</f>
        <v>3.6810397568515335E-5</v>
      </c>
      <c r="H290" s="299"/>
      <c r="I290" s="299"/>
      <c r="J290" s="299"/>
      <c r="K290" s="299"/>
      <c r="L290" s="299"/>
      <c r="M290" s="299"/>
      <c r="N290" s="229">
        <v>0</v>
      </c>
      <c r="O290" s="229">
        <v>0</v>
      </c>
      <c r="P290" s="229">
        <v>0</v>
      </c>
      <c r="Q290" s="272">
        <v>0</v>
      </c>
      <c r="R290" s="272">
        <v>0</v>
      </c>
      <c r="S290" s="272">
        <v>0</v>
      </c>
      <c r="T290" s="256">
        <f t="shared" si="78"/>
        <v>0</v>
      </c>
      <c r="U290" s="256">
        <f t="shared" si="79"/>
        <v>0</v>
      </c>
      <c r="V290" s="256">
        <f t="shared" si="80"/>
        <v>0</v>
      </c>
      <c r="W290" s="256">
        <f t="shared" si="74"/>
        <v>0</v>
      </c>
      <c r="X290" s="216"/>
      <c r="Y290" s="216"/>
    </row>
    <row r="291" spans="1:25" s="140" customFormat="1" ht="13.5" hidden="1" outlineLevel="3" thickBot="1">
      <c r="A291" s="216"/>
      <c r="B291" s="255" t="s">
        <v>478</v>
      </c>
      <c r="C291" s="245" t="s">
        <v>79</v>
      </c>
      <c r="D291" s="227" t="s">
        <v>80</v>
      </c>
      <c r="E291" s="241"/>
      <c r="F291" s="228">
        <f t="shared" si="81"/>
        <v>4.1046638926131508E-2</v>
      </c>
      <c r="G291" s="269">
        <f>+F291*G280</f>
        <v>1.2817237406370348E-5</v>
      </c>
      <c r="H291" s="299"/>
      <c r="I291" s="299"/>
      <c r="J291" s="299"/>
      <c r="K291" s="299"/>
      <c r="L291" s="299"/>
      <c r="M291" s="299"/>
      <c r="N291" s="229">
        <v>0</v>
      </c>
      <c r="O291" s="229">
        <v>0</v>
      </c>
      <c r="P291" s="229">
        <v>0</v>
      </c>
      <c r="Q291" s="272">
        <v>0</v>
      </c>
      <c r="R291" s="272">
        <v>0</v>
      </c>
      <c r="S291" s="272">
        <v>0</v>
      </c>
      <c r="T291" s="256">
        <f t="shared" si="78"/>
        <v>0</v>
      </c>
      <c r="U291" s="256">
        <f t="shared" si="79"/>
        <v>0</v>
      </c>
      <c r="V291" s="256">
        <f t="shared" si="80"/>
        <v>0</v>
      </c>
      <c r="W291" s="256">
        <f t="shared" si="74"/>
        <v>0</v>
      </c>
      <c r="X291" s="216"/>
      <c r="Y291" s="216"/>
    </row>
    <row r="292" spans="1:25" s="140" customFormat="1" ht="13.5" hidden="1" outlineLevel="3" thickBot="1">
      <c r="A292" s="216"/>
      <c r="B292" s="255" t="s">
        <v>479</v>
      </c>
      <c r="C292" s="245" t="s">
        <v>82</v>
      </c>
      <c r="D292" s="227" t="s">
        <v>83</v>
      </c>
      <c r="E292" s="241"/>
      <c r="F292" s="228">
        <f t="shared" si="81"/>
        <v>5.3741978219236555E-2</v>
      </c>
      <c r="G292" s="269">
        <f>+F292*G280</f>
        <v>1.6781488364091453E-5</v>
      </c>
      <c r="H292" s="299"/>
      <c r="I292" s="299"/>
      <c r="J292" s="299"/>
      <c r="K292" s="299"/>
      <c r="L292" s="299"/>
      <c r="M292" s="299"/>
      <c r="N292" s="229">
        <v>0</v>
      </c>
      <c r="O292" s="229">
        <v>0</v>
      </c>
      <c r="P292" s="229">
        <v>0</v>
      </c>
      <c r="Q292" s="272">
        <v>0</v>
      </c>
      <c r="R292" s="272">
        <v>0</v>
      </c>
      <c r="S292" s="272">
        <v>0</v>
      </c>
      <c r="T292" s="256">
        <f t="shared" si="78"/>
        <v>0</v>
      </c>
      <c r="U292" s="256">
        <f t="shared" si="79"/>
        <v>0</v>
      </c>
      <c r="V292" s="256">
        <f t="shared" si="80"/>
        <v>0</v>
      </c>
      <c r="W292" s="256">
        <f t="shared" si="74"/>
        <v>0</v>
      </c>
      <c r="X292" s="216"/>
      <c r="Y292" s="216"/>
    </row>
    <row r="293" spans="1:25" s="140" customFormat="1" ht="13.5" hidden="1" outlineLevel="3" thickBot="1">
      <c r="A293" s="216"/>
      <c r="B293" s="255" t="s">
        <v>480</v>
      </c>
      <c r="C293" s="245" t="s">
        <v>85</v>
      </c>
      <c r="D293" s="227" t="s">
        <v>86</v>
      </c>
      <c r="E293" s="241"/>
      <c r="F293" s="228">
        <f t="shared" si="81"/>
        <v>5.8057394561842592E-2</v>
      </c>
      <c r="G293" s="269">
        <f>+F293*G280</f>
        <v>1.8129021736313533E-5</v>
      </c>
      <c r="H293" s="299"/>
      <c r="I293" s="299"/>
      <c r="J293" s="299"/>
      <c r="K293" s="299"/>
      <c r="L293" s="299"/>
      <c r="M293" s="299"/>
      <c r="N293" s="229">
        <v>0</v>
      </c>
      <c r="O293" s="229">
        <v>0</v>
      </c>
      <c r="P293" s="229">
        <v>0</v>
      </c>
      <c r="Q293" s="272">
        <v>0</v>
      </c>
      <c r="R293" s="272">
        <v>0</v>
      </c>
      <c r="S293" s="272">
        <v>0</v>
      </c>
      <c r="T293" s="256">
        <f t="shared" si="78"/>
        <v>0</v>
      </c>
      <c r="U293" s="256">
        <f t="shared" si="79"/>
        <v>0</v>
      </c>
      <c r="V293" s="256">
        <f t="shared" si="80"/>
        <v>0</v>
      </c>
      <c r="W293" s="256">
        <f t="shared" si="74"/>
        <v>0</v>
      </c>
      <c r="X293" s="216"/>
      <c r="Y293" s="216"/>
    </row>
    <row r="294" spans="1:25" s="140" customFormat="1" ht="13.5" hidden="1" outlineLevel="3" thickBot="1">
      <c r="A294" s="216"/>
      <c r="B294" s="255" t="s">
        <v>481</v>
      </c>
      <c r="C294" s="245" t="s">
        <v>88</v>
      </c>
      <c r="D294" s="227" t="s">
        <v>89</v>
      </c>
      <c r="E294" s="241"/>
      <c r="F294" s="228">
        <f t="shared" si="81"/>
        <v>6.1612726844928238E-2</v>
      </c>
      <c r="G294" s="269">
        <f>+F294*G280</f>
        <v>1.9239211002061926E-5</v>
      </c>
      <c r="H294" s="299"/>
      <c r="I294" s="299"/>
      <c r="J294" s="299"/>
      <c r="K294" s="299"/>
      <c r="L294" s="299"/>
      <c r="M294" s="299"/>
      <c r="N294" s="229">
        <v>0</v>
      </c>
      <c r="O294" s="229">
        <v>0</v>
      </c>
      <c r="P294" s="229">
        <v>0</v>
      </c>
      <c r="Q294" s="272">
        <v>0</v>
      </c>
      <c r="R294" s="272">
        <v>0</v>
      </c>
      <c r="S294" s="272">
        <v>0</v>
      </c>
      <c r="T294" s="256">
        <f t="shared" si="78"/>
        <v>0</v>
      </c>
      <c r="U294" s="256">
        <f t="shared" si="79"/>
        <v>0</v>
      </c>
      <c r="V294" s="256">
        <f t="shared" si="80"/>
        <v>0</v>
      </c>
      <c r="W294" s="256">
        <f t="shared" si="74"/>
        <v>0</v>
      </c>
      <c r="X294" s="216"/>
      <c r="Y294" s="216"/>
    </row>
    <row r="295" spans="1:25" s="140" customFormat="1" ht="13.5" hidden="1" outlineLevel="3" thickBot="1">
      <c r="A295" s="216"/>
      <c r="B295" s="255" t="s">
        <v>482</v>
      </c>
      <c r="C295" s="245" t="s">
        <v>91</v>
      </c>
      <c r="D295" s="227" t="s">
        <v>92</v>
      </c>
      <c r="E295" s="241"/>
      <c r="F295" s="228">
        <f t="shared" si="81"/>
        <v>5.5478507137905975E-2</v>
      </c>
      <c r="G295" s="269">
        <f>+F295*G280</f>
        <v>1.7323737473785154E-5</v>
      </c>
      <c r="H295" s="299"/>
      <c r="I295" s="299"/>
      <c r="J295" s="299"/>
      <c r="K295" s="299"/>
      <c r="L295" s="299"/>
      <c r="M295" s="299"/>
      <c r="N295" s="229">
        <v>0</v>
      </c>
      <c r="O295" s="229">
        <v>0</v>
      </c>
      <c r="P295" s="229">
        <v>0</v>
      </c>
      <c r="Q295" s="272">
        <v>0</v>
      </c>
      <c r="R295" s="272">
        <v>0</v>
      </c>
      <c r="S295" s="272">
        <v>0</v>
      </c>
      <c r="T295" s="256">
        <f t="shared" si="78"/>
        <v>0</v>
      </c>
      <c r="U295" s="256">
        <f t="shared" si="79"/>
        <v>0</v>
      </c>
      <c r="V295" s="256">
        <f t="shared" si="80"/>
        <v>0</v>
      </c>
      <c r="W295" s="256">
        <f t="shared" si="74"/>
        <v>0</v>
      </c>
      <c r="X295" s="216"/>
      <c r="Y295" s="216"/>
    </row>
    <row r="296" spans="1:25" s="140" customFormat="1" ht="13.5" hidden="1" outlineLevel="3" thickBot="1">
      <c r="A296" s="216"/>
      <c r="B296" s="300" t="s">
        <v>395</v>
      </c>
      <c r="C296" s="294"/>
      <c r="D296" s="294" t="s">
        <v>94</v>
      </c>
      <c r="E296" s="295"/>
      <c r="F296" s="296">
        <f t="shared" si="81"/>
        <v>0.17989574156721069</v>
      </c>
      <c r="G296" s="296">
        <f>+F296*G270</f>
        <v>1.4391659325376856E-3</v>
      </c>
      <c r="H296" s="297"/>
      <c r="I296" s="297"/>
      <c r="J296" s="297"/>
      <c r="K296" s="297"/>
      <c r="L296" s="297"/>
      <c r="M296" s="297"/>
      <c r="N296" s="296">
        <f t="shared" ref="N296:S296" si="83">+$F297*N297+$F309*N309+$F317*N317+$F323*N323+$F327*N327</f>
        <v>0.92273549653596099</v>
      </c>
      <c r="O296" s="296">
        <f t="shared" si="83"/>
        <v>0.92273549653596099</v>
      </c>
      <c r="P296" s="296">
        <f t="shared" si="83"/>
        <v>0.92273549653596099</v>
      </c>
      <c r="Q296" s="296">
        <f t="shared" si="83"/>
        <v>0.20074759401347061</v>
      </c>
      <c r="R296" s="296">
        <f t="shared" si="83"/>
        <v>0.20074759401347061</v>
      </c>
      <c r="S296" s="296">
        <f t="shared" si="83"/>
        <v>0.20074759401347061</v>
      </c>
      <c r="T296" s="296">
        <f t="shared" si="78"/>
        <v>0.21755702990412382</v>
      </c>
      <c r="U296" s="296">
        <f t="shared" si="79"/>
        <v>0.21755702990412382</v>
      </c>
      <c r="V296" s="296">
        <f t="shared" si="80"/>
        <v>0.21755702990412382</v>
      </c>
      <c r="W296" s="296">
        <f t="shared" si="74"/>
        <v>1</v>
      </c>
      <c r="X296" s="216"/>
      <c r="Y296" s="216"/>
    </row>
    <row r="297" spans="1:25" s="140" customFormat="1" ht="13.5" hidden="1" outlineLevel="3" thickBot="1">
      <c r="B297" s="301" t="s">
        <v>483</v>
      </c>
      <c r="C297" s="251"/>
      <c r="D297" s="236" t="s">
        <v>97</v>
      </c>
      <c r="E297" s="242"/>
      <c r="F297" s="232">
        <f t="shared" si="81"/>
        <v>0.2064703407829992</v>
      </c>
      <c r="G297" s="232">
        <f>+F297*G296</f>
        <v>2.9714508053433876E-4</v>
      </c>
      <c r="H297" s="321"/>
      <c r="I297" s="321"/>
      <c r="J297" s="321"/>
      <c r="K297" s="321"/>
      <c r="L297" s="321"/>
      <c r="M297" s="321"/>
      <c r="N297" s="233">
        <f t="shared" ref="N297:S297" si="84">+SUMPRODUCT($F298:$F308,N298:N308)</f>
        <v>0.92273212183948317</v>
      </c>
      <c r="O297" s="233">
        <f t="shared" si="84"/>
        <v>0.92273212183948317</v>
      </c>
      <c r="P297" s="233">
        <f t="shared" si="84"/>
        <v>0.92273212183948317</v>
      </c>
      <c r="Q297" s="274">
        <f t="shared" si="84"/>
        <v>0.32851417302102698</v>
      </c>
      <c r="R297" s="274">
        <f t="shared" si="84"/>
        <v>0.32851417302102698</v>
      </c>
      <c r="S297" s="274">
        <f t="shared" si="84"/>
        <v>0.32851417302102698</v>
      </c>
      <c r="T297" s="260">
        <f t="shared" si="78"/>
        <v>0.35602334116875439</v>
      </c>
      <c r="U297" s="260">
        <f t="shared" si="79"/>
        <v>0.35602334116875439</v>
      </c>
      <c r="V297" s="260">
        <f t="shared" si="80"/>
        <v>0.35602334116875439</v>
      </c>
      <c r="W297" s="260">
        <f t="shared" si="74"/>
        <v>1</v>
      </c>
    </row>
    <row r="298" spans="1:25" s="140" customFormat="1" ht="26.25" hidden="1" outlineLevel="4" thickBot="1">
      <c r="A298" s="216"/>
      <c r="B298" s="255" t="s">
        <v>484</v>
      </c>
      <c r="C298" s="245" t="s">
        <v>99</v>
      </c>
      <c r="D298" s="227" t="s">
        <v>100</v>
      </c>
      <c r="E298" s="241"/>
      <c r="F298" s="228">
        <f t="shared" si="81"/>
        <v>5.8885812178438031E-2</v>
      </c>
      <c r="G298" s="269">
        <f>+F298*G297</f>
        <v>1.7497629402091916E-5</v>
      </c>
      <c r="H298" s="299"/>
      <c r="I298" s="299"/>
      <c r="J298" s="299"/>
      <c r="K298" s="299"/>
      <c r="L298" s="299"/>
      <c r="M298" s="299"/>
      <c r="N298" s="229">
        <v>1</v>
      </c>
      <c r="O298" s="229">
        <v>1</v>
      </c>
      <c r="P298" s="229">
        <v>1</v>
      </c>
      <c r="Q298" s="272">
        <v>1</v>
      </c>
      <c r="R298" s="272">
        <v>1</v>
      </c>
      <c r="S298" s="272">
        <v>1</v>
      </c>
      <c r="T298" s="256">
        <f t="shared" si="78"/>
        <v>1</v>
      </c>
      <c r="U298" s="256">
        <f t="shared" si="79"/>
        <v>1</v>
      </c>
      <c r="V298" s="256">
        <f t="shared" si="80"/>
        <v>1</v>
      </c>
      <c r="W298" s="256">
        <f t="shared" si="74"/>
        <v>1</v>
      </c>
      <c r="X298" s="216"/>
      <c r="Y298" s="216"/>
    </row>
    <row r="299" spans="1:25" s="140" customFormat="1" ht="26.25" hidden="1" outlineLevel="4" thickBot="1">
      <c r="A299" s="216"/>
      <c r="B299" s="255" t="s">
        <v>485</v>
      </c>
      <c r="C299" s="245" t="s">
        <v>102</v>
      </c>
      <c r="D299" s="227" t="s">
        <v>103</v>
      </c>
      <c r="E299" s="241"/>
      <c r="F299" s="228">
        <f t="shared" si="81"/>
        <v>9.5476860808951347E-2</v>
      </c>
      <c r="G299" s="269">
        <f>+F299*G297</f>
        <v>2.83704794942417E-5</v>
      </c>
      <c r="H299" s="299"/>
      <c r="I299" s="299"/>
      <c r="J299" s="299"/>
      <c r="K299" s="299"/>
      <c r="L299" s="299"/>
      <c r="M299" s="299"/>
      <c r="N299" s="229">
        <v>1</v>
      </c>
      <c r="O299" s="229">
        <v>1</v>
      </c>
      <c r="P299" s="229">
        <v>1</v>
      </c>
      <c r="Q299" s="272">
        <v>1</v>
      </c>
      <c r="R299" s="272">
        <v>1</v>
      </c>
      <c r="S299" s="272">
        <v>1</v>
      </c>
      <c r="T299" s="256">
        <f t="shared" si="78"/>
        <v>1</v>
      </c>
      <c r="U299" s="256">
        <f t="shared" si="79"/>
        <v>1</v>
      </c>
      <c r="V299" s="256">
        <f t="shared" si="80"/>
        <v>1</v>
      </c>
      <c r="W299" s="256">
        <f t="shared" si="74"/>
        <v>1</v>
      </c>
      <c r="X299" s="216"/>
      <c r="Y299" s="216"/>
    </row>
    <row r="300" spans="1:25" s="140" customFormat="1" ht="26.25" hidden="1" outlineLevel="4" thickBot="1">
      <c r="A300" s="216"/>
      <c r="B300" s="255" t="s">
        <v>486</v>
      </c>
      <c r="C300" s="245" t="s">
        <v>105</v>
      </c>
      <c r="D300" s="340" t="s">
        <v>106</v>
      </c>
      <c r="E300" s="334"/>
      <c r="F300" s="228">
        <f t="shared" si="81"/>
        <v>7.7851641421759807E-2</v>
      </c>
      <c r="G300" s="269">
        <f>+F300*G297</f>
        <v>2.3133232259999282E-5</v>
      </c>
      <c r="H300" s="299"/>
      <c r="I300" s="299"/>
      <c r="J300" s="299"/>
      <c r="K300" s="299"/>
      <c r="L300" s="299"/>
      <c r="M300" s="299"/>
      <c r="N300" s="229">
        <v>0.94</v>
      </c>
      <c r="O300" s="229">
        <v>0.94</v>
      </c>
      <c r="P300" s="229">
        <v>0.94</v>
      </c>
      <c r="Q300" s="336">
        <v>1</v>
      </c>
      <c r="R300" s="336">
        <v>1</v>
      </c>
      <c r="S300" s="336">
        <v>1</v>
      </c>
      <c r="T300" s="256">
        <f t="shared" si="78"/>
        <v>1.0638297872340425</v>
      </c>
      <c r="U300" s="256">
        <f t="shared" si="79"/>
        <v>1.0638297872340425</v>
      </c>
      <c r="V300" s="256">
        <f t="shared" si="80"/>
        <v>1.0638297872340425</v>
      </c>
      <c r="W300" s="256">
        <f t="shared" si="74"/>
        <v>1</v>
      </c>
      <c r="X300" s="216"/>
      <c r="Y300" s="216"/>
    </row>
    <row r="301" spans="1:25" s="140" customFormat="1" ht="26.25" hidden="1" outlineLevel="4" thickBot="1">
      <c r="A301" s="216"/>
      <c r="B301" s="255" t="s">
        <v>487</v>
      </c>
      <c r="C301" s="245" t="s">
        <v>108</v>
      </c>
      <c r="D301" s="340" t="s">
        <v>109</v>
      </c>
      <c r="E301" s="334"/>
      <c r="F301" s="228">
        <f t="shared" si="81"/>
        <v>9.6299858611877787E-2</v>
      </c>
      <c r="G301" s="269">
        <f>+F301*G297</f>
        <v>2.8615029242671862E-5</v>
      </c>
      <c r="H301" s="299"/>
      <c r="I301" s="299"/>
      <c r="J301" s="299"/>
      <c r="K301" s="299"/>
      <c r="L301" s="299"/>
      <c r="M301" s="299"/>
      <c r="N301" s="229">
        <v>0.94</v>
      </c>
      <c r="O301" s="229">
        <v>0.94</v>
      </c>
      <c r="P301" s="229">
        <v>0.94</v>
      </c>
      <c r="Q301" s="336">
        <v>1</v>
      </c>
      <c r="R301" s="336">
        <v>1</v>
      </c>
      <c r="S301" s="336">
        <v>1</v>
      </c>
      <c r="T301" s="256">
        <f t="shared" si="78"/>
        <v>1.0638297872340425</v>
      </c>
      <c r="U301" s="256">
        <f t="shared" si="79"/>
        <v>1.0638297872340425</v>
      </c>
      <c r="V301" s="256">
        <f t="shared" si="80"/>
        <v>1.0638297872340425</v>
      </c>
      <c r="W301" s="256">
        <f t="shared" si="74"/>
        <v>1</v>
      </c>
      <c r="X301" s="216"/>
      <c r="Y301" s="216"/>
    </row>
    <row r="302" spans="1:25" s="140" customFormat="1" ht="39" hidden="1" outlineLevel="4" thickBot="1">
      <c r="A302" s="216"/>
      <c r="B302" s="255" t="s">
        <v>488</v>
      </c>
      <c r="C302" s="245" t="s">
        <v>111</v>
      </c>
      <c r="D302" s="340" t="s">
        <v>112</v>
      </c>
      <c r="E302" s="334"/>
      <c r="F302" s="228">
        <f t="shared" si="81"/>
        <v>0.2149063701910354</v>
      </c>
      <c r="G302" s="269">
        <f>+F302*G297</f>
        <v>6.3858370677757637E-5</v>
      </c>
      <c r="H302" s="299"/>
      <c r="I302" s="299"/>
      <c r="J302" s="299"/>
      <c r="K302" s="299"/>
      <c r="L302" s="299"/>
      <c r="M302" s="299"/>
      <c r="N302" s="229">
        <v>0.94</v>
      </c>
      <c r="O302" s="229">
        <v>0.94</v>
      </c>
      <c r="P302" s="229">
        <v>0.94</v>
      </c>
      <c r="Q302" s="336">
        <v>0</v>
      </c>
      <c r="R302" s="336">
        <v>0</v>
      </c>
      <c r="S302" s="336">
        <v>0</v>
      </c>
      <c r="T302" s="256">
        <f t="shared" si="78"/>
        <v>0</v>
      </c>
      <c r="U302" s="256">
        <f t="shared" si="79"/>
        <v>0</v>
      </c>
      <c r="V302" s="256">
        <f t="shared" si="80"/>
        <v>0</v>
      </c>
      <c r="W302" s="256">
        <f t="shared" si="74"/>
        <v>0</v>
      </c>
      <c r="X302" s="216"/>
      <c r="Y302" s="216"/>
    </row>
    <row r="303" spans="1:25" s="140" customFormat="1" ht="39" hidden="1" outlineLevel="4" thickBot="1">
      <c r="A303" s="216"/>
      <c r="B303" s="255" t="s">
        <v>489</v>
      </c>
      <c r="C303" s="245" t="s">
        <v>114</v>
      </c>
      <c r="D303" s="340" t="s">
        <v>115</v>
      </c>
      <c r="E303" s="334"/>
      <c r="F303" s="228">
        <f t="shared" si="81"/>
        <v>0.11738040352185054</v>
      </c>
      <c r="G303" s="269">
        <f>+F303*G297</f>
        <v>3.4879009457653461E-5</v>
      </c>
      <c r="H303" s="299"/>
      <c r="I303" s="299"/>
      <c r="J303" s="299"/>
      <c r="K303" s="299"/>
      <c r="L303" s="299"/>
      <c r="M303" s="299"/>
      <c r="N303" s="229">
        <v>0.94</v>
      </c>
      <c r="O303" s="229">
        <v>0.94</v>
      </c>
      <c r="P303" s="229">
        <v>0.94</v>
      </c>
      <c r="Q303" s="336">
        <v>0</v>
      </c>
      <c r="R303" s="336">
        <v>0</v>
      </c>
      <c r="S303" s="336">
        <v>0</v>
      </c>
      <c r="T303" s="256">
        <f t="shared" ref="T303:T334" si="85">+IF(N303=0,0,$S303/N303)</f>
        <v>0</v>
      </c>
      <c r="U303" s="256">
        <f t="shared" ref="U303:U334" si="86">+IF(O303=0,0,$S303/O303)</f>
        <v>0</v>
      </c>
      <c r="V303" s="256">
        <f t="shared" ref="V303:V334" si="87">+IF(P303=0,0,$S303/P303)</f>
        <v>0</v>
      </c>
      <c r="W303" s="256">
        <f t="shared" si="74"/>
        <v>0</v>
      </c>
      <c r="X303" s="216"/>
      <c r="Y303" s="216"/>
    </row>
    <row r="304" spans="1:25" s="140" customFormat="1" ht="39" hidden="1" outlineLevel="4" thickBot="1">
      <c r="A304" s="216"/>
      <c r="B304" s="255" t="s">
        <v>490</v>
      </c>
      <c r="C304" s="245" t="s">
        <v>117</v>
      </c>
      <c r="D304" s="340" t="s">
        <v>118</v>
      </c>
      <c r="E304" s="334"/>
      <c r="F304" s="228">
        <f t="shared" si="81"/>
        <v>0.11930471289964986</v>
      </c>
      <c r="G304" s="269">
        <f>+F304*G297</f>
        <v>3.5450808522692625E-5</v>
      </c>
      <c r="H304" s="299"/>
      <c r="I304" s="299"/>
      <c r="J304" s="299"/>
      <c r="K304" s="299"/>
      <c r="L304" s="299"/>
      <c r="M304" s="299"/>
      <c r="N304" s="229">
        <v>0.94</v>
      </c>
      <c r="O304" s="229">
        <v>0.94</v>
      </c>
      <c r="P304" s="229">
        <v>0.94</v>
      </c>
      <c r="Q304" s="336">
        <v>0</v>
      </c>
      <c r="R304" s="336">
        <v>0</v>
      </c>
      <c r="S304" s="336">
        <v>0</v>
      </c>
      <c r="T304" s="256">
        <f t="shared" si="85"/>
        <v>0</v>
      </c>
      <c r="U304" s="256">
        <f t="shared" si="86"/>
        <v>0</v>
      </c>
      <c r="V304" s="256">
        <f t="shared" si="87"/>
        <v>0</v>
      </c>
      <c r="W304" s="256">
        <f t="shared" si="74"/>
        <v>0</v>
      </c>
      <c r="X304" s="216"/>
      <c r="Y304" s="216"/>
    </row>
    <row r="305" spans="1:25" s="140" customFormat="1" ht="39" hidden="1" outlineLevel="4" thickBot="1">
      <c r="A305" s="216"/>
      <c r="B305" s="255" t="s">
        <v>491</v>
      </c>
      <c r="C305" s="245" t="s">
        <v>120</v>
      </c>
      <c r="D305" s="340" t="s">
        <v>121</v>
      </c>
      <c r="E305" s="334"/>
      <c r="F305" s="228">
        <f t="shared" si="81"/>
        <v>0.19167132064328818</v>
      </c>
      <c r="G305" s="269">
        <f>+F305*G297</f>
        <v>5.6954190008672937E-5</v>
      </c>
      <c r="H305" s="299"/>
      <c r="I305" s="299"/>
      <c r="J305" s="299"/>
      <c r="K305" s="299"/>
      <c r="L305" s="299"/>
      <c r="M305" s="299"/>
      <c r="N305" s="229">
        <v>0.94</v>
      </c>
      <c r="O305" s="229">
        <v>0.94</v>
      </c>
      <c r="P305" s="229">
        <v>0.94</v>
      </c>
      <c r="Q305" s="336">
        <v>0</v>
      </c>
      <c r="R305" s="336">
        <v>0</v>
      </c>
      <c r="S305" s="336">
        <v>0</v>
      </c>
      <c r="T305" s="256">
        <f t="shared" si="85"/>
        <v>0</v>
      </c>
      <c r="U305" s="256">
        <f t="shared" si="86"/>
        <v>0</v>
      </c>
      <c r="V305" s="256">
        <f t="shared" si="87"/>
        <v>0</v>
      </c>
      <c r="W305" s="256">
        <f t="shared" si="74"/>
        <v>0</v>
      </c>
      <c r="X305" s="216"/>
      <c r="Y305" s="216"/>
    </row>
    <row r="306" spans="1:25" s="140" customFormat="1" ht="26.25" hidden="1" outlineLevel="4" thickBot="1">
      <c r="A306" s="216"/>
      <c r="B306" s="255" t="s">
        <v>492</v>
      </c>
      <c r="C306" s="245" t="s">
        <v>123</v>
      </c>
      <c r="D306" s="227" t="s">
        <v>124</v>
      </c>
      <c r="E306" s="241"/>
      <c r="F306" s="228">
        <f t="shared" si="81"/>
        <v>5.2427274764052581E-3</v>
      </c>
      <c r="G306" s="269">
        <f>+F306*G297</f>
        <v>1.5578506781960311E-6</v>
      </c>
      <c r="H306" s="299"/>
      <c r="I306" s="299"/>
      <c r="J306" s="299"/>
      <c r="K306" s="299"/>
      <c r="L306" s="299"/>
      <c r="M306" s="299"/>
      <c r="N306" s="229"/>
      <c r="O306" s="229"/>
      <c r="P306" s="229"/>
      <c r="Q306" s="272"/>
      <c r="R306" s="272"/>
      <c r="S306" s="272"/>
      <c r="T306" s="256">
        <f t="shared" si="85"/>
        <v>0</v>
      </c>
      <c r="U306" s="256">
        <f t="shared" si="86"/>
        <v>0</v>
      </c>
      <c r="V306" s="256">
        <f t="shared" si="87"/>
        <v>0</v>
      </c>
      <c r="W306" s="256">
        <f t="shared" si="74"/>
        <v>0</v>
      </c>
      <c r="X306" s="216"/>
      <c r="Y306" s="216"/>
    </row>
    <row r="307" spans="1:25" s="140" customFormat="1" ht="26.25" hidden="1" outlineLevel="4" thickBot="1">
      <c r="A307" s="216"/>
      <c r="B307" s="255" t="s">
        <v>493</v>
      </c>
      <c r="C307" s="245" t="s">
        <v>126</v>
      </c>
      <c r="D307" s="227" t="s">
        <v>127</v>
      </c>
      <c r="E307" s="241"/>
      <c r="F307" s="228">
        <f>F869</f>
        <v>0</v>
      </c>
      <c r="G307" s="269">
        <f>+F307*G297</f>
        <v>0</v>
      </c>
      <c r="H307" s="299"/>
      <c r="I307" s="299"/>
      <c r="J307" s="299"/>
      <c r="K307" s="299"/>
      <c r="L307" s="299"/>
      <c r="M307" s="299"/>
      <c r="N307" s="229"/>
      <c r="O307" s="229"/>
      <c r="P307" s="229"/>
      <c r="Q307" s="272"/>
      <c r="R307" s="272"/>
      <c r="S307" s="272"/>
      <c r="T307" s="256">
        <f t="shared" si="85"/>
        <v>0</v>
      </c>
      <c r="U307" s="256">
        <f t="shared" si="86"/>
        <v>0</v>
      </c>
      <c r="V307" s="256">
        <f t="shared" si="87"/>
        <v>0</v>
      </c>
      <c r="W307" s="256">
        <f t="shared" si="74"/>
        <v>0</v>
      </c>
      <c r="X307" s="216"/>
      <c r="Y307" s="216"/>
    </row>
    <row r="308" spans="1:25" s="140" customFormat="1" ht="39" hidden="1" outlineLevel="4" thickBot="1">
      <c r="A308" s="216"/>
      <c r="B308" s="255" t="s">
        <v>494</v>
      </c>
      <c r="C308" s="245" t="s">
        <v>129</v>
      </c>
      <c r="D308" s="227" t="s">
        <v>130</v>
      </c>
      <c r="E308" s="241"/>
      <c r="F308" s="228">
        <f>F870</f>
        <v>2.2980292246743819E-2</v>
      </c>
      <c r="G308" s="269">
        <f>+F308*G297</f>
        <v>6.8284807903613332E-6</v>
      </c>
      <c r="H308" s="299"/>
      <c r="I308" s="299"/>
      <c r="J308" s="299"/>
      <c r="K308" s="299"/>
      <c r="L308" s="299"/>
      <c r="M308" s="299"/>
      <c r="N308" s="229"/>
      <c r="O308" s="229"/>
      <c r="P308" s="229"/>
      <c r="Q308" s="272"/>
      <c r="R308" s="272"/>
      <c r="S308" s="272"/>
      <c r="T308" s="256">
        <f t="shared" si="85"/>
        <v>0</v>
      </c>
      <c r="U308" s="256">
        <f t="shared" si="86"/>
        <v>0</v>
      </c>
      <c r="V308" s="256">
        <f t="shared" si="87"/>
        <v>0</v>
      </c>
      <c r="W308" s="256">
        <f t="shared" si="74"/>
        <v>0</v>
      </c>
      <c r="X308" s="216"/>
      <c r="Y308" s="216"/>
    </row>
    <row r="309" spans="1:25" s="140" customFormat="1" ht="26.25" hidden="1" outlineLevel="3" thickBot="1">
      <c r="B309" s="301" t="s">
        <v>495</v>
      </c>
      <c r="C309" s="251"/>
      <c r="D309" s="236" t="s">
        <v>133</v>
      </c>
      <c r="E309" s="242"/>
      <c r="F309" s="232">
        <f>F871</f>
        <v>0.15364965195292599</v>
      </c>
      <c r="G309" s="232">
        <f>+F309*G296</f>
        <v>2.2112734463692354E-4</v>
      </c>
      <c r="H309" s="321"/>
      <c r="I309" s="321"/>
      <c r="J309" s="321"/>
      <c r="K309" s="321"/>
      <c r="L309" s="321"/>
      <c r="M309" s="321"/>
      <c r="N309" s="233">
        <f t="shared" ref="N309:S309" si="88">+SUMPRODUCT($F310:$F316,N310:N316)</f>
        <v>0.85084132894856812</v>
      </c>
      <c r="O309" s="233">
        <f t="shared" si="88"/>
        <v>0.85084132894856812</v>
      </c>
      <c r="P309" s="233">
        <f t="shared" si="88"/>
        <v>0.85084132894856812</v>
      </c>
      <c r="Q309" s="274">
        <f t="shared" si="88"/>
        <v>0.40775907168993258</v>
      </c>
      <c r="R309" s="274">
        <f t="shared" si="88"/>
        <v>0.40775907168993258</v>
      </c>
      <c r="S309" s="274">
        <f t="shared" si="88"/>
        <v>0.40775907168993258</v>
      </c>
      <c r="T309" s="260">
        <f t="shared" si="85"/>
        <v>0.47924220159101005</v>
      </c>
      <c r="U309" s="260">
        <f t="shared" si="86"/>
        <v>0.47924220159101005</v>
      </c>
      <c r="V309" s="260">
        <f t="shared" si="87"/>
        <v>0.47924220159101005</v>
      </c>
      <c r="W309" s="260">
        <f t="shared" si="74"/>
        <v>1</v>
      </c>
    </row>
    <row r="310" spans="1:25" s="140" customFormat="1" ht="26.25" hidden="1" outlineLevel="4" thickBot="1">
      <c r="A310" s="216"/>
      <c r="B310" s="255" t="s">
        <v>496</v>
      </c>
      <c r="C310" s="245" t="s">
        <v>135</v>
      </c>
      <c r="D310" s="227" t="s">
        <v>136</v>
      </c>
      <c r="E310" s="241"/>
      <c r="F310" s="228">
        <f>F872</f>
        <v>7.1676986389805894E-2</v>
      </c>
      <c r="G310" s="269">
        <f>+F310*G309</f>
        <v>1.5849741671954687E-5</v>
      </c>
      <c r="H310" s="299"/>
      <c r="I310" s="299"/>
      <c r="J310" s="299"/>
      <c r="K310" s="299"/>
      <c r="L310" s="299"/>
      <c r="M310" s="299"/>
      <c r="N310" s="229">
        <v>1</v>
      </c>
      <c r="O310" s="229">
        <v>1</v>
      </c>
      <c r="P310" s="229">
        <v>1</v>
      </c>
      <c r="Q310" s="336">
        <v>1</v>
      </c>
      <c r="R310" s="336">
        <v>1</v>
      </c>
      <c r="S310" s="336">
        <v>1</v>
      </c>
      <c r="T310" s="256">
        <f t="shared" si="85"/>
        <v>1</v>
      </c>
      <c r="U310" s="256">
        <f t="shared" si="86"/>
        <v>1</v>
      </c>
      <c r="V310" s="256">
        <f t="shared" si="87"/>
        <v>1</v>
      </c>
      <c r="W310" s="256">
        <f t="shared" si="74"/>
        <v>1</v>
      </c>
      <c r="X310" s="216"/>
      <c r="Y310" s="216"/>
    </row>
    <row r="311" spans="1:25" s="140" customFormat="1" ht="26.25" hidden="1" outlineLevel="4" thickBot="1">
      <c r="A311" s="216"/>
      <c r="B311" s="255" t="s">
        <v>497</v>
      </c>
      <c r="C311" s="245" t="s">
        <v>138</v>
      </c>
      <c r="D311" s="227" t="s">
        <v>139</v>
      </c>
      <c r="E311" s="241"/>
      <c r="F311" s="228">
        <f t="shared" ref="F311:F341" si="89">F873</f>
        <v>0.15362856123913068</v>
      </c>
      <c r="G311" s="269">
        <f>+F311*G309</f>
        <v>3.3971475807199966E-5</v>
      </c>
      <c r="H311" s="299"/>
      <c r="I311" s="299"/>
      <c r="J311" s="299"/>
      <c r="K311" s="299"/>
      <c r="L311" s="299"/>
      <c r="M311" s="299"/>
      <c r="N311" s="229">
        <v>1</v>
      </c>
      <c r="O311" s="229">
        <v>1</v>
      </c>
      <c r="P311" s="229">
        <v>1</v>
      </c>
      <c r="Q311" s="336">
        <v>1</v>
      </c>
      <c r="R311" s="336">
        <v>1</v>
      </c>
      <c r="S311" s="336">
        <v>1</v>
      </c>
      <c r="T311" s="256">
        <f t="shared" si="85"/>
        <v>1</v>
      </c>
      <c r="U311" s="256">
        <f t="shared" si="86"/>
        <v>1</v>
      </c>
      <c r="V311" s="256">
        <f t="shared" si="87"/>
        <v>1</v>
      </c>
      <c r="W311" s="256">
        <f t="shared" si="74"/>
        <v>1</v>
      </c>
      <c r="X311" s="216"/>
      <c r="Y311" s="216"/>
    </row>
    <row r="312" spans="1:25" s="140" customFormat="1" ht="26.25" hidden="1" outlineLevel="4" thickBot="1">
      <c r="A312" s="216"/>
      <c r="B312" s="255" t="s">
        <v>498</v>
      </c>
      <c r="C312" s="245" t="s">
        <v>141</v>
      </c>
      <c r="D312" s="227" t="s">
        <v>142</v>
      </c>
      <c r="E312" s="241"/>
      <c r="F312" s="228">
        <f t="shared" si="89"/>
        <v>0.20080921506999638</v>
      </c>
      <c r="G312" s="269">
        <f>+F312*G309</f>
        <v>4.4404408507053194E-5</v>
      </c>
      <c r="H312" s="299"/>
      <c r="I312" s="299"/>
      <c r="J312" s="299"/>
      <c r="K312" s="299"/>
      <c r="L312" s="299"/>
      <c r="M312" s="299"/>
      <c r="N312" s="229">
        <v>0.94</v>
      </c>
      <c r="O312" s="229">
        <v>0.94</v>
      </c>
      <c r="P312" s="229">
        <v>0.94</v>
      </c>
      <c r="Q312" s="336">
        <v>0</v>
      </c>
      <c r="R312" s="336">
        <v>0</v>
      </c>
      <c r="S312" s="336">
        <v>0</v>
      </c>
      <c r="T312" s="256">
        <f t="shared" si="85"/>
        <v>0</v>
      </c>
      <c r="U312" s="256">
        <f t="shared" si="86"/>
        <v>0</v>
      </c>
      <c r="V312" s="256">
        <f t="shared" si="87"/>
        <v>0</v>
      </c>
      <c r="W312" s="256">
        <f t="shared" si="74"/>
        <v>0</v>
      </c>
      <c r="X312" s="216"/>
      <c r="Y312" s="216"/>
    </row>
    <row r="313" spans="1:25" s="140" customFormat="1" ht="26.25" hidden="1" outlineLevel="4" thickBot="1">
      <c r="A313" s="216"/>
      <c r="B313" s="255" t="s">
        <v>499</v>
      </c>
      <c r="C313" s="245" t="s">
        <v>144</v>
      </c>
      <c r="D313" s="227" t="s">
        <v>145</v>
      </c>
      <c r="E313" s="241"/>
      <c r="F313" s="228">
        <f t="shared" si="89"/>
        <v>0.2365874770023029</v>
      </c>
      <c r="G313" s="269">
        <f>+F313*G309</f>
        <v>5.2315960563868453E-5</v>
      </c>
      <c r="H313" s="299"/>
      <c r="I313" s="299"/>
      <c r="J313" s="299"/>
      <c r="K313" s="299"/>
      <c r="L313" s="299"/>
      <c r="M313" s="299"/>
      <c r="N313" s="229">
        <v>0.94</v>
      </c>
      <c r="O313" s="229">
        <v>0.94</v>
      </c>
      <c r="P313" s="229">
        <v>0.94</v>
      </c>
      <c r="Q313" s="336">
        <v>0</v>
      </c>
      <c r="R313" s="336">
        <v>0</v>
      </c>
      <c r="S313" s="336">
        <v>0</v>
      </c>
      <c r="T313" s="256">
        <f t="shared" si="85"/>
        <v>0</v>
      </c>
      <c r="U313" s="256">
        <f t="shared" si="86"/>
        <v>0</v>
      </c>
      <c r="V313" s="256">
        <f t="shared" si="87"/>
        <v>0</v>
      </c>
      <c r="W313" s="256">
        <f t="shared" si="74"/>
        <v>0</v>
      </c>
      <c r="X313" s="216"/>
      <c r="Y313" s="216"/>
    </row>
    <row r="314" spans="1:25" s="140" customFormat="1" ht="13.5" hidden="1" outlineLevel="4" thickBot="1">
      <c r="A314" s="216"/>
      <c r="B314" s="255" t="s">
        <v>500</v>
      </c>
      <c r="C314" s="245" t="s">
        <v>147</v>
      </c>
      <c r="D314" s="227" t="s">
        <v>148</v>
      </c>
      <c r="E314" s="241"/>
      <c r="F314" s="228">
        <f t="shared" si="89"/>
        <v>0.13605594911200233</v>
      </c>
      <c r="G314" s="269">
        <f>+F314*G309</f>
        <v>3.0085690749193471E-5</v>
      </c>
      <c r="H314" s="299"/>
      <c r="I314" s="299"/>
      <c r="J314" s="299"/>
      <c r="K314" s="299"/>
      <c r="L314" s="299"/>
      <c r="M314" s="299"/>
      <c r="N314" s="229">
        <v>0.94</v>
      </c>
      <c r="O314" s="229">
        <v>0.94</v>
      </c>
      <c r="P314" s="229">
        <v>0.94</v>
      </c>
      <c r="Q314" s="336">
        <v>0.8</v>
      </c>
      <c r="R314" s="336">
        <v>0.8</v>
      </c>
      <c r="S314" s="336">
        <v>0.8</v>
      </c>
      <c r="T314" s="256">
        <f t="shared" si="85"/>
        <v>0.85106382978723416</v>
      </c>
      <c r="U314" s="256">
        <f t="shared" si="86"/>
        <v>0.85106382978723416</v>
      </c>
      <c r="V314" s="256">
        <f t="shared" si="87"/>
        <v>0.85106382978723416</v>
      </c>
      <c r="W314" s="256">
        <f t="shared" si="74"/>
        <v>1</v>
      </c>
      <c r="X314" s="216"/>
      <c r="Y314" s="216"/>
    </row>
    <row r="315" spans="1:25" s="140" customFormat="1" ht="26.25" hidden="1" outlineLevel="4" thickBot="1">
      <c r="A315" s="216"/>
      <c r="B315" s="255" t="s">
        <v>501</v>
      </c>
      <c r="C315" s="245" t="s">
        <v>150</v>
      </c>
      <c r="D315" s="227" t="s">
        <v>151</v>
      </c>
      <c r="E315" s="241"/>
      <c r="F315" s="228">
        <f t="shared" si="89"/>
        <v>0.10923085522251913</v>
      </c>
      <c r="G315" s="269">
        <f>+F315*G309</f>
        <v>2.4153928967775887E-5</v>
      </c>
      <c r="H315" s="299"/>
      <c r="I315" s="299"/>
      <c r="J315" s="299"/>
      <c r="K315" s="299"/>
      <c r="L315" s="299"/>
      <c r="M315" s="299"/>
      <c r="N315" s="229"/>
      <c r="O315" s="229"/>
      <c r="P315" s="229"/>
      <c r="Q315" s="336"/>
      <c r="R315" s="336"/>
      <c r="S315" s="336"/>
      <c r="T315" s="256">
        <f t="shared" si="85"/>
        <v>0</v>
      </c>
      <c r="U315" s="256">
        <f t="shared" si="86"/>
        <v>0</v>
      </c>
      <c r="V315" s="256">
        <f t="shared" si="87"/>
        <v>0</v>
      </c>
      <c r="W315" s="256">
        <f t="shared" si="74"/>
        <v>0</v>
      </c>
      <c r="X315" s="216"/>
      <c r="Y315" s="216"/>
    </row>
    <row r="316" spans="1:25" s="140" customFormat="1" ht="26.25" hidden="1" outlineLevel="4" thickBot="1">
      <c r="A316" s="216"/>
      <c r="B316" s="255" t="s">
        <v>502</v>
      </c>
      <c r="C316" s="245" t="s">
        <v>153</v>
      </c>
      <c r="D316" s="227" t="s">
        <v>154</v>
      </c>
      <c r="E316" s="241"/>
      <c r="F316" s="228">
        <f t="shared" si="89"/>
        <v>9.2010955964242705E-2</v>
      </c>
      <c r="G316" s="269">
        <f>+F316*G309</f>
        <v>2.0346138369877894E-5</v>
      </c>
      <c r="H316" s="299"/>
      <c r="I316" s="299"/>
      <c r="J316" s="299"/>
      <c r="K316" s="299"/>
      <c r="L316" s="299"/>
      <c r="M316" s="299"/>
      <c r="N316" s="229">
        <v>0.94</v>
      </c>
      <c r="O316" s="229">
        <v>0.94</v>
      </c>
      <c r="P316" s="229">
        <v>0.94</v>
      </c>
      <c r="Q316" s="336">
        <v>0.8</v>
      </c>
      <c r="R316" s="336">
        <v>0.8</v>
      </c>
      <c r="S316" s="336">
        <v>0.8</v>
      </c>
      <c r="T316" s="256">
        <f t="shared" si="85"/>
        <v>0.85106382978723416</v>
      </c>
      <c r="U316" s="256">
        <f t="shared" si="86"/>
        <v>0.85106382978723416</v>
      </c>
      <c r="V316" s="256">
        <f t="shared" si="87"/>
        <v>0.85106382978723416</v>
      </c>
      <c r="W316" s="256">
        <f t="shared" si="74"/>
        <v>1</v>
      </c>
      <c r="X316" s="216"/>
      <c r="Y316" s="216"/>
    </row>
    <row r="317" spans="1:25" s="140" customFormat="1" ht="26.25" hidden="1" outlineLevel="2" thickBot="1">
      <c r="B317" s="301" t="s">
        <v>503</v>
      </c>
      <c r="C317" s="251"/>
      <c r="D317" s="236" t="s">
        <v>157</v>
      </c>
      <c r="E317" s="242"/>
      <c r="F317" s="232">
        <f t="shared" si="89"/>
        <v>0.15245155571846505</v>
      </c>
      <c r="G317" s="232">
        <f>+F317*G296</f>
        <v>2.1940308535238568E-4</v>
      </c>
      <c r="H317" s="321"/>
      <c r="I317" s="321"/>
      <c r="J317" s="321"/>
      <c r="K317" s="321"/>
      <c r="L317" s="321"/>
      <c r="M317" s="321"/>
      <c r="N317" s="233">
        <f t="shared" ref="N317:S317" si="90">+SUMPRODUCT($F318:$F322,N318:N322)</f>
        <v>0.94</v>
      </c>
      <c r="O317" s="233">
        <f t="shared" si="90"/>
        <v>0.94</v>
      </c>
      <c r="P317" s="233">
        <f t="shared" si="90"/>
        <v>0.94</v>
      </c>
      <c r="Q317" s="274">
        <f t="shared" si="90"/>
        <v>0.12524374281515038</v>
      </c>
      <c r="R317" s="274">
        <f t="shared" si="90"/>
        <v>0.12524374281515038</v>
      </c>
      <c r="S317" s="274">
        <f t="shared" si="90"/>
        <v>0.12524374281515038</v>
      </c>
      <c r="T317" s="254">
        <f t="shared" si="85"/>
        <v>0.13323802427143658</v>
      </c>
      <c r="U317" s="254">
        <f t="shared" si="86"/>
        <v>0.13323802427143658</v>
      </c>
      <c r="V317" s="254">
        <f t="shared" si="87"/>
        <v>0.13323802427143658</v>
      </c>
      <c r="W317" s="254">
        <f t="shared" si="74"/>
        <v>1</v>
      </c>
    </row>
    <row r="318" spans="1:25" s="140" customFormat="1" ht="13.5" hidden="1" outlineLevel="3" thickBot="1">
      <c r="A318" s="216"/>
      <c r="B318" s="255" t="s">
        <v>504</v>
      </c>
      <c r="C318" s="245" t="s">
        <v>181</v>
      </c>
      <c r="D318" s="227" t="s">
        <v>182</v>
      </c>
      <c r="E318" s="241"/>
      <c r="F318" s="228">
        <f t="shared" si="89"/>
        <v>0.81307686435397697</v>
      </c>
      <c r="G318" s="269">
        <f>+F318*G317</f>
        <v>1.7839157266790571E-4</v>
      </c>
      <c r="H318" s="299"/>
      <c r="I318" s="299"/>
      <c r="J318" s="299"/>
      <c r="K318" s="299"/>
      <c r="L318" s="299"/>
      <c r="M318" s="299"/>
      <c r="N318" s="229">
        <v>0.94</v>
      </c>
      <c r="O318" s="229">
        <v>0.94</v>
      </c>
      <c r="P318" s="229">
        <v>0.94</v>
      </c>
      <c r="Q318" s="336">
        <v>0</v>
      </c>
      <c r="R318" s="336">
        <v>0</v>
      </c>
      <c r="S318" s="336">
        <v>0</v>
      </c>
      <c r="T318" s="256">
        <f t="shared" si="85"/>
        <v>0</v>
      </c>
      <c r="U318" s="256">
        <f t="shared" si="86"/>
        <v>0</v>
      </c>
      <c r="V318" s="256">
        <f t="shared" si="87"/>
        <v>0</v>
      </c>
      <c r="W318" s="256">
        <f t="shared" si="74"/>
        <v>0</v>
      </c>
      <c r="X318" s="216"/>
      <c r="Y318" s="216"/>
    </row>
    <row r="319" spans="1:25" s="140" customFormat="1" ht="26.25" hidden="1" outlineLevel="3" thickBot="1">
      <c r="A319" s="216"/>
      <c r="B319" s="255" t="s">
        <v>505</v>
      </c>
      <c r="C319" s="245" t="s">
        <v>159</v>
      </c>
      <c r="D319" s="227" t="s">
        <v>160</v>
      </c>
      <c r="E319" s="241"/>
      <c r="F319" s="228">
        <f t="shared" si="89"/>
        <v>9.3460693266385869E-2</v>
      </c>
      <c r="G319" s="269">
        <f>+F319*G317</f>
        <v>2.0505564461817996E-5</v>
      </c>
      <c r="H319" s="299"/>
      <c r="I319" s="299"/>
      <c r="J319" s="299"/>
      <c r="K319" s="299"/>
      <c r="L319" s="299"/>
      <c r="M319" s="299"/>
      <c r="N319" s="229">
        <v>0.94</v>
      </c>
      <c r="O319" s="229">
        <v>0.94</v>
      </c>
      <c r="P319" s="229">
        <v>0.94</v>
      </c>
      <c r="Q319" s="336">
        <v>0.8</v>
      </c>
      <c r="R319" s="336">
        <v>0.8</v>
      </c>
      <c r="S319" s="336">
        <v>0.8</v>
      </c>
      <c r="T319" s="256">
        <f t="shared" si="85"/>
        <v>0.85106382978723416</v>
      </c>
      <c r="U319" s="256">
        <f t="shared" si="86"/>
        <v>0.85106382978723416</v>
      </c>
      <c r="V319" s="256">
        <f t="shared" si="87"/>
        <v>0.85106382978723416</v>
      </c>
      <c r="W319" s="256">
        <f t="shared" si="74"/>
        <v>1</v>
      </c>
      <c r="X319" s="216"/>
      <c r="Y319" s="216"/>
    </row>
    <row r="320" spans="1:25" s="140" customFormat="1" ht="26.25" hidden="1" outlineLevel="3" thickBot="1">
      <c r="A320" s="216"/>
      <c r="B320" s="255" t="s">
        <v>506</v>
      </c>
      <c r="C320" s="245" t="s">
        <v>162</v>
      </c>
      <c r="D320" s="227" t="s">
        <v>163</v>
      </c>
      <c r="E320" s="241"/>
      <c r="F320" s="228">
        <f t="shared" si="89"/>
        <v>3.036845712708507E-2</v>
      </c>
      <c r="G320" s="269">
        <f>+F320*G317</f>
        <v>6.6629331910741111E-6</v>
      </c>
      <c r="H320" s="299"/>
      <c r="I320" s="299"/>
      <c r="J320" s="299"/>
      <c r="K320" s="299"/>
      <c r="L320" s="299"/>
      <c r="M320" s="299"/>
      <c r="N320" s="229">
        <v>0.94</v>
      </c>
      <c r="O320" s="229">
        <v>0.94</v>
      </c>
      <c r="P320" s="229">
        <v>0.94</v>
      </c>
      <c r="Q320" s="336">
        <v>0</v>
      </c>
      <c r="R320" s="336">
        <v>0</v>
      </c>
      <c r="S320" s="336">
        <v>0</v>
      </c>
      <c r="T320" s="256">
        <f t="shared" si="85"/>
        <v>0</v>
      </c>
      <c r="U320" s="256">
        <f t="shared" si="86"/>
        <v>0</v>
      </c>
      <c r="V320" s="256">
        <f t="shared" si="87"/>
        <v>0</v>
      </c>
      <c r="W320" s="256">
        <f t="shared" si="74"/>
        <v>0</v>
      </c>
      <c r="X320" s="216"/>
      <c r="Y320" s="216"/>
    </row>
    <row r="321" spans="1:25" s="140" customFormat="1" ht="13.5" hidden="1" outlineLevel="3" thickBot="1">
      <c r="A321" s="216"/>
      <c r="B321" s="255" t="s">
        <v>507</v>
      </c>
      <c r="C321" s="245" t="s">
        <v>165</v>
      </c>
      <c r="D321" s="227" t="s">
        <v>166</v>
      </c>
      <c r="E321" s="241"/>
      <c r="F321" s="228">
        <f t="shared" si="89"/>
        <v>3.6002086533741685E-2</v>
      </c>
      <c r="G321" s="269">
        <f>+F321*G317</f>
        <v>7.8989688646265018E-6</v>
      </c>
      <c r="H321" s="299"/>
      <c r="I321" s="299"/>
      <c r="J321" s="299"/>
      <c r="K321" s="299"/>
      <c r="L321" s="299"/>
      <c r="M321" s="299"/>
      <c r="N321" s="229">
        <v>0.94</v>
      </c>
      <c r="O321" s="229">
        <v>0.94</v>
      </c>
      <c r="P321" s="229">
        <v>0.94</v>
      </c>
      <c r="Q321" s="336">
        <v>0.8</v>
      </c>
      <c r="R321" s="336">
        <v>0.8</v>
      </c>
      <c r="S321" s="336">
        <v>0.8</v>
      </c>
      <c r="T321" s="256">
        <f t="shared" si="85"/>
        <v>0.85106382978723416</v>
      </c>
      <c r="U321" s="256">
        <f t="shared" si="86"/>
        <v>0.85106382978723416</v>
      </c>
      <c r="V321" s="256">
        <f t="shared" si="87"/>
        <v>0.85106382978723416</v>
      </c>
      <c r="W321" s="256">
        <f t="shared" si="74"/>
        <v>1</v>
      </c>
      <c r="X321" s="216"/>
      <c r="Y321" s="216"/>
    </row>
    <row r="322" spans="1:25" s="140" customFormat="1" ht="13.5" hidden="1" outlineLevel="3" thickBot="1">
      <c r="A322" s="216"/>
      <c r="B322" s="255" t="s">
        <v>508</v>
      </c>
      <c r="C322" s="245" t="s">
        <v>168</v>
      </c>
      <c r="D322" s="227" t="s">
        <v>169</v>
      </c>
      <c r="E322" s="241"/>
      <c r="F322" s="228">
        <f t="shared" si="89"/>
        <v>2.7091898718810414E-2</v>
      </c>
      <c r="G322" s="269">
        <f>+F322*G317</f>
        <v>5.9440461669613495E-6</v>
      </c>
      <c r="H322" s="299"/>
      <c r="I322" s="299"/>
      <c r="J322" s="299"/>
      <c r="K322" s="299"/>
      <c r="L322" s="299"/>
      <c r="M322" s="299"/>
      <c r="N322" s="229">
        <v>0.94</v>
      </c>
      <c r="O322" s="229">
        <v>0.94</v>
      </c>
      <c r="P322" s="229">
        <v>0.94</v>
      </c>
      <c r="Q322" s="336">
        <v>0.8</v>
      </c>
      <c r="R322" s="336">
        <v>0.8</v>
      </c>
      <c r="S322" s="336">
        <v>0.8</v>
      </c>
      <c r="T322" s="256">
        <f t="shared" si="85"/>
        <v>0.85106382978723416</v>
      </c>
      <c r="U322" s="256">
        <f t="shared" si="86"/>
        <v>0.85106382978723416</v>
      </c>
      <c r="V322" s="256">
        <f t="shared" si="87"/>
        <v>0.85106382978723416</v>
      </c>
      <c r="W322" s="256">
        <f t="shared" si="74"/>
        <v>1</v>
      </c>
      <c r="X322" s="216"/>
      <c r="Y322" s="216"/>
    </row>
    <row r="323" spans="1:25" s="140" customFormat="1" ht="26.25" hidden="1" outlineLevel="2" thickBot="1">
      <c r="B323" s="301" t="s">
        <v>509</v>
      </c>
      <c r="C323" s="251"/>
      <c r="D323" s="236" t="s">
        <v>173</v>
      </c>
      <c r="E323" s="242"/>
      <c r="F323" s="232">
        <f t="shared" si="89"/>
        <v>0.30792579068332282</v>
      </c>
      <c r="G323" s="232">
        <f>+F323*G296</f>
        <v>4.4315630770116847E-4</v>
      </c>
      <c r="H323" s="321"/>
      <c r="I323" s="321"/>
      <c r="J323" s="321"/>
      <c r="K323" s="321"/>
      <c r="L323" s="321"/>
      <c r="M323" s="321"/>
      <c r="N323" s="233">
        <f t="shared" ref="N323:S323" si="91">+SUMPRODUCT($F324:$F326,N324:N326)</f>
        <v>0.94000000000000006</v>
      </c>
      <c r="O323" s="233">
        <f t="shared" si="91"/>
        <v>0.94000000000000006</v>
      </c>
      <c r="P323" s="233">
        <f t="shared" si="91"/>
        <v>0.94000000000000006</v>
      </c>
      <c r="Q323" s="274">
        <f t="shared" si="91"/>
        <v>0.16618782649623062</v>
      </c>
      <c r="R323" s="274">
        <f t="shared" si="91"/>
        <v>0.16618782649623062</v>
      </c>
      <c r="S323" s="274">
        <f t="shared" si="91"/>
        <v>0.16618782649623062</v>
      </c>
      <c r="T323" s="254">
        <f t="shared" si="85"/>
        <v>0.17679556010237299</v>
      </c>
      <c r="U323" s="254">
        <f t="shared" si="86"/>
        <v>0.17679556010237299</v>
      </c>
      <c r="V323" s="254">
        <f t="shared" si="87"/>
        <v>0.17679556010237299</v>
      </c>
      <c r="W323" s="254">
        <f t="shared" si="74"/>
        <v>1</v>
      </c>
    </row>
    <row r="324" spans="1:25" s="140" customFormat="1" ht="26.25" hidden="1" outlineLevel="3" thickBot="1">
      <c r="A324" s="216"/>
      <c r="B324" s="255" t="s">
        <v>510</v>
      </c>
      <c r="C324" s="245" t="s">
        <v>175</v>
      </c>
      <c r="D324" s="227" t="s">
        <v>176</v>
      </c>
      <c r="E324" s="241"/>
      <c r="F324" s="228">
        <f t="shared" si="89"/>
        <v>0.16618782649623062</v>
      </c>
      <c r="G324" s="269">
        <f>+F324*G323</f>
        <v>7.3647183574951974E-5</v>
      </c>
      <c r="H324" s="299"/>
      <c r="I324" s="299"/>
      <c r="J324" s="299"/>
      <c r="K324" s="299"/>
      <c r="L324" s="299"/>
      <c r="M324" s="299"/>
      <c r="N324" s="229">
        <v>0.94000000000000006</v>
      </c>
      <c r="O324" s="229">
        <v>0.94000000000000006</v>
      </c>
      <c r="P324" s="229">
        <v>0.94000000000000006</v>
      </c>
      <c r="Q324" s="272">
        <v>1</v>
      </c>
      <c r="R324" s="272">
        <v>1</v>
      </c>
      <c r="S324" s="272">
        <v>1</v>
      </c>
      <c r="T324" s="256">
        <f t="shared" si="85"/>
        <v>1.0638297872340425</v>
      </c>
      <c r="U324" s="256">
        <f t="shared" si="86"/>
        <v>1.0638297872340425</v>
      </c>
      <c r="V324" s="256">
        <f t="shared" si="87"/>
        <v>1.0638297872340425</v>
      </c>
      <c r="W324" s="256">
        <f t="shared" si="74"/>
        <v>1</v>
      </c>
      <c r="X324" s="216"/>
      <c r="Y324" s="216"/>
    </row>
    <row r="325" spans="1:25" s="140" customFormat="1" ht="26.25" hidden="1" outlineLevel="3" thickBot="1">
      <c r="A325" s="216"/>
      <c r="B325" s="255" t="s">
        <v>511</v>
      </c>
      <c r="C325" s="245" t="s">
        <v>178</v>
      </c>
      <c r="D325" s="227" t="s">
        <v>179</v>
      </c>
      <c r="E325" s="241"/>
      <c r="F325" s="228">
        <f t="shared" si="89"/>
        <v>0.36085232777611836</v>
      </c>
      <c r="G325" s="269">
        <f>+F325*G323</f>
        <v>1.599139852026364E-4</v>
      </c>
      <c r="H325" s="299"/>
      <c r="I325" s="299"/>
      <c r="J325" s="299"/>
      <c r="K325" s="299"/>
      <c r="L325" s="299"/>
      <c r="M325" s="299"/>
      <c r="N325" s="229">
        <v>0.94000000000000006</v>
      </c>
      <c r="O325" s="229">
        <v>0.94000000000000006</v>
      </c>
      <c r="P325" s="229">
        <v>0.94000000000000006</v>
      </c>
      <c r="Q325" s="272">
        <v>0</v>
      </c>
      <c r="R325" s="272">
        <v>0</v>
      </c>
      <c r="S325" s="272">
        <v>0</v>
      </c>
      <c r="T325" s="256">
        <f t="shared" si="85"/>
        <v>0</v>
      </c>
      <c r="U325" s="256">
        <f t="shared" si="86"/>
        <v>0</v>
      </c>
      <c r="V325" s="256">
        <f t="shared" si="87"/>
        <v>0</v>
      </c>
      <c r="W325" s="256">
        <f t="shared" si="74"/>
        <v>0</v>
      </c>
      <c r="X325" s="216"/>
      <c r="Y325" s="216"/>
    </row>
    <row r="326" spans="1:25" s="140" customFormat="1" ht="26.25" hidden="1" outlineLevel="3" thickBot="1">
      <c r="A326" s="216"/>
      <c r="B326" s="255" t="s">
        <v>512</v>
      </c>
      <c r="C326" s="245"/>
      <c r="D326" s="227" t="s">
        <v>439</v>
      </c>
      <c r="E326" s="241"/>
      <c r="F326" s="228">
        <f t="shared" si="89"/>
        <v>0.47295984572765098</v>
      </c>
      <c r="G326" s="269">
        <f>+F326*G323</f>
        <v>2.0959513892358008E-4</v>
      </c>
      <c r="H326" s="299"/>
      <c r="I326" s="299"/>
      <c r="J326" s="299"/>
      <c r="K326" s="299"/>
      <c r="L326" s="299"/>
      <c r="M326" s="299"/>
      <c r="N326" s="229">
        <v>0.94000000000000006</v>
      </c>
      <c r="O326" s="229">
        <v>0.94000000000000006</v>
      </c>
      <c r="P326" s="229">
        <v>0.94000000000000006</v>
      </c>
      <c r="Q326" s="272">
        <v>0</v>
      </c>
      <c r="R326" s="272">
        <v>0</v>
      </c>
      <c r="S326" s="272">
        <v>0</v>
      </c>
      <c r="T326" s="256">
        <f t="shared" si="85"/>
        <v>0</v>
      </c>
      <c r="U326" s="256">
        <f t="shared" si="86"/>
        <v>0</v>
      </c>
      <c r="V326" s="256">
        <f t="shared" si="87"/>
        <v>0</v>
      </c>
      <c r="W326" s="256">
        <f t="shared" ref="W326:W389" si="92">+IF(R326=0,0,$S326/R326)</f>
        <v>0</v>
      </c>
      <c r="X326" s="216"/>
      <c r="Y326" s="216"/>
    </row>
    <row r="327" spans="1:25" s="140" customFormat="1" ht="13.5" hidden="1" outlineLevel="2" thickBot="1">
      <c r="B327" s="301" t="s">
        <v>513</v>
      </c>
      <c r="C327" s="251"/>
      <c r="D327" s="236" t="s">
        <v>441</v>
      </c>
      <c r="E327" s="242"/>
      <c r="F327" s="232">
        <f t="shared" si="89"/>
        <v>0.17950266086228694</v>
      </c>
      <c r="G327" s="232">
        <f>+F327*G296</f>
        <v>2.583341143128691E-4</v>
      </c>
      <c r="H327" s="321"/>
      <c r="I327" s="321"/>
      <c r="J327" s="321"/>
      <c r="K327" s="321"/>
      <c r="L327" s="321"/>
      <c r="M327" s="321"/>
      <c r="N327" s="233">
        <f t="shared" ref="N327:S327" si="93">+SUMPRODUCT($F328:$F328,N328:N328)</f>
        <v>0.94</v>
      </c>
      <c r="O327" s="233">
        <f t="shared" si="93"/>
        <v>0.94</v>
      </c>
      <c r="P327" s="233">
        <f t="shared" si="93"/>
        <v>0.94</v>
      </c>
      <c r="Q327" s="274">
        <f t="shared" si="93"/>
        <v>0</v>
      </c>
      <c r="R327" s="274">
        <f t="shared" si="93"/>
        <v>0</v>
      </c>
      <c r="S327" s="274">
        <f t="shared" si="93"/>
        <v>0</v>
      </c>
      <c r="T327" s="254">
        <f t="shared" si="85"/>
        <v>0</v>
      </c>
      <c r="U327" s="254">
        <f t="shared" si="86"/>
        <v>0</v>
      </c>
      <c r="V327" s="254">
        <f t="shared" si="87"/>
        <v>0</v>
      </c>
      <c r="W327" s="254">
        <f t="shared" si="92"/>
        <v>0</v>
      </c>
    </row>
    <row r="328" spans="1:25" s="140" customFormat="1" ht="13.5" hidden="1" outlineLevel="3" thickBot="1">
      <c r="A328" s="216"/>
      <c r="B328" s="255" t="s">
        <v>514</v>
      </c>
      <c r="C328" s="245" t="s">
        <v>187</v>
      </c>
      <c r="D328" s="227" t="s">
        <v>443</v>
      </c>
      <c r="E328" s="241"/>
      <c r="F328" s="228">
        <f t="shared" si="89"/>
        <v>1</v>
      </c>
      <c r="G328" s="269">
        <f>+F328*G327</f>
        <v>2.583341143128691E-4</v>
      </c>
      <c r="H328" s="299"/>
      <c r="I328" s="299"/>
      <c r="J328" s="299"/>
      <c r="K328" s="299"/>
      <c r="L328" s="299"/>
      <c r="M328" s="299"/>
      <c r="N328" s="229">
        <v>0.94</v>
      </c>
      <c r="O328" s="229">
        <v>0.94</v>
      </c>
      <c r="P328" s="229">
        <v>0.94</v>
      </c>
      <c r="Q328" s="272">
        <v>0</v>
      </c>
      <c r="R328" s="272">
        <v>0</v>
      </c>
      <c r="S328" s="272">
        <v>0</v>
      </c>
      <c r="T328" s="256">
        <f t="shared" si="85"/>
        <v>0</v>
      </c>
      <c r="U328" s="256">
        <f t="shared" si="86"/>
        <v>0</v>
      </c>
      <c r="V328" s="256">
        <f t="shared" si="87"/>
        <v>0</v>
      </c>
      <c r="W328" s="256">
        <f t="shared" si="92"/>
        <v>0</v>
      </c>
      <c r="X328" s="216"/>
      <c r="Y328" s="216"/>
    </row>
    <row r="329" spans="1:25" s="140" customFormat="1" ht="13.5" hidden="1" outlineLevel="2" thickBot="1">
      <c r="B329" s="300" t="s">
        <v>396</v>
      </c>
      <c r="C329" s="294"/>
      <c r="D329" s="294" t="s">
        <v>193</v>
      </c>
      <c r="E329" s="295"/>
      <c r="F329" s="296">
        <f t="shared" si="89"/>
        <v>7.0876940001895719E-2</v>
      </c>
      <c r="G329" s="296">
        <f>+F329*G270</f>
        <v>5.6701552001516573E-4</v>
      </c>
      <c r="H329" s="297"/>
      <c r="I329" s="297"/>
      <c r="J329" s="297"/>
      <c r="K329" s="297"/>
      <c r="L329" s="297"/>
      <c r="M329" s="297"/>
      <c r="N329" s="296">
        <f t="shared" ref="N329:S329" si="94">+SUMPRODUCT($F330:$F341,N330:N341)</f>
        <v>0.94</v>
      </c>
      <c r="O329" s="296">
        <f t="shared" si="94"/>
        <v>0.94</v>
      </c>
      <c r="P329" s="296">
        <f t="shared" si="94"/>
        <v>0.94</v>
      </c>
      <c r="Q329" s="296">
        <f t="shared" si="94"/>
        <v>0</v>
      </c>
      <c r="R329" s="296">
        <f t="shared" si="94"/>
        <v>0</v>
      </c>
      <c r="S329" s="296">
        <f t="shared" si="94"/>
        <v>0</v>
      </c>
      <c r="T329" s="296">
        <f t="shared" si="85"/>
        <v>0</v>
      </c>
      <c r="U329" s="296">
        <f t="shared" si="86"/>
        <v>0</v>
      </c>
      <c r="V329" s="296">
        <f t="shared" si="87"/>
        <v>0</v>
      </c>
      <c r="W329" s="296">
        <f t="shared" si="92"/>
        <v>0</v>
      </c>
    </row>
    <row r="330" spans="1:25" s="140" customFormat="1" ht="13.5" hidden="1" outlineLevel="2" thickBot="1">
      <c r="A330" s="216"/>
      <c r="B330" s="255" t="s">
        <v>515</v>
      </c>
      <c r="C330" s="245" t="s">
        <v>195</v>
      </c>
      <c r="D330" s="227" t="s">
        <v>196</v>
      </c>
      <c r="E330" s="241"/>
      <c r="F330" s="228">
        <f t="shared" si="89"/>
        <v>0.11462043390407546</v>
      </c>
      <c r="G330" s="269">
        <f>+F330*G329</f>
        <v>6.4991564934483283E-5</v>
      </c>
      <c r="H330" s="299"/>
      <c r="I330" s="299"/>
      <c r="J330" s="299"/>
      <c r="K330" s="299"/>
      <c r="L330" s="299"/>
      <c r="M330" s="299"/>
      <c r="N330" s="229">
        <v>0.94</v>
      </c>
      <c r="O330" s="229">
        <v>0.94</v>
      </c>
      <c r="P330" s="229">
        <v>0.94</v>
      </c>
      <c r="Q330" s="272">
        <v>0</v>
      </c>
      <c r="R330" s="272">
        <v>0</v>
      </c>
      <c r="S330" s="272">
        <v>0</v>
      </c>
      <c r="T330" s="256">
        <f t="shared" si="85"/>
        <v>0</v>
      </c>
      <c r="U330" s="256">
        <f t="shared" si="86"/>
        <v>0</v>
      </c>
      <c r="V330" s="256">
        <f t="shared" si="87"/>
        <v>0</v>
      </c>
      <c r="W330" s="256">
        <f t="shared" si="92"/>
        <v>0</v>
      </c>
      <c r="X330" s="216"/>
      <c r="Y330" s="216"/>
    </row>
    <row r="331" spans="1:25" s="140" customFormat="1" ht="13.5" hidden="1" outlineLevel="2" thickBot="1">
      <c r="A331" s="216"/>
      <c r="B331" s="255" t="s">
        <v>516</v>
      </c>
      <c r="C331" s="245" t="s">
        <v>198</v>
      </c>
      <c r="D331" s="227" t="s">
        <v>199</v>
      </c>
      <c r="E331" s="241"/>
      <c r="F331" s="228">
        <f t="shared" si="89"/>
        <v>0.16914444012256166</v>
      </c>
      <c r="G331" s="269">
        <f>+F331*G329</f>
        <v>9.5907522673768363E-5</v>
      </c>
      <c r="H331" s="299"/>
      <c r="I331" s="299"/>
      <c r="J331" s="299"/>
      <c r="K331" s="299"/>
      <c r="L331" s="299"/>
      <c r="M331" s="299"/>
      <c r="N331" s="229">
        <v>0.94</v>
      </c>
      <c r="O331" s="229">
        <v>0.94</v>
      </c>
      <c r="P331" s="229">
        <v>0.94</v>
      </c>
      <c r="Q331" s="272">
        <v>0</v>
      </c>
      <c r="R331" s="272">
        <v>0</v>
      </c>
      <c r="S331" s="272">
        <v>0</v>
      </c>
      <c r="T331" s="256">
        <f t="shared" si="85"/>
        <v>0</v>
      </c>
      <c r="U331" s="256">
        <f t="shared" si="86"/>
        <v>0</v>
      </c>
      <c r="V331" s="256">
        <f t="shared" si="87"/>
        <v>0</v>
      </c>
      <c r="W331" s="256">
        <f t="shared" si="92"/>
        <v>0</v>
      </c>
      <c r="X331" s="216"/>
      <c r="Y331" s="216"/>
    </row>
    <row r="332" spans="1:25" s="140" customFormat="1" ht="13.5" hidden="1" outlineLevel="2" thickBot="1">
      <c r="A332" s="216"/>
      <c r="B332" s="255" t="s">
        <v>517</v>
      </c>
      <c r="C332" s="245" t="s">
        <v>201</v>
      </c>
      <c r="D332" s="227" t="s">
        <v>202</v>
      </c>
      <c r="E332" s="241"/>
      <c r="F332" s="228">
        <f t="shared" si="89"/>
        <v>0.15393682703771108</v>
      </c>
      <c r="G332" s="269">
        <f>+F332*G329</f>
        <v>8.7284570032272374E-5</v>
      </c>
      <c r="H332" s="299"/>
      <c r="I332" s="299"/>
      <c r="J332" s="299"/>
      <c r="K332" s="299"/>
      <c r="L332" s="299"/>
      <c r="M332" s="299"/>
      <c r="N332" s="229">
        <v>0.94</v>
      </c>
      <c r="O332" s="229">
        <v>0.94</v>
      </c>
      <c r="P332" s="229">
        <v>0.94</v>
      </c>
      <c r="Q332" s="272">
        <v>0</v>
      </c>
      <c r="R332" s="272">
        <v>0</v>
      </c>
      <c r="S332" s="272">
        <v>0</v>
      </c>
      <c r="T332" s="256">
        <f t="shared" si="85"/>
        <v>0</v>
      </c>
      <c r="U332" s="256">
        <f t="shared" si="86"/>
        <v>0</v>
      </c>
      <c r="V332" s="256">
        <f t="shared" si="87"/>
        <v>0</v>
      </c>
      <c r="W332" s="256">
        <f t="shared" si="92"/>
        <v>0</v>
      </c>
      <c r="X332" s="216"/>
      <c r="Y332" s="216"/>
    </row>
    <row r="333" spans="1:25" s="140" customFormat="1" ht="13.5" hidden="1" outlineLevel="2" thickBot="1">
      <c r="A333" s="216"/>
      <c r="B333" s="255" t="s">
        <v>518</v>
      </c>
      <c r="C333" s="245" t="s">
        <v>204</v>
      </c>
      <c r="D333" s="227" t="s">
        <v>205</v>
      </c>
      <c r="E333" s="241"/>
      <c r="F333" s="228">
        <f t="shared" si="89"/>
        <v>3.9190487501575728E-2</v>
      </c>
      <c r="G333" s="269">
        <f>+F333*G329</f>
        <v>2.2221614650353814E-5</v>
      </c>
      <c r="H333" s="299"/>
      <c r="I333" s="299"/>
      <c r="J333" s="299"/>
      <c r="K333" s="299"/>
      <c r="L333" s="299"/>
      <c r="M333" s="299"/>
      <c r="N333" s="229">
        <v>0.94</v>
      </c>
      <c r="O333" s="229">
        <v>0.94</v>
      </c>
      <c r="P333" s="229">
        <v>0.94</v>
      </c>
      <c r="Q333" s="272">
        <v>0</v>
      </c>
      <c r="R333" s="272">
        <v>0</v>
      </c>
      <c r="S333" s="272">
        <v>0</v>
      </c>
      <c r="T333" s="256">
        <f t="shared" si="85"/>
        <v>0</v>
      </c>
      <c r="U333" s="256">
        <f t="shared" si="86"/>
        <v>0</v>
      </c>
      <c r="V333" s="256">
        <f t="shared" si="87"/>
        <v>0</v>
      </c>
      <c r="W333" s="256">
        <f t="shared" si="92"/>
        <v>0</v>
      </c>
      <c r="X333" s="216"/>
      <c r="Y333" s="216"/>
    </row>
    <row r="334" spans="1:25" s="140" customFormat="1" ht="13.5" hidden="1" outlineLevel="2" thickBot="1">
      <c r="A334" s="216"/>
      <c r="B334" s="255" t="s">
        <v>519</v>
      </c>
      <c r="C334" s="245" t="s">
        <v>207</v>
      </c>
      <c r="D334" s="227" t="s">
        <v>205</v>
      </c>
      <c r="E334" s="241"/>
      <c r="F334" s="228">
        <f t="shared" si="89"/>
        <v>3.9190487501575728E-2</v>
      </c>
      <c r="G334" s="269">
        <f>+F334*G329</f>
        <v>2.2221614650353814E-5</v>
      </c>
      <c r="H334" s="299"/>
      <c r="I334" s="299"/>
      <c r="J334" s="299"/>
      <c r="K334" s="299"/>
      <c r="L334" s="299"/>
      <c r="M334" s="299"/>
      <c r="N334" s="229">
        <v>0.94</v>
      </c>
      <c r="O334" s="229">
        <v>0.94</v>
      </c>
      <c r="P334" s="229">
        <v>0.94</v>
      </c>
      <c r="Q334" s="272">
        <v>0</v>
      </c>
      <c r="R334" s="272">
        <v>0</v>
      </c>
      <c r="S334" s="272">
        <v>0</v>
      </c>
      <c r="T334" s="256">
        <f t="shared" si="85"/>
        <v>0</v>
      </c>
      <c r="U334" s="256">
        <f t="shared" si="86"/>
        <v>0</v>
      </c>
      <c r="V334" s="256">
        <f t="shared" si="87"/>
        <v>0</v>
      </c>
      <c r="W334" s="256">
        <f t="shared" si="92"/>
        <v>0</v>
      </c>
      <c r="X334" s="216"/>
      <c r="Y334" s="216"/>
    </row>
    <row r="335" spans="1:25" s="140" customFormat="1" ht="13.5" hidden="1" outlineLevel="2" thickBot="1">
      <c r="A335" s="216"/>
      <c r="B335" s="255" t="s">
        <v>520</v>
      </c>
      <c r="C335" s="245" t="s">
        <v>209</v>
      </c>
      <c r="D335" s="227" t="s">
        <v>205</v>
      </c>
      <c r="E335" s="241"/>
      <c r="F335" s="228">
        <f t="shared" si="89"/>
        <v>3.9190487501575728E-2</v>
      </c>
      <c r="G335" s="269">
        <f>+F335*G329</f>
        <v>2.2221614650353814E-5</v>
      </c>
      <c r="H335" s="299"/>
      <c r="I335" s="299"/>
      <c r="J335" s="299"/>
      <c r="K335" s="299"/>
      <c r="L335" s="299"/>
      <c r="M335" s="299"/>
      <c r="N335" s="229">
        <v>0.94</v>
      </c>
      <c r="O335" s="229">
        <v>0.94</v>
      </c>
      <c r="P335" s="229">
        <v>0.94</v>
      </c>
      <c r="Q335" s="272">
        <v>0</v>
      </c>
      <c r="R335" s="272">
        <v>0</v>
      </c>
      <c r="S335" s="272">
        <v>0</v>
      </c>
      <c r="T335" s="256">
        <f t="shared" ref="T335:T341" si="95">+IF(N335=0,0,$S335/N335)</f>
        <v>0</v>
      </c>
      <c r="U335" s="256">
        <f t="shared" ref="U335:U341" si="96">+IF(O335=0,0,$S335/O335)</f>
        <v>0</v>
      </c>
      <c r="V335" s="256">
        <f t="shared" ref="V335:V341" si="97">+IF(P335=0,0,$S335/P335)</f>
        <v>0</v>
      </c>
      <c r="W335" s="256">
        <f t="shared" si="92"/>
        <v>0</v>
      </c>
      <c r="X335" s="216"/>
      <c r="Y335" s="216"/>
    </row>
    <row r="336" spans="1:25" s="140" customFormat="1" ht="13.5" hidden="1" outlineLevel="2" thickBot="1">
      <c r="A336" s="216"/>
      <c r="B336" s="255" t="s">
        <v>521</v>
      </c>
      <c r="C336" s="245" t="s">
        <v>211</v>
      </c>
      <c r="D336" s="227" t="s">
        <v>205</v>
      </c>
      <c r="E336" s="241"/>
      <c r="F336" s="228">
        <f t="shared" si="89"/>
        <v>3.9190487501575728E-2</v>
      </c>
      <c r="G336" s="269">
        <f>+F336*G329</f>
        <v>2.2221614650353814E-5</v>
      </c>
      <c r="H336" s="299"/>
      <c r="I336" s="299"/>
      <c r="J336" s="299"/>
      <c r="K336" s="299"/>
      <c r="L336" s="299"/>
      <c r="M336" s="299"/>
      <c r="N336" s="229">
        <v>0.94</v>
      </c>
      <c r="O336" s="229">
        <v>0.94</v>
      </c>
      <c r="P336" s="229">
        <v>0.94</v>
      </c>
      <c r="Q336" s="272">
        <v>0</v>
      </c>
      <c r="R336" s="272">
        <v>0</v>
      </c>
      <c r="S336" s="272">
        <v>0</v>
      </c>
      <c r="T336" s="256">
        <f t="shared" si="95"/>
        <v>0</v>
      </c>
      <c r="U336" s="256">
        <f t="shared" si="96"/>
        <v>0</v>
      </c>
      <c r="V336" s="256">
        <f t="shared" si="97"/>
        <v>0</v>
      </c>
      <c r="W336" s="256">
        <f t="shared" si="92"/>
        <v>0</v>
      </c>
      <c r="X336" s="216"/>
      <c r="Y336" s="216"/>
    </row>
    <row r="337" spans="1:25" s="140" customFormat="1" ht="13.5" hidden="1" outlineLevel="2" thickBot="1">
      <c r="A337" s="216"/>
      <c r="B337" s="255" t="s">
        <v>522</v>
      </c>
      <c r="C337" s="245" t="s">
        <v>213</v>
      </c>
      <c r="D337" s="227" t="s">
        <v>205</v>
      </c>
      <c r="E337" s="241"/>
      <c r="F337" s="228">
        <f t="shared" si="89"/>
        <v>3.9190487501575728E-2</v>
      </c>
      <c r="G337" s="269">
        <f>+F337*G329</f>
        <v>2.2221614650353814E-5</v>
      </c>
      <c r="H337" s="299"/>
      <c r="I337" s="299"/>
      <c r="J337" s="299"/>
      <c r="K337" s="299"/>
      <c r="L337" s="299"/>
      <c r="M337" s="299"/>
      <c r="N337" s="229">
        <v>0.94</v>
      </c>
      <c r="O337" s="229">
        <v>0.94</v>
      </c>
      <c r="P337" s="229">
        <v>0.94</v>
      </c>
      <c r="Q337" s="272">
        <v>0</v>
      </c>
      <c r="R337" s="272">
        <v>0</v>
      </c>
      <c r="S337" s="272">
        <v>0</v>
      </c>
      <c r="T337" s="256">
        <f t="shared" si="95"/>
        <v>0</v>
      </c>
      <c r="U337" s="256">
        <f t="shared" si="96"/>
        <v>0</v>
      </c>
      <c r="V337" s="256">
        <f t="shared" si="97"/>
        <v>0</v>
      </c>
      <c r="W337" s="256">
        <f t="shared" si="92"/>
        <v>0</v>
      </c>
      <c r="X337" s="216"/>
      <c r="Y337" s="216"/>
    </row>
    <row r="338" spans="1:25" s="140" customFormat="1" ht="13.5" hidden="1" outlineLevel="2" thickBot="1">
      <c r="A338" s="216"/>
      <c r="B338" s="255" t="s">
        <v>523</v>
      </c>
      <c r="C338" s="281" t="s">
        <v>215</v>
      </c>
      <c r="D338" s="282" t="s">
        <v>216</v>
      </c>
      <c r="E338" s="283"/>
      <c r="F338" s="284">
        <f t="shared" si="89"/>
        <v>4.0894421740774678E-2</v>
      </c>
      <c r="G338" s="285">
        <f>+F338*G329</f>
        <v>2.3187771809064854E-5</v>
      </c>
      <c r="H338" s="322"/>
      <c r="I338" s="322"/>
      <c r="J338" s="322"/>
      <c r="K338" s="322"/>
      <c r="L338" s="322"/>
      <c r="M338" s="322"/>
      <c r="N338" s="286">
        <v>0.94</v>
      </c>
      <c r="O338" s="286">
        <v>0.94</v>
      </c>
      <c r="P338" s="286">
        <v>0.94</v>
      </c>
      <c r="Q338" s="287">
        <v>0</v>
      </c>
      <c r="R338" s="287">
        <v>0</v>
      </c>
      <c r="S338" s="287">
        <v>0</v>
      </c>
      <c r="T338" s="288">
        <f t="shared" si="95"/>
        <v>0</v>
      </c>
      <c r="U338" s="288">
        <f t="shared" si="96"/>
        <v>0</v>
      </c>
      <c r="V338" s="288">
        <f t="shared" si="97"/>
        <v>0</v>
      </c>
      <c r="W338" s="288">
        <f t="shared" si="92"/>
        <v>0</v>
      </c>
      <c r="X338" s="216"/>
      <c r="Y338" s="216"/>
    </row>
    <row r="339" spans="1:25" s="140" customFormat="1" ht="13.5" hidden="1" outlineLevel="2" thickBot="1">
      <c r="A339" s="216"/>
      <c r="B339" s="255" t="s">
        <v>524</v>
      </c>
      <c r="C339" s="281" t="s">
        <v>218</v>
      </c>
      <c r="D339" s="282" t="s">
        <v>219</v>
      </c>
      <c r="E339" s="283"/>
      <c r="F339" s="284">
        <f t="shared" si="89"/>
        <v>0.13120293641831876</v>
      </c>
      <c r="G339" s="285">
        <f>+F339*G329</f>
        <v>7.4394101220749738E-5</v>
      </c>
      <c r="H339" s="322"/>
      <c r="I339" s="322"/>
      <c r="J339" s="322"/>
      <c r="K339" s="322"/>
      <c r="L339" s="322"/>
      <c r="M339" s="322"/>
      <c r="N339" s="286">
        <v>0.94</v>
      </c>
      <c r="O339" s="286">
        <v>0.94</v>
      </c>
      <c r="P339" s="286">
        <v>0.94</v>
      </c>
      <c r="Q339" s="287">
        <v>0</v>
      </c>
      <c r="R339" s="287">
        <v>0</v>
      </c>
      <c r="S339" s="287">
        <v>0</v>
      </c>
      <c r="T339" s="288">
        <f t="shared" si="95"/>
        <v>0</v>
      </c>
      <c r="U339" s="288">
        <f t="shared" si="96"/>
        <v>0</v>
      </c>
      <c r="V339" s="288">
        <f t="shared" si="97"/>
        <v>0</v>
      </c>
      <c r="W339" s="288">
        <f t="shared" si="92"/>
        <v>0</v>
      </c>
      <c r="X339" s="216"/>
      <c r="Y339" s="216"/>
    </row>
    <row r="340" spans="1:25" s="140" customFormat="1" ht="13.5" hidden="1" outlineLevel="2" thickBot="1">
      <c r="A340" s="216"/>
      <c r="B340" s="255" t="s">
        <v>525</v>
      </c>
      <c r="C340" s="281" t="s">
        <v>221</v>
      </c>
      <c r="D340" s="282" t="s">
        <v>222</v>
      </c>
      <c r="E340" s="283"/>
      <c r="F340" s="284">
        <f t="shared" si="89"/>
        <v>0.17039342391989448</v>
      </c>
      <c r="G340" s="285">
        <f>+F340*G329</f>
        <v>9.6615715871103548E-5</v>
      </c>
      <c r="H340" s="322"/>
      <c r="I340" s="322"/>
      <c r="J340" s="322"/>
      <c r="K340" s="322"/>
      <c r="L340" s="322"/>
      <c r="M340" s="322"/>
      <c r="N340" s="286">
        <v>0.94</v>
      </c>
      <c r="O340" s="286">
        <v>0.94</v>
      </c>
      <c r="P340" s="286">
        <v>0.94</v>
      </c>
      <c r="Q340" s="287">
        <v>0</v>
      </c>
      <c r="R340" s="287">
        <v>0</v>
      </c>
      <c r="S340" s="287">
        <v>0</v>
      </c>
      <c r="T340" s="288">
        <f t="shared" si="95"/>
        <v>0</v>
      </c>
      <c r="U340" s="288">
        <f t="shared" si="96"/>
        <v>0</v>
      </c>
      <c r="V340" s="288">
        <f t="shared" si="97"/>
        <v>0</v>
      </c>
      <c r="W340" s="288">
        <f t="shared" si="92"/>
        <v>0</v>
      </c>
      <c r="X340" s="216"/>
      <c r="Y340" s="216"/>
    </row>
    <row r="341" spans="1:25" s="140" customFormat="1" ht="13.5" hidden="1" outlineLevel="2" thickBot="1">
      <c r="A341" s="216"/>
      <c r="B341" s="255" t="s">
        <v>526</v>
      </c>
      <c r="C341" s="281" t="s">
        <v>224</v>
      </c>
      <c r="D341" s="282" t="s">
        <v>225</v>
      </c>
      <c r="E341" s="283"/>
      <c r="F341" s="284">
        <f t="shared" si="89"/>
        <v>2.3855079348785228E-2</v>
      </c>
      <c r="G341" s="285">
        <f>+F341*G329</f>
        <v>1.3526200221954497E-5</v>
      </c>
      <c r="H341" s="322"/>
      <c r="I341" s="322"/>
      <c r="J341" s="322"/>
      <c r="K341" s="322"/>
      <c r="L341" s="322"/>
      <c r="M341" s="322"/>
      <c r="N341" s="286">
        <v>0.94</v>
      </c>
      <c r="O341" s="286">
        <v>0.94</v>
      </c>
      <c r="P341" s="286">
        <v>0.94</v>
      </c>
      <c r="Q341" s="287">
        <v>0</v>
      </c>
      <c r="R341" s="287">
        <v>0</v>
      </c>
      <c r="S341" s="287">
        <v>0</v>
      </c>
      <c r="T341" s="288">
        <f t="shared" si="95"/>
        <v>0</v>
      </c>
      <c r="U341" s="288">
        <f t="shared" si="96"/>
        <v>0</v>
      </c>
      <c r="V341" s="288">
        <f t="shared" si="97"/>
        <v>0</v>
      </c>
      <c r="W341" s="288">
        <f t="shared" si="92"/>
        <v>0</v>
      </c>
      <c r="X341" s="216"/>
      <c r="Y341" s="216"/>
    </row>
    <row r="342" spans="1:25" s="140" customFormat="1" ht="13.5" collapsed="1" thickBot="1">
      <c r="B342" s="312">
        <v>4</v>
      </c>
      <c r="C342" s="313"/>
      <c r="D342" s="314" t="s">
        <v>527</v>
      </c>
      <c r="E342" s="315"/>
      <c r="F342" s="316"/>
      <c r="G342" s="317">
        <v>0.01</v>
      </c>
      <c r="H342" s="357">
        <v>45555</v>
      </c>
      <c r="I342" s="358">
        <v>46387</v>
      </c>
      <c r="J342" s="358"/>
      <c r="K342" s="358"/>
      <c r="L342" s="358"/>
      <c r="M342" s="358"/>
      <c r="N342" s="318">
        <f t="shared" ref="N342:S342" si="98">+($F343*N343+$F466*N466+$F482*N482)</f>
        <v>0.98205160619236076</v>
      </c>
      <c r="O342" s="318">
        <f t="shared" si="98"/>
        <v>0.98205160619236076</v>
      </c>
      <c r="P342" s="318">
        <f t="shared" si="98"/>
        <v>0.98205160619236076</v>
      </c>
      <c r="Q342" s="319">
        <f t="shared" si="98"/>
        <v>0.86992741587581057</v>
      </c>
      <c r="R342" s="319">
        <f t="shared" si="98"/>
        <v>0.86992741587581057</v>
      </c>
      <c r="S342" s="319">
        <f t="shared" si="98"/>
        <v>0.86992741587581057</v>
      </c>
      <c r="T342" s="320">
        <f t="shared" ref="T342" si="99">+IF(N342=0,0,$S342/N342)</f>
        <v>0.88582658018219496</v>
      </c>
      <c r="U342" s="320">
        <f t="shared" ref="U342" si="100">+IF(O342=0,0,$S342/O342)</f>
        <v>0.88582658018219496</v>
      </c>
      <c r="V342" s="320">
        <f t="shared" ref="V342" si="101">+IF(P342=0,0,$S342/P342)</f>
        <v>0.88582658018219496</v>
      </c>
      <c r="W342" s="320">
        <f t="shared" si="92"/>
        <v>1</v>
      </c>
    </row>
    <row r="343" spans="1:25" s="140" customFormat="1" ht="13.5" hidden="1" outlineLevel="1" thickBot="1">
      <c r="B343" s="300" t="s">
        <v>528</v>
      </c>
      <c r="C343" s="294"/>
      <c r="D343" s="294" t="s">
        <v>31</v>
      </c>
      <c r="E343" s="295"/>
      <c r="F343" s="296">
        <f t="shared" ref="F343:F374" si="102">F719</f>
        <v>0.78107171599540315</v>
      </c>
      <c r="G343" s="296">
        <f>+F343*G342</f>
        <v>7.8107171599540318E-3</v>
      </c>
      <c r="H343" s="297"/>
      <c r="I343" s="297"/>
      <c r="J343" s="297"/>
      <c r="K343" s="297"/>
      <c r="L343" s="297"/>
      <c r="M343" s="297"/>
      <c r="N343" s="296">
        <f t="shared" ref="N343:S343" si="103">+$F344*N344+$F365*N365+$F392*N392+$F404*N404+$F417*N417+$F432*N432+$F450*N450+$F465*N465</f>
        <v>0.9974457854668467</v>
      </c>
      <c r="O343" s="296">
        <f t="shared" si="103"/>
        <v>0.9974457854668467</v>
      </c>
      <c r="P343" s="296">
        <f t="shared" si="103"/>
        <v>0.9974457854668467</v>
      </c>
      <c r="Q343" s="296">
        <f t="shared" si="103"/>
        <v>0.99574297577807791</v>
      </c>
      <c r="R343" s="296">
        <f t="shared" si="103"/>
        <v>0.99574297577807791</v>
      </c>
      <c r="S343" s="296">
        <f t="shared" si="103"/>
        <v>0.99574297577807791</v>
      </c>
      <c r="T343" s="296">
        <f t="shared" ref="T343:T374" si="104">+IF(N343=0,0,$S343/N343)</f>
        <v>0.99829282983237855</v>
      </c>
      <c r="U343" s="296">
        <f t="shared" ref="U343:U374" si="105">+IF(O343=0,0,$S343/O343)</f>
        <v>0.99829282983237855</v>
      </c>
      <c r="V343" s="296">
        <f t="shared" ref="V343:V374" si="106">+IF(P343=0,0,$S343/P343)</f>
        <v>0.99829282983237855</v>
      </c>
      <c r="W343" s="296">
        <f t="shared" si="92"/>
        <v>1</v>
      </c>
    </row>
    <row r="344" spans="1:25" s="140" customFormat="1" ht="26.25" hidden="1" outlineLevel="2" thickBot="1">
      <c r="A344" s="216"/>
      <c r="B344" s="291" t="s">
        <v>529</v>
      </c>
      <c r="C344" s="292" t="s">
        <v>32</v>
      </c>
      <c r="D344" s="234" t="s">
        <v>33</v>
      </c>
      <c r="E344" s="240"/>
      <c r="F344" s="223">
        <f t="shared" si="102"/>
        <v>0.19239834958539684</v>
      </c>
      <c r="G344" s="293">
        <f>+F344*G343</f>
        <v>1.5027690906534938E-3</v>
      </c>
      <c r="H344" s="298"/>
      <c r="I344" s="298"/>
      <c r="J344" s="298"/>
      <c r="K344" s="298"/>
      <c r="L344" s="298"/>
      <c r="M344" s="298"/>
      <c r="N344" s="224">
        <f t="shared" ref="N344:S344" si="107">+SUMPRODUCT($F345:$F364,N345:N364)</f>
        <v>0.99999999999999978</v>
      </c>
      <c r="O344" s="224">
        <f t="shared" si="107"/>
        <v>0.99999999999999978</v>
      </c>
      <c r="P344" s="224">
        <f t="shared" si="107"/>
        <v>0.99999999999999978</v>
      </c>
      <c r="Q344" s="270">
        <f t="shared" si="107"/>
        <v>0.99999999999999978</v>
      </c>
      <c r="R344" s="270">
        <f t="shared" si="107"/>
        <v>0.99999999999999978</v>
      </c>
      <c r="S344" s="270">
        <f t="shared" si="107"/>
        <v>0.99999999999999978</v>
      </c>
      <c r="T344" s="254">
        <f t="shared" si="104"/>
        <v>1</v>
      </c>
      <c r="U344" s="254">
        <f t="shared" si="105"/>
        <v>1</v>
      </c>
      <c r="V344" s="254">
        <f t="shared" si="106"/>
        <v>1</v>
      </c>
      <c r="W344" s="254">
        <f t="shared" si="92"/>
        <v>1</v>
      </c>
      <c r="X344" s="216"/>
      <c r="Y344" s="216"/>
    </row>
    <row r="345" spans="1:25" s="140" customFormat="1" ht="26.25" hidden="1" outlineLevel="3" thickBot="1">
      <c r="A345" s="216"/>
      <c r="B345" s="255" t="s">
        <v>530</v>
      </c>
      <c r="C345" s="290" t="s">
        <v>230</v>
      </c>
      <c r="D345" s="227" t="s">
        <v>231</v>
      </c>
      <c r="E345" s="241"/>
      <c r="F345" s="228">
        <f t="shared" si="102"/>
        <v>4.4581817293365446E-2</v>
      </c>
      <c r="G345" s="269">
        <f>+F345*G344</f>
        <v>6.6996177033630994E-5</v>
      </c>
      <c r="H345" s="299"/>
      <c r="I345" s="299"/>
      <c r="J345" s="299"/>
      <c r="K345" s="299"/>
      <c r="L345" s="299"/>
      <c r="M345" s="299"/>
      <c r="N345" s="229">
        <v>1</v>
      </c>
      <c r="O345" s="229">
        <v>1</v>
      </c>
      <c r="P345" s="229">
        <v>1</v>
      </c>
      <c r="Q345" s="272">
        <v>1</v>
      </c>
      <c r="R345" s="272">
        <v>1</v>
      </c>
      <c r="S345" s="272">
        <v>1</v>
      </c>
      <c r="T345" s="256">
        <f t="shared" si="104"/>
        <v>1</v>
      </c>
      <c r="U345" s="256">
        <f t="shared" si="105"/>
        <v>1</v>
      </c>
      <c r="V345" s="256">
        <f t="shared" si="106"/>
        <v>1</v>
      </c>
      <c r="W345" s="256">
        <f t="shared" si="92"/>
        <v>1</v>
      </c>
      <c r="X345" s="216"/>
      <c r="Y345" s="216"/>
    </row>
    <row r="346" spans="1:25" s="140" customFormat="1" ht="26.25" hidden="1" outlineLevel="3" thickBot="1">
      <c r="A346" s="216"/>
      <c r="B346" s="255" t="s">
        <v>531</v>
      </c>
      <c r="C346" s="290" t="s">
        <v>233</v>
      </c>
      <c r="D346" s="227" t="s">
        <v>231</v>
      </c>
      <c r="E346" s="241"/>
      <c r="F346" s="228">
        <f t="shared" si="102"/>
        <v>4.4581817293365446E-2</v>
      </c>
      <c r="G346" s="269">
        <f>+F346*G344</f>
        <v>6.6996177033630994E-5</v>
      </c>
      <c r="H346" s="299"/>
      <c r="I346" s="299"/>
      <c r="J346" s="299"/>
      <c r="K346" s="299"/>
      <c r="L346" s="299"/>
      <c r="M346" s="299"/>
      <c r="N346" s="229">
        <v>1</v>
      </c>
      <c r="O346" s="229">
        <v>1</v>
      </c>
      <c r="P346" s="229">
        <v>1</v>
      </c>
      <c r="Q346" s="272">
        <v>1</v>
      </c>
      <c r="R346" s="272">
        <v>1</v>
      </c>
      <c r="S346" s="272">
        <v>1</v>
      </c>
      <c r="T346" s="256">
        <f t="shared" si="104"/>
        <v>1</v>
      </c>
      <c r="U346" s="256">
        <f t="shared" si="105"/>
        <v>1</v>
      </c>
      <c r="V346" s="256">
        <f t="shared" si="106"/>
        <v>1</v>
      </c>
      <c r="W346" s="256">
        <f t="shared" si="92"/>
        <v>1</v>
      </c>
      <c r="X346" s="216"/>
      <c r="Y346" s="216"/>
    </row>
    <row r="347" spans="1:25" s="140" customFormat="1" ht="26.25" hidden="1" outlineLevel="3" thickBot="1">
      <c r="A347" s="216"/>
      <c r="B347" s="255" t="s">
        <v>532</v>
      </c>
      <c r="C347" s="290" t="s">
        <v>235</v>
      </c>
      <c r="D347" s="227" t="s">
        <v>231</v>
      </c>
      <c r="E347" s="241"/>
      <c r="F347" s="228">
        <f t="shared" si="102"/>
        <v>4.4581817293365446E-2</v>
      </c>
      <c r="G347" s="269">
        <f>+F347*G344</f>
        <v>6.6996177033630994E-5</v>
      </c>
      <c r="H347" s="299"/>
      <c r="I347" s="299"/>
      <c r="J347" s="299"/>
      <c r="K347" s="299"/>
      <c r="L347" s="299"/>
      <c r="M347" s="299"/>
      <c r="N347" s="229">
        <v>1</v>
      </c>
      <c r="O347" s="229">
        <v>1</v>
      </c>
      <c r="P347" s="229">
        <v>1</v>
      </c>
      <c r="Q347" s="272">
        <v>1</v>
      </c>
      <c r="R347" s="272">
        <v>1</v>
      </c>
      <c r="S347" s="272">
        <v>1</v>
      </c>
      <c r="T347" s="256">
        <f t="shared" si="104"/>
        <v>1</v>
      </c>
      <c r="U347" s="256">
        <f t="shared" si="105"/>
        <v>1</v>
      </c>
      <c r="V347" s="256">
        <f t="shared" si="106"/>
        <v>1</v>
      </c>
      <c r="W347" s="256">
        <f t="shared" si="92"/>
        <v>1</v>
      </c>
      <c r="X347" s="216"/>
      <c r="Y347" s="216"/>
    </row>
    <row r="348" spans="1:25" s="140" customFormat="1" ht="26.25" hidden="1" outlineLevel="3" thickBot="1">
      <c r="A348" s="216"/>
      <c r="B348" s="255" t="s">
        <v>533</v>
      </c>
      <c r="C348" s="290" t="s">
        <v>237</v>
      </c>
      <c r="D348" s="227" t="s">
        <v>231</v>
      </c>
      <c r="E348" s="241"/>
      <c r="F348" s="228">
        <f t="shared" si="102"/>
        <v>4.4581817293365446E-2</v>
      </c>
      <c r="G348" s="269">
        <f>+F348*G344</f>
        <v>6.6996177033630994E-5</v>
      </c>
      <c r="H348" s="299"/>
      <c r="I348" s="299"/>
      <c r="J348" s="299"/>
      <c r="K348" s="299"/>
      <c r="L348" s="299"/>
      <c r="M348" s="299"/>
      <c r="N348" s="229">
        <v>1</v>
      </c>
      <c r="O348" s="229">
        <v>1</v>
      </c>
      <c r="P348" s="229">
        <v>1</v>
      </c>
      <c r="Q348" s="272">
        <v>1</v>
      </c>
      <c r="R348" s="272">
        <v>1</v>
      </c>
      <c r="S348" s="272">
        <v>1</v>
      </c>
      <c r="T348" s="256">
        <f t="shared" si="104"/>
        <v>1</v>
      </c>
      <c r="U348" s="256">
        <f t="shared" si="105"/>
        <v>1</v>
      </c>
      <c r="V348" s="256">
        <f t="shared" si="106"/>
        <v>1</v>
      </c>
      <c r="W348" s="256">
        <f t="shared" si="92"/>
        <v>1</v>
      </c>
      <c r="X348" s="216"/>
      <c r="Y348" s="216"/>
    </row>
    <row r="349" spans="1:25" s="140" customFormat="1" ht="26.25" hidden="1" outlineLevel="3" thickBot="1">
      <c r="A349" s="216"/>
      <c r="B349" s="255" t="s">
        <v>534</v>
      </c>
      <c r="C349" s="290" t="s">
        <v>239</v>
      </c>
      <c r="D349" s="227" t="s">
        <v>231</v>
      </c>
      <c r="E349" s="241"/>
      <c r="F349" s="228">
        <f t="shared" si="102"/>
        <v>4.4581817293365446E-2</v>
      </c>
      <c r="G349" s="269">
        <f>+F349*G344</f>
        <v>6.6996177033630994E-5</v>
      </c>
      <c r="H349" s="299"/>
      <c r="I349" s="299"/>
      <c r="J349" s="299"/>
      <c r="K349" s="299"/>
      <c r="L349" s="299"/>
      <c r="M349" s="299"/>
      <c r="N349" s="229">
        <v>1</v>
      </c>
      <c r="O349" s="229">
        <v>1</v>
      </c>
      <c r="P349" s="229">
        <v>1</v>
      </c>
      <c r="Q349" s="272">
        <v>1</v>
      </c>
      <c r="R349" s="272">
        <v>1</v>
      </c>
      <c r="S349" s="272">
        <v>1</v>
      </c>
      <c r="T349" s="256">
        <f t="shared" si="104"/>
        <v>1</v>
      </c>
      <c r="U349" s="256">
        <f t="shared" si="105"/>
        <v>1</v>
      </c>
      <c r="V349" s="256">
        <f t="shared" si="106"/>
        <v>1</v>
      </c>
      <c r="W349" s="256">
        <f t="shared" si="92"/>
        <v>1</v>
      </c>
      <c r="X349" s="216"/>
      <c r="Y349" s="216"/>
    </row>
    <row r="350" spans="1:25" s="140" customFormat="1" ht="26.25" hidden="1" outlineLevel="3" thickBot="1">
      <c r="A350" s="216"/>
      <c r="B350" s="255" t="s">
        <v>535</v>
      </c>
      <c r="C350" s="290" t="s">
        <v>241</v>
      </c>
      <c r="D350" s="227" t="s">
        <v>231</v>
      </c>
      <c r="E350" s="241"/>
      <c r="F350" s="228">
        <f t="shared" si="102"/>
        <v>4.4581817293365446E-2</v>
      </c>
      <c r="G350" s="269">
        <f>+F350*G344</f>
        <v>6.6996177033630994E-5</v>
      </c>
      <c r="H350" s="299"/>
      <c r="I350" s="299"/>
      <c r="J350" s="299"/>
      <c r="K350" s="299"/>
      <c r="L350" s="299"/>
      <c r="M350" s="299"/>
      <c r="N350" s="229">
        <v>1</v>
      </c>
      <c r="O350" s="229">
        <v>1</v>
      </c>
      <c r="P350" s="229">
        <v>1</v>
      </c>
      <c r="Q350" s="272">
        <v>1</v>
      </c>
      <c r="R350" s="272">
        <v>1</v>
      </c>
      <c r="S350" s="272">
        <v>1</v>
      </c>
      <c r="T350" s="256">
        <f t="shared" si="104"/>
        <v>1</v>
      </c>
      <c r="U350" s="256">
        <f t="shared" si="105"/>
        <v>1</v>
      </c>
      <c r="V350" s="256">
        <f t="shared" si="106"/>
        <v>1</v>
      </c>
      <c r="W350" s="256">
        <f t="shared" si="92"/>
        <v>1</v>
      </c>
      <c r="X350" s="216"/>
      <c r="Y350" s="216"/>
    </row>
    <row r="351" spans="1:25" s="140" customFormat="1" ht="26.25" hidden="1" outlineLevel="3" thickBot="1">
      <c r="A351" s="216"/>
      <c r="B351" s="255" t="s">
        <v>536</v>
      </c>
      <c r="C351" s="290" t="s">
        <v>243</v>
      </c>
      <c r="D351" s="227" t="s">
        <v>231</v>
      </c>
      <c r="E351" s="241"/>
      <c r="F351" s="228">
        <f t="shared" si="102"/>
        <v>4.4581817293365446E-2</v>
      </c>
      <c r="G351" s="269">
        <f>+F351*G344</f>
        <v>6.6996177033630994E-5</v>
      </c>
      <c r="H351" s="299"/>
      <c r="I351" s="299"/>
      <c r="J351" s="299"/>
      <c r="K351" s="299"/>
      <c r="L351" s="299"/>
      <c r="M351" s="299"/>
      <c r="N351" s="229">
        <v>1</v>
      </c>
      <c r="O351" s="229">
        <v>1</v>
      </c>
      <c r="P351" s="229">
        <v>1</v>
      </c>
      <c r="Q351" s="272">
        <v>1</v>
      </c>
      <c r="R351" s="272">
        <v>1</v>
      </c>
      <c r="S351" s="272">
        <v>1</v>
      </c>
      <c r="T351" s="256">
        <f t="shared" si="104"/>
        <v>1</v>
      </c>
      <c r="U351" s="256">
        <f t="shared" si="105"/>
        <v>1</v>
      </c>
      <c r="V351" s="256">
        <f t="shared" si="106"/>
        <v>1</v>
      </c>
      <c r="W351" s="256">
        <f t="shared" si="92"/>
        <v>1</v>
      </c>
      <c r="X351" s="216"/>
      <c r="Y351" s="216"/>
    </row>
    <row r="352" spans="1:25" s="140" customFormat="1" ht="26.25" hidden="1" outlineLevel="3" thickBot="1">
      <c r="A352" s="216"/>
      <c r="B352" s="255" t="s">
        <v>537</v>
      </c>
      <c r="C352" s="290" t="s">
        <v>245</v>
      </c>
      <c r="D352" s="227" t="s">
        <v>231</v>
      </c>
      <c r="E352" s="241"/>
      <c r="F352" s="228">
        <f t="shared" si="102"/>
        <v>4.4581817293365446E-2</v>
      </c>
      <c r="G352" s="269">
        <f>+F352*G344</f>
        <v>6.6996177033630994E-5</v>
      </c>
      <c r="H352" s="299"/>
      <c r="I352" s="299"/>
      <c r="J352" s="299"/>
      <c r="K352" s="299"/>
      <c r="L352" s="299"/>
      <c r="M352" s="299"/>
      <c r="N352" s="229">
        <v>1</v>
      </c>
      <c r="O352" s="229">
        <v>1</v>
      </c>
      <c r="P352" s="229">
        <v>1</v>
      </c>
      <c r="Q352" s="272">
        <v>1</v>
      </c>
      <c r="R352" s="272">
        <v>1</v>
      </c>
      <c r="S352" s="272">
        <v>1</v>
      </c>
      <c r="T352" s="256">
        <f t="shared" si="104"/>
        <v>1</v>
      </c>
      <c r="U352" s="256">
        <f t="shared" si="105"/>
        <v>1</v>
      </c>
      <c r="V352" s="256">
        <f t="shared" si="106"/>
        <v>1</v>
      </c>
      <c r="W352" s="256">
        <f t="shared" si="92"/>
        <v>1</v>
      </c>
      <c r="X352" s="216"/>
      <c r="Y352" s="216"/>
    </row>
    <row r="353" spans="1:25" s="140" customFormat="1" ht="26.25" hidden="1" outlineLevel="3" thickBot="1">
      <c r="A353" s="216"/>
      <c r="B353" s="255" t="s">
        <v>538</v>
      </c>
      <c r="C353" s="290" t="s">
        <v>247</v>
      </c>
      <c r="D353" s="227" t="s">
        <v>231</v>
      </c>
      <c r="E353" s="241"/>
      <c r="F353" s="228">
        <f t="shared" si="102"/>
        <v>4.4581817293365446E-2</v>
      </c>
      <c r="G353" s="269">
        <f>+F353*G344</f>
        <v>6.6996177033630994E-5</v>
      </c>
      <c r="H353" s="299"/>
      <c r="I353" s="299"/>
      <c r="J353" s="299"/>
      <c r="K353" s="299"/>
      <c r="L353" s="299"/>
      <c r="M353" s="299"/>
      <c r="N353" s="229">
        <v>1</v>
      </c>
      <c r="O353" s="229">
        <v>1</v>
      </c>
      <c r="P353" s="229">
        <v>1</v>
      </c>
      <c r="Q353" s="272">
        <v>1</v>
      </c>
      <c r="R353" s="272">
        <v>1</v>
      </c>
      <c r="S353" s="272">
        <v>1</v>
      </c>
      <c r="T353" s="256">
        <f t="shared" si="104"/>
        <v>1</v>
      </c>
      <c r="U353" s="256">
        <f t="shared" si="105"/>
        <v>1</v>
      </c>
      <c r="V353" s="256">
        <f t="shared" si="106"/>
        <v>1</v>
      </c>
      <c r="W353" s="256">
        <f t="shared" si="92"/>
        <v>1</v>
      </c>
      <c r="X353" s="216"/>
      <c r="Y353" s="216"/>
    </row>
    <row r="354" spans="1:25" s="140" customFormat="1" ht="26.25" hidden="1" outlineLevel="3" thickBot="1">
      <c r="A354" s="216"/>
      <c r="B354" s="255" t="s">
        <v>539</v>
      </c>
      <c r="C354" s="290" t="s">
        <v>249</v>
      </c>
      <c r="D354" s="227" t="s">
        <v>231</v>
      </c>
      <c r="E354" s="241"/>
      <c r="F354" s="228">
        <f t="shared" si="102"/>
        <v>4.4581817293365446E-2</v>
      </c>
      <c r="G354" s="269">
        <f>+F354*G344</f>
        <v>6.6996177033630994E-5</v>
      </c>
      <c r="H354" s="299"/>
      <c r="I354" s="299"/>
      <c r="J354" s="299"/>
      <c r="K354" s="299"/>
      <c r="L354" s="299"/>
      <c r="M354" s="299"/>
      <c r="N354" s="229">
        <v>1</v>
      </c>
      <c r="O354" s="229">
        <v>1</v>
      </c>
      <c r="P354" s="229">
        <v>1</v>
      </c>
      <c r="Q354" s="272">
        <v>1</v>
      </c>
      <c r="R354" s="272">
        <v>1</v>
      </c>
      <c r="S354" s="272">
        <v>1</v>
      </c>
      <c r="T354" s="256">
        <f t="shared" si="104"/>
        <v>1</v>
      </c>
      <c r="U354" s="256">
        <f t="shared" si="105"/>
        <v>1</v>
      </c>
      <c r="V354" s="256">
        <f t="shared" si="106"/>
        <v>1</v>
      </c>
      <c r="W354" s="256">
        <f t="shared" si="92"/>
        <v>1</v>
      </c>
      <c r="X354" s="216"/>
      <c r="Y354" s="216"/>
    </row>
    <row r="355" spans="1:25" s="140" customFormat="1" ht="26.25" hidden="1" outlineLevel="3" thickBot="1">
      <c r="A355" s="216"/>
      <c r="B355" s="255" t="s">
        <v>540</v>
      </c>
      <c r="C355" s="290" t="s">
        <v>251</v>
      </c>
      <c r="D355" s="227" t="s">
        <v>231</v>
      </c>
      <c r="E355" s="241"/>
      <c r="F355" s="228">
        <f t="shared" si="102"/>
        <v>4.4581817293365446E-2</v>
      </c>
      <c r="G355" s="269">
        <f>+F355*G344</f>
        <v>6.6996177033630994E-5</v>
      </c>
      <c r="H355" s="299"/>
      <c r="I355" s="299"/>
      <c r="J355" s="299"/>
      <c r="K355" s="299"/>
      <c r="L355" s="299"/>
      <c r="M355" s="299"/>
      <c r="N355" s="229">
        <v>1</v>
      </c>
      <c r="O355" s="229">
        <v>1</v>
      </c>
      <c r="P355" s="229">
        <v>1</v>
      </c>
      <c r="Q355" s="272">
        <v>1</v>
      </c>
      <c r="R355" s="272">
        <v>1</v>
      </c>
      <c r="S355" s="272">
        <v>1</v>
      </c>
      <c r="T355" s="256">
        <f t="shared" si="104"/>
        <v>1</v>
      </c>
      <c r="U355" s="256">
        <f t="shared" si="105"/>
        <v>1</v>
      </c>
      <c r="V355" s="256">
        <f t="shared" si="106"/>
        <v>1</v>
      </c>
      <c r="W355" s="256">
        <f t="shared" si="92"/>
        <v>1</v>
      </c>
      <c r="X355" s="216"/>
      <c r="Y355" s="216"/>
    </row>
    <row r="356" spans="1:25" s="140" customFormat="1" ht="26.25" hidden="1" outlineLevel="3" thickBot="1">
      <c r="A356" s="216"/>
      <c r="B356" s="255" t="s">
        <v>541</v>
      </c>
      <c r="C356" s="290" t="s">
        <v>253</v>
      </c>
      <c r="D356" s="227" t="s">
        <v>231</v>
      </c>
      <c r="E356" s="241"/>
      <c r="F356" s="228">
        <f t="shared" si="102"/>
        <v>4.4581817293365446E-2</v>
      </c>
      <c r="G356" s="269">
        <f>+F356*G344</f>
        <v>6.6996177033630994E-5</v>
      </c>
      <c r="H356" s="299"/>
      <c r="I356" s="299"/>
      <c r="J356" s="299"/>
      <c r="K356" s="299"/>
      <c r="L356" s="299"/>
      <c r="M356" s="299"/>
      <c r="N356" s="229">
        <v>1</v>
      </c>
      <c r="O356" s="229">
        <v>1</v>
      </c>
      <c r="P356" s="229">
        <v>1</v>
      </c>
      <c r="Q356" s="272">
        <v>1</v>
      </c>
      <c r="R356" s="272">
        <v>1</v>
      </c>
      <c r="S356" s="272">
        <v>1</v>
      </c>
      <c r="T356" s="256">
        <f t="shared" si="104"/>
        <v>1</v>
      </c>
      <c r="U356" s="256">
        <f t="shared" si="105"/>
        <v>1</v>
      </c>
      <c r="V356" s="256">
        <f t="shared" si="106"/>
        <v>1</v>
      </c>
      <c r="W356" s="256">
        <f t="shared" si="92"/>
        <v>1</v>
      </c>
      <c r="X356" s="216"/>
      <c r="Y356" s="216"/>
    </row>
    <row r="357" spans="1:25" s="140" customFormat="1" ht="26.25" hidden="1" outlineLevel="3" thickBot="1">
      <c r="A357" s="216"/>
      <c r="B357" s="255" t="s">
        <v>542</v>
      </c>
      <c r="C357" s="290" t="s">
        <v>255</v>
      </c>
      <c r="D357" s="227" t="s">
        <v>256</v>
      </c>
      <c r="E357" s="241"/>
      <c r="F357" s="228">
        <f t="shared" si="102"/>
        <v>5.8127274059616978E-2</v>
      </c>
      <c r="G357" s="269">
        <f>+F357*G344</f>
        <v>8.7351870780737024E-5</v>
      </c>
      <c r="H357" s="299"/>
      <c r="I357" s="299"/>
      <c r="J357" s="299"/>
      <c r="K357" s="299"/>
      <c r="L357" s="299"/>
      <c r="M357" s="299"/>
      <c r="N357" s="229">
        <v>1</v>
      </c>
      <c r="O357" s="229">
        <v>1</v>
      </c>
      <c r="P357" s="229">
        <v>1</v>
      </c>
      <c r="Q357" s="272">
        <v>1</v>
      </c>
      <c r="R357" s="272">
        <v>1</v>
      </c>
      <c r="S357" s="272">
        <v>1</v>
      </c>
      <c r="T357" s="256">
        <f t="shared" si="104"/>
        <v>1</v>
      </c>
      <c r="U357" s="256">
        <f t="shared" si="105"/>
        <v>1</v>
      </c>
      <c r="V357" s="256">
        <f t="shared" si="106"/>
        <v>1</v>
      </c>
      <c r="W357" s="256">
        <f t="shared" si="92"/>
        <v>1</v>
      </c>
      <c r="X357" s="216"/>
      <c r="Y357" s="216"/>
    </row>
    <row r="358" spans="1:25" s="140" customFormat="1" ht="26.25" hidden="1" outlineLevel="3" thickBot="1">
      <c r="A358" s="216"/>
      <c r="B358" s="255" t="s">
        <v>543</v>
      </c>
      <c r="C358" s="290" t="s">
        <v>258</v>
      </c>
      <c r="D358" s="227" t="s">
        <v>256</v>
      </c>
      <c r="E358" s="241"/>
      <c r="F358" s="228">
        <f t="shared" si="102"/>
        <v>5.8127274059616978E-2</v>
      </c>
      <c r="G358" s="269">
        <f>+F358*G344</f>
        <v>8.7351870780737024E-5</v>
      </c>
      <c r="H358" s="299"/>
      <c r="I358" s="299"/>
      <c r="J358" s="299"/>
      <c r="K358" s="299"/>
      <c r="L358" s="299"/>
      <c r="M358" s="299"/>
      <c r="N358" s="229">
        <v>1</v>
      </c>
      <c r="O358" s="229">
        <v>1</v>
      </c>
      <c r="P358" s="229">
        <v>1</v>
      </c>
      <c r="Q358" s="272">
        <v>1</v>
      </c>
      <c r="R358" s="272">
        <v>1</v>
      </c>
      <c r="S358" s="272">
        <v>1</v>
      </c>
      <c r="T358" s="256">
        <f t="shared" si="104"/>
        <v>1</v>
      </c>
      <c r="U358" s="256">
        <f t="shared" si="105"/>
        <v>1</v>
      </c>
      <c r="V358" s="256">
        <f t="shared" si="106"/>
        <v>1</v>
      </c>
      <c r="W358" s="256">
        <f t="shared" si="92"/>
        <v>1</v>
      </c>
      <c r="X358" s="216"/>
      <c r="Y358" s="216"/>
    </row>
    <row r="359" spans="1:25" s="140" customFormat="1" ht="26.25" hidden="1" outlineLevel="3" thickBot="1">
      <c r="A359" s="216"/>
      <c r="B359" s="255" t="s">
        <v>544</v>
      </c>
      <c r="C359" s="290" t="s">
        <v>260</v>
      </c>
      <c r="D359" s="227" t="s">
        <v>256</v>
      </c>
      <c r="E359" s="241"/>
      <c r="F359" s="228">
        <f t="shared" si="102"/>
        <v>5.8127274059616978E-2</v>
      </c>
      <c r="G359" s="269">
        <f>+F359*G344</f>
        <v>8.7351870780737024E-5</v>
      </c>
      <c r="H359" s="299"/>
      <c r="I359" s="299"/>
      <c r="J359" s="299"/>
      <c r="K359" s="299"/>
      <c r="L359" s="299"/>
      <c r="M359" s="299"/>
      <c r="N359" s="229">
        <v>1</v>
      </c>
      <c r="O359" s="229">
        <v>1</v>
      </c>
      <c r="P359" s="229">
        <v>1</v>
      </c>
      <c r="Q359" s="272">
        <v>1</v>
      </c>
      <c r="R359" s="272">
        <v>1</v>
      </c>
      <c r="S359" s="272">
        <v>1</v>
      </c>
      <c r="T359" s="256">
        <f t="shared" si="104"/>
        <v>1</v>
      </c>
      <c r="U359" s="256">
        <f t="shared" si="105"/>
        <v>1</v>
      </c>
      <c r="V359" s="256">
        <f t="shared" si="106"/>
        <v>1</v>
      </c>
      <c r="W359" s="256">
        <f t="shared" si="92"/>
        <v>1</v>
      </c>
      <c r="X359" s="216"/>
      <c r="Y359" s="216"/>
    </row>
    <row r="360" spans="1:25" s="140" customFormat="1" ht="26.25" hidden="1" outlineLevel="3" thickBot="1">
      <c r="A360" s="216"/>
      <c r="B360" s="255" t="s">
        <v>545</v>
      </c>
      <c r="C360" s="290" t="s">
        <v>262</v>
      </c>
      <c r="D360" s="227" t="s">
        <v>256</v>
      </c>
      <c r="E360" s="241"/>
      <c r="F360" s="228">
        <f t="shared" si="102"/>
        <v>5.8127274059616978E-2</v>
      </c>
      <c r="G360" s="269">
        <f>+F360*G344</f>
        <v>8.7351870780737024E-5</v>
      </c>
      <c r="H360" s="299"/>
      <c r="I360" s="299"/>
      <c r="J360" s="299"/>
      <c r="K360" s="299"/>
      <c r="L360" s="299"/>
      <c r="M360" s="299"/>
      <c r="N360" s="229">
        <v>1</v>
      </c>
      <c r="O360" s="229">
        <v>1</v>
      </c>
      <c r="P360" s="229">
        <v>1</v>
      </c>
      <c r="Q360" s="272">
        <v>1</v>
      </c>
      <c r="R360" s="272">
        <v>1</v>
      </c>
      <c r="S360" s="272">
        <v>1</v>
      </c>
      <c r="T360" s="256">
        <f t="shared" si="104"/>
        <v>1</v>
      </c>
      <c r="U360" s="256">
        <f t="shared" si="105"/>
        <v>1</v>
      </c>
      <c r="V360" s="256">
        <f t="shared" si="106"/>
        <v>1</v>
      </c>
      <c r="W360" s="256">
        <f t="shared" si="92"/>
        <v>1</v>
      </c>
      <c r="X360" s="216"/>
      <c r="Y360" s="216"/>
    </row>
    <row r="361" spans="1:25" s="140" customFormat="1" ht="26.25" hidden="1" outlineLevel="3" thickBot="1">
      <c r="A361" s="216"/>
      <c r="B361" s="255" t="s">
        <v>546</v>
      </c>
      <c r="C361" s="290" t="s">
        <v>264</v>
      </c>
      <c r="D361" s="227" t="s">
        <v>256</v>
      </c>
      <c r="E361" s="241"/>
      <c r="F361" s="228">
        <f t="shared" si="102"/>
        <v>5.8127274059616978E-2</v>
      </c>
      <c r="G361" s="269">
        <f>+F361*G344</f>
        <v>8.7351870780737024E-5</v>
      </c>
      <c r="H361" s="299"/>
      <c r="I361" s="299"/>
      <c r="J361" s="299"/>
      <c r="K361" s="299"/>
      <c r="L361" s="299"/>
      <c r="M361" s="299"/>
      <c r="N361" s="229">
        <v>1</v>
      </c>
      <c r="O361" s="229">
        <v>1</v>
      </c>
      <c r="P361" s="229">
        <v>1</v>
      </c>
      <c r="Q361" s="272">
        <v>1</v>
      </c>
      <c r="R361" s="272">
        <v>1</v>
      </c>
      <c r="S361" s="272">
        <v>1</v>
      </c>
      <c r="T361" s="256">
        <f t="shared" si="104"/>
        <v>1</v>
      </c>
      <c r="U361" s="256">
        <f t="shared" si="105"/>
        <v>1</v>
      </c>
      <c r="V361" s="256">
        <f t="shared" si="106"/>
        <v>1</v>
      </c>
      <c r="W361" s="256">
        <f t="shared" si="92"/>
        <v>1</v>
      </c>
      <c r="X361" s="216"/>
      <c r="Y361" s="216"/>
    </row>
    <row r="362" spans="1:25" s="140" customFormat="1" ht="26.25" hidden="1" outlineLevel="3" thickBot="1">
      <c r="A362" s="216"/>
      <c r="B362" s="255" t="s">
        <v>547</v>
      </c>
      <c r="C362" s="290" t="s">
        <v>266</v>
      </c>
      <c r="D362" s="227" t="s">
        <v>256</v>
      </c>
      <c r="E362" s="241"/>
      <c r="F362" s="228">
        <f t="shared" si="102"/>
        <v>5.8127274059616978E-2</v>
      </c>
      <c r="G362" s="269">
        <f>+F362*G344</f>
        <v>8.7351870780737024E-5</v>
      </c>
      <c r="H362" s="299"/>
      <c r="I362" s="299"/>
      <c r="J362" s="299"/>
      <c r="K362" s="299"/>
      <c r="L362" s="299"/>
      <c r="M362" s="299"/>
      <c r="N362" s="229">
        <v>1</v>
      </c>
      <c r="O362" s="229">
        <v>1</v>
      </c>
      <c r="P362" s="229">
        <v>1</v>
      </c>
      <c r="Q362" s="272">
        <v>1</v>
      </c>
      <c r="R362" s="272">
        <v>1</v>
      </c>
      <c r="S362" s="272">
        <v>1</v>
      </c>
      <c r="T362" s="256">
        <f t="shared" si="104"/>
        <v>1</v>
      </c>
      <c r="U362" s="256">
        <f t="shared" si="105"/>
        <v>1</v>
      </c>
      <c r="V362" s="256">
        <f t="shared" si="106"/>
        <v>1</v>
      </c>
      <c r="W362" s="256">
        <f t="shared" si="92"/>
        <v>1</v>
      </c>
      <c r="X362" s="216"/>
      <c r="Y362" s="216"/>
    </row>
    <row r="363" spans="1:25" s="140" customFormat="1" ht="26.25" hidden="1" outlineLevel="3" thickBot="1">
      <c r="A363" s="216"/>
      <c r="B363" s="255" t="s">
        <v>548</v>
      </c>
      <c r="C363" s="290" t="s">
        <v>268</v>
      </c>
      <c r="D363" s="227" t="s">
        <v>256</v>
      </c>
      <c r="E363" s="241"/>
      <c r="F363" s="228">
        <f t="shared" si="102"/>
        <v>5.8127274059616978E-2</v>
      </c>
      <c r="G363" s="269">
        <f>+F363*G344</f>
        <v>8.7351870780737024E-5</v>
      </c>
      <c r="H363" s="299"/>
      <c r="I363" s="299"/>
      <c r="J363" s="299"/>
      <c r="K363" s="299"/>
      <c r="L363" s="299"/>
      <c r="M363" s="299"/>
      <c r="N363" s="229">
        <v>1</v>
      </c>
      <c r="O363" s="229">
        <v>1</v>
      </c>
      <c r="P363" s="229">
        <v>1</v>
      </c>
      <c r="Q363" s="272">
        <v>1</v>
      </c>
      <c r="R363" s="272">
        <v>1</v>
      </c>
      <c r="S363" s="272">
        <v>1</v>
      </c>
      <c r="T363" s="256">
        <f t="shared" si="104"/>
        <v>1</v>
      </c>
      <c r="U363" s="256">
        <f t="shared" si="105"/>
        <v>1</v>
      </c>
      <c r="V363" s="256">
        <f t="shared" si="106"/>
        <v>1</v>
      </c>
      <c r="W363" s="256">
        <f t="shared" si="92"/>
        <v>1</v>
      </c>
      <c r="X363" s="216"/>
      <c r="Y363" s="216"/>
    </row>
    <row r="364" spans="1:25" s="140" customFormat="1" ht="26.25" hidden="1" outlineLevel="3" thickBot="1">
      <c r="A364" s="216"/>
      <c r="B364" s="255" t="s">
        <v>549</v>
      </c>
      <c r="C364" s="290" t="s">
        <v>270</v>
      </c>
      <c r="D364" s="227" t="s">
        <v>256</v>
      </c>
      <c r="E364" s="241"/>
      <c r="F364" s="228">
        <f t="shared" si="102"/>
        <v>5.8127274062295807E-2</v>
      </c>
      <c r="G364" s="269">
        <f>+F364*G344</f>
        <v>8.7351870784762681E-5</v>
      </c>
      <c r="H364" s="299"/>
      <c r="I364" s="299"/>
      <c r="J364" s="299"/>
      <c r="K364" s="299"/>
      <c r="L364" s="299"/>
      <c r="M364" s="299"/>
      <c r="N364" s="229">
        <v>1</v>
      </c>
      <c r="O364" s="229">
        <v>1</v>
      </c>
      <c r="P364" s="229">
        <v>1</v>
      </c>
      <c r="Q364" s="272">
        <v>1</v>
      </c>
      <c r="R364" s="272">
        <v>1</v>
      </c>
      <c r="S364" s="272">
        <v>1</v>
      </c>
      <c r="T364" s="256">
        <f t="shared" si="104"/>
        <v>1</v>
      </c>
      <c r="U364" s="256">
        <f t="shared" si="105"/>
        <v>1</v>
      </c>
      <c r="V364" s="256">
        <f t="shared" si="106"/>
        <v>1</v>
      </c>
      <c r="W364" s="256">
        <f t="shared" si="92"/>
        <v>1</v>
      </c>
      <c r="X364" s="216"/>
      <c r="Y364" s="216"/>
    </row>
    <row r="365" spans="1:25" s="140" customFormat="1" ht="26.25" hidden="1" outlineLevel="2" thickBot="1">
      <c r="A365" s="216"/>
      <c r="B365" s="291" t="s">
        <v>550</v>
      </c>
      <c r="C365" s="292" t="s">
        <v>35</v>
      </c>
      <c r="D365" s="234" t="s">
        <v>33</v>
      </c>
      <c r="E365" s="240"/>
      <c r="F365" s="223">
        <f t="shared" si="102"/>
        <v>0.23125330456717236</v>
      </c>
      <c r="G365" s="293">
        <f>+F365*G343</f>
        <v>1.8062541542788891E-3</v>
      </c>
      <c r="H365" s="298"/>
      <c r="I365" s="298"/>
      <c r="J365" s="298"/>
      <c r="K365" s="298"/>
      <c r="L365" s="298"/>
      <c r="M365" s="298"/>
      <c r="N365" s="224">
        <f t="shared" ref="N365:S365" si="108">+SUMPRODUCT($F366:$F391,N366:N391)</f>
        <v>0.99999999999999956</v>
      </c>
      <c r="O365" s="224">
        <f t="shared" si="108"/>
        <v>0.99999999999999956</v>
      </c>
      <c r="P365" s="224">
        <f t="shared" si="108"/>
        <v>0.99999999999999956</v>
      </c>
      <c r="Q365" s="270">
        <f t="shared" si="108"/>
        <v>0.99999999999999956</v>
      </c>
      <c r="R365" s="270">
        <f t="shared" si="108"/>
        <v>0.99999999999999956</v>
      </c>
      <c r="S365" s="270">
        <f t="shared" si="108"/>
        <v>0.99999999999999956</v>
      </c>
      <c r="T365" s="254">
        <f t="shared" si="104"/>
        <v>1</v>
      </c>
      <c r="U365" s="254">
        <f t="shared" si="105"/>
        <v>1</v>
      </c>
      <c r="V365" s="254">
        <f t="shared" si="106"/>
        <v>1</v>
      </c>
      <c r="W365" s="254">
        <f t="shared" si="92"/>
        <v>1</v>
      </c>
      <c r="X365" s="216"/>
      <c r="Y365" s="216"/>
    </row>
    <row r="366" spans="1:25" s="140" customFormat="1" ht="26.25" hidden="1" outlineLevel="3" thickBot="1">
      <c r="A366" s="216"/>
      <c r="B366" s="255" t="s">
        <v>551</v>
      </c>
      <c r="C366" s="290" t="s">
        <v>230</v>
      </c>
      <c r="D366" s="227" t="s">
        <v>231</v>
      </c>
      <c r="E366" s="241"/>
      <c r="F366" s="228">
        <f t="shared" si="102"/>
        <v>3.6801995565609057E-2</v>
      </c>
      <c r="G366" s="269">
        <f>+F366*G365</f>
        <v>6.6473757376134612E-5</v>
      </c>
      <c r="H366" s="299"/>
      <c r="I366" s="299"/>
      <c r="J366" s="299"/>
      <c r="K366" s="299"/>
      <c r="L366" s="299"/>
      <c r="M366" s="299"/>
      <c r="N366" s="229">
        <v>1</v>
      </c>
      <c r="O366" s="229">
        <v>1</v>
      </c>
      <c r="P366" s="229">
        <v>1</v>
      </c>
      <c r="Q366" s="272">
        <v>1</v>
      </c>
      <c r="R366" s="272">
        <v>1</v>
      </c>
      <c r="S366" s="272">
        <v>1</v>
      </c>
      <c r="T366" s="256">
        <f t="shared" si="104"/>
        <v>1</v>
      </c>
      <c r="U366" s="256">
        <f t="shared" si="105"/>
        <v>1</v>
      </c>
      <c r="V366" s="256">
        <f t="shared" si="106"/>
        <v>1</v>
      </c>
      <c r="W366" s="256">
        <f t="shared" si="92"/>
        <v>1</v>
      </c>
      <c r="X366" s="216"/>
      <c r="Y366" s="216"/>
    </row>
    <row r="367" spans="1:25" s="140" customFormat="1" ht="26.25" hidden="1" outlineLevel="3" thickBot="1">
      <c r="A367" s="216"/>
      <c r="B367" s="255" t="s">
        <v>552</v>
      </c>
      <c r="C367" s="290" t="s">
        <v>233</v>
      </c>
      <c r="D367" s="227" t="s">
        <v>231</v>
      </c>
      <c r="E367" s="241"/>
      <c r="F367" s="228">
        <f t="shared" si="102"/>
        <v>3.6801995565609057E-2</v>
      </c>
      <c r="G367" s="269">
        <f>+F367*G365</f>
        <v>6.6473757376134612E-5</v>
      </c>
      <c r="H367" s="299"/>
      <c r="I367" s="299"/>
      <c r="J367" s="299"/>
      <c r="K367" s="299"/>
      <c r="L367" s="299"/>
      <c r="M367" s="299"/>
      <c r="N367" s="229">
        <v>1</v>
      </c>
      <c r="O367" s="229">
        <v>1</v>
      </c>
      <c r="P367" s="229">
        <v>1</v>
      </c>
      <c r="Q367" s="272">
        <v>1</v>
      </c>
      <c r="R367" s="272">
        <v>1</v>
      </c>
      <c r="S367" s="272">
        <v>1</v>
      </c>
      <c r="T367" s="256">
        <f t="shared" si="104"/>
        <v>1</v>
      </c>
      <c r="U367" s="256">
        <f t="shared" si="105"/>
        <v>1</v>
      </c>
      <c r="V367" s="256">
        <f t="shared" si="106"/>
        <v>1</v>
      </c>
      <c r="W367" s="256">
        <f t="shared" si="92"/>
        <v>1</v>
      </c>
      <c r="X367" s="216"/>
      <c r="Y367" s="216"/>
    </row>
    <row r="368" spans="1:25" s="140" customFormat="1" ht="26.25" hidden="1" outlineLevel="3" thickBot="1">
      <c r="A368" s="216"/>
      <c r="B368" s="255" t="s">
        <v>553</v>
      </c>
      <c r="C368" s="290" t="s">
        <v>235</v>
      </c>
      <c r="D368" s="227" t="s">
        <v>231</v>
      </c>
      <c r="E368" s="241"/>
      <c r="F368" s="228">
        <f t="shared" si="102"/>
        <v>3.6801995565609057E-2</v>
      </c>
      <c r="G368" s="269">
        <f>+F368*G365</f>
        <v>6.6473757376134612E-5</v>
      </c>
      <c r="H368" s="299"/>
      <c r="I368" s="299"/>
      <c r="J368" s="299"/>
      <c r="K368" s="299"/>
      <c r="L368" s="299"/>
      <c r="M368" s="299"/>
      <c r="N368" s="229">
        <v>1</v>
      </c>
      <c r="O368" s="229">
        <v>1</v>
      </c>
      <c r="P368" s="229">
        <v>1</v>
      </c>
      <c r="Q368" s="272">
        <v>1</v>
      </c>
      <c r="R368" s="272">
        <v>1</v>
      </c>
      <c r="S368" s="272">
        <v>1</v>
      </c>
      <c r="T368" s="256">
        <f t="shared" si="104"/>
        <v>1</v>
      </c>
      <c r="U368" s="256">
        <f t="shared" si="105"/>
        <v>1</v>
      </c>
      <c r="V368" s="256">
        <f t="shared" si="106"/>
        <v>1</v>
      </c>
      <c r="W368" s="256">
        <f t="shared" si="92"/>
        <v>1</v>
      </c>
      <c r="X368" s="216"/>
      <c r="Y368" s="216"/>
    </row>
    <row r="369" spans="1:25" s="140" customFormat="1" ht="26.25" hidden="1" outlineLevel="3" thickBot="1">
      <c r="A369" s="216"/>
      <c r="B369" s="255" t="s">
        <v>554</v>
      </c>
      <c r="C369" s="290" t="s">
        <v>237</v>
      </c>
      <c r="D369" s="227" t="s">
        <v>231</v>
      </c>
      <c r="E369" s="241"/>
      <c r="F369" s="228">
        <f t="shared" si="102"/>
        <v>3.6801995565609057E-2</v>
      </c>
      <c r="G369" s="269">
        <f>+F369*G365</f>
        <v>6.6473757376134612E-5</v>
      </c>
      <c r="H369" s="299"/>
      <c r="I369" s="299"/>
      <c r="J369" s="299"/>
      <c r="K369" s="299"/>
      <c r="L369" s="299"/>
      <c r="M369" s="299"/>
      <c r="N369" s="229">
        <v>1</v>
      </c>
      <c r="O369" s="229">
        <v>1</v>
      </c>
      <c r="P369" s="229">
        <v>1</v>
      </c>
      <c r="Q369" s="272">
        <v>1</v>
      </c>
      <c r="R369" s="272">
        <v>1</v>
      </c>
      <c r="S369" s="272">
        <v>1</v>
      </c>
      <c r="T369" s="256">
        <f t="shared" si="104"/>
        <v>1</v>
      </c>
      <c r="U369" s="256">
        <f t="shared" si="105"/>
        <v>1</v>
      </c>
      <c r="V369" s="256">
        <f t="shared" si="106"/>
        <v>1</v>
      </c>
      <c r="W369" s="256">
        <f t="shared" si="92"/>
        <v>1</v>
      </c>
      <c r="X369" s="216"/>
      <c r="Y369" s="216"/>
    </row>
    <row r="370" spans="1:25" s="140" customFormat="1" ht="26.25" hidden="1" outlineLevel="3" thickBot="1">
      <c r="A370" s="216"/>
      <c r="B370" s="255" t="s">
        <v>555</v>
      </c>
      <c r="C370" s="290" t="s">
        <v>239</v>
      </c>
      <c r="D370" s="227" t="s">
        <v>231</v>
      </c>
      <c r="E370" s="241"/>
      <c r="F370" s="228">
        <f t="shared" si="102"/>
        <v>3.6801995565609057E-2</v>
      </c>
      <c r="G370" s="269">
        <f>+F370*G365</f>
        <v>6.6473757376134612E-5</v>
      </c>
      <c r="H370" s="299"/>
      <c r="I370" s="299"/>
      <c r="J370" s="299"/>
      <c r="K370" s="299"/>
      <c r="L370" s="299"/>
      <c r="M370" s="299"/>
      <c r="N370" s="229">
        <v>1</v>
      </c>
      <c r="O370" s="229">
        <v>1</v>
      </c>
      <c r="P370" s="229">
        <v>1</v>
      </c>
      <c r="Q370" s="272">
        <v>1</v>
      </c>
      <c r="R370" s="272">
        <v>1</v>
      </c>
      <c r="S370" s="272">
        <v>1</v>
      </c>
      <c r="T370" s="256">
        <f t="shared" si="104"/>
        <v>1</v>
      </c>
      <c r="U370" s="256">
        <f t="shared" si="105"/>
        <v>1</v>
      </c>
      <c r="V370" s="256">
        <f t="shared" si="106"/>
        <v>1</v>
      </c>
      <c r="W370" s="256">
        <f t="shared" si="92"/>
        <v>1</v>
      </c>
      <c r="X370" s="216"/>
      <c r="Y370" s="216"/>
    </row>
    <row r="371" spans="1:25" s="140" customFormat="1" ht="26.25" hidden="1" outlineLevel="3" thickBot="1">
      <c r="A371" s="216"/>
      <c r="B371" s="255" t="s">
        <v>556</v>
      </c>
      <c r="C371" s="290" t="s">
        <v>241</v>
      </c>
      <c r="D371" s="227" t="s">
        <v>231</v>
      </c>
      <c r="E371" s="241"/>
      <c r="F371" s="228">
        <f t="shared" si="102"/>
        <v>3.6801995565609057E-2</v>
      </c>
      <c r="G371" s="269">
        <f>+F371*G365</f>
        <v>6.6473757376134612E-5</v>
      </c>
      <c r="H371" s="299"/>
      <c r="I371" s="299"/>
      <c r="J371" s="299"/>
      <c r="K371" s="299"/>
      <c r="L371" s="299"/>
      <c r="M371" s="299"/>
      <c r="N371" s="229">
        <v>1</v>
      </c>
      <c r="O371" s="229">
        <v>1</v>
      </c>
      <c r="P371" s="229">
        <v>1</v>
      </c>
      <c r="Q371" s="272">
        <v>1</v>
      </c>
      <c r="R371" s="272">
        <v>1</v>
      </c>
      <c r="S371" s="272">
        <v>1</v>
      </c>
      <c r="T371" s="256">
        <f t="shared" si="104"/>
        <v>1</v>
      </c>
      <c r="U371" s="256">
        <f t="shared" si="105"/>
        <v>1</v>
      </c>
      <c r="V371" s="256">
        <f t="shared" si="106"/>
        <v>1</v>
      </c>
      <c r="W371" s="256">
        <f t="shared" si="92"/>
        <v>1</v>
      </c>
      <c r="X371" s="216"/>
      <c r="Y371" s="216"/>
    </row>
    <row r="372" spans="1:25" s="140" customFormat="1" ht="26.25" hidden="1" outlineLevel="3" thickBot="1">
      <c r="A372" s="216"/>
      <c r="B372" s="255" t="s">
        <v>557</v>
      </c>
      <c r="C372" s="290" t="s">
        <v>243</v>
      </c>
      <c r="D372" s="227" t="s">
        <v>231</v>
      </c>
      <c r="E372" s="241"/>
      <c r="F372" s="228">
        <f t="shared" si="102"/>
        <v>3.6801995565609057E-2</v>
      </c>
      <c r="G372" s="269">
        <f>+F372*G365</f>
        <v>6.6473757376134612E-5</v>
      </c>
      <c r="H372" s="299"/>
      <c r="I372" s="299"/>
      <c r="J372" s="299"/>
      <c r="K372" s="299"/>
      <c r="L372" s="299"/>
      <c r="M372" s="299"/>
      <c r="N372" s="229">
        <v>1</v>
      </c>
      <c r="O372" s="229">
        <v>1</v>
      </c>
      <c r="P372" s="229">
        <v>1</v>
      </c>
      <c r="Q372" s="272">
        <v>1</v>
      </c>
      <c r="R372" s="272">
        <v>1</v>
      </c>
      <c r="S372" s="272">
        <v>1</v>
      </c>
      <c r="T372" s="256">
        <f t="shared" si="104"/>
        <v>1</v>
      </c>
      <c r="U372" s="256">
        <f t="shared" si="105"/>
        <v>1</v>
      </c>
      <c r="V372" s="256">
        <f t="shared" si="106"/>
        <v>1</v>
      </c>
      <c r="W372" s="256">
        <f t="shared" si="92"/>
        <v>1</v>
      </c>
      <c r="X372" s="216"/>
      <c r="Y372" s="216"/>
    </row>
    <row r="373" spans="1:25" s="140" customFormat="1" ht="26.25" hidden="1" outlineLevel="3" thickBot="1">
      <c r="A373" s="216"/>
      <c r="B373" s="255" t="s">
        <v>558</v>
      </c>
      <c r="C373" s="290" t="s">
        <v>245</v>
      </c>
      <c r="D373" s="227" t="s">
        <v>231</v>
      </c>
      <c r="E373" s="241"/>
      <c r="F373" s="228">
        <f t="shared" si="102"/>
        <v>3.6801995565609057E-2</v>
      </c>
      <c r="G373" s="269">
        <f>+F373*G365</f>
        <v>6.6473757376134612E-5</v>
      </c>
      <c r="H373" s="299"/>
      <c r="I373" s="299"/>
      <c r="J373" s="299"/>
      <c r="K373" s="299"/>
      <c r="L373" s="299"/>
      <c r="M373" s="299"/>
      <c r="N373" s="229">
        <v>1</v>
      </c>
      <c r="O373" s="229">
        <v>1</v>
      </c>
      <c r="P373" s="229">
        <v>1</v>
      </c>
      <c r="Q373" s="272">
        <v>1</v>
      </c>
      <c r="R373" s="272">
        <v>1</v>
      </c>
      <c r="S373" s="272">
        <v>1</v>
      </c>
      <c r="T373" s="256">
        <f t="shared" si="104"/>
        <v>1</v>
      </c>
      <c r="U373" s="256">
        <f t="shared" si="105"/>
        <v>1</v>
      </c>
      <c r="V373" s="256">
        <f t="shared" si="106"/>
        <v>1</v>
      </c>
      <c r="W373" s="256">
        <f t="shared" si="92"/>
        <v>1</v>
      </c>
      <c r="X373" s="216"/>
      <c r="Y373" s="216"/>
    </row>
    <row r="374" spans="1:25" s="140" customFormat="1" ht="26.25" hidden="1" outlineLevel="3" thickBot="1">
      <c r="A374" s="216"/>
      <c r="B374" s="255" t="s">
        <v>559</v>
      </c>
      <c r="C374" s="290" t="s">
        <v>247</v>
      </c>
      <c r="D374" s="227" t="s">
        <v>231</v>
      </c>
      <c r="E374" s="241"/>
      <c r="F374" s="228">
        <f t="shared" si="102"/>
        <v>3.6801995565609057E-2</v>
      </c>
      <c r="G374" s="269">
        <f>+F374*G365</f>
        <v>6.6473757376134612E-5</v>
      </c>
      <c r="H374" s="299"/>
      <c r="I374" s="299"/>
      <c r="J374" s="299"/>
      <c r="K374" s="299"/>
      <c r="L374" s="299"/>
      <c r="M374" s="299"/>
      <c r="N374" s="229">
        <v>1</v>
      </c>
      <c r="O374" s="229">
        <v>1</v>
      </c>
      <c r="P374" s="229">
        <v>1</v>
      </c>
      <c r="Q374" s="272">
        <v>1</v>
      </c>
      <c r="R374" s="272">
        <v>1</v>
      </c>
      <c r="S374" s="272">
        <v>1</v>
      </c>
      <c r="T374" s="256">
        <f t="shared" si="104"/>
        <v>1</v>
      </c>
      <c r="U374" s="256">
        <f t="shared" si="105"/>
        <v>1</v>
      </c>
      <c r="V374" s="256">
        <f t="shared" si="106"/>
        <v>1</v>
      </c>
      <c r="W374" s="256">
        <f t="shared" si="92"/>
        <v>1</v>
      </c>
      <c r="X374" s="216"/>
      <c r="Y374" s="216"/>
    </row>
    <row r="375" spans="1:25" s="140" customFormat="1" ht="26.25" hidden="1" outlineLevel="3" thickBot="1">
      <c r="A375" s="216"/>
      <c r="B375" s="255" t="s">
        <v>560</v>
      </c>
      <c r="C375" s="290" t="s">
        <v>249</v>
      </c>
      <c r="D375" s="227" t="s">
        <v>231</v>
      </c>
      <c r="E375" s="241"/>
      <c r="F375" s="228">
        <f t="shared" ref="F375:F406" si="109">F751</f>
        <v>3.6801995565609057E-2</v>
      </c>
      <c r="G375" s="269">
        <f>+F375*G365</f>
        <v>6.6473757376134612E-5</v>
      </c>
      <c r="H375" s="299"/>
      <c r="I375" s="299"/>
      <c r="J375" s="299"/>
      <c r="K375" s="299"/>
      <c r="L375" s="299"/>
      <c r="M375" s="299"/>
      <c r="N375" s="229">
        <v>1</v>
      </c>
      <c r="O375" s="229">
        <v>1</v>
      </c>
      <c r="P375" s="229">
        <v>1</v>
      </c>
      <c r="Q375" s="272">
        <v>1</v>
      </c>
      <c r="R375" s="272">
        <v>1</v>
      </c>
      <c r="S375" s="272">
        <v>1</v>
      </c>
      <c r="T375" s="256">
        <f t="shared" ref="T375:T406" si="110">+IF(N375=0,0,$S375/N375)</f>
        <v>1</v>
      </c>
      <c r="U375" s="256">
        <f t="shared" ref="U375:U406" si="111">+IF(O375=0,0,$S375/O375)</f>
        <v>1</v>
      </c>
      <c r="V375" s="256">
        <f t="shared" ref="V375:V406" si="112">+IF(P375=0,0,$S375/P375)</f>
        <v>1</v>
      </c>
      <c r="W375" s="256">
        <f t="shared" si="92"/>
        <v>1</v>
      </c>
      <c r="X375" s="216"/>
      <c r="Y375" s="216"/>
    </row>
    <row r="376" spans="1:25" s="140" customFormat="1" ht="26.25" hidden="1" outlineLevel="3" thickBot="1">
      <c r="A376" s="216"/>
      <c r="B376" s="255" t="s">
        <v>561</v>
      </c>
      <c r="C376" s="290" t="s">
        <v>251</v>
      </c>
      <c r="D376" s="227" t="s">
        <v>231</v>
      </c>
      <c r="E376" s="241"/>
      <c r="F376" s="228">
        <f t="shared" si="109"/>
        <v>3.6801995565609057E-2</v>
      </c>
      <c r="G376" s="269">
        <f>+F376*G365</f>
        <v>6.6473757376134612E-5</v>
      </c>
      <c r="H376" s="299"/>
      <c r="I376" s="299"/>
      <c r="J376" s="299"/>
      <c r="K376" s="299"/>
      <c r="L376" s="299"/>
      <c r="M376" s="299"/>
      <c r="N376" s="229">
        <v>1</v>
      </c>
      <c r="O376" s="229">
        <v>1</v>
      </c>
      <c r="P376" s="229">
        <v>1</v>
      </c>
      <c r="Q376" s="272">
        <v>1</v>
      </c>
      <c r="R376" s="272">
        <v>1</v>
      </c>
      <c r="S376" s="272">
        <v>1</v>
      </c>
      <c r="T376" s="256">
        <f t="shared" si="110"/>
        <v>1</v>
      </c>
      <c r="U376" s="256">
        <f t="shared" si="111"/>
        <v>1</v>
      </c>
      <c r="V376" s="256">
        <f t="shared" si="112"/>
        <v>1</v>
      </c>
      <c r="W376" s="256">
        <f t="shared" si="92"/>
        <v>1</v>
      </c>
      <c r="X376" s="216"/>
      <c r="Y376" s="216"/>
    </row>
    <row r="377" spans="1:25" s="140" customFormat="1" ht="26.25" hidden="1" outlineLevel="3" thickBot="1">
      <c r="A377" s="216"/>
      <c r="B377" s="255" t="s">
        <v>562</v>
      </c>
      <c r="C377" s="290" t="s">
        <v>253</v>
      </c>
      <c r="D377" s="227" t="s">
        <v>231</v>
      </c>
      <c r="E377" s="241"/>
      <c r="F377" s="228">
        <f t="shared" si="109"/>
        <v>3.6801995565609057E-2</v>
      </c>
      <c r="G377" s="269">
        <f>+F377*G365</f>
        <v>6.6473757376134612E-5</v>
      </c>
      <c r="H377" s="299"/>
      <c r="I377" s="299"/>
      <c r="J377" s="299"/>
      <c r="K377" s="299"/>
      <c r="L377" s="299"/>
      <c r="M377" s="299"/>
      <c r="N377" s="229">
        <v>1</v>
      </c>
      <c r="O377" s="229">
        <v>1</v>
      </c>
      <c r="P377" s="229">
        <v>1</v>
      </c>
      <c r="Q377" s="272">
        <v>1</v>
      </c>
      <c r="R377" s="272">
        <v>1</v>
      </c>
      <c r="S377" s="272">
        <v>1</v>
      </c>
      <c r="T377" s="256">
        <f t="shared" si="110"/>
        <v>1</v>
      </c>
      <c r="U377" s="256">
        <f t="shared" si="111"/>
        <v>1</v>
      </c>
      <c r="V377" s="256">
        <f t="shared" si="112"/>
        <v>1</v>
      </c>
      <c r="W377" s="256">
        <f t="shared" si="92"/>
        <v>1</v>
      </c>
      <c r="X377" s="216"/>
      <c r="Y377" s="216"/>
    </row>
    <row r="378" spans="1:25" s="140" customFormat="1" ht="26.25" hidden="1" outlineLevel="3" thickBot="1">
      <c r="A378" s="216"/>
      <c r="B378" s="255" t="s">
        <v>563</v>
      </c>
      <c r="C378" s="290" t="s">
        <v>285</v>
      </c>
      <c r="D378" s="227" t="s">
        <v>231</v>
      </c>
      <c r="E378" s="241"/>
      <c r="F378" s="228">
        <f t="shared" si="109"/>
        <v>3.6801995565609057E-2</v>
      </c>
      <c r="G378" s="269">
        <f>+F378*G365</f>
        <v>6.6473757376134612E-5</v>
      </c>
      <c r="H378" s="299"/>
      <c r="I378" s="299"/>
      <c r="J378" s="299"/>
      <c r="K378" s="299"/>
      <c r="L378" s="299"/>
      <c r="M378" s="299"/>
      <c r="N378" s="229">
        <v>1</v>
      </c>
      <c r="O378" s="229">
        <v>1</v>
      </c>
      <c r="P378" s="229">
        <v>1</v>
      </c>
      <c r="Q378" s="272">
        <v>1</v>
      </c>
      <c r="R378" s="272">
        <v>1</v>
      </c>
      <c r="S378" s="272">
        <v>1</v>
      </c>
      <c r="T378" s="256">
        <f t="shared" si="110"/>
        <v>1</v>
      </c>
      <c r="U378" s="256">
        <f t="shared" si="111"/>
        <v>1</v>
      </c>
      <c r="V378" s="256">
        <f t="shared" si="112"/>
        <v>1</v>
      </c>
      <c r="W378" s="256">
        <f t="shared" si="92"/>
        <v>1</v>
      </c>
      <c r="X378" s="216"/>
      <c r="Y378" s="216"/>
    </row>
    <row r="379" spans="1:25" s="140" customFormat="1" ht="26.25" hidden="1" outlineLevel="3" thickBot="1">
      <c r="A379" s="216"/>
      <c r="B379" s="255" t="s">
        <v>564</v>
      </c>
      <c r="C379" s="290" t="s">
        <v>287</v>
      </c>
      <c r="D379" s="227" t="s">
        <v>231</v>
      </c>
      <c r="E379" s="241"/>
      <c r="F379" s="228">
        <f t="shared" si="109"/>
        <v>3.6801995565609057E-2</v>
      </c>
      <c r="G379" s="269">
        <f>+F379*G365</f>
        <v>6.6473757376134612E-5</v>
      </c>
      <c r="H379" s="299"/>
      <c r="I379" s="299"/>
      <c r="J379" s="299"/>
      <c r="K379" s="299"/>
      <c r="L379" s="299"/>
      <c r="M379" s="299"/>
      <c r="N379" s="229">
        <v>1</v>
      </c>
      <c r="O379" s="229">
        <v>1</v>
      </c>
      <c r="P379" s="229">
        <v>1</v>
      </c>
      <c r="Q379" s="272">
        <v>1</v>
      </c>
      <c r="R379" s="272">
        <v>1</v>
      </c>
      <c r="S379" s="272">
        <v>1</v>
      </c>
      <c r="T379" s="256">
        <f t="shared" si="110"/>
        <v>1</v>
      </c>
      <c r="U379" s="256">
        <f t="shared" si="111"/>
        <v>1</v>
      </c>
      <c r="V379" s="256">
        <f t="shared" si="112"/>
        <v>1</v>
      </c>
      <c r="W379" s="256">
        <f t="shared" si="92"/>
        <v>1</v>
      </c>
      <c r="X379" s="216"/>
      <c r="Y379" s="216"/>
    </row>
    <row r="380" spans="1:25" s="140" customFormat="1" ht="26.25" hidden="1" outlineLevel="3" thickBot="1">
      <c r="A380" s="216"/>
      <c r="B380" s="255" t="s">
        <v>565</v>
      </c>
      <c r="C380" s="290" t="s">
        <v>289</v>
      </c>
      <c r="D380" s="227" t="s">
        <v>231</v>
      </c>
      <c r="E380" s="241"/>
      <c r="F380" s="228">
        <f t="shared" si="109"/>
        <v>3.6801995565609057E-2</v>
      </c>
      <c r="G380" s="269">
        <f>+F380*G365</f>
        <v>6.6473757376134612E-5</v>
      </c>
      <c r="H380" s="299"/>
      <c r="I380" s="299"/>
      <c r="J380" s="299"/>
      <c r="K380" s="299"/>
      <c r="L380" s="299"/>
      <c r="M380" s="299"/>
      <c r="N380" s="229">
        <v>1</v>
      </c>
      <c r="O380" s="229">
        <v>1</v>
      </c>
      <c r="P380" s="229">
        <v>1</v>
      </c>
      <c r="Q380" s="272">
        <v>1</v>
      </c>
      <c r="R380" s="272">
        <v>1</v>
      </c>
      <c r="S380" s="272">
        <v>1</v>
      </c>
      <c r="T380" s="256">
        <f t="shared" si="110"/>
        <v>1</v>
      </c>
      <c r="U380" s="256">
        <f t="shared" si="111"/>
        <v>1</v>
      </c>
      <c r="V380" s="256">
        <f t="shared" si="112"/>
        <v>1</v>
      </c>
      <c r="W380" s="256">
        <f t="shared" si="92"/>
        <v>1</v>
      </c>
      <c r="X380" s="216"/>
      <c r="Y380" s="216"/>
    </row>
    <row r="381" spans="1:25" s="140" customFormat="1" ht="26.25" hidden="1" outlineLevel="3" thickBot="1">
      <c r="A381" s="216"/>
      <c r="B381" s="255" t="s">
        <v>566</v>
      </c>
      <c r="C381" s="290" t="s">
        <v>291</v>
      </c>
      <c r="D381" s="227" t="s">
        <v>231</v>
      </c>
      <c r="E381" s="241"/>
      <c r="F381" s="228">
        <f t="shared" si="109"/>
        <v>3.6801995565609057E-2</v>
      </c>
      <c r="G381" s="269">
        <f>+F381*G365</f>
        <v>6.6473757376134612E-5</v>
      </c>
      <c r="H381" s="299"/>
      <c r="I381" s="299"/>
      <c r="J381" s="299"/>
      <c r="K381" s="299"/>
      <c r="L381" s="299"/>
      <c r="M381" s="299"/>
      <c r="N381" s="229">
        <v>1</v>
      </c>
      <c r="O381" s="229">
        <v>1</v>
      </c>
      <c r="P381" s="229">
        <v>1</v>
      </c>
      <c r="Q381" s="272">
        <v>1</v>
      </c>
      <c r="R381" s="272">
        <v>1</v>
      </c>
      <c r="S381" s="272">
        <v>1</v>
      </c>
      <c r="T381" s="256">
        <f t="shared" si="110"/>
        <v>1</v>
      </c>
      <c r="U381" s="256">
        <f t="shared" si="111"/>
        <v>1</v>
      </c>
      <c r="V381" s="256">
        <f t="shared" si="112"/>
        <v>1</v>
      </c>
      <c r="W381" s="256">
        <f t="shared" si="92"/>
        <v>1</v>
      </c>
      <c r="X381" s="216"/>
      <c r="Y381" s="216"/>
    </row>
    <row r="382" spans="1:25" s="140" customFormat="1" ht="26.25" hidden="1" outlineLevel="3" thickBot="1">
      <c r="A382" s="216"/>
      <c r="B382" s="255" t="s">
        <v>567</v>
      </c>
      <c r="C382" s="290" t="s">
        <v>293</v>
      </c>
      <c r="D382" s="227" t="s">
        <v>231</v>
      </c>
      <c r="E382" s="241"/>
      <c r="F382" s="228">
        <f t="shared" si="109"/>
        <v>3.6801995565609057E-2</v>
      </c>
      <c r="G382" s="269">
        <f>+F382*G365</f>
        <v>6.6473757376134612E-5</v>
      </c>
      <c r="H382" s="299"/>
      <c r="I382" s="299"/>
      <c r="J382" s="299"/>
      <c r="K382" s="299"/>
      <c r="L382" s="299"/>
      <c r="M382" s="299"/>
      <c r="N382" s="229">
        <v>1</v>
      </c>
      <c r="O382" s="229">
        <v>1</v>
      </c>
      <c r="P382" s="229">
        <v>1</v>
      </c>
      <c r="Q382" s="272">
        <v>1</v>
      </c>
      <c r="R382" s="272">
        <v>1</v>
      </c>
      <c r="S382" s="272">
        <v>1</v>
      </c>
      <c r="T382" s="256">
        <f t="shared" si="110"/>
        <v>1</v>
      </c>
      <c r="U382" s="256">
        <f t="shared" si="111"/>
        <v>1</v>
      </c>
      <c r="V382" s="256">
        <f t="shared" si="112"/>
        <v>1</v>
      </c>
      <c r="W382" s="256">
        <f t="shared" si="92"/>
        <v>1</v>
      </c>
      <c r="X382" s="216"/>
      <c r="Y382" s="216"/>
    </row>
    <row r="383" spans="1:25" s="140" customFormat="1" ht="26.25" hidden="1" outlineLevel="3" thickBot="1">
      <c r="A383" s="216"/>
      <c r="B383" s="255" t="s">
        <v>568</v>
      </c>
      <c r="C383" s="290" t="s">
        <v>295</v>
      </c>
      <c r="D383" s="227" t="s">
        <v>231</v>
      </c>
      <c r="E383" s="241"/>
      <c r="F383" s="228">
        <f t="shared" si="109"/>
        <v>3.6801995565609057E-2</v>
      </c>
      <c r="G383" s="269">
        <f>+F383*G365</f>
        <v>6.6473757376134612E-5</v>
      </c>
      <c r="H383" s="299"/>
      <c r="I383" s="299"/>
      <c r="J383" s="299"/>
      <c r="K383" s="299"/>
      <c r="L383" s="299"/>
      <c r="M383" s="299"/>
      <c r="N383" s="229">
        <v>1</v>
      </c>
      <c r="O383" s="229">
        <v>1</v>
      </c>
      <c r="P383" s="229">
        <v>1</v>
      </c>
      <c r="Q383" s="272">
        <v>1</v>
      </c>
      <c r="R383" s="272">
        <v>1</v>
      </c>
      <c r="S383" s="272">
        <v>1</v>
      </c>
      <c r="T383" s="256">
        <f t="shared" si="110"/>
        <v>1</v>
      </c>
      <c r="U383" s="256">
        <f t="shared" si="111"/>
        <v>1</v>
      </c>
      <c r="V383" s="256">
        <f t="shared" si="112"/>
        <v>1</v>
      </c>
      <c r="W383" s="256">
        <f t="shared" si="92"/>
        <v>1</v>
      </c>
      <c r="X383" s="216"/>
      <c r="Y383" s="216"/>
    </row>
    <row r="384" spans="1:25" s="140" customFormat="1" ht="26.25" hidden="1" outlineLevel="3" thickBot="1">
      <c r="A384" s="216"/>
      <c r="B384" s="255" t="s">
        <v>569</v>
      </c>
      <c r="C384" s="290" t="s">
        <v>297</v>
      </c>
      <c r="D384" s="227" t="s">
        <v>231</v>
      </c>
      <c r="E384" s="241"/>
      <c r="F384" s="228">
        <f t="shared" si="109"/>
        <v>3.6801995565609057E-2</v>
      </c>
      <c r="G384" s="269">
        <f>+F384*G365</f>
        <v>6.6473757376134612E-5</v>
      </c>
      <c r="H384" s="299"/>
      <c r="I384" s="299"/>
      <c r="J384" s="299"/>
      <c r="K384" s="299"/>
      <c r="L384" s="299"/>
      <c r="M384" s="299"/>
      <c r="N384" s="229">
        <v>1</v>
      </c>
      <c r="O384" s="229">
        <v>1</v>
      </c>
      <c r="P384" s="229">
        <v>1</v>
      </c>
      <c r="Q384" s="272">
        <v>1</v>
      </c>
      <c r="R384" s="272">
        <v>1</v>
      </c>
      <c r="S384" s="272">
        <v>1</v>
      </c>
      <c r="T384" s="256">
        <f t="shared" si="110"/>
        <v>1</v>
      </c>
      <c r="U384" s="256">
        <f t="shared" si="111"/>
        <v>1</v>
      </c>
      <c r="V384" s="256">
        <f t="shared" si="112"/>
        <v>1</v>
      </c>
      <c r="W384" s="256">
        <f t="shared" si="92"/>
        <v>1</v>
      </c>
      <c r="X384" s="216"/>
      <c r="Y384" s="216"/>
    </row>
    <row r="385" spans="1:25" s="140" customFormat="1" ht="26.25" hidden="1" outlineLevel="3" thickBot="1">
      <c r="A385" s="216"/>
      <c r="B385" s="255" t="s">
        <v>570</v>
      </c>
      <c r="C385" s="290" t="s">
        <v>299</v>
      </c>
      <c r="D385" s="227" t="s">
        <v>231</v>
      </c>
      <c r="E385" s="241"/>
      <c r="F385" s="228">
        <f t="shared" si="109"/>
        <v>3.6801995565609057E-2</v>
      </c>
      <c r="G385" s="269">
        <f>+F385*G365</f>
        <v>6.6473757376134612E-5</v>
      </c>
      <c r="H385" s="299"/>
      <c r="I385" s="299"/>
      <c r="J385" s="299"/>
      <c r="K385" s="299"/>
      <c r="L385" s="299"/>
      <c r="M385" s="299"/>
      <c r="N385" s="229">
        <v>1</v>
      </c>
      <c r="O385" s="229">
        <v>1</v>
      </c>
      <c r="P385" s="229">
        <v>1</v>
      </c>
      <c r="Q385" s="272">
        <v>1</v>
      </c>
      <c r="R385" s="272">
        <v>1</v>
      </c>
      <c r="S385" s="272">
        <v>1</v>
      </c>
      <c r="T385" s="256">
        <f t="shared" si="110"/>
        <v>1</v>
      </c>
      <c r="U385" s="256">
        <f t="shared" si="111"/>
        <v>1</v>
      </c>
      <c r="V385" s="256">
        <f t="shared" si="112"/>
        <v>1</v>
      </c>
      <c r="W385" s="256">
        <f t="shared" si="92"/>
        <v>1</v>
      </c>
      <c r="X385" s="216"/>
      <c r="Y385" s="216"/>
    </row>
    <row r="386" spans="1:25" s="140" customFormat="1" ht="26.25" hidden="1" outlineLevel="3" thickBot="1">
      <c r="A386" s="216"/>
      <c r="B386" s="255" t="s">
        <v>571</v>
      </c>
      <c r="C386" s="290" t="s">
        <v>301</v>
      </c>
      <c r="D386" s="227" t="s">
        <v>231</v>
      </c>
      <c r="E386" s="241"/>
      <c r="F386" s="228">
        <f t="shared" si="109"/>
        <v>3.6801995565609057E-2</v>
      </c>
      <c r="G386" s="269">
        <f>+F386*G365</f>
        <v>6.6473757376134612E-5</v>
      </c>
      <c r="H386" s="299"/>
      <c r="I386" s="299"/>
      <c r="J386" s="299"/>
      <c r="K386" s="299"/>
      <c r="L386" s="299"/>
      <c r="M386" s="299"/>
      <c r="N386" s="229">
        <v>1</v>
      </c>
      <c r="O386" s="229">
        <v>1</v>
      </c>
      <c r="P386" s="229">
        <v>1</v>
      </c>
      <c r="Q386" s="272">
        <v>1</v>
      </c>
      <c r="R386" s="272">
        <v>1</v>
      </c>
      <c r="S386" s="272">
        <v>1</v>
      </c>
      <c r="T386" s="256">
        <f t="shared" si="110"/>
        <v>1</v>
      </c>
      <c r="U386" s="256">
        <f t="shared" si="111"/>
        <v>1</v>
      </c>
      <c r="V386" s="256">
        <f t="shared" si="112"/>
        <v>1</v>
      </c>
      <c r="W386" s="256">
        <f t="shared" si="92"/>
        <v>1</v>
      </c>
      <c r="X386" s="216"/>
      <c r="Y386" s="216"/>
    </row>
    <row r="387" spans="1:25" s="140" customFormat="1" ht="26.25" hidden="1" outlineLevel="3" thickBot="1">
      <c r="A387" s="216"/>
      <c r="B387" s="255" t="s">
        <v>572</v>
      </c>
      <c r="C387" s="290" t="s">
        <v>303</v>
      </c>
      <c r="D387" s="227" t="s">
        <v>231</v>
      </c>
      <c r="E387" s="241"/>
      <c r="F387" s="228">
        <f t="shared" si="109"/>
        <v>3.6801995565609057E-2</v>
      </c>
      <c r="G387" s="269">
        <f>+F387*G365</f>
        <v>6.6473757376134612E-5</v>
      </c>
      <c r="H387" s="299"/>
      <c r="I387" s="299"/>
      <c r="J387" s="299"/>
      <c r="K387" s="299"/>
      <c r="L387" s="299"/>
      <c r="M387" s="299"/>
      <c r="N387" s="229">
        <v>1</v>
      </c>
      <c r="O387" s="229">
        <v>1</v>
      </c>
      <c r="P387" s="229">
        <v>1</v>
      </c>
      <c r="Q387" s="272">
        <v>1</v>
      </c>
      <c r="R387" s="272">
        <v>1</v>
      </c>
      <c r="S387" s="272">
        <v>1</v>
      </c>
      <c r="T387" s="256">
        <f t="shared" si="110"/>
        <v>1</v>
      </c>
      <c r="U387" s="256">
        <f t="shared" si="111"/>
        <v>1</v>
      </c>
      <c r="V387" s="256">
        <f t="shared" si="112"/>
        <v>1</v>
      </c>
      <c r="W387" s="256">
        <f t="shared" si="92"/>
        <v>1</v>
      </c>
      <c r="X387" s="216"/>
      <c r="Y387" s="216"/>
    </row>
    <row r="388" spans="1:25" s="140" customFormat="1" ht="26.25" hidden="1" outlineLevel="3" thickBot="1">
      <c r="A388" s="216"/>
      <c r="B388" s="255" t="s">
        <v>573</v>
      </c>
      <c r="C388" s="290" t="s">
        <v>255</v>
      </c>
      <c r="D388" s="227" t="s">
        <v>256</v>
      </c>
      <c r="E388" s="241"/>
      <c r="F388" s="228">
        <f t="shared" si="109"/>
        <v>4.7589024389150178E-2</v>
      </c>
      <c r="G388" s="269">
        <f>+F388*G365</f>
        <v>8.5957873000981879E-5</v>
      </c>
      <c r="H388" s="299"/>
      <c r="I388" s="299"/>
      <c r="J388" s="299"/>
      <c r="K388" s="299"/>
      <c r="L388" s="299"/>
      <c r="M388" s="299"/>
      <c r="N388" s="229">
        <v>1</v>
      </c>
      <c r="O388" s="229">
        <v>1</v>
      </c>
      <c r="P388" s="229">
        <v>1</v>
      </c>
      <c r="Q388" s="272">
        <v>1</v>
      </c>
      <c r="R388" s="272">
        <v>1</v>
      </c>
      <c r="S388" s="272">
        <v>1</v>
      </c>
      <c r="T388" s="256">
        <f t="shared" si="110"/>
        <v>1</v>
      </c>
      <c r="U388" s="256">
        <f t="shared" si="111"/>
        <v>1</v>
      </c>
      <c r="V388" s="256">
        <f t="shared" si="112"/>
        <v>1</v>
      </c>
      <c r="W388" s="256">
        <f t="shared" si="92"/>
        <v>1</v>
      </c>
      <c r="X388" s="216"/>
      <c r="Y388" s="216"/>
    </row>
    <row r="389" spans="1:25" s="140" customFormat="1" ht="26.25" hidden="1" outlineLevel="3" thickBot="1">
      <c r="A389" s="216"/>
      <c r="B389" s="255" t="s">
        <v>574</v>
      </c>
      <c r="C389" s="290" t="s">
        <v>258</v>
      </c>
      <c r="D389" s="227" t="s">
        <v>256</v>
      </c>
      <c r="E389" s="241"/>
      <c r="F389" s="228">
        <f t="shared" si="109"/>
        <v>4.7589024389150178E-2</v>
      </c>
      <c r="G389" s="269">
        <f>+F389*G365</f>
        <v>8.5957873000981879E-5</v>
      </c>
      <c r="H389" s="299"/>
      <c r="I389" s="299"/>
      <c r="J389" s="299"/>
      <c r="K389" s="299"/>
      <c r="L389" s="299"/>
      <c r="M389" s="299"/>
      <c r="N389" s="229">
        <v>1</v>
      </c>
      <c r="O389" s="229">
        <v>1</v>
      </c>
      <c r="P389" s="229">
        <v>1</v>
      </c>
      <c r="Q389" s="272">
        <v>1</v>
      </c>
      <c r="R389" s="272">
        <v>1</v>
      </c>
      <c r="S389" s="272">
        <v>1</v>
      </c>
      <c r="T389" s="256">
        <f t="shared" si="110"/>
        <v>1</v>
      </c>
      <c r="U389" s="256">
        <f t="shared" si="111"/>
        <v>1</v>
      </c>
      <c r="V389" s="256">
        <f t="shared" si="112"/>
        <v>1</v>
      </c>
      <c r="W389" s="256">
        <f t="shared" si="92"/>
        <v>1</v>
      </c>
      <c r="X389" s="216"/>
      <c r="Y389" s="216"/>
    </row>
    <row r="390" spans="1:25" s="140" customFormat="1" ht="26.25" hidden="1" outlineLevel="3" thickBot="1">
      <c r="A390" s="216"/>
      <c r="B390" s="255" t="s">
        <v>575</v>
      </c>
      <c r="C390" s="290" t="s">
        <v>260</v>
      </c>
      <c r="D390" s="227" t="s">
        <v>256</v>
      </c>
      <c r="E390" s="241"/>
      <c r="F390" s="228">
        <f t="shared" si="109"/>
        <v>4.7589024389150178E-2</v>
      </c>
      <c r="G390" s="269">
        <f>+F390*G365</f>
        <v>8.5957873000981879E-5</v>
      </c>
      <c r="H390" s="299"/>
      <c r="I390" s="299"/>
      <c r="J390" s="299"/>
      <c r="K390" s="299"/>
      <c r="L390" s="299"/>
      <c r="M390" s="299"/>
      <c r="N390" s="229">
        <v>1</v>
      </c>
      <c r="O390" s="229">
        <v>1</v>
      </c>
      <c r="P390" s="229">
        <v>1</v>
      </c>
      <c r="Q390" s="272">
        <v>1</v>
      </c>
      <c r="R390" s="272">
        <v>1</v>
      </c>
      <c r="S390" s="272">
        <v>1</v>
      </c>
      <c r="T390" s="256">
        <f t="shared" si="110"/>
        <v>1</v>
      </c>
      <c r="U390" s="256">
        <f t="shared" si="111"/>
        <v>1</v>
      </c>
      <c r="V390" s="256">
        <f t="shared" si="112"/>
        <v>1</v>
      </c>
      <c r="W390" s="256">
        <f t="shared" ref="W390:W453" si="113">+IF(R390=0,0,$S390/R390)</f>
        <v>1</v>
      </c>
      <c r="X390" s="216"/>
      <c r="Y390" s="216"/>
    </row>
    <row r="391" spans="1:25" s="140" customFormat="1" ht="26.25" hidden="1" outlineLevel="3" thickBot="1">
      <c r="A391" s="216"/>
      <c r="B391" s="255" t="s">
        <v>576</v>
      </c>
      <c r="C391" s="290" t="s">
        <v>262</v>
      </c>
      <c r="D391" s="227" t="s">
        <v>256</v>
      </c>
      <c r="E391" s="241"/>
      <c r="F391" s="228">
        <f t="shared" si="109"/>
        <v>4.7589024389150178E-2</v>
      </c>
      <c r="G391" s="269">
        <f>+F391*G365</f>
        <v>8.5957873000981879E-5</v>
      </c>
      <c r="H391" s="299"/>
      <c r="I391" s="299"/>
      <c r="J391" s="299"/>
      <c r="K391" s="299"/>
      <c r="L391" s="299"/>
      <c r="M391" s="299"/>
      <c r="N391" s="229">
        <v>1</v>
      </c>
      <c r="O391" s="229">
        <v>1</v>
      </c>
      <c r="P391" s="229">
        <v>1</v>
      </c>
      <c r="Q391" s="272">
        <v>1</v>
      </c>
      <c r="R391" s="272">
        <v>1</v>
      </c>
      <c r="S391" s="272">
        <v>1</v>
      </c>
      <c r="T391" s="256">
        <f t="shared" si="110"/>
        <v>1</v>
      </c>
      <c r="U391" s="256">
        <f t="shared" si="111"/>
        <v>1</v>
      </c>
      <c r="V391" s="256">
        <f t="shared" si="112"/>
        <v>1</v>
      </c>
      <c r="W391" s="256">
        <f t="shared" si="113"/>
        <v>1</v>
      </c>
      <c r="X391" s="216"/>
      <c r="Y391" s="216"/>
    </row>
    <row r="392" spans="1:25" s="140" customFormat="1" ht="26.25" hidden="1" outlineLevel="2" thickBot="1">
      <c r="A392" s="216"/>
      <c r="B392" s="291" t="s">
        <v>577</v>
      </c>
      <c r="C392" s="292" t="s">
        <v>37</v>
      </c>
      <c r="D392" s="234" t="s">
        <v>33</v>
      </c>
      <c r="E392" s="240"/>
      <c r="F392" s="223">
        <f t="shared" si="109"/>
        <v>9.0647549000068411E-2</v>
      </c>
      <c r="G392" s="293">
        <f>+F392*G343</f>
        <v>7.0802236648260825E-4</v>
      </c>
      <c r="H392" s="298"/>
      <c r="I392" s="298"/>
      <c r="J392" s="298"/>
      <c r="K392" s="298"/>
      <c r="L392" s="298"/>
      <c r="M392" s="298"/>
      <c r="N392" s="224">
        <f t="shared" ref="N392:S392" si="114">+SUMPRODUCT($F393:$F403,N393:N403)</f>
        <v>1.0000000000000002</v>
      </c>
      <c r="O392" s="224">
        <f t="shared" si="114"/>
        <v>1.0000000000000002</v>
      </c>
      <c r="P392" s="224">
        <f t="shared" si="114"/>
        <v>1.0000000000000002</v>
      </c>
      <c r="Q392" s="270">
        <f t="shared" si="114"/>
        <v>1.0000000000000002</v>
      </c>
      <c r="R392" s="270">
        <f t="shared" si="114"/>
        <v>1.0000000000000002</v>
      </c>
      <c r="S392" s="270">
        <f t="shared" si="114"/>
        <v>1.0000000000000002</v>
      </c>
      <c r="T392" s="254">
        <f t="shared" si="110"/>
        <v>1</v>
      </c>
      <c r="U392" s="254">
        <f t="shared" si="111"/>
        <v>1</v>
      </c>
      <c r="V392" s="254">
        <f t="shared" si="112"/>
        <v>1</v>
      </c>
      <c r="W392" s="254">
        <f t="shared" si="113"/>
        <v>1</v>
      </c>
      <c r="X392" s="216"/>
      <c r="Y392" s="216"/>
    </row>
    <row r="393" spans="1:25" s="140" customFormat="1" ht="26.25" hidden="1" outlineLevel="3" thickBot="1">
      <c r="A393" s="216"/>
      <c r="B393" s="255" t="s">
        <v>578</v>
      </c>
      <c r="C393" s="290" t="s">
        <v>230</v>
      </c>
      <c r="D393" s="227" t="s">
        <v>231</v>
      </c>
      <c r="E393" s="241"/>
      <c r="F393" s="228">
        <f t="shared" si="109"/>
        <v>9.0909090909090912E-2</v>
      </c>
      <c r="G393" s="269">
        <f>+F393*G392</f>
        <v>6.4365669680237111E-5</v>
      </c>
      <c r="H393" s="299"/>
      <c r="I393" s="299"/>
      <c r="J393" s="299"/>
      <c r="K393" s="299"/>
      <c r="L393" s="299"/>
      <c r="M393" s="299"/>
      <c r="N393" s="229">
        <v>1</v>
      </c>
      <c r="O393" s="229">
        <v>1</v>
      </c>
      <c r="P393" s="229">
        <v>1</v>
      </c>
      <c r="Q393" s="272">
        <v>1</v>
      </c>
      <c r="R393" s="272">
        <v>1</v>
      </c>
      <c r="S393" s="272">
        <v>1</v>
      </c>
      <c r="T393" s="256">
        <f t="shared" si="110"/>
        <v>1</v>
      </c>
      <c r="U393" s="256">
        <f t="shared" si="111"/>
        <v>1</v>
      </c>
      <c r="V393" s="256">
        <f t="shared" si="112"/>
        <v>1</v>
      </c>
      <c r="W393" s="256">
        <f t="shared" si="113"/>
        <v>1</v>
      </c>
      <c r="X393" s="216"/>
      <c r="Y393" s="216"/>
    </row>
    <row r="394" spans="1:25" s="140" customFormat="1" ht="26.25" hidden="1" outlineLevel="3" thickBot="1">
      <c r="A394" s="216"/>
      <c r="B394" s="255" t="s">
        <v>579</v>
      </c>
      <c r="C394" s="290" t="s">
        <v>233</v>
      </c>
      <c r="D394" s="227" t="s">
        <v>231</v>
      </c>
      <c r="E394" s="241"/>
      <c r="F394" s="228">
        <f t="shared" si="109"/>
        <v>9.0909090909090912E-2</v>
      </c>
      <c r="G394" s="269">
        <f>+F394*G392</f>
        <v>6.4365669680237111E-5</v>
      </c>
      <c r="H394" s="299"/>
      <c r="I394" s="299"/>
      <c r="J394" s="299"/>
      <c r="K394" s="299"/>
      <c r="L394" s="299"/>
      <c r="M394" s="299"/>
      <c r="N394" s="229">
        <v>1</v>
      </c>
      <c r="O394" s="229">
        <v>1</v>
      </c>
      <c r="P394" s="229">
        <v>1</v>
      </c>
      <c r="Q394" s="272">
        <v>1</v>
      </c>
      <c r="R394" s="272">
        <v>1</v>
      </c>
      <c r="S394" s="272">
        <v>1</v>
      </c>
      <c r="T394" s="256">
        <f t="shared" si="110"/>
        <v>1</v>
      </c>
      <c r="U394" s="256">
        <f t="shared" si="111"/>
        <v>1</v>
      </c>
      <c r="V394" s="256">
        <f t="shared" si="112"/>
        <v>1</v>
      </c>
      <c r="W394" s="256">
        <f t="shared" si="113"/>
        <v>1</v>
      </c>
      <c r="X394" s="216"/>
      <c r="Y394" s="216"/>
    </row>
    <row r="395" spans="1:25" s="140" customFormat="1" ht="26.25" hidden="1" outlineLevel="3" thickBot="1">
      <c r="A395" s="216"/>
      <c r="B395" s="255" t="s">
        <v>580</v>
      </c>
      <c r="C395" s="290" t="s">
        <v>235</v>
      </c>
      <c r="D395" s="227" t="s">
        <v>231</v>
      </c>
      <c r="E395" s="241"/>
      <c r="F395" s="228">
        <f t="shared" si="109"/>
        <v>9.0909090909090912E-2</v>
      </c>
      <c r="G395" s="269">
        <f>+F395*G392</f>
        <v>6.4365669680237111E-5</v>
      </c>
      <c r="H395" s="299"/>
      <c r="I395" s="299"/>
      <c r="J395" s="299"/>
      <c r="K395" s="299"/>
      <c r="L395" s="299"/>
      <c r="M395" s="299"/>
      <c r="N395" s="229">
        <v>1</v>
      </c>
      <c r="O395" s="229">
        <v>1</v>
      </c>
      <c r="P395" s="229">
        <v>1</v>
      </c>
      <c r="Q395" s="272">
        <v>1</v>
      </c>
      <c r="R395" s="272">
        <v>1</v>
      </c>
      <c r="S395" s="272">
        <v>1</v>
      </c>
      <c r="T395" s="256">
        <f t="shared" si="110"/>
        <v>1</v>
      </c>
      <c r="U395" s="256">
        <f t="shared" si="111"/>
        <v>1</v>
      </c>
      <c r="V395" s="256">
        <f t="shared" si="112"/>
        <v>1</v>
      </c>
      <c r="W395" s="256">
        <f t="shared" si="113"/>
        <v>1</v>
      </c>
      <c r="X395" s="216"/>
      <c r="Y395" s="216"/>
    </row>
    <row r="396" spans="1:25" s="140" customFormat="1" ht="26.25" hidden="1" outlineLevel="3" thickBot="1">
      <c r="A396" s="216"/>
      <c r="B396" s="255" t="s">
        <v>581</v>
      </c>
      <c r="C396" s="290" t="s">
        <v>237</v>
      </c>
      <c r="D396" s="227" t="s">
        <v>231</v>
      </c>
      <c r="E396" s="241"/>
      <c r="F396" s="228">
        <f t="shared" si="109"/>
        <v>9.0909090909090912E-2</v>
      </c>
      <c r="G396" s="269">
        <f>+F396*G392</f>
        <v>6.4365669680237111E-5</v>
      </c>
      <c r="H396" s="299"/>
      <c r="I396" s="299"/>
      <c r="J396" s="299"/>
      <c r="K396" s="299"/>
      <c r="L396" s="299"/>
      <c r="M396" s="299"/>
      <c r="N396" s="229">
        <v>1</v>
      </c>
      <c r="O396" s="229">
        <v>1</v>
      </c>
      <c r="P396" s="229">
        <v>1</v>
      </c>
      <c r="Q396" s="272">
        <v>1</v>
      </c>
      <c r="R396" s="272">
        <v>1</v>
      </c>
      <c r="S396" s="272">
        <v>1</v>
      </c>
      <c r="T396" s="256">
        <f t="shared" si="110"/>
        <v>1</v>
      </c>
      <c r="U396" s="256">
        <f t="shared" si="111"/>
        <v>1</v>
      </c>
      <c r="V396" s="256">
        <f t="shared" si="112"/>
        <v>1</v>
      </c>
      <c r="W396" s="256">
        <f t="shared" si="113"/>
        <v>1</v>
      </c>
      <c r="X396" s="216"/>
      <c r="Y396" s="216"/>
    </row>
    <row r="397" spans="1:25" s="140" customFormat="1" ht="26.25" hidden="1" outlineLevel="3" thickBot="1">
      <c r="A397" s="216"/>
      <c r="B397" s="255" t="s">
        <v>582</v>
      </c>
      <c r="C397" s="290" t="s">
        <v>239</v>
      </c>
      <c r="D397" s="227" t="s">
        <v>231</v>
      </c>
      <c r="E397" s="241"/>
      <c r="F397" s="228">
        <f t="shared" si="109"/>
        <v>9.0909090909090912E-2</v>
      </c>
      <c r="G397" s="269">
        <f>+F397*G392</f>
        <v>6.4365669680237111E-5</v>
      </c>
      <c r="H397" s="299"/>
      <c r="I397" s="299"/>
      <c r="J397" s="299"/>
      <c r="K397" s="299"/>
      <c r="L397" s="299"/>
      <c r="M397" s="299"/>
      <c r="N397" s="229">
        <v>1</v>
      </c>
      <c r="O397" s="229">
        <v>1</v>
      </c>
      <c r="P397" s="229">
        <v>1</v>
      </c>
      <c r="Q397" s="272">
        <v>1</v>
      </c>
      <c r="R397" s="272">
        <v>1</v>
      </c>
      <c r="S397" s="272">
        <v>1</v>
      </c>
      <c r="T397" s="256">
        <f t="shared" si="110"/>
        <v>1</v>
      </c>
      <c r="U397" s="256">
        <f t="shared" si="111"/>
        <v>1</v>
      </c>
      <c r="V397" s="256">
        <f t="shared" si="112"/>
        <v>1</v>
      </c>
      <c r="W397" s="256">
        <f t="shared" si="113"/>
        <v>1</v>
      </c>
      <c r="X397" s="216"/>
      <c r="Y397" s="216"/>
    </row>
    <row r="398" spans="1:25" s="140" customFormat="1" ht="26.25" hidden="1" outlineLevel="3" thickBot="1">
      <c r="A398" s="216"/>
      <c r="B398" s="255" t="s">
        <v>583</v>
      </c>
      <c r="C398" s="290" t="s">
        <v>241</v>
      </c>
      <c r="D398" s="227" t="s">
        <v>231</v>
      </c>
      <c r="E398" s="241"/>
      <c r="F398" s="228">
        <f t="shared" si="109"/>
        <v>9.0909090909090912E-2</v>
      </c>
      <c r="G398" s="269">
        <f>+F398*G392</f>
        <v>6.4365669680237111E-5</v>
      </c>
      <c r="H398" s="299"/>
      <c r="I398" s="299"/>
      <c r="J398" s="299"/>
      <c r="K398" s="299"/>
      <c r="L398" s="299"/>
      <c r="M398" s="299"/>
      <c r="N398" s="229">
        <v>1</v>
      </c>
      <c r="O398" s="229">
        <v>1</v>
      </c>
      <c r="P398" s="229">
        <v>1</v>
      </c>
      <c r="Q398" s="272">
        <v>1</v>
      </c>
      <c r="R398" s="272">
        <v>1</v>
      </c>
      <c r="S398" s="272">
        <v>1</v>
      </c>
      <c r="T398" s="256">
        <f t="shared" si="110"/>
        <v>1</v>
      </c>
      <c r="U398" s="256">
        <f t="shared" si="111"/>
        <v>1</v>
      </c>
      <c r="V398" s="256">
        <f t="shared" si="112"/>
        <v>1</v>
      </c>
      <c r="W398" s="256">
        <f t="shared" si="113"/>
        <v>1</v>
      </c>
      <c r="X398" s="216"/>
      <c r="Y398" s="216"/>
    </row>
    <row r="399" spans="1:25" s="140" customFormat="1" ht="26.25" hidden="1" outlineLevel="3" thickBot="1">
      <c r="A399" s="216"/>
      <c r="B399" s="255" t="s">
        <v>584</v>
      </c>
      <c r="C399" s="290" t="s">
        <v>243</v>
      </c>
      <c r="D399" s="227" t="s">
        <v>231</v>
      </c>
      <c r="E399" s="241"/>
      <c r="F399" s="228">
        <f t="shared" si="109"/>
        <v>9.0909090909090912E-2</v>
      </c>
      <c r="G399" s="269">
        <f>+F399*G392</f>
        <v>6.4365669680237111E-5</v>
      </c>
      <c r="H399" s="299"/>
      <c r="I399" s="299"/>
      <c r="J399" s="299"/>
      <c r="K399" s="299"/>
      <c r="L399" s="299"/>
      <c r="M399" s="299"/>
      <c r="N399" s="229">
        <v>1</v>
      </c>
      <c r="O399" s="229">
        <v>1</v>
      </c>
      <c r="P399" s="229">
        <v>1</v>
      </c>
      <c r="Q399" s="272">
        <v>1</v>
      </c>
      <c r="R399" s="272">
        <v>1</v>
      </c>
      <c r="S399" s="272">
        <v>1</v>
      </c>
      <c r="T399" s="256">
        <f t="shared" si="110"/>
        <v>1</v>
      </c>
      <c r="U399" s="256">
        <f t="shared" si="111"/>
        <v>1</v>
      </c>
      <c r="V399" s="256">
        <f t="shared" si="112"/>
        <v>1</v>
      </c>
      <c r="W399" s="256">
        <f t="shared" si="113"/>
        <v>1</v>
      </c>
      <c r="X399" s="216"/>
      <c r="Y399" s="216"/>
    </row>
    <row r="400" spans="1:25" s="140" customFormat="1" ht="26.25" hidden="1" outlineLevel="3" thickBot="1">
      <c r="A400" s="216"/>
      <c r="B400" s="255" t="s">
        <v>585</v>
      </c>
      <c r="C400" s="290" t="s">
        <v>245</v>
      </c>
      <c r="D400" s="227" t="s">
        <v>231</v>
      </c>
      <c r="E400" s="241"/>
      <c r="F400" s="228">
        <f t="shared" si="109"/>
        <v>9.0909090909090912E-2</v>
      </c>
      <c r="G400" s="269">
        <f>+F400*G392</f>
        <v>6.4365669680237111E-5</v>
      </c>
      <c r="H400" s="299"/>
      <c r="I400" s="299"/>
      <c r="J400" s="299"/>
      <c r="K400" s="299"/>
      <c r="L400" s="299"/>
      <c r="M400" s="299"/>
      <c r="N400" s="229">
        <v>1</v>
      </c>
      <c r="O400" s="229">
        <v>1</v>
      </c>
      <c r="P400" s="229">
        <v>1</v>
      </c>
      <c r="Q400" s="272">
        <v>1</v>
      </c>
      <c r="R400" s="272">
        <v>1</v>
      </c>
      <c r="S400" s="272">
        <v>1</v>
      </c>
      <c r="T400" s="256">
        <f t="shared" si="110"/>
        <v>1</v>
      </c>
      <c r="U400" s="256">
        <f t="shared" si="111"/>
        <v>1</v>
      </c>
      <c r="V400" s="256">
        <f t="shared" si="112"/>
        <v>1</v>
      </c>
      <c r="W400" s="256">
        <f t="shared" si="113"/>
        <v>1</v>
      </c>
      <c r="X400" s="216"/>
      <c r="Y400" s="216"/>
    </row>
    <row r="401" spans="1:25" s="140" customFormat="1" ht="26.25" hidden="1" outlineLevel="3" thickBot="1">
      <c r="A401" s="216"/>
      <c r="B401" s="255" t="s">
        <v>586</v>
      </c>
      <c r="C401" s="290" t="s">
        <v>247</v>
      </c>
      <c r="D401" s="227" t="s">
        <v>231</v>
      </c>
      <c r="E401" s="241"/>
      <c r="F401" s="228">
        <f t="shared" si="109"/>
        <v>9.0909090909090912E-2</v>
      </c>
      <c r="G401" s="269">
        <f>+F401*G392</f>
        <v>6.4365669680237111E-5</v>
      </c>
      <c r="H401" s="299"/>
      <c r="I401" s="299"/>
      <c r="J401" s="299"/>
      <c r="K401" s="299"/>
      <c r="L401" s="299"/>
      <c r="M401" s="299"/>
      <c r="N401" s="229">
        <v>1</v>
      </c>
      <c r="O401" s="229">
        <v>1</v>
      </c>
      <c r="P401" s="229">
        <v>1</v>
      </c>
      <c r="Q401" s="272">
        <v>1</v>
      </c>
      <c r="R401" s="272">
        <v>1</v>
      </c>
      <c r="S401" s="272">
        <v>1</v>
      </c>
      <c r="T401" s="256">
        <f t="shared" si="110"/>
        <v>1</v>
      </c>
      <c r="U401" s="256">
        <f t="shared" si="111"/>
        <v>1</v>
      </c>
      <c r="V401" s="256">
        <f t="shared" si="112"/>
        <v>1</v>
      </c>
      <c r="W401" s="256">
        <f t="shared" si="113"/>
        <v>1</v>
      </c>
      <c r="X401" s="216"/>
      <c r="Y401" s="216"/>
    </row>
    <row r="402" spans="1:25" s="140" customFormat="1" ht="26.25" hidden="1" outlineLevel="3" thickBot="1">
      <c r="A402" s="216"/>
      <c r="B402" s="255" t="s">
        <v>587</v>
      </c>
      <c r="C402" s="290" t="s">
        <v>249</v>
      </c>
      <c r="D402" s="227" t="s">
        <v>231</v>
      </c>
      <c r="E402" s="241"/>
      <c r="F402" s="228">
        <f t="shared" si="109"/>
        <v>9.0909090909090912E-2</v>
      </c>
      <c r="G402" s="269">
        <f>+F402*G392</f>
        <v>6.4365669680237111E-5</v>
      </c>
      <c r="H402" s="299"/>
      <c r="I402" s="299"/>
      <c r="J402" s="299"/>
      <c r="K402" s="299"/>
      <c r="L402" s="299"/>
      <c r="M402" s="299"/>
      <c r="N402" s="229">
        <v>1</v>
      </c>
      <c r="O402" s="229">
        <v>1</v>
      </c>
      <c r="P402" s="229">
        <v>1</v>
      </c>
      <c r="Q402" s="272">
        <v>1</v>
      </c>
      <c r="R402" s="272">
        <v>1</v>
      </c>
      <c r="S402" s="272">
        <v>1</v>
      </c>
      <c r="T402" s="256">
        <f t="shared" si="110"/>
        <v>1</v>
      </c>
      <c r="U402" s="256">
        <f t="shared" si="111"/>
        <v>1</v>
      </c>
      <c r="V402" s="256">
        <f t="shared" si="112"/>
        <v>1</v>
      </c>
      <c r="W402" s="256">
        <f t="shared" si="113"/>
        <v>1</v>
      </c>
      <c r="X402" s="216"/>
      <c r="Y402" s="216"/>
    </row>
    <row r="403" spans="1:25" s="140" customFormat="1" ht="26.25" hidden="1" outlineLevel="3" thickBot="1">
      <c r="A403" s="216"/>
      <c r="B403" s="255" t="s">
        <v>588</v>
      </c>
      <c r="C403" s="290" t="s">
        <v>251</v>
      </c>
      <c r="D403" s="227" t="s">
        <v>231</v>
      </c>
      <c r="E403" s="241"/>
      <c r="F403" s="228">
        <f t="shared" si="109"/>
        <v>9.0909090909090912E-2</v>
      </c>
      <c r="G403" s="269">
        <f>+F403*G392</f>
        <v>6.4365669680237111E-5</v>
      </c>
      <c r="H403" s="299"/>
      <c r="I403" s="299"/>
      <c r="J403" s="299"/>
      <c r="K403" s="299"/>
      <c r="L403" s="299"/>
      <c r="M403" s="299"/>
      <c r="N403" s="229">
        <v>1</v>
      </c>
      <c r="O403" s="229">
        <v>1</v>
      </c>
      <c r="P403" s="229">
        <v>1</v>
      </c>
      <c r="Q403" s="272">
        <v>1</v>
      </c>
      <c r="R403" s="272">
        <v>1</v>
      </c>
      <c r="S403" s="272">
        <v>1</v>
      </c>
      <c r="T403" s="256">
        <f t="shared" si="110"/>
        <v>1</v>
      </c>
      <c r="U403" s="256">
        <f t="shared" si="111"/>
        <v>1</v>
      </c>
      <c r="V403" s="256">
        <f t="shared" si="112"/>
        <v>1</v>
      </c>
      <c r="W403" s="256">
        <f t="shared" si="113"/>
        <v>1</v>
      </c>
      <c r="X403" s="216"/>
      <c r="Y403" s="216"/>
    </row>
    <row r="404" spans="1:25" s="140" customFormat="1" ht="26.25" hidden="1" outlineLevel="2" thickBot="1">
      <c r="A404" s="216"/>
      <c r="B404" s="291" t="s">
        <v>589</v>
      </c>
      <c r="C404" s="292" t="s">
        <v>39</v>
      </c>
      <c r="D404" s="234" t="s">
        <v>33</v>
      </c>
      <c r="E404" s="240"/>
      <c r="F404" s="223">
        <f t="shared" si="109"/>
        <v>9.6849312518274097E-2</v>
      </c>
      <c r="G404" s="293">
        <f>+F404*G343</f>
        <v>7.5646258721623436E-4</v>
      </c>
      <c r="H404" s="298"/>
      <c r="I404" s="298"/>
      <c r="J404" s="298"/>
      <c r="K404" s="298"/>
      <c r="L404" s="298"/>
      <c r="M404" s="298"/>
      <c r="N404" s="224">
        <f t="shared" ref="N404:S404" si="115">+SUMPRODUCT($F405:$F416,N405:N416)</f>
        <v>1</v>
      </c>
      <c r="O404" s="224">
        <f t="shared" si="115"/>
        <v>1</v>
      </c>
      <c r="P404" s="224">
        <f t="shared" si="115"/>
        <v>1</v>
      </c>
      <c r="Q404" s="270">
        <f t="shared" si="115"/>
        <v>1</v>
      </c>
      <c r="R404" s="270">
        <f t="shared" si="115"/>
        <v>1</v>
      </c>
      <c r="S404" s="270">
        <f t="shared" si="115"/>
        <v>1</v>
      </c>
      <c r="T404" s="254">
        <f t="shared" si="110"/>
        <v>1</v>
      </c>
      <c r="U404" s="254">
        <f t="shared" si="111"/>
        <v>1</v>
      </c>
      <c r="V404" s="254">
        <f t="shared" si="112"/>
        <v>1</v>
      </c>
      <c r="W404" s="254">
        <f t="shared" si="113"/>
        <v>1</v>
      </c>
      <c r="X404" s="216"/>
      <c r="Y404" s="216"/>
    </row>
    <row r="405" spans="1:25" s="140" customFormat="1" ht="26.25" hidden="1" outlineLevel="3" thickBot="1">
      <c r="A405" s="216"/>
      <c r="B405" s="255" t="s">
        <v>590</v>
      </c>
      <c r="C405" s="290" t="s">
        <v>230</v>
      </c>
      <c r="D405" s="227" t="s">
        <v>231</v>
      </c>
      <c r="E405" s="241"/>
      <c r="F405" s="228">
        <f t="shared" si="109"/>
        <v>8.3333333333333329E-2</v>
      </c>
      <c r="G405" s="269">
        <f>+F405*G404</f>
        <v>6.3038548934686188E-5</v>
      </c>
      <c r="H405" s="299"/>
      <c r="I405" s="299"/>
      <c r="J405" s="299"/>
      <c r="K405" s="299"/>
      <c r="L405" s="299"/>
      <c r="M405" s="299"/>
      <c r="N405" s="229">
        <v>1</v>
      </c>
      <c r="O405" s="229">
        <v>1</v>
      </c>
      <c r="P405" s="229">
        <v>1</v>
      </c>
      <c r="Q405" s="272">
        <v>1</v>
      </c>
      <c r="R405" s="272">
        <v>1</v>
      </c>
      <c r="S405" s="272">
        <v>1</v>
      </c>
      <c r="T405" s="256">
        <f t="shared" si="110"/>
        <v>1</v>
      </c>
      <c r="U405" s="256">
        <f t="shared" si="111"/>
        <v>1</v>
      </c>
      <c r="V405" s="256">
        <f t="shared" si="112"/>
        <v>1</v>
      </c>
      <c r="W405" s="256">
        <f t="shared" si="113"/>
        <v>1</v>
      </c>
      <c r="X405" s="216"/>
      <c r="Y405" s="216"/>
    </row>
    <row r="406" spans="1:25" s="140" customFormat="1" ht="26.25" hidden="1" outlineLevel="3" thickBot="1">
      <c r="A406" s="216"/>
      <c r="B406" s="255" t="s">
        <v>591</v>
      </c>
      <c r="C406" s="290" t="s">
        <v>233</v>
      </c>
      <c r="D406" s="227" t="s">
        <v>231</v>
      </c>
      <c r="E406" s="241"/>
      <c r="F406" s="228">
        <f t="shared" si="109"/>
        <v>8.3333333333333329E-2</v>
      </c>
      <c r="G406" s="269">
        <f>+F406*G404</f>
        <v>6.3038548934686188E-5</v>
      </c>
      <c r="H406" s="299"/>
      <c r="I406" s="299"/>
      <c r="J406" s="299"/>
      <c r="K406" s="299"/>
      <c r="L406" s="299"/>
      <c r="M406" s="299"/>
      <c r="N406" s="229">
        <v>1</v>
      </c>
      <c r="O406" s="229">
        <v>1</v>
      </c>
      <c r="P406" s="229">
        <v>1</v>
      </c>
      <c r="Q406" s="272">
        <v>1</v>
      </c>
      <c r="R406" s="272">
        <v>1</v>
      </c>
      <c r="S406" s="272">
        <v>1</v>
      </c>
      <c r="T406" s="256">
        <f t="shared" si="110"/>
        <v>1</v>
      </c>
      <c r="U406" s="256">
        <f t="shared" si="111"/>
        <v>1</v>
      </c>
      <c r="V406" s="256">
        <f t="shared" si="112"/>
        <v>1</v>
      </c>
      <c r="W406" s="256">
        <f t="shared" si="113"/>
        <v>1</v>
      </c>
      <c r="X406" s="216"/>
      <c r="Y406" s="216"/>
    </row>
    <row r="407" spans="1:25" s="140" customFormat="1" ht="26.25" hidden="1" outlineLevel="3" thickBot="1">
      <c r="A407" s="216"/>
      <c r="B407" s="255" t="s">
        <v>592</v>
      </c>
      <c r="C407" s="290" t="s">
        <v>235</v>
      </c>
      <c r="D407" s="227" t="s">
        <v>231</v>
      </c>
      <c r="E407" s="241"/>
      <c r="F407" s="228">
        <f t="shared" ref="F407:F438" si="116">F783</f>
        <v>8.3333333333333329E-2</v>
      </c>
      <c r="G407" s="269">
        <f>+F407*G404</f>
        <v>6.3038548934686188E-5</v>
      </c>
      <c r="H407" s="299"/>
      <c r="I407" s="299"/>
      <c r="J407" s="299"/>
      <c r="K407" s="299"/>
      <c r="L407" s="299"/>
      <c r="M407" s="299"/>
      <c r="N407" s="229">
        <v>1</v>
      </c>
      <c r="O407" s="229">
        <v>1</v>
      </c>
      <c r="P407" s="229">
        <v>1</v>
      </c>
      <c r="Q407" s="272">
        <v>1</v>
      </c>
      <c r="R407" s="272">
        <v>1</v>
      </c>
      <c r="S407" s="272">
        <v>1</v>
      </c>
      <c r="T407" s="256">
        <f t="shared" ref="T407:T438" si="117">+IF(N407=0,0,$S407/N407)</f>
        <v>1</v>
      </c>
      <c r="U407" s="256">
        <f t="shared" ref="U407:U438" si="118">+IF(O407=0,0,$S407/O407)</f>
        <v>1</v>
      </c>
      <c r="V407" s="256">
        <f t="shared" ref="V407:V438" si="119">+IF(P407=0,0,$S407/P407)</f>
        <v>1</v>
      </c>
      <c r="W407" s="256">
        <f t="shared" si="113"/>
        <v>1</v>
      </c>
      <c r="X407" s="216"/>
      <c r="Y407" s="216"/>
    </row>
    <row r="408" spans="1:25" s="140" customFormat="1" ht="26.25" hidden="1" outlineLevel="3" thickBot="1">
      <c r="A408" s="216"/>
      <c r="B408" s="255" t="s">
        <v>593</v>
      </c>
      <c r="C408" s="290" t="s">
        <v>237</v>
      </c>
      <c r="D408" s="227" t="s">
        <v>231</v>
      </c>
      <c r="E408" s="241"/>
      <c r="F408" s="228">
        <f t="shared" si="116"/>
        <v>8.3333333333333329E-2</v>
      </c>
      <c r="G408" s="269">
        <f>+F408*G404</f>
        <v>6.3038548934686188E-5</v>
      </c>
      <c r="H408" s="299"/>
      <c r="I408" s="299"/>
      <c r="J408" s="299"/>
      <c r="K408" s="299"/>
      <c r="L408" s="299"/>
      <c r="M408" s="299"/>
      <c r="N408" s="229">
        <v>1</v>
      </c>
      <c r="O408" s="229">
        <v>1</v>
      </c>
      <c r="P408" s="229">
        <v>1</v>
      </c>
      <c r="Q408" s="272">
        <v>1</v>
      </c>
      <c r="R408" s="272">
        <v>1</v>
      </c>
      <c r="S408" s="272">
        <v>1</v>
      </c>
      <c r="T408" s="256">
        <f t="shared" si="117"/>
        <v>1</v>
      </c>
      <c r="U408" s="256">
        <f t="shared" si="118"/>
        <v>1</v>
      </c>
      <c r="V408" s="256">
        <f t="shared" si="119"/>
        <v>1</v>
      </c>
      <c r="W408" s="256">
        <f t="shared" si="113"/>
        <v>1</v>
      </c>
      <c r="X408" s="216"/>
      <c r="Y408" s="216"/>
    </row>
    <row r="409" spans="1:25" s="140" customFormat="1" ht="26.25" hidden="1" outlineLevel="3" thickBot="1">
      <c r="A409" s="216"/>
      <c r="B409" s="255" t="s">
        <v>594</v>
      </c>
      <c r="C409" s="290" t="s">
        <v>239</v>
      </c>
      <c r="D409" s="227" t="s">
        <v>231</v>
      </c>
      <c r="E409" s="241"/>
      <c r="F409" s="228">
        <f t="shared" si="116"/>
        <v>8.3333333333333329E-2</v>
      </c>
      <c r="G409" s="269">
        <f>+F409*G404</f>
        <v>6.3038548934686188E-5</v>
      </c>
      <c r="H409" s="299"/>
      <c r="I409" s="299"/>
      <c r="J409" s="299"/>
      <c r="K409" s="299"/>
      <c r="L409" s="299"/>
      <c r="M409" s="299"/>
      <c r="N409" s="229">
        <v>1</v>
      </c>
      <c r="O409" s="229">
        <v>1</v>
      </c>
      <c r="P409" s="229">
        <v>1</v>
      </c>
      <c r="Q409" s="272">
        <v>1</v>
      </c>
      <c r="R409" s="272">
        <v>1</v>
      </c>
      <c r="S409" s="272">
        <v>1</v>
      </c>
      <c r="T409" s="256">
        <f t="shared" si="117"/>
        <v>1</v>
      </c>
      <c r="U409" s="256">
        <f t="shared" si="118"/>
        <v>1</v>
      </c>
      <c r="V409" s="256">
        <f t="shared" si="119"/>
        <v>1</v>
      </c>
      <c r="W409" s="256">
        <f t="shared" si="113"/>
        <v>1</v>
      </c>
      <c r="X409" s="216"/>
      <c r="Y409" s="216"/>
    </row>
    <row r="410" spans="1:25" s="140" customFormat="1" ht="26.25" hidden="1" outlineLevel="3" thickBot="1">
      <c r="A410" s="216"/>
      <c r="B410" s="255" t="s">
        <v>595</v>
      </c>
      <c r="C410" s="290" t="s">
        <v>241</v>
      </c>
      <c r="D410" s="227" t="s">
        <v>231</v>
      </c>
      <c r="E410" s="241"/>
      <c r="F410" s="228">
        <f t="shared" si="116"/>
        <v>8.3333333333333329E-2</v>
      </c>
      <c r="G410" s="269">
        <f>+F410*G404</f>
        <v>6.3038548934686188E-5</v>
      </c>
      <c r="H410" s="299"/>
      <c r="I410" s="299"/>
      <c r="J410" s="299"/>
      <c r="K410" s="299"/>
      <c r="L410" s="299"/>
      <c r="M410" s="299"/>
      <c r="N410" s="229">
        <v>1</v>
      </c>
      <c r="O410" s="229">
        <v>1</v>
      </c>
      <c r="P410" s="229">
        <v>1</v>
      </c>
      <c r="Q410" s="272">
        <v>1</v>
      </c>
      <c r="R410" s="272">
        <v>1</v>
      </c>
      <c r="S410" s="272">
        <v>1</v>
      </c>
      <c r="T410" s="256">
        <f t="shared" si="117"/>
        <v>1</v>
      </c>
      <c r="U410" s="256">
        <f t="shared" si="118"/>
        <v>1</v>
      </c>
      <c r="V410" s="256">
        <f t="shared" si="119"/>
        <v>1</v>
      </c>
      <c r="W410" s="256">
        <f t="shared" si="113"/>
        <v>1</v>
      </c>
      <c r="X410" s="216"/>
      <c r="Y410" s="216"/>
    </row>
    <row r="411" spans="1:25" s="140" customFormat="1" ht="26.25" hidden="1" outlineLevel="3" thickBot="1">
      <c r="A411" s="216"/>
      <c r="B411" s="255" t="s">
        <v>596</v>
      </c>
      <c r="C411" s="290" t="s">
        <v>243</v>
      </c>
      <c r="D411" s="227" t="s">
        <v>231</v>
      </c>
      <c r="E411" s="241"/>
      <c r="F411" s="228">
        <f t="shared" si="116"/>
        <v>8.3333333333333329E-2</v>
      </c>
      <c r="G411" s="269">
        <f>+F411*G404</f>
        <v>6.3038548934686188E-5</v>
      </c>
      <c r="H411" s="299"/>
      <c r="I411" s="299"/>
      <c r="J411" s="299"/>
      <c r="K411" s="299"/>
      <c r="L411" s="299"/>
      <c r="M411" s="299"/>
      <c r="N411" s="229">
        <v>1</v>
      </c>
      <c r="O411" s="229">
        <v>1</v>
      </c>
      <c r="P411" s="229">
        <v>1</v>
      </c>
      <c r="Q411" s="272">
        <v>1</v>
      </c>
      <c r="R411" s="272">
        <v>1</v>
      </c>
      <c r="S411" s="272">
        <v>1</v>
      </c>
      <c r="T411" s="256">
        <f t="shared" si="117"/>
        <v>1</v>
      </c>
      <c r="U411" s="256">
        <f t="shared" si="118"/>
        <v>1</v>
      </c>
      <c r="V411" s="256">
        <f t="shared" si="119"/>
        <v>1</v>
      </c>
      <c r="W411" s="256">
        <f t="shared" si="113"/>
        <v>1</v>
      </c>
      <c r="X411" s="216"/>
      <c r="Y411" s="216"/>
    </row>
    <row r="412" spans="1:25" s="140" customFormat="1" ht="26.25" hidden="1" outlineLevel="3" thickBot="1">
      <c r="A412" s="216"/>
      <c r="B412" s="255" t="s">
        <v>597</v>
      </c>
      <c r="C412" s="290" t="s">
        <v>245</v>
      </c>
      <c r="D412" s="227" t="s">
        <v>231</v>
      </c>
      <c r="E412" s="241"/>
      <c r="F412" s="228">
        <f t="shared" si="116"/>
        <v>8.3333333333333329E-2</v>
      </c>
      <c r="G412" s="269">
        <f>+F412*G404</f>
        <v>6.3038548934686188E-5</v>
      </c>
      <c r="H412" s="299"/>
      <c r="I412" s="299"/>
      <c r="J412" s="299"/>
      <c r="K412" s="299"/>
      <c r="L412" s="299"/>
      <c r="M412" s="299"/>
      <c r="N412" s="229">
        <v>1</v>
      </c>
      <c r="O412" s="229">
        <v>1</v>
      </c>
      <c r="P412" s="229">
        <v>1</v>
      </c>
      <c r="Q412" s="272">
        <v>1</v>
      </c>
      <c r="R412" s="272">
        <v>1</v>
      </c>
      <c r="S412" s="272">
        <v>1</v>
      </c>
      <c r="T412" s="256">
        <f t="shared" si="117"/>
        <v>1</v>
      </c>
      <c r="U412" s="256">
        <f t="shared" si="118"/>
        <v>1</v>
      </c>
      <c r="V412" s="256">
        <f t="shared" si="119"/>
        <v>1</v>
      </c>
      <c r="W412" s="256">
        <f t="shared" si="113"/>
        <v>1</v>
      </c>
      <c r="X412" s="216"/>
      <c r="Y412" s="216"/>
    </row>
    <row r="413" spans="1:25" s="140" customFormat="1" ht="26.25" hidden="1" outlineLevel="3" thickBot="1">
      <c r="A413" s="216"/>
      <c r="B413" s="255" t="s">
        <v>598</v>
      </c>
      <c r="C413" s="290" t="s">
        <v>247</v>
      </c>
      <c r="D413" s="227" t="s">
        <v>231</v>
      </c>
      <c r="E413" s="241"/>
      <c r="F413" s="228">
        <f t="shared" si="116"/>
        <v>8.3333333333333329E-2</v>
      </c>
      <c r="G413" s="269">
        <f>+F413*G404</f>
        <v>6.3038548934686188E-5</v>
      </c>
      <c r="H413" s="299"/>
      <c r="I413" s="299"/>
      <c r="J413" s="299"/>
      <c r="K413" s="299"/>
      <c r="L413" s="299"/>
      <c r="M413" s="299"/>
      <c r="N413" s="229">
        <v>1</v>
      </c>
      <c r="O413" s="229">
        <v>1</v>
      </c>
      <c r="P413" s="229">
        <v>1</v>
      </c>
      <c r="Q413" s="272">
        <v>1</v>
      </c>
      <c r="R413" s="272">
        <v>1</v>
      </c>
      <c r="S413" s="272">
        <v>1</v>
      </c>
      <c r="T413" s="256">
        <f t="shared" si="117"/>
        <v>1</v>
      </c>
      <c r="U413" s="256">
        <f t="shared" si="118"/>
        <v>1</v>
      </c>
      <c r="V413" s="256">
        <f t="shared" si="119"/>
        <v>1</v>
      </c>
      <c r="W413" s="256">
        <f t="shared" si="113"/>
        <v>1</v>
      </c>
      <c r="X413" s="216"/>
      <c r="Y413" s="216"/>
    </row>
    <row r="414" spans="1:25" s="140" customFormat="1" ht="26.25" hidden="1" outlineLevel="3" thickBot="1">
      <c r="A414" s="216"/>
      <c r="B414" s="255" t="s">
        <v>599</v>
      </c>
      <c r="C414" s="290" t="s">
        <v>249</v>
      </c>
      <c r="D414" s="227" t="s">
        <v>231</v>
      </c>
      <c r="E414" s="241"/>
      <c r="F414" s="228">
        <f t="shared" si="116"/>
        <v>8.3333333333333329E-2</v>
      </c>
      <c r="G414" s="269">
        <f>+F414*G404</f>
        <v>6.3038548934686188E-5</v>
      </c>
      <c r="H414" s="299"/>
      <c r="I414" s="299"/>
      <c r="J414" s="299"/>
      <c r="K414" s="299"/>
      <c r="L414" s="299"/>
      <c r="M414" s="299"/>
      <c r="N414" s="229">
        <v>1</v>
      </c>
      <c r="O414" s="229">
        <v>1</v>
      </c>
      <c r="P414" s="229">
        <v>1</v>
      </c>
      <c r="Q414" s="272">
        <v>1</v>
      </c>
      <c r="R414" s="272">
        <v>1</v>
      </c>
      <c r="S414" s="272">
        <v>1</v>
      </c>
      <c r="T414" s="256">
        <f t="shared" si="117"/>
        <v>1</v>
      </c>
      <c r="U414" s="256">
        <f t="shared" si="118"/>
        <v>1</v>
      </c>
      <c r="V414" s="256">
        <f t="shared" si="119"/>
        <v>1</v>
      </c>
      <c r="W414" s="256">
        <f t="shared" si="113"/>
        <v>1</v>
      </c>
      <c r="X414" s="216"/>
      <c r="Y414" s="216"/>
    </row>
    <row r="415" spans="1:25" s="140" customFormat="1" ht="26.25" hidden="1" outlineLevel="3" thickBot="1">
      <c r="A415" s="216"/>
      <c r="B415" s="255" t="s">
        <v>600</v>
      </c>
      <c r="C415" s="290" t="s">
        <v>251</v>
      </c>
      <c r="D415" s="227" t="s">
        <v>231</v>
      </c>
      <c r="E415" s="241"/>
      <c r="F415" s="228">
        <f t="shared" si="116"/>
        <v>8.3333333333333329E-2</v>
      </c>
      <c r="G415" s="269">
        <f>+F415*G404</f>
        <v>6.3038548934686188E-5</v>
      </c>
      <c r="H415" s="299"/>
      <c r="I415" s="299"/>
      <c r="J415" s="299"/>
      <c r="K415" s="299"/>
      <c r="L415" s="299"/>
      <c r="M415" s="299"/>
      <c r="N415" s="229">
        <v>1</v>
      </c>
      <c r="O415" s="229">
        <v>1</v>
      </c>
      <c r="P415" s="229">
        <v>1</v>
      </c>
      <c r="Q415" s="272">
        <v>1</v>
      </c>
      <c r="R415" s="272">
        <v>1</v>
      </c>
      <c r="S415" s="272">
        <v>1</v>
      </c>
      <c r="T415" s="256">
        <f t="shared" si="117"/>
        <v>1</v>
      </c>
      <c r="U415" s="256">
        <f t="shared" si="118"/>
        <v>1</v>
      </c>
      <c r="V415" s="256">
        <f t="shared" si="119"/>
        <v>1</v>
      </c>
      <c r="W415" s="256">
        <f t="shared" si="113"/>
        <v>1</v>
      </c>
      <c r="X415" s="216"/>
      <c r="Y415" s="216"/>
    </row>
    <row r="416" spans="1:25" s="140" customFormat="1" ht="26.25" hidden="1" outlineLevel="3" thickBot="1">
      <c r="A416" s="216"/>
      <c r="B416" s="255" t="s">
        <v>601</v>
      </c>
      <c r="C416" s="290" t="s">
        <v>253</v>
      </c>
      <c r="D416" s="227" t="s">
        <v>231</v>
      </c>
      <c r="E416" s="241"/>
      <c r="F416" s="228">
        <f t="shared" si="116"/>
        <v>8.3333333333333329E-2</v>
      </c>
      <c r="G416" s="269">
        <f>+F416*G404</f>
        <v>6.3038548934686188E-5</v>
      </c>
      <c r="H416" s="299"/>
      <c r="I416" s="299"/>
      <c r="J416" s="299"/>
      <c r="K416" s="299"/>
      <c r="L416" s="299"/>
      <c r="M416" s="299"/>
      <c r="N416" s="229">
        <v>1</v>
      </c>
      <c r="O416" s="229">
        <v>1</v>
      </c>
      <c r="P416" s="229">
        <v>1</v>
      </c>
      <c r="Q416" s="272">
        <v>1</v>
      </c>
      <c r="R416" s="272">
        <v>1</v>
      </c>
      <c r="S416" s="272">
        <v>1</v>
      </c>
      <c r="T416" s="256">
        <f t="shared" si="117"/>
        <v>1</v>
      </c>
      <c r="U416" s="256">
        <f t="shared" si="118"/>
        <v>1</v>
      </c>
      <c r="V416" s="256">
        <f t="shared" si="119"/>
        <v>1</v>
      </c>
      <c r="W416" s="256">
        <f t="shared" si="113"/>
        <v>1</v>
      </c>
      <c r="X416" s="216"/>
      <c r="Y416" s="216"/>
    </row>
    <row r="417" spans="1:25" s="140" customFormat="1" ht="26.25" hidden="1" outlineLevel="2" thickBot="1">
      <c r="A417" s="216"/>
      <c r="B417" s="291" t="s">
        <v>602</v>
      </c>
      <c r="C417" s="292" t="s">
        <v>41</v>
      </c>
      <c r="D417" s="234" t="s">
        <v>33</v>
      </c>
      <c r="E417" s="240"/>
      <c r="F417" s="223">
        <f t="shared" si="116"/>
        <v>0.11049772843953055</v>
      </c>
      <c r="G417" s="293">
        <f>+F417*G343</f>
        <v>8.6306650365858197E-4</v>
      </c>
      <c r="H417" s="298"/>
      <c r="I417" s="298"/>
      <c r="J417" s="298"/>
      <c r="K417" s="298"/>
      <c r="L417" s="298"/>
      <c r="M417" s="298"/>
      <c r="N417" s="224">
        <f t="shared" ref="N417:S417" si="120">+SUMPRODUCT($F418:$F431,N418:N431)</f>
        <v>0.99999999999999967</v>
      </c>
      <c r="O417" s="224">
        <f t="shared" si="120"/>
        <v>0.99999999999999967</v>
      </c>
      <c r="P417" s="224">
        <f t="shared" si="120"/>
        <v>0.99999999999999967</v>
      </c>
      <c r="Q417" s="270">
        <f t="shared" si="120"/>
        <v>0.99999999999999967</v>
      </c>
      <c r="R417" s="270">
        <f t="shared" si="120"/>
        <v>0.99999999999999967</v>
      </c>
      <c r="S417" s="270">
        <f t="shared" si="120"/>
        <v>0.99999999999999967</v>
      </c>
      <c r="T417" s="254">
        <f t="shared" si="117"/>
        <v>1</v>
      </c>
      <c r="U417" s="254">
        <f t="shared" si="118"/>
        <v>1</v>
      </c>
      <c r="V417" s="254">
        <f t="shared" si="119"/>
        <v>1</v>
      </c>
      <c r="W417" s="254">
        <f t="shared" si="113"/>
        <v>1</v>
      </c>
      <c r="X417" s="216"/>
      <c r="Y417" s="216"/>
    </row>
    <row r="418" spans="1:25" s="140" customFormat="1" ht="26.25" hidden="1" outlineLevel="3" thickBot="1">
      <c r="A418" s="216"/>
      <c r="B418" s="255" t="s">
        <v>603</v>
      </c>
      <c r="C418" s="290" t="s">
        <v>230</v>
      </c>
      <c r="D418" s="227" t="s">
        <v>231</v>
      </c>
      <c r="E418" s="241"/>
      <c r="F418" s="228">
        <f t="shared" si="116"/>
        <v>7.1428571428571411E-2</v>
      </c>
      <c r="G418" s="269">
        <f>+F418*G417</f>
        <v>6.1647607404184405E-5</v>
      </c>
      <c r="H418" s="299"/>
      <c r="I418" s="299"/>
      <c r="J418" s="299"/>
      <c r="K418" s="299"/>
      <c r="L418" s="299"/>
      <c r="M418" s="299"/>
      <c r="N418" s="229">
        <v>1</v>
      </c>
      <c r="O418" s="229">
        <v>1</v>
      </c>
      <c r="P418" s="229">
        <v>1</v>
      </c>
      <c r="Q418" s="272">
        <v>1</v>
      </c>
      <c r="R418" s="272">
        <v>1</v>
      </c>
      <c r="S418" s="272">
        <v>1</v>
      </c>
      <c r="T418" s="256">
        <f t="shared" si="117"/>
        <v>1</v>
      </c>
      <c r="U418" s="256">
        <f t="shared" si="118"/>
        <v>1</v>
      </c>
      <c r="V418" s="256">
        <f t="shared" si="119"/>
        <v>1</v>
      </c>
      <c r="W418" s="256">
        <f t="shared" si="113"/>
        <v>1</v>
      </c>
      <c r="X418" s="216"/>
      <c r="Y418" s="216"/>
    </row>
    <row r="419" spans="1:25" s="140" customFormat="1" ht="26.25" hidden="1" outlineLevel="3" thickBot="1">
      <c r="A419" s="216"/>
      <c r="B419" s="255" t="s">
        <v>604</v>
      </c>
      <c r="C419" s="290" t="s">
        <v>233</v>
      </c>
      <c r="D419" s="227" t="s">
        <v>231</v>
      </c>
      <c r="E419" s="241"/>
      <c r="F419" s="228">
        <f t="shared" si="116"/>
        <v>7.1428571428571411E-2</v>
      </c>
      <c r="G419" s="269">
        <f>+F419*G417</f>
        <v>6.1647607404184405E-5</v>
      </c>
      <c r="H419" s="299"/>
      <c r="I419" s="299"/>
      <c r="J419" s="299"/>
      <c r="K419" s="299"/>
      <c r="L419" s="299"/>
      <c r="M419" s="299"/>
      <c r="N419" s="229">
        <v>1</v>
      </c>
      <c r="O419" s="229">
        <v>1</v>
      </c>
      <c r="P419" s="229">
        <v>1</v>
      </c>
      <c r="Q419" s="272">
        <v>1</v>
      </c>
      <c r="R419" s="272">
        <v>1</v>
      </c>
      <c r="S419" s="272">
        <v>1</v>
      </c>
      <c r="T419" s="256">
        <f t="shared" si="117"/>
        <v>1</v>
      </c>
      <c r="U419" s="256">
        <f t="shared" si="118"/>
        <v>1</v>
      </c>
      <c r="V419" s="256">
        <f t="shared" si="119"/>
        <v>1</v>
      </c>
      <c r="W419" s="256">
        <f t="shared" si="113"/>
        <v>1</v>
      </c>
      <c r="X419" s="216"/>
      <c r="Y419" s="216"/>
    </row>
    <row r="420" spans="1:25" s="140" customFormat="1" ht="26.25" hidden="1" outlineLevel="3" thickBot="1">
      <c r="A420" s="216"/>
      <c r="B420" s="255" t="s">
        <v>605</v>
      </c>
      <c r="C420" s="290" t="s">
        <v>235</v>
      </c>
      <c r="D420" s="227" t="s">
        <v>231</v>
      </c>
      <c r="E420" s="241"/>
      <c r="F420" s="228">
        <f t="shared" si="116"/>
        <v>7.1428571428571411E-2</v>
      </c>
      <c r="G420" s="269">
        <f>+F420*G417</f>
        <v>6.1647607404184405E-5</v>
      </c>
      <c r="H420" s="299"/>
      <c r="I420" s="299"/>
      <c r="J420" s="299"/>
      <c r="K420" s="299"/>
      <c r="L420" s="299"/>
      <c r="M420" s="299"/>
      <c r="N420" s="229">
        <v>1</v>
      </c>
      <c r="O420" s="229">
        <v>1</v>
      </c>
      <c r="P420" s="229">
        <v>1</v>
      </c>
      <c r="Q420" s="272">
        <v>1</v>
      </c>
      <c r="R420" s="272">
        <v>1</v>
      </c>
      <c r="S420" s="272">
        <v>1</v>
      </c>
      <c r="T420" s="256">
        <f t="shared" si="117"/>
        <v>1</v>
      </c>
      <c r="U420" s="256">
        <f t="shared" si="118"/>
        <v>1</v>
      </c>
      <c r="V420" s="256">
        <f t="shared" si="119"/>
        <v>1</v>
      </c>
      <c r="W420" s="256">
        <f t="shared" si="113"/>
        <v>1</v>
      </c>
      <c r="X420" s="216"/>
      <c r="Y420" s="216"/>
    </row>
    <row r="421" spans="1:25" s="140" customFormat="1" ht="26.25" hidden="1" outlineLevel="3" thickBot="1">
      <c r="A421" s="216"/>
      <c r="B421" s="255" t="s">
        <v>606</v>
      </c>
      <c r="C421" s="290" t="s">
        <v>237</v>
      </c>
      <c r="D421" s="227" t="s">
        <v>231</v>
      </c>
      <c r="E421" s="241"/>
      <c r="F421" s="228">
        <f t="shared" si="116"/>
        <v>7.1428571428571411E-2</v>
      </c>
      <c r="G421" s="269">
        <f>+F421*G417</f>
        <v>6.1647607404184405E-5</v>
      </c>
      <c r="H421" s="299"/>
      <c r="I421" s="299"/>
      <c r="J421" s="299"/>
      <c r="K421" s="299"/>
      <c r="L421" s="299"/>
      <c r="M421" s="299"/>
      <c r="N421" s="229">
        <v>1</v>
      </c>
      <c r="O421" s="229">
        <v>1</v>
      </c>
      <c r="P421" s="229">
        <v>1</v>
      </c>
      <c r="Q421" s="272">
        <v>1</v>
      </c>
      <c r="R421" s="272">
        <v>1</v>
      </c>
      <c r="S421" s="272">
        <v>1</v>
      </c>
      <c r="T421" s="256">
        <f t="shared" si="117"/>
        <v>1</v>
      </c>
      <c r="U421" s="256">
        <f t="shared" si="118"/>
        <v>1</v>
      </c>
      <c r="V421" s="256">
        <f t="shared" si="119"/>
        <v>1</v>
      </c>
      <c r="W421" s="256">
        <f t="shared" si="113"/>
        <v>1</v>
      </c>
      <c r="X421" s="216"/>
      <c r="Y421" s="216"/>
    </row>
    <row r="422" spans="1:25" s="140" customFormat="1" ht="26.25" hidden="1" outlineLevel="3" thickBot="1">
      <c r="A422" s="216"/>
      <c r="B422" s="255" t="s">
        <v>607</v>
      </c>
      <c r="C422" s="290" t="s">
        <v>239</v>
      </c>
      <c r="D422" s="227" t="s">
        <v>231</v>
      </c>
      <c r="E422" s="241"/>
      <c r="F422" s="228">
        <f t="shared" si="116"/>
        <v>7.1428571428571411E-2</v>
      </c>
      <c r="G422" s="269">
        <f>+F422*G417</f>
        <v>6.1647607404184405E-5</v>
      </c>
      <c r="H422" s="299"/>
      <c r="I422" s="299"/>
      <c r="J422" s="299"/>
      <c r="K422" s="299"/>
      <c r="L422" s="299"/>
      <c r="M422" s="299"/>
      <c r="N422" s="229">
        <v>1</v>
      </c>
      <c r="O422" s="229">
        <v>1</v>
      </c>
      <c r="P422" s="229">
        <v>1</v>
      </c>
      <c r="Q422" s="272">
        <v>1</v>
      </c>
      <c r="R422" s="272">
        <v>1</v>
      </c>
      <c r="S422" s="272">
        <v>1</v>
      </c>
      <c r="T422" s="256">
        <f t="shared" si="117"/>
        <v>1</v>
      </c>
      <c r="U422" s="256">
        <f t="shared" si="118"/>
        <v>1</v>
      </c>
      <c r="V422" s="256">
        <f t="shared" si="119"/>
        <v>1</v>
      </c>
      <c r="W422" s="256">
        <f t="shared" si="113"/>
        <v>1</v>
      </c>
      <c r="X422" s="216"/>
      <c r="Y422" s="216"/>
    </row>
    <row r="423" spans="1:25" s="140" customFormat="1" ht="26.25" hidden="1" outlineLevel="3" thickBot="1">
      <c r="A423" s="216"/>
      <c r="B423" s="255" t="s">
        <v>608</v>
      </c>
      <c r="C423" s="290" t="s">
        <v>241</v>
      </c>
      <c r="D423" s="227" t="s">
        <v>231</v>
      </c>
      <c r="E423" s="241"/>
      <c r="F423" s="228">
        <f t="shared" si="116"/>
        <v>7.1428571428571411E-2</v>
      </c>
      <c r="G423" s="269">
        <f>+F423*G417</f>
        <v>6.1647607404184405E-5</v>
      </c>
      <c r="H423" s="299"/>
      <c r="I423" s="299"/>
      <c r="J423" s="299"/>
      <c r="K423" s="299"/>
      <c r="L423" s="299"/>
      <c r="M423" s="299"/>
      <c r="N423" s="229">
        <v>1</v>
      </c>
      <c r="O423" s="229">
        <v>1</v>
      </c>
      <c r="P423" s="229">
        <v>1</v>
      </c>
      <c r="Q423" s="272">
        <v>1</v>
      </c>
      <c r="R423" s="272">
        <v>1</v>
      </c>
      <c r="S423" s="272">
        <v>1</v>
      </c>
      <c r="T423" s="256">
        <f t="shared" si="117"/>
        <v>1</v>
      </c>
      <c r="U423" s="256">
        <f t="shared" si="118"/>
        <v>1</v>
      </c>
      <c r="V423" s="256">
        <f t="shared" si="119"/>
        <v>1</v>
      </c>
      <c r="W423" s="256">
        <f t="shared" si="113"/>
        <v>1</v>
      </c>
      <c r="X423" s="216"/>
      <c r="Y423" s="216"/>
    </row>
    <row r="424" spans="1:25" s="140" customFormat="1" ht="26.25" hidden="1" outlineLevel="3" thickBot="1">
      <c r="A424" s="216"/>
      <c r="B424" s="255" t="s">
        <v>609</v>
      </c>
      <c r="C424" s="290" t="s">
        <v>243</v>
      </c>
      <c r="D424" s="227" t="s">
        <v>231</v>
      </c>
      <c r="E424" s="241"/>
      <c r="F424" s="228">
        <f t="shared" si="116"/>
        <v>7.1428571428571411E-2</v>
      </c>
      <c r="G424" s="269">
        <f>+F424*G417</f>
        <v>6.1647607404184405E-5</v>
      </c>
      <c r="H424" s="299"/>
      <c r="I424" s="299"/>
      <c r="J424" s="299"/>
      <c r="K424" s="299"/>
      <c r="L424" s="299"/>
      <c r="M424" s="299"/>
      <c r="N424" s="229">
        <v>1</v>
      </c>
      <c r="O424" s="229">
        <v>1</v>
      </c>
      <c r="P424" s="229">
        <v>1</v>
      </c>
      <c r="Q424" s="272">
        <v>1</v>
      </c>
      <c r="R424" s="272">
        <v>1</v>
      </c>
      <c r="S424" s="272">
        <v>1</v>
      </c>
      <c r="T424" s="256">
        <f t="shared" si="117"/>
        <v>1</v>
      </c>
      <c r="U424" s="256">
        <f t="shared" si="118"/>
        <v>1</v>
      </c>
      <c r="V424" s="256">
        <f t="shared" si="119"/>
        <v>1</v>
      </c>
      <c r="W424" s="256">
        <f t="shared" si="113"/>
        <v>1</v>
      </c>
      <c r="X424" s="216"/>
      <c r="Y424" s="216"/>
    </row>
    <row r="425" spans="1:25" s="140" customFormat="1" ht="26.25" hidden="1" outlineLevel="3" thickBot="1">
      <c r="A425" s="216"/>
      <c r="B425" s="255" t="s">
        <v>610</v>
      </c>
      <c r="C425" s="290" t="s">
        <v>245</v>
      </c>
      <c r="D425" s="227" t="s">
        <v>231</v>
      </c>
      <c r="E425" s="241"/>
      <c r="F425" s="228">
        <f t="shared" si="116"/>
        <v>7.1428571428571411E-2</v>
      </c>
      <c r="G425" s="269">
        <f>+F425*G417</f>
        <v>6.1647607404184405E-5</v>
      </c>
      <c r="H425" s="299"/>
      <c r="I425" s="299"/>
      <c r="J425" s="299"/>
      <c r="K425" s="299"/>
      <c r="L425" s="299"/>
      <c r="M425" s="299"/>
      <c r="N425" s="229">
        <v>1</v>
      </c>
      <c r="O425" s="229">
        <v>1</v>
      </c>
      <c r="P425" s="229">
        <v>1</v>
      </c>
      <c r="Q425" s="272">
        <v>1</v>
      </c>
      <c r="R425" s="272">
        <v>1</v>
      </c>
      <c r="S425" s="272">
        <v>1</v>
      </c>
      <c r="T425" s="256">
        <f t="shared" si="117"/>
        <v>1</v>
      </c>
      <c r="U425" s="256">
        <f t="shared" si="118"/>
        <v>1</v>
      </c>
      <c r="V425" s="256">
        <f t="shared" si="119"/>
        <v>1</v>
      </c>
      <c r="W425" s="256">
        <f t="shared" si="113"/>
        <v>1</v>
      </c>
      <c r="X425" s="216"/>
      <c r="Y425" s="216"/>
    </row>
    <row r="426" spans="1:25" s="140" customFormat="1" ht="26.25" hidden="1" outlineLevel="3" thickBot="1">
      <c r="A426" s="216"/>
      <c r="B426" s="255" t="s">
        <v>611</v>
      </c>
      <c r="C426" s="290" t="s">
        <v>247</v>
      </c>
      <c r="D426" s="227" t="s">
        <v>231</v>
      </c>
      <c r="E426" s="241"/>
      <c r="F426" s="228">
        <f t="shared" si="116"/>
        <v>7.1428571428571411E-2</v>
      </c>
      <c r="G426" s="269">
        <f>+F426*G417</f>
        <v>6.1647607404184405E-5</v>
      </c>
      <c r="H426" s="299"/>
      <c r="I426" s="299"/>
      <c r="J426" s="299"/>
      <c r="K426" s="299"/>
      <c r="L426" s="299"/>
      <c r="M426" s="299"/>
      <c r="N426" s="229">
        <v>1</v>
      </c>
      <c r="O426" s="229">
        <v>1</v>
      </c>
      <c r="P426" s="229">
        <v>1</v>
      </c>
      <c r="Q426" s="272">
        <v>1</v>
      </c>
      <c r="R426" s="272">
        <v>1</v>
      </c>
      <c r="S426" s="272">
        <v>1</v>
      </c>
      <c r="T426" s="256">
        <f t="shared" si="117"/>
        <v>1</v>
      </c>
      <c r="U426" s="256">
        <f t="shared" si="118"/>
        <v>1</v>
      </c>
      <c r="V426" s="256">
        <f t="shared" si="119"/>
        <v>1</v>
      </c>
      <c r="W426" s="256">
        <f t="shared" si="113"/>
        <v>1</v>
      </c>
      <c r="X426" s="216"/>
      <c r="Y426" s="216"/>
    </row>
    <row r="427" spans="1:25" s="140" customFormat="1" ht="26.25" hidden="1" outlineLevel="3" thickBot="1">
      <c r="A427" s="216"/>
      <c r="B427" s="255" t="s">
        <v>612</v>
      </c>
      <c r="C427" s="290" t="s">
        <v>249</v>
      </c>
      <c r="D427" s="227" t="s">
        <v>231</v>
      </c>
      <c r="E427" s="241"/>
      <c r="F427" s="228">
        <f t="shared" si="116"/>
        <v>7.1428571428571411E-2</v>
      </c>
      <c r="G427" s="269">
        <f>+F427*G417</f>
        <v>6.1647607404184405E-5</v>
      </c>
      <c r="H427" s="299"/>
      <c r="I427" s="299"/>
      <c r="J427" s="299"/>
      <c r="K427" s="299"/>
      <c r="L427" s="299"/>
      <c r="M427" s="299"/>
      <c r="N427" s="229">
        <v>1</v>
      </c>
      <c r="O427" s="229">
        <v>1</v>
      </c>
      <c r="P427" s="229">
        <v>1</v>
      </c>
      <c r="Q427" s="272">
        <v>1</v>
      </c>
      <c r="R427" s="272">
        <v>1</v>
      </c>
      <c r="S427" s="272">
        <v>1</v>
      </c>
      <c r="T427" s="256">
        <f t="shared" si="117"/>
        <v>1</v>
      </c>
      <c r="U427" s="256">
        <f t="shared" si="118"/>
        <v>1</v>
      </c>
      <c r="V427" s="256">
        <f t="shared" si="119"/>
        <v>1</v>
      </c>
      <c r="W427" s="256">
        <f t="shared" si="113"/>
        <v>1</v>
      </c>
      <c r="X427" s="216"/>
      <c r="Y427" s="216"/>
    </row>
    <row r="428" spans="1:25" s="140" customFormat="1" ht="26.25" hidden="1" outlineLevel="3" thickBot="1">
      <c r="A428" s="216"/>
      <c r="B428" s="255" t="s">
        <v>613</v>
      </c>
      <c r="C428" s="290" t="s">
        <v>251</v>
      </c>
      <c r="D428" s="227" t="s">
        <v>231</v>
      </c>
      <c r="E428" s="241"/>
      <c r="F428" s="228">
        <f t="shared" si="116"/>
        <v>7.1428571428571411E-2</v>
      </c>
      <c r="G428" s="269">
        <f>+F428*G417</f>
        <v>6.1647607404184405E-5</v>
      </c>
      <c r="H428" s="299"/>
      <c r="I428" s="299"/>
      <c r="J428" s="299"/>
      <c r="K428" s="299"/>
      <c r="L428" s="299"/>
      <c r="M428" s="299"/>
      <c r="N428" s="229">
        <v>1</v>
      </c>
      <c r="O428" s="229">
        <v>1</v>
      </c>
      <c r="P428" s="229">
        <v>1</v>
      </c>
      <c r="Q428" s="272">
        <v>1</v>
      </c>
      <c r="R428" s="272">
        <v>1</v>
      </c>
      <c r="S428" s="272">
        <v>1</v>
      </c>
      <c r="T428" s="256">
        <f t="shared" si="117"/>
        <v>1</v>
      </c>
      <c r="U428" s="256">
        <f t="shared" si="118"/>
        <v>1</v>
      </c>
      <c r="V428" s="256">
        <f t="shared" si="119"/>
        <v>1</v>
      </c>
      <c r="W428" s="256">
        <f t="shared" si="113"/>
        <v>1</v>
      </c>
      <c r="X428" s="216"/>
      <c r="Y428" s="216"/>
    </row>
    <row r="429" spans="1:25" s="140" customFormat="1" ht="26.25" hidden="1" outlineLevel="3" thickBot="1">
      <c r="A429" s="216"/>
      <c r="B429" s="255" t="s">
        <v>614</v>
      </c>
      <c r="C429" s="290" t="s">
        <v>253</v>
      </c>
      <c r="D429" s="227" t="s">
        <v>231</v>
      </c>
      <c r="E429" s="241"/>
      <c r="F429" s="228">
        <f t="shared" si="116"/>
        <v>7.1428571428571411E-2</v>
      </c>
      <c r="G429" s="269">
        <f>+F429*G417</f>
        <v>6.1647607404184405E-5</v>
      </c>
      <c r="H429" s="299"/>
      <c r="I429" s="299"/>
      <c r="J429" s="299"/>
      <c r="K429" s="299"/>
      <c r="L429" s="299"/>
      <c r="M429" s="299"/>
      <c r="N429" s="229">
        <v>1</v>
      </c>
      <c r="O429" s="229">
        <v>1</v>
      </c>
      <c r="P429" s="229">
        <v>1</v>
      </c>
      <c r="Q429" s="272">
        <v>1</v>
      </c>
      <c r="R429" s="272">
        <v>1</v>
      </c>
      <c r="S429" s="272">
        <v>1</v>
      </c>
      <c r="T429" s="256">
        <f t="shared" si="117"/>
        <v>1</v>
      </c>
      <c r="U429" s="256">
        <f t="shared" si="118"/>
        <v>1</v>
      </c>
      <c r="V429" s="256">
        <f t="shared" si="119"/>
        <v>1</v>
      </c>
      <c r="W429" s="256">
        <f t="shared" si="113"/>
        <v>1</v>
      </c>
      <c r="X429" s="216"/>
      <c r="Y429" s="216"/>
    </row>
    <row r="430" spans="1:25" s="140" customFormat="1" ht="26.25" hidden="1" outlineLevel="3" thickBot="1">
      <c r="A430" s="216"/>
      <c r="B430" s="255" t="s">
        <v>615</v>
      </c>
      <c r="C430" s="290" t="s">
        <v>285</v>
      </c>
      <c r="D430" s="227" t="s">
        <v>231</v>
      </c>
      <c r="E430" s="241"/>
      <c r="F430" s="228">
        <f t="shared" si="116"/>
        <v>7.1428571428571411E-2</v>
      </c>
      <c r="G430" s="269">
        <f>+F430*G417</f>
        <v>6.1647607404184405E-5</v>
      </c>
      <c r="H430" s="299"/>
      <c r="I430" s="299"/>
      <c r="J430" s="299"/>
      <c r="K430" s="299"/>
      <c r="L430" s="299"/>
      <c r="M430" s="299"/>
      <c r="N430" s="229">
        <v>1</v>
      </c>
      <c r="O430" s="229">
        <v>1</v>
      </c>
      <c r="P430" s="229">
        <v>1</v>
      </c>
      <c r="Q430" s="272">
        <v>1</v>
      </c>
      <c r="R430" s="272">
        <v>1</v>
      </c>
      <c r="S430" s="272">
        <v>1</v>
      </c>
      <c r="T430" s="256">
        <f t="shared" si="117"/>
        <v>1</v>
      </c>
      <c r="U430" s="256">
        <f t="shared" si="118"/>
        <v>1</v>
      </c>
      <c r="V430" s="256">
        <f t="shared" si="119"/>
        <v>1</v>
      </c>
      <c r="W430" s="256">
        <f t="shared" si="113"/>
        <v>1</v>
      </c>
      <c r="X430" s="216"/>
      <c r="Y430" s="216"/>
    </row>
    <row r="431" spans="1:25" s="140" customFormat="1" ht="26.25" hidden="1" outlineLevel="3" thickBot="1">
      <c r="A431" s="216"/>
      <c r="B431" s="255" t="s">
        <v>616</v>
      </c>
      <c r="C431" s="290" t="s">
        <v>287</v>
      </c>
      <c r="D431" s="227" t="s">
        <v>231</v>
      </c>
      <c r="E431" s="241"/>
      <c r="F431" s="228">
        <f t="shared" si="116"/>
        <v>7.1428571428571411E-2</v>
      </c>
      <c r="G431" s="269">
        <f>+F431*G417</f>
        <v>6.1647607404184405E-5</v>
      </c>
      <c r="H431" s="299"/>
      <c r="I431" s="299"/>
      <c r="J431" s="299"/>
      <c r="K431" s="299"/>
      <c r="L431" s="299"/>
      <c r="M431" s="299"/>
      <c r="N431" s="229">
        <v>1</v>
      </c>
      <c r="O431" s="229">
        <v>1</v>
      </c>
      <c r="P431" s="229">
        <v>1</v>
      </c>
      <c r="Q431" s="272">
        <v>1</v>
      </c>
      <c r="R431" s="272">
        <v>1</v>
      </c>
      <c r="S431" s="272">
        <v>1</v>
      </c>
      <c r="T431" s="256">
        <f t="shared" si="117"/>
        <v>1</v>
      </c>
      <c r="U431" s="256">
        <f t="shared" si="118"/>
        <v>1</v>
      </c>
      <c r="V431" s="256">
        <f t="shared" si="119"/>
        <v>1</v>
      </c>
      <c r="W431" s="256">
        <f t="shared" si="113"/>
        <v>1</v>
      </c>
      <c r="X431" s="216"/>
      <c r="Y431" s="216"/>
    </row>
    <row r="432" spans="1:25" s="140" customFormat="1" ht="26.25" hidden="1" outlineLevel="2" thickBot="1">
      <c r="A432" s="216"/>
      <c r="B432" s="291" t="s">
        <v>617</v>
      </c>
      <c r="C432" s="292" t="s">
        <v>43</v>
      </c>
      <c r="D432" s="234" t="s">
        <v>33</v>
      </c>
      <c r="E432" s="240"/>
      <c r="F432" s="223">
        <f t="shared" si="116"/>
        <v>0.13388996515868054</v>
      </c>
      <c r="G432" s="293">
        <f>+F432*G343</f>
        <v>1.0457766484105535E-3</v>
      </c>
      <c r="H432" s="298"/>
      <c r="I432" s="298"/>
      <c r="J432" s="298"/>
      <c r="K432" s="298"/>
      <c r="L432" s="298"/>
      <c r="M432" s="298"/>
      <c r="N432" s="224">
        <f t="shared" ref="N432:S432" si="121">+SUMPRODUCT($F433:$F449,N433:N449)</f>
        <v>1.0000000000000002</v>
      </c>
      <c r="O432" s="224">
        <f t="shared" si="121"/>
        <v>1.0000000000000002</v>
      </c>
      <c r="P432" s="224">
        <f t="shared" si="121"/>
        <v>1.0000000000000002</v>
      </c>
      <c r="Q432" s="270">
        <f t="shared" si="121"/>
        <v>1.0000000000000002</v>
      </c>
      <c r="R432" s="270">
        <f t="shared" si="121"/>
        <v>1.0000000000000002</v>
      </c>
      <c r="S432" s="270">
        <f t="shared" si="121"/>
        <v>1.0000000000000002</v>
      </c>
      <c r="T432" s="254">
        <f t="shared" si="117"/>
        <v>1</v>
      </c>
      <c r="U432" s="254">
        <f t="shared" si="118"/>
        <v>1</v>
      </c>
      <c r="V432" s="254">
        <f t="shared" si="119"/>
        <v>1</v>
      </c>
      <c r="W432" s="254">
        <f t="shared" si="113"/>
        <v>1</v>
      </c>
      <c r="X432" s="216"/>
      <c r="Y432" s="216"/>
    </row>
    <row r="433" spans="1:25" s="140" customFormat="1" ht="26.25" hidden="1" outlineLevel="3" thickBot="1">
      <c r="A433" s="216"/>
      <c r="B433" s="255" t="s">
        <v>618</v>
      </c>
      <c r="C433" s="290" t="s">
        <v>230</v>
      </c>
      <c r="D433" s="227" t="s">
        <v>231</v>
      </c>
      <c r="E433" s="241"/>
      <c r="F433" s="228">
        <f t="shared" si="116"/>
        <v>6.2251019714089834E-2</v>
      </c>
      <c r="G433" s="269">
        <f>+F433*G432</f>
        <v>6.5100662756740164E-5</v>
      </c>
      <c r="H433" s="299"/>
      <c r="I433" s="299"/>
      <c r="J433" s="299"/>
      <c r="K433" s="299"/>
      <c r="L433" s="299"/>
      <c r="M433" s="299"/>
      <c r="N433" s="229">
        <v>1</v>
      </c>
      <c r="O433" s="229">
        <v>1</v>
      </c>
      <c r="P433" s="229">
        <v>1</v>
      </c>
      <c r="Q433" s="272">
        <v>1</v>
      </c>
      <c r="R433" s="272">
        <v>1</v>
      </c>
      <c r="S433" s="272">
        <v>1</v>
      </c>
      <c r="T433" s="256">
        <f t="shared" si="117"/>
        <v>1</v>
      </c>
      <c r="U433" s="256">
        <f t="shared" si="118"/>
        <v>1</v>
      </c>
      <c r="V433" s="256">
        <f t="shared" si="119"/>
        <v>1</v>
      </c>
      <c r="W433" s="256">
        <f t="shared" si="113"/>
        <v>1</v>
      </c>
      <c r="X433" s="216"/>
      <c r="Y433" s="216"/>
    </row>
    <row r="434" spans="1:25" s="140" customFormat="1" ht="26.25" hidden="1" outlineLevel="3" thickBot="1">
      <c r="A434" s="216"/>
      <c r="B434" s="255" t="s">
        <v>619</v>
      </c>
      <c r="C434" s="290" t="s">
        <v>233</v>
      </c>
      <c r="D434" s="227" t="s">
        <v>231</v>
      </c>
      <c r="E434" s="241"/>
      <c r="F434" s="228">
        <f t="shared" si="116"/>
        <v>6.2251019714089834E-2</v>
      </c>
      <c r="G434" s="269">
        <f>+F434*G432</f>
        <v>6.5100662756740164E-5</v>
      </c>
      <c r="H434" s="299"/>
      <c r="I434" s="299"/>
      <c r="J434" s="299"/>
      <c r="K434" s="299"/>
      <c r="L434" s="299"/>
      <c r="M434" s="299"/>
      <c r="N434" s="229">
        <v>1</v>
      </c>
      <c r="O434" s="229">
        <v>1</v>
      </c>
      <c r="P434" s="229">
        <v>1</v>
      </c>
      <c r="Q434" s="272">
        <v>1</v>
      </c>
      <c r="R434" s="272">
        <v>1</v>
      </c>
      <c r="S434" s="272">
        <v>1</v>
      </c>
      <c r="T434" s="256">
        <f t="shared" si="117"/>
        <v>1</v>
      </c>
      <c r="U434" s="256">
        <f t="shared" si="118"/>
        <v>1</v>
      </c>
      <c r="V434" s="256">
        <f t="shared" si="119"/>
        <v>1</v>
      </c>
      <c r="W434" s="256">
        <f t="shared" si="113"/>
        <v>1</v>
      </c>
      <c r="X434" s="216"/>
      <c r="Y434" s="216"/>
    </row>
    <row r="435" spans="1:25" s="140" customFormat="1" ht="26.25" hidden="1" outlineLevel="3" thickBot="1">
      <c r="A435" s="216"/>
      <c r="B435" s="255" t="s">
        <v>620</v>
      </c>
      <c r="C435" s="290" t="s">
        <v>235</v>
      </c>
      <c r="D435" s="227" t="s">
        <v>231</v>
      </c>
      <c r="E435" s="241"/>
      <c r="F435" s="228">
        <f t="shared" si="116"/>
        <v>6.2251019714089834E-2</v>
      </c>
      <c r="G435" s="269">
        <f>+F435*G432</f>
        <v>6.5100662756740164E-5</v>
      </c>
      <c r="H435" s="299"/>
      <c r="I435" s="299"/>
      <c r="J435" s="299"/>
      <c r="K435" s="299"/>
      <c r="L435" s="299"/>
      <c r="M435" s="299"/>
      <c r="N435" s="229">
        <v>1</v>
      </c>
      <c r="O435" s="229">
        <v>1</v>
      </c>
      <c r="P435" s="229">
        <v>1</v>
      </c>
      <c r="Q435" s="272">
        <v>1</v>
      </c>
      <c r="R435" s="272">
        <v>1</v>
      </c>
      <c r="S435" s="272">
        <v>1</v>
      </c>
      <c r="T435" s="256">
        <f t="shared" si="117"/>
        <v>1</v>
      </c>
      <c r="U435" s="256">
        <f t="shared" si="118"/>
        <v>1</v>
      </c>
      <c r="V435" s="256">
        <f t="shared" si="119"/>
        <v>1</v>
      </c>
      <c r="W435" s="256">
        <f t="shared" si="113"/>
        <v>1</v>
      </c>
      <c r="X435" s="216"/>
      <c r="Y435" s="216"/>
    </row>
    <row r="436" spans="1:25" s="140" customFormat="1" ht="26.25" hidden="1" outlineLevel="3" thickBot="1">
      <c r="A436" s="216"/>
      <c r="B436" s="255" t="s">
        <v>621</v>
      </c>
      <c r="C436" s="290" t="s">
        <v>237</v>
      </c>
      <c r="D436" s="227" t="s">
        <v>231</v>
      </c>
      <c r="E436" s="241"/>
      <c r="F436" s="228">
        <f t="shared" si="116"/>
        <v>6.2251019714089834E-2</v>
      </c>
      <c r="G436" s="269">
        <f>+F436*G432</f>
        <v>6.5100662756740164E-5</v>
      </c>
      <c r="H436" s="299"/>
      <c r="I436" s="299"/>
      <c r="J436" s="299"/>
      <c r="K436" s="299"/>
      <c r="L436" s="299"/>
      <c r="M436" s="299"/>
      <c r="N436" s="229">
        <v>1</v>
      </c>
      <c r="O436" s="229">
        <v>1</v>
      </c>
      <c r="P436" s="229">
        <v>1</v>
      </c>
      <c r="Q436" s="272">
        <v>1</v>
      </c>
      <c r="R436" s="272">
        <v>1</v>
      </c>
      <c r="S436" s="272">
        <v>1</v>
      </c>
      <c r="T436" s="256">
        <f t="shared" si="117"/>
        <v>1</v>
      </c>
      <c r="U436" s="256">
        <f t="shared" si="118"/>
        <v>1</v>
      </c>
      <c r="V436" s="256">
        <f t="shared" si="119"/>
        <v>1</v>
      </c>
      <c r="W436" s="256">
        <f t="shared" si="113"/>
        <v>1</v>
      </c>
      <c r="X436" s="216"/>
      <c r="Y436" s="216"/>
    </row>
    <row r="437" spans="1:25" s="140" customFormat="1" ht="26.25" hidden="1" outlineLevel="3" thickBot="1">
      <c r="A437" s="216"/>
      <c r="B437" s="255" t="s">
        <v>622</v>
      </c>
      <c r="C437" s="290" t="s">
        <v>239</v>
      </c>
      <c r="D437" s="227" t="s">
        <v>231</v>
      </c>
      <c r="E437" s="241"/>
      <c r="F437" s="228">
        <f t="shared" si="116"/>
        <v>6.2251019714089834E-2</v>
      </c>
      <c r="G437" s="269">
        <f>+F437*G432</f>
        <v>6.5100662756740164E-5</v>
      </c>
      <c r="H437" s="299"/>
      <c r="I437" s="299"/>
      <c r="J437" s="299"/>
      <c r="K437" s="299"/>
      <c r="L437" s="299"/>
      <c r="M437" s="299"/>
      <c r="N437" s="229">
        <v>1</v>
      </c>
      <c r="O437" s="229">
        <v>1</v>
      </c>
      <c r="P437" s="229">
        <v>1</v>
      </c>
      <c r="Q437" s="272">
        <v>1</v>
      </c>
      <c r="R437" s="272">
        <v>1</v>
      </c>
      <c r="S437" s="272">
        <v>1</v>
      </c>
      <c r="T437" s="256">
        <f t="shared" si="117"/>
        <v>1</v>
      </c>
      <c r="U437" s="256">
        <f t="shared" si="118"/>
        <v>1</v>
      </c>
      <c r="V437" s="256">
        <f t="shared" si="119"/>
        <v>1</v>
      </c>
      <c r="W437" s="256">
        <f t="shared" si="113"/>
        <v>1</v>
      </c>
      <c r="X437" s="216"/>
      <c r="Y437" s="216"/>
    </row>
    <row r="438" spans="1:25" s="140" customFormat="1" ht="26.25" hidden="1" outlineLevel="3" thickBot="1">
      <c r="A438" s="216"/>
      <c r="B438" s="255" t="s">
        <v>623</v>
      </c>
      <c r="C438" s="290" t="s">
        <v>241</v>
      </c>
      <c r="D438" s="227" t="s">
        <v>231</v>
      </c>
      <c r="E438" s="241"/>
      <c r="F438" s="228">
        <f t="shared" si="116"/>
        <v>6.2251019714089834E-2</v>
      </c>
      <c r="G438" s="269">
        <f>+F438*G432</f>
        <v>6.5100662756740164E-5</v>
      </c>
      <c r="H438" s="299"/>
      <c r="I438" s="299"/>
      <c r="J438" s="299"/>
      <c r="K438" s="299"/>
      <c r="L438" s="299"/>
      <c r="M438" s="299"/>
      <c r="N438" s="229">
        <v>1</v>
      </c>
      <c r="O438" s="229">
        <v>1</v>
      </c>
      <c r="P438" s="229">
        <v>1</v>
      </c>
      <c r="Q438" s="272">
        <v>1</v>
      </c>
      <c r="R438" s="272">
        <v>1</v>
      </c>
      <c r="S438" s="272">
        <v>1</v>
      </c>
      <c r="T438" s="256">
        <f t="shared" si="117"/>
        <v>1</v>
      </c>
      <c r="U438" s="256">
        <f t="shared" si="118"/>
        <v>1</v>
      </c>
      <c r="V438" s="256">
        <f t="shared" si="119"/>
        <v>1</v>
      </c>
      <c r="W438" s="256">
        <f t="shared" si="113"/>
        <v>1</v>
      </c>
      <c r="X438" s="216"/>
      <c r="Y438" s="216"/>
    </row>
    <row r="439" spans="1:25" s="140" customFormat="1" ht="26.25" hidden="1" outlineLevel="3" thickBot="1">
      <c r="A439" s="216"/>
      <c r="B439" s="255" t="s">
        <v>624</v>
      </c>
      <c r="C439" s="290" t="s">
        <v>243</v>
      </c>
      <c r="D439" s="227" t="s">
        <v>231</v>
      </c>
      <c r="E439" s="241"/>
      <c r="F439" s="228">
        <f t="shared" ref="F439:F470" si="122">F815</f>
        <v>6.2251019714089834E-2</v>
      </c>
      <c r="G439" s="269">
        <f>+F439*G432</f>
        <v>6.5100662756740164E-5</v>
      </c>
      <c r="H439" s="299"/>
      <c r="I439" s="299"/>
      <c r="J439" s="299"/>
      <c r="K439" s="299"/>
      <c r="L439" s="299"/>
      <c r="M439" s="299"/>
      <c r="N439" s="229">
        <v>1</v>
      </c>
      <c r="O439" s="229">
        <v>1</v>
      </c>
      <c r="P439" s="229">
        <v>1</v>
      </c>
      <c r="Q439" s="272">
        <v>1</v>
      </c>
      <c r="R439" s="272">
        <v>1</v>
      </c>
      <c r="S439" s="272">
        <v>1</v>
      </c>
      <c r="T439" s="256">
        <f t="shared" ref="T439:T470" si="123">+IF(N439=0,0,$S439/N439)</f>
        <v>1</v>
      </c>
      <c r="U439" s="256">
        <f t="shared" ref="U439:U470" si="124">+IF(O439=0,0,$S439/O439)</f>
        <v>1</v>
      </c>
      <c r="V439" s="256">
        <f t="shared" ref="V439:V470" si="125">+IF(P439=0,0,$S439/P439)</f>
        <v>1</v>
      </c>
      <c r="W439" s="256">
        <f t="shared" si="113"/>
        <v>1</v>
      </c>
      <c r="X439" s="216"/>
      <c r="Y439" s="216"/>
    </row>
    <row r="440" spans="1:25" s="140" customFormat="1" ht="26.25" hidden="1" outlineLevel="3" thickBot="1">
      <c r="A440" s="216"/>
      <c r="B440" s="255" t="s">
        <v>625</v>
      </c>
      <c r="C440" s="290" t="s">
        <v>245</v>
      </c>
      <c r="D440" s="227" t="s">
        <v>231</v>
      </c>
      <c r="E440" s="241"/>
      <c r="F440" s="228">
        <f t="shared" si="122"/>
        <v>6.2251019714089834E-2</v>
      </c>
      <c r="G440" s="269">
        <f>+F440*G432</f>
        <v>6.5100662756740164E-5</v>
      </c>
      <c r="H440" s="299"/>
      <c r="I440" s="299"/>
      <c r="J440" s="299"/>
      <c r="K440" s="299"/>
      <c r="L440" s="299"/>
      <c r="M440" s="299"/>
      <c r="N440" s="229">
        <v>1</v>
      </c>
      <c r="O440" s="229">
        <v>1</v>
      </c>
      <c r="P440" s="229">
        <v>1</v>
      </c>
      <c r="Q440" s="272">
        <v>1</v>
      </c>
      <c r="R440" s="272">
        <v>1</v>
      </c>
      <c r="S440" s="272">
        <v>1</v>
      </c>
      <c r="T440" s="256">
        <f t="shared" si="123"/>
        <v>1</v>
      </c>
      <c r="U440" s="256">
        <f t="shared" si="124"/>
        <v>1</v>
      </c>
      <c r="V440" s="256">
        <f t="shared" si="125"/>
        <v>1</v>
      </c>
      <c r="W440" s="256">
        <f t="shared" si="113"/>
        <v>1</v>
      </c>
      <c r="X440" s="216"/>
      <c r="Y440" s="216"/>
    </row>
    <row r="441" spans="1:25" s="140" customFormat="1" ht="26.25" hidden="1" outlineLevel="3" thickBot="1">
      <c r="A441" s="216"/>
      <c r="B441" s="255" t="s">
        <v>626</v>
      </c>
      <c r="C441" s="290" t="s">
        <v>247</v>
      </c>
      <c r="D441" s="227" t="s">
        <v>231</v>
      </c>
      <c r="E441" s="241"/>
      <c r="F441" s="228">
        <f t="shared" si="122"/>
        <v>6.2251019714089834E-2</v>
      </c>
      <c r="G441" s="269">
        <f>+F441*G432</f>
        <v>6.5100662756740164E-5</v>
      </c>
      <c r="H441" s="299"/>
      <c r="I441" s="299"/>
      <c r="J441" s="299"/>
      <c r="K441" s="299"/>
      <c r="L441" s="299"/>
      <c r="M441" s="299"/>
      <c r="N441" s="229">
        <v>1</v>
      </c>
      <c r="O441" s="229">
        <v>1</v>
      </c>
      <c r="P441" s="229">
        <v>1</v>
      </c>
      <c r="Q441" s="272">
        <v>1</v>
      </c>
      <c r="R441" s="272">
        <v>1</v>
      </c>
      <c r="S441" s="272">
        <v>1</v>
      </c>
      <c r="T441" s="256">
        <f t="shared" si="123"/>
        <v>1</v>
      </c>
      <c r="U441" s="256">
        <f t="shared" si="124"/>
        <v>1</v>
      </c>
      <c r="V441" s="256">
        <f t="shared" si="125"/>
        <v>1</v>
      </c>
      <c r="W441" s="256">
        <f t="shared" si="113"/>
        <v>1</v>
      </c>
      <c r="X441" s="216"/>
      <c r="Y441" s="216"/>
    </row>
    <row r="442" spans="1:25" s="140" customFormat="1" ht="26.25" hidden="1" outlineLevel="3" thickBot="1">
      <c r="A442" s="216"/>
      <c r="B442" s="255" t="s">
        <v>627</v>
      </c>
      <c r="C442" s="290" t="s">
        <v>249</v>
      </c>
      <c r="D442" s="227" t="s">
        <v>231</v>
      </c>
      <c r="E442" s="241"/>
      <c r="F442" s="228">
        <f t="shared" si="122"/>
        <v>6.2251019714089834E-2</v>
      </c>
      <c r="G442" s="269">
        <f>+F442*G432</f>
        <v>6.5100662756740164E-5</v>
      </c>
      <c r="H442" s="299"/>
      <c r="I442" s="299"/>
      <c r="J442" s="299"/>
      <c r="K442" s="299"/>
      <c r="L442" s="299"/>
      <c r="M442" s="299"/>
      <c r="N442" s="229">
        <v>1</v>
      </c>
      <c r="O442" s="229">
        <v>1</v>
      </c>
      <c r="P442" s="229">
        <v>1</v>
      </c>
      <c r="Q442" s="272">
        <v>1</v>
      </c>
      <c r="R442" s="272">
        <v>1</v>
      </c>
      <c r="S442" s="272">
        <v>1</v>
      </c>
      <c r="T442" s="256">
        <f t="shared" si="123"/>
        <v>1</v>
      </c>
      <c r="U442" s="256">
        <f t="shared" si="124"/>
        <v>1</v>
      </c>
      <c r="V442" s="256">
        <f t="shared" si="125"/>
        <v>1</v>
      </c>
      <c r="W442" s="256">
        <f t="shared" si="113"/>
        <v>1</v>
      </c>
      <c r="X442" s="216"/>
      <c r="Y442" s="216"/>
    </row>
    <row r="443" spans="1:25" s="140" customFormat="1" ht="26.25" hidden="1" outlineLevel="3" thickBot="1">
      <c r="A443" s="216"/>
      <c r="B443" s="255" t="s">
        <v>628</v>
      </c>
      <c r="C443" s="290" t="s">
        <v>251</v>
      </c>
      <c r="D443" s="227" t="s">
        <v>231</v>
      </c>
      <c r="E443" s="241"/>
      <c r="F443" s="228">
        <f t="shared" si="122"/>
        <v>6.2251019714089834E-2</v>
      </c>
      <c r="G443" s="269">
        <f>+F443*G432</f>
        <v>6.5100662756740164E-5</v>
      </c>
      <c r="H443" s="299"/>
      <c r="I443" s="299"/>
      <c r="J443" s="299"/>
      <c r="K443" s="299"/>
      <c r="L443" s="299"/>
      <c r="M443" s="299"/>
      <c r="N443" s="229">
        <v>1</v>
      </c>
      <c r="O443" s="229">
        <v>1</v>
      </c>
      <c r="P443" s="229">
        <v>1</v>
      </c>
      <c r="Q443" s="272">
        <v>1</v>
      </c>
      <c r="R443" s="272">
        <v>1</v>
      </c>
      <c r="S443" s="272">
        <v>1</v>
      </c>
      <c r="T443" s="256">
        <f t="shared" si="123"/>
        <v>1</v>
      </c>
      <c r="U443" s="256">
        <f t="shared" si="124"/>
        <v>1</v>
      </c>
      <c r="V443" s="256">
        <f t="shared" si="125"/>
        <v>1</v>
      </c>
      <c r="W443" s="256">
        <f t="shared" si="113"/>
        <v>1</v>
      </c>
      <c r="X443" s="216"/>
      <c r="Y443" s="216"/>
    </row>
    <row r="444" spans="1:25" s="140" customFormat="1" ht="26.25" hidden="1" outlineLevel="3" thickBot="1">
      <c r="A444" s="216"/>
      <c r="B444" s="255" t="s">
        <v>629</v>
      </c>
      <c r="C444" s="290" t="s">
        <v>253</v>
      </c>
      <c r="D444" s="227" t="s">
        <v>231</v>
      </c>
      <c r="E444" s="241"/>
      <c r="F444" s="228">
        <f t="shared" si="122"/>
        <v>6.2251019714089834E-2</v>
      </c>
      <c r="G444" s="269">
        <f>+F444*G432</f>
        <v>6.5100662756740164E-5</v>
      </c>
      <c r="H444" s="299"/>
      <c r="I444" s="299"/>
      <c r="J444" s="299"/>
      <c r="K444" s="299"/>
      <c r="L444" s="299"/>
      <c r="M444" s="299"/>
      <c r="N444" s="229">
        <v>1</v>
      </c>
      <c r="O444" s="229">
        <v>1</v>
      </c>
      <c r="P444" s="229">
        <v>1</v>
      </c>
      <c r="Q444" s="272">
        <v>1</v>
      </c>
      <c r="R444" s="272">
        <v>1</v>
      </c>
      <c r="S444" s="272">
        <v>1</v>
      </c>
      <c r="T444" s="256">
        <f t="shared" si="123"/>
        <v>1</v>
      </c>
      <c r="U444" s="256">
        <f t="shared" si="124"/>
        <v>1</v>
      </c>
      <c r="V444" s="256">
        <f t="shared" si="125"/>
        <v>1</v>
      </c>
      <c r="W444" s="256">
        <f t="shared" si="113"/>
        <v>1</v>
      </c>
      <c r="X444" s="216"/>
      <c r="Y444" s="216"/>
    </row>
    <row r="445" spans="1:25" s="140" customFormat="1" ht="26.25" hidden="1" outlineLevel="3" thickBot="1">
      <c r="A445" s="216"/>
      <c r="B445" s="255" t="s">
        <v>630</v>
      </c>
      <c r="C445" s="290" t="s">
        <v>285</v>
      </c>
      <c r="D445" s="227" t="s">
        <v>231</v>
      </c>
      <c r="E445" s="241"/>
      <c r="F445" s="228">
        <f t="shared" si="122"/>
        <v>6.2251019714089834E-2</v>
      </c>
      <c r="G445" s="269">
        <f>+F445*G432</f>
        <v>6.5100662756740164E-5</v>
      </c>
      <c r="H445" s="299"/>
      <c r="I445" s="299"/>
      <c r="J445" s="299"/>
      <c r="K445" s="299"/>
      <c r="L445" s="299"/>
      <c r="M445" s="299"/>
      <c r="N445" s="229">
        <v>1</v>
      </c>
      <c r="O445" s="229">
        <v>1</v>
      </c>
      <c r="P445" s="229">
        <v>1</v>
      </c>
      <c r="Q445" s="272">
        <v>1</v>
      </c>
      <c r="R445" s="272">
        <v>1</v>
      </c>
      <c r="S445" s="272">
        <v>1</v>
      </c>
      <c r="T445" s="256">
        <f t="shared" si="123"/>
        <v>1</v>
      </c>
      <c r="U445" s="256">
        <f t="shared" si="124"/>
        <v>1</v>
      </c>
      <c r="V445" s="256">
        <f t="shared" si="125"/>
        <v>1</v>
      </c>
      <c r="W445" s="256">
        <f t="shared" si="113"/>
        <v>1</v>
      </c>
      <c r="X445" s="216"/>
      <c r="Y445" s="216"/>
    </row>
    <row r="446" spans="1:25" s="140" customFormat="1" ht="26.25" hidden="1" outlineLevel="3" thickBot="1">
      <c r="A446" s="216"/>
      <c r="B446" s="255" t="s">
        <v>631</v>
      </c>
      <c r="C446" s="290" t="s">
        <v>287</v>
      </c>
      <c r="D446" s="227" t="s">
        <v>231</v>
      </c>
      <c r="E446" s="241"/>
      <c r="F446" s="228">
        <f t="shared" si="122"/>
        <v>6.2251019714089834E-2</v>
      </c>
      <c r="G446" s="269">
        <f>+F446*G432</f>
        <v>6.5100662756740164E-5</v>
      </c>
      <c r="H446" s="299"/>
      <c r="I446" s="299"/>
      <c r="J446" s="299"/>
      <c r="K446" s="299"/>
      <c r="L446" s="299"/>
      <c r="M446" s="299"/>
      <c r="N446" s="229">
        <v>1</v>
      </c>
      <c r="O446" s="229">
        <v>1</v>
      </c>
      <c r="P446" s="229">
        <v>1</v>
      </c>
      <c r="Q446" s="272">
        <v>1</v>
      </c>
      <c r="R446" s="272">
        <v>1</v>
      </c>
      <c r="S446" s="272">
        <v>1</v>
      </c>
      <c r="T446" s="256">
        <f t="shared" si="123"/>
        <v>1</v>
      </c>
      <c r="U446" s="256">
        <f t="shared" si="124"/>
        <v>1</v>
      </c>
      <c r="V446" s="256">
        <f t="shared" si="125"/>
        <v>1</v>
      </c>
      <c r="W446" s="256">
        <f t="shared" si="113"/>
        <v>1</v>
      </c>
      <c r="X446" s="216"/>
      <c r="Y446" s="216"/>
    </row>
    <row r="447" spans="1:25" s="140" customFormat="1" ht="26.25" hidden="1" outlineLevel="3" thickBot="1">
      <c r="A447" s="216"/>
      <c r="B447" s="255" t="s">
        <v>632</v>
      </c>
      <c r="C447" s="290" t="s">
        <v>289</v>
      </c>
      <c r="D447" s="227" t="s">
        <v>231</v>
      </c>
      <c r="E447" s="241"/>
      <c r="F447" s="228">
        <f t="shared" si="122"/>
        <v>6.2251019714089834E-2</v>
      </c>
      <c r="G447" s="269">
        <f>+F447*G432</f>
        <v>6.5100662756740164E-5</v>
      </c>
      <c r="H447" s="299"/>
      <c r="I447" s="299"/>
      <c r="J447" s="299"/>
      <c r="K447" s="299"/>
      <c r="L447" s="299"/>
      <c r="M447" s="299"/>
      <c r="N447" s="229">
        <v>1</v>
      </c>
      <c r="O447" s="229">
        <v>1</v>
      </c>
      <c r="P447" s="229">
        <v>1</v>
      </c>
      <c r="Q447" s="272">
        <v>1</v>
      </c>
      <c r="R447" s="272">
        <v>1</v>
      </c>
      <c r="S447" s="272">
        <v>1</v>
      </c>
      <c r="T447" s="256">
        <f t="shared" si="123"/>
        <v>1</v>
      </c>
      <c r="U447" s="256">
        <f t="shared" si="124"/>
        <v>1</v>
      </c>
      <c r="V447" s="256">
        <f t="shared" si="125"/>
        <v>1</v>
      </c>
      <c r="W447" s="256">
        <f t="shared" si="113"/>
        <v>1</v>
      </c>
      <c r="X447" s="216"/>
      <c r="Y447" s="216"/>
    </row>
    <row r="448" spans="1:25" s="140" customFormat="1" ht="26.25" hidden="1" outlineLevel="3" thickBot="1">
      <c r="A448" s="216"/>
      <c r="B448" s="255" t="s">
        <v>633</v>
      </c>
      <c r="C448" s="290" t="s">
        <v>291</v>
      </c>
      <c r="D448" s="227" t="s">
        <v>231</v>
      </c>
      <c r="E448" s="241"/>
      <c r="F448" s="228">
        <f t="shared" si="122"/>
        <v>6.2251019714089834E-2</v>
      </c>
      <c r="G448" s="269">
        <f>+F448*G432</f>
        <v>6.5100662756740164E-5</v>
      </c>
      <c r="H448" s="299"/>
      <c r="I448" s="299"/>
      <c r="J448" s="299"/>
      <c r="K448" s="299"/>
      <c r="L448" s="299"/>
      <c r="M448" s="299"/>
      <c r="N448" s="229">
        <v>1</v>
      </c>
      <c r="O448" s="229">
        <v>1</v>
      </c>
      <c r="P448" s="229">
        <v>1</v>
      </c>
      <c r="Q448" s="272">
        <v>1</v>
      </c>
      <c r="R448" s="272">
        <v>1</v>
      </c>
      <c r="S448" s="272">
        <v>1</v>
      </c>
      <c r="T448" s="256">
        <f t="shared" si="123"/>
        <v>1</v>
      </c>
      <c r="U448" s="256">
        <f t="shared" si="124"/>
        <v>1</v>
      </c>
      <c r="V448" s="256">
        <f t="shared" si="125"/>
        <v>1</v>
      </c>
      <c r="W448" s="256">
        <f t="shared" si="113"/>
        <v>1</v>
      </c>
      <c r="X448" s="216"/>
      <c r="Y448" s="216"/>
    </row>
    <row r="449" spans="1:25" s="140" customFormat="1" ht="26.25" hidden="1" outlineLevel="3" thickBot="1">
      <c r="A449" s="216"/>
      <c r="B449" s="255" t="s">
        <v>634</v>
      </c>
      <c r="C449" s="290" t="s">
        <v>366</v>
      </c>
      <c r="D449" s="227" t="s">
        <v>367</v>
      </c>
      <c r="E449" s="241"/>
      <c r="F449" s="228">
        <f t="shared" si="122"/>
        <v>3.9836845745626157E-3</v>
      </c>
      <c r="G449" s="269">
        <f>+F449*G432</f>
        <v>4.1660443027109143E-6</v>
      </c>
      <c r="H449" s="299"/>
      <c r="I449" s="299"/>
      <c r="J449" s="299"/>
      <c r="K449" s="299"/>
      <c r="L449" s="299"/>
      <c r="M449" s="299"/>
      <c r="N449" s="229">
        <v>1</v>
      </c>
      <c r="O449" s="229">
        <v>1</v>
      </c>
      <c r="P449" s="229">
        <v>1</v>
      </c>
      <c r="Q449" s="272">
        <v>1</v>
      </c>
      <c r="R449" s="272">
        <v>1</v>
      </c>
      <c r="S449" s="272">
        <v>1</v>
      </c>
      <c r="T449" s="256">
        <f t="shared" si="123"/>
        <v>1</v>
      </c>
      <c r="U449" s="256">
        <f t="shared" si="124"/>
        <v>1</v>
      </c>
      <c r="V449" s="256">
        <f t="shared" si="125"/>
        <v>1</v>
      </c>
      <c r="W449" s="256">
        <f t="shared" si="113"/>
        <v>1</v>
      </c>
      <c r="X449" s="216"/>
      <c r="Y449" s="216"/>
    </row>
    <row r="450" spans="1:25" s="140" customFormat="1" ht="26.25" hidden="1" outlineLevel="2" thickBot="1">
      <c r="A450" s="216"/>
      <c r="B450" s="291" t="s">
        <v>635</v>
      </c>
      <c r="C450" s="292" t="s">
        <v>45</v>
      </c>
      <c r="D450" s="234" t="s">
        <v>33</v>
      </c>
      <c r="E450" s="240"/>
      <c r="F450" s="223">
        <f t="shared" si="122"/>
        <v>0.10189354851165684</v>
      </c>
      <c r="G450" s="293">
        <f>+F450*G343</f>
        <v>7.9586168784860666E-4</v>
      </c>
      <c r="H450" s="298"/>
      <c r="I450" s="298"/>
      <c r="J450" s="298"/>
      <c r="K450" s="298"/>
      <c r="L450" s="298"/>
      <c r="M450" s="298"/>
      <c r="N450" s="224">
        <f t="shared" ref="N450:S450" si="126">+SUMPRODUCT($F451:$F464,N451:N464)</f>
        <v>1.0000000000000002</v>
      </c>
      <c r="O450" s="224">
        <f t="shared" si="126"/>
        <v>1.0000000000000002</v>
      </c>
      <c r="P450" s="224">
        <f t="shared" si="126"/>
        <v>1.0000000000000002</v>
      </c>
      <c r="Q450" s="270">
        <f t="shared" si="126"/>
        <v>1.0000000000000002</v>
      </c>
      <c r="R450" s="270">
        <f t="shared" si="126"/>
        <v>1.0000000000000002</v>
      </c>
      <c r="S450" s="270">
        <f t="shared" si="126"/>
        <v>1.0000000000000002</v>
      </c>
      <c r="T450" s="254">
        <f t="shared" si="123"/>
        <v>1</v>
      </c>
      <c r="U450" s="254">
        <f t="shared" si="124"/>
        <v>1</v>
      </c>
      <c r="V450" s="254">
        <f t="shared" si="125"/>
        <v>1</v>
      </c>
      <c r="W450" s="254">
        <f t="shared" si="113"/>
        <v>1</v>
      </c>
      <c r="X450" s="216"/>
      <c r="Y450" s="216"/>
    </row>
    <row r="451" spans="1:25" s="140" customFormat="1" ht="26.25" hidden="1" outlineLevel="3" thickBot="1">
      <c r="A451" s="216"/>
      <c r="B451" s="255" t="s">
        <v>636</v>
      </c>
      <c r="C451" s="290" t="s">
        <v>230</v>
      </c>
      <c r="D451" s="227" t="s">
        <v>231</v>
      </c>
      <c r="E451" s="241"/>
      <c r="F451" s="228">
        <f t="shared" si="122"/>
        <v>7.4469037330616245E-2</v>
      </c>
      <c r="G451" s="269">
        <f>+F451*G450</f>
        <v>5.9267053742405139E-5</v>
      </c>
      <c r="H451" s="299"/>
      <c r="I451" s="299"/>
      <c r="J451" s="299"/>
      <c r="K451" s="299"/>
      <c r="L451" s="299"/>
      <c r="M451" s="299"/>
      <c r="N451" s="229">
        <v>1</v>
      </c>
      <c r="O451" s="229">
        <v>1</v>
      </c>
      <c r="P451" s="229">
        <v>1</v>
      </c>
      <c r="Q451" s="272">
        <v>1</v>
      </c>
      <c r="R451" s="272">
        <v>1</v>
      </c>
      <c r="S451" s="272">
        <v>1</v>
      </c>
      <c r="T451" s="256">
        <f t="shared" si="123"/>
        <v>1</v>
      </c>
      <c r="U451" s="256">
        <f t="shared" si="124"/>
        <v>1</v>
      </c>
      <c r="V451" s="256">
        <f t="shared" si="125"/>
        <v>1</v>
      </c>
      <c r="W451" s="256">
        <f t="shared" si="113"/>
        <v>1</v>
      </c>
      <c r="X451" s="216"/>
      <c r="Y451" s="216"/>
    </row>
    <row r="452" spans="1:25" s="140" customFormat="1" ht="26.25" hidden="1" outlineLevel="3" thickBot="1">
      <c r="A452" s="216"/>
      <c r="B452" s="255" t="s">
        <v>637</v>
      </c>
      <c r="C452" s="290" t="s">
        <v>233</v>
      </c>
      <c r="D452" s="227" t="s">
        <v>231</v>
      </c>
      <c r="E452" s="241"/>
      <c r="F452" s="228">
        <f t="shared" si="122"/>
        <v>7.4469037330616245E-2</v>
      </c>
      <c r="G452" s="269">
        <f>+F452*G450</f>
        <v>5.9267053742405139E-5</v>
      </c>
      <c r="H452" s="299"/>
      <c r="I452" s="299"/>
      <c r="J452" s="299"/>
      <c r="K452" s="299"/>
      <c r="L452" s="299"/>
      <c r="M452" s="299"/>
      <c r="N452" s="229">
        <v>1</v>
      </c>
      <c r="O452" s="229">
        <v>1</v>
      </c>
      <c r="P452" s="229">
        <v>1</v>
      </c>
      <c r="Q452" s="272">
        <v>1</v>
      </c>
      <c r="R452" s="272">
        <v>1</v>
      </c>
      <c r="S452" s="272">
        <v>1</v>
      </c>
      <c r="T452" s="256">
        <f t="shared" si="123"/>
        <v>1</v>
      </c>
      <c r="U452" s="256">
        <f t="shared" si="124"/>
        <v>1</v>
      </c>
      <c r="V452" s="256">
        <f t="shared" si="125"/>
        <v>1</v>
      </c>
      <c r="W452" s="256">
        <f t="shared" si="113"/>
        <v>1</v>
      </c>
      <c r="X452" s="216"/>
      <c r="Y452" s="216"/>
    </row>
    <row r="453" spans="1:25" s="140" customFormat="1" ht="26.25" hidden="1" outlineLevel="3" thickBot="1">
      <c r="A453" s="216"/>
      <c r="B453" s="255" t="s">
        <v>638</v>
      </c>
      <c r="C453" s="290" t="s">
        <v>235</v>
      </c>
      <c r="D453" s="227" t="s">
        <v>231</v>
      </c>
      <c r="E453" s="241"/>
      <c r="F453" s="228">
        <f t="shared" si="122"/>
        <v>7.4469037330616245E-2</v>
      </c>
      <c r="G453" s="269">
        <f>+F453*G450</f>
        <v>5.9267053742405139E-5</v>
      </c>
      <c r="H453" s="299"/>
      <c r="I453" s="299"/>
      <c r="J453" s="299"/>
      <c r="K453" s="299"/>
      <c r="L453" s="299"/>
      <c r="M453" s="299"/>
      <c r="N453" s="229">
        <v>1</v>
      </c>
      <c r="O453" s="229">
        <v>1</v>
      </c>
      <c r="P453" s="229">
        <v>1</v>
      </c>
      <c r="Q453" s="272">
        <v>1</v>
      </c>
      <c r="R453" s="272">
        <v>1</v>
      </c>
      <c r="S453" s="272">
        <v>1</v>
      </c>
      <c r="T453" s="256">
        <f t="shared" si="123"/>
        <v>1</v>
      </c>
      <c r="U453" s="256">
        <f t="shared" si="124"/>
        <v>1</v>
      </c>
      <c r="V453" s="256">
        <f t="shared" si="125"/>
        <v>1</v>
      </c>
      <c r="W453" s="256">
        <f t="shared" si="113"/>
        <v>1</v>
      </c>
      <c r="X453" s="216"/>
      <c r="Y453" s="216"/>
    </row>
    <row r="454" spans="1:25" s="140" customFormat="1" ht="26.25" hidden="1" outlineLevel="3" thickBot="1">
      <c r="A454" s="216"/>
      <c r="B454" s="255" t="s">
        <v>639</v>
      </c>
      <c r="C454" s="290" t="s">
        <v>237</v>
      </c>
      <c r="D454" s="227" t="s">
        <v>231</v>
      </c>
      <c r="E454" s="241"/>
      <c r="F454" s="228">
        <f t="shared" si="122"/>
        <v>7.4469037330616245E-2</v>
      </c>
      <c r="G454" s="269">
        <f>+F454*G450</f>
        <v>5.9267053742405139E-5</v>
      </c>
      <c r="H454" s="299"/>
      <c r="I454" s="299"/>
      <c r="J454" s="299"/>
      <c r="K454" s="299"/>
      <c r="L454" s="299"/>
      <c r="M454" s="299"/>
      <c r="N454" s="229">
        <v>1</v>
      </c>
      <c r="O454" s="229">
        <v>1</v>
      </c>
      <c r="P454" s="229">
        <v>1</v>
      </c>
      <c r="Q454" s="272">
        <v>1</v>
      </c>
      <c r="R454" s="272">
        <v>1</v>
      </c>
      <c r="S454" s="272">
        <v>1</v>
      </c>
      <c r="T454" s="256">
        <f t="shared" si="123"/>
        <v>1</v>
      </c>
      <c r="U454" s="256">
        <f t="shared" si="124"/>
        <v>1</v>
      </c>
      <c r="V454" s="256">
        <f t="shared" si="125"/>
        <v>1</v>
      </c>
      <c r="W454" s="256">
        <f t="shared" ref="W454:W517" si="127">+IF(R454=0,0,$S454/R454)</f>
        <v>1</v>
      </c>
      <c r="X454" s="216"/>
      <c r="Y454" s="216"/>
    </row>
    <row r="455" spans="1:25" s="140" customFormat="1" ht="26.25" hidden="1" outlineLevel="3" thickBot="1">
      <c r="A455" s="216"/>
      <c r="B455" s="255" t="s">
        <v>640</v>
      </c>
      <c r="C455" s="290" t="s">
        <v>239</v>
      </c>
      <c r="D455" s="227" t="s">
        <v>231</v>
      </c>
      <c r="E455" s="241"/>
      <c r="F455" s="228">
        <f t="shared" si="122"/>
        <v>7.4469037330616245E-2</v>
      </c>
      <c r="G455" s="269">
        <f>+F455*G450</f>
        <v>5.9267053742405139E-5</v>
      </c>
      <c r="H455" s="299"/>
      <c r="I455" s="299"/>
      <c r="J455" s="299"/>
      <c r="K455" s="299"/>
      <c r="L455" s="299"/>
      <c r="M455" s="299"/>
      <c r="N455" s="229">
        <v>1</v>
      </c>
      <c r="O455" s="229">
        <v>1</v>
      </c>
      <c r="P455" s="229">
        <v>1</v>
      </c>
      <c r="Q455" s="272">
        <v>1</v>
      </c>
      <c r="R455" s="272">
        <v>1</v>
      </c>
      <c r="S455" s="272">
        <v>1</v>
      </c>
      <c r="T455" s="256">
        <f t="shared" si="123"/>
        <v>1</v>
      </c>
      <c r="U455" s="256">
        <f t="shared" si="124"/>
        <v>1</v>
      </c>
      <c r="V455" s="256">
        <f t="shared" si="125"/>
        <v>1</v>
      </c>
      <c r="W455" s="256">
        <f t="shared" si="127"/>
        <v>1</v>
      </c>
      <c r="X455" s="216"/>
      <c r="Y455" s="216"/>
    </row>
    <row r="456" spans="1:25" s="140" customFormat="1" ht="26.25" hidden="1" outlineLevel="3" thickBot="1">
      <c r="A456" s="216"/>
      <c r="B456" s="255" t="s">
        <v>641</v>
      </c>
      <c r="C456" s="290" t="s">
        <v>241</v>
      </c>
      <c r="D456" s="227" t="s">
        <v>231</v>
      </c>
      <c r="E456" s="241"/>
      <c r="F456" s="228">
        <f t="shared" si="122"/>
        <v>7.4469037330616245E-2</v>
      </c>
      <c r="G456" s="269">
        <f>+F456*G450</f>
        <v>5.9267053742405139E-5</v>
      </c>
      <c r="H456" s="299"/>
      <c r="I456" s="299"/>
      <c r="J456" s="299"/>
      <c r="K456" s="299"/>
      <c r="L456" s="299"/>
      <c r="M456" s="299"/>
      <c r="N456" s="229">
        <v>1</v>
      </c>
      <c r="O456" s="229">
        <v>1</v>
      </c>
      <c r="P456" s="229">
        <v>1</v>
      </c>
      <c r="Q456" s="272">
        <v>1</v>
      </c>
      <c r="R456" s="272">
        <v>1</v>
      </c>
      <c r="S456" s="272">
        <v>1</v>
      </c>
      <c r="T456" s="256">
        <f t="shared" si="123"/>
        <v>1</v>
      </c>
      <c r="U456" s="256">
        <f t="shared" si="124"/>
        <v>1</v>
      </c>
      <c r="V456" s="256">
        <f t="shared" si="125"/>
        <v>1</v>
      </c>
      <c r="W456" s="256">
        <f t="shared" si="127"/>
        <v>1</v>
      </c>
      <c r="X456" s="216"/>
      <c r="Y456" s="216"/>
    </row>
    <row r="457" spans="1:25" s="140" customFormat="1" ht="26.25" hidden="1" outlineLevel="3" thickBot="1">
      <c r="A457" s="216"/>
      <c r="B457" s="255" t="s">
        <v>642</v>
      </c>
      <c r="C457" s="290" t="s">
        <v>376</v>
      </c>
      <c r="D457" s="227" t="s">
        <v>256</v>
      </c>
      <c r="E457" s="241"/>
      <c r="F457" s="228">
        <f t="shared" si="122"/>
        <v>6.9148222002037796E-2</v>
      </c>
      <c r="G457" s="269">
        <f>+F457*G450</f>
        <v>5.5032420674271958E-5</v>
      </c>
      <c r="H457" s="299"/>
      <c r="I457" s="299"/>
      <c r="J457" s="299"/>
      <c r="K457" s="299"/>
      <c r="L457" s="299"/>
      <c r="M457" s="299"/>
      <c r="N457" s="229">
        <v>1</v>
      </c>
      <c r="O457" s="229">
        <v>1</v>
      </c>
      <c r="P457" s="229">
        <v>1</v>
      </c>
      <c r="Q457" s="272">
        <v>1</v>
      </c>
      <c r="R457" s="272">
        <v>1</v>
      </c>
      <c r="S457" s="272">
        <v>1</v>
      </c>
      <c r="T457" s="256">
        <f t="shared" si="123"/>
        <v>1</v>
      </c>
      <c r="U457" s="256">
        <f t="shared" si="124"/>
        <v>1</v>
      </c>
      <c r="V457" s="256">
        <f t="shared" si="125"/>
        <v>1</v>
      </c>
      <c r="W457" s="256">
        <f t="shared" si="127"/>
        <v>1</v>
      </c>
      <c r="X457" s="216"/>
      <c r="Y457" s="216"/>
    </row>
    <row r="458" spans="1:25" s="140" customFormat="1" ht="26.25" hidden="1" outlineLevel="3" thickBot="1">
      <c r="A458" s="216"/>
      <c r="B458" s="255" t="s">
        <v>643</v>
      </c>
      <c r="C458" s="290" t="s">
        <v>378</v>
      </c>
      <c r="D458" s="227" t="s">
        <v>256</v>
      </c>
      <c r="E458" s="241"/>
      <c r="F458" s="228">
        <f t="shared" si="122"/>
        <v>6.9148222002037796E-2</v>
      </c>
      <c r="G458" s="269">
        <f>+F458*G450</f>
        <v>5.5032420674271958E-5</v>
      </c>
      <c r="H458" s="299"/>
      <c r="I458" s="299"/>
      <c r="J458" s="299"/>
      <c r="K458" s="299"/>
      <c r="L458" s="299"/>
      <c r="M458" s="299"/>
      <c r="N458" s="229">
        <v>1</v>
      </c>
      <c r="O458" s="229">
        <v>1</v>
      </c>
      <c r="P458" s="229">
        <v>1</v>
      </c>
      <c r="Q458" s="272">
        <v>1</v>
      </c>
      <c r="R458" s="272">
        <v>1</v>
      </c>
      <c r="S458" s="272">
        <v>1</v>
      </c>
      <c r="T458" s="256">
        <f t="shared" si="123"/>
        <v>1</v>
      </c>
      <c r="U458" s="256">
        <f t="shared" si="124"/>
        <v>1</v>
      </c>
      <c r="V458" s="256">
        <f t="shared" si="125"/>
        <v>1</v>
      </c>
      <c r="W458" s="256">
        <f t="shared" si="127"/>
        <v>1</v>
      </c>
      <c r="X458" s="216"/>
      <c r="Y458" s="216"/>
    </row>
    <row r="459" spans="1:25" s="140" customFormat="1" ht="26.25" hidden="1" outlineLevel="3" thickBot="1">
      <c r="A459" s="216"/>
      <c r="B459" s="255" t="s">
        <v>644</v>
      </c>
      <c r="C459" s="290" t="s">
        <v>380</v>
      </c>
      <c r="D459" s="227" t="s">
        <v>256</v>
      </c>
      <c r="E459" s="241"/>
      <c r="F459" s="228">
        <f t="shared" si="122"/>
        <v>6.9148222002037796E-2</v>
      </c>
      <c r="G459" s="269">
        <f>+F459*G450</f>
        <v>5.5032420674271958E-5</v>
      </c>
      <c r="H459" s="299"/>
      <c r="I459" s="299"/>
      <c r="J459" s="299"/>
      <c r="K459" s="299"/>
      <c r="L459" s="299"/>
      <c r="M459" s="299"/>
      <c r="N459" s="229">
        <v>1</v>
      </c>
      <c r="O459" s="229">
        <v>1</v>
      </c>
      <c r="P459" s="229">
        <v>1</v>
      </c>
      <c r="Q459" s="272">
        <v>1</v>
      </c>
      <c r="R459" s="272">
        <v>1</v>
      </c>
      <c r="S459" s="272">
        <v>1</v>
      </c>
      <c r="T459" s="256">
        <f t="shared" si="123"/>
        <v>1</v>
      </c>
      <c r="U459" s="256">
        <f t="shared" si="124"/>
        <v>1</v>
      </c>
      <c r="V459" s="256">
        <f t="shared" si="125"/>
        <v>1</v>
      </c>
      <c r="W459" s="256">
        <f t="shared" si="127"/>
        <v>1</v>
      </c>
      <c r="X459" s="216"/>
      <c r="Y459" s="216"/>
    </row>
    <row r="460" spans="1:25" s="140" customFormat="1" ht="26.25" hidden="1" outlineLevel="3" thickBot="1">
      <c r="A460" s="216"/>
      <c r="B460" s="255" t="s">
        <v>645</v>
      </c>
      <c r="C460" s="290" t="s">
        <v>382</v>
      </c>
      <c r="D460" s="227" t="s">
        <v>256</v>
      </c>
      <c r="E460" s="241"/>
      <c r="F460" s="228">
        <f t="shared" si="122"/>
        <v>6.9148222002037796E-2</v>
      </c>
      <c r="G460" s="269">
        <f>+F460*G450</f>
        <v>5.5032420674271958E-5</v>
      </c>
      <c r="H460" s="299"/>
      <c r="I460" s="299"/>
      <c r="J460" s="299"/>
      <c r="K460" s="299"/>
      <c r="L460" s="299"/>
      <c r="M460" s="299"/>
      <c r="N460" s="229">
        <v>1</v>
      </c>
      <c r="O460" s="229">
        <v>1</v>
      </c>
      <c r="P460" s="229">
        <v>1</v>
      </c>
      <c r="Q460" s="272">
        <v>1</v>
      </c>
      <c r="R460" s="272">
        <v>1</v>
      </c>
      <c r="S460" s="272">
        <v>1</v>
      </c>
      <c r="T460" s="256">
        <f t="shared" si="123"/>
        <v>1</v>
      </c>
      <c r="U460" s="256">
        <f t="shared" si="124"/>
        <v>1</v>
      </c>
      <c r="V460" s="256">
        <f t="shared" si="125"/>
        <v>1</v>
      </c>
      <c r="W460" s="256">
        <f t="shared" si="127"/>
        <v>1</v>
      </c>
      <c r="X460" s="216"/>
      <c r="Y460" s="216"/>
    </row>
    <row r="461" spans="1:25" s="140" customFormat="1" ht="26.25" hidden="1" outlineLevel="3" thickBot="1">
      <c r="A461" s="216"/>
      <c r="B461" s="255" t="s">
        <v>646</v>
      </c>
      <c r="C461" s="290" t="s">
        <v>384</v>
      </c>
      <c r="D461" s="227" t="s">
        <v>256</v>
      </c>
      <c r="E461" s="241"/>
      <c r="F461" s="228">
        <f t="shared" si="122"/>
        <v>6.9148222002037796E-2</v>
      </c>
      <c r="G461" s="269">
        <f>+F461*G450</f>
        <v>5.5032420674271958E-5</v>
      </c>
      <c r="H461" s="299"/>
      <c r="I461" s="299"/>
      <c r="J461" s="299"/>
      <c r="K461" s="299"/>
      <c r="L461" s="299"/>
      <c r="M461" s="299"/>
      <c r="N461" s="229">
        <v>1</v>
      </c>
      <c r="O461" s="229">
        <v>1</v>
      </c>
      <c r="P461" s="229">
        <v>1</v>
      </c>
      <c r="Q461" s="272">
        <v>1</v>
      </c>
      <c r="R461" s="272">
        <v>1</v>
      </c>
      <c r="S461" s="272">
        <v>1</v>
      </c>
      <c r="T461" s="256">
        <f t="shared" si="123"/>
        <v>1</v>
      </c>
      <c r="U461" s="256">
        <f t="shared" si="124"/>
        <v>1</v>
      </c>
      <c r="V461" s="256">
        <f t="shared" si="125"/>
        <v>1</v>
      </c>
      <c r="W461" s="256">
        <f t="shared" si="127"/>
        <v>1</v>
      </c>
      <c r="X461" s="216"/>
      <c r="Y461" s="216"/>
    </row>
    <row r="462" spans="1:25" s="140" customFormat="1" ht="26.25" hidden="1" outlineLevel="3" thickBot="1">
      <c r="A462" s="216"/>
      <c r="B462" s="255" t="s">
        <v>647</v>
      </c>
      <c r="C462" s="290" t="s">
        <v>386</v>
      </c>
      <c r="D462" s="227" t="s">
        <v>256</v>
      </c>
      <c r="E462" s="241"/>
      <c r="F462" s="228">
        <f t="shared" si="122"/>
        <v>6.9148222002037796E-2</v>
      </c>
      <c r="G462" s="269">
        <f>+F462*G450</f>
        <v>5.5032420674271958E-5</v>
      </c>
      <c r="H462" s="299"/>
      <c r="I462" s="299"/>
      <c r="J462" s="299"/>
      <c r="K462" s="299"/>
      <c r="L462" s="299"/>
      <c r="M462" s="299"/>
      <c r="N462" s="229">
        <v>1</v>
      </c>
      <c r="O462" s="229">
        <v>1</v>
      </c>
      <c r="P462" s="229">
        <v>1</v>
      </c>
      <c r="Q462" s="272">
        <v>1</v>
      </c>
      <c r="R462" s="272">
        <v>1</v>
      </c>
      <c r="S462" s="272">
        <v>1</v>
      </c>
      <c r="T462" s="256">
        <f t="shared" si="123"/>
        <v>1</v>
      </c>
      <c r="U462" s="256">
        <f t="shared" si="124"/>
        <v>1</v>
      </c>
      <c r="V462" s="256">
        <f t="shared" si="125"/>
        <v>1</v>
      </c>
      <c r="W462" s="256">
        <f t="shared" si="127"/>
        <v>1</v>
      </c>
      <c r="X462" s="216"/>
      <c r="Y462" s="216"/>
    </row>
    <row r="463" spans="1:25" s="140" customFormat="1" ht="26.25" hidden="1" outlineLevel="3" thickBot="1">
      <c r="A463" s="216"/>
      <c r="B463" s="255" t="s">
        <v>648</v>
      </c>
      <c r="C463" s="290" t="s">
        <v>388</v>
      </c>
      <c r="D463" s="227" t="s">
        <v>256</v>
      </c>
      <c r="E463" s="241"/>
      <c r="F463" s="228">
        <f t="shared" si="122"/>
        <v>6.9148222002037796E-2</v>
      </c>
      <c r="G463" s="269">
        <f>+F463*G450</f>
        <v>5.5032420674271958E-5</v>
      </c>
      <c r="H463" s="299"/>
      <c r="I463" s="299"/>
      <c r="J463" s="299"/>
      <c r="K463" s="299"/>
      <c r="L463" s="299"/>
      <c r="M463" s="299"/>
      <c r="N463" s="229">
        <v>1</v>
      </c>
      <c r="O463" s="229">
        <v>1</v>
      </c>
      <c r="P463" s="229">
        <v>1</v>
      </c>
      <c r="Q463" s="272">
        <v>1</v>
      </c>
      <c r="R463" s="272">
        <v>1</v>
      </c>
      <c r="S463" s="272">
        <v>1</v>
      </c>
      <c r="T463" s="256">
        <f t="shared" si="123"/>
        <v>1</v>
      </c>
      <c r="U463" s="256">
        <f t="shared" si="124"/>
        <v>1</v>
      </c>
      <c r="V463" s="256">
        <f t="shared" si="125"/>
        <v>1</v>
      </c>
      <c r="W463" s="256">
        <f t="shared" si="127"/>
        <v>1</v>
      </c>
      <c r="X463" s="216"/>
      <c r="Y463" s="216"/>
    </row>
    <row r="464" spans="1:25" s="140" customFormat="1" ht="26.25" hidden="1" outlineLevel="3" thickBot="1">
      <c r="A464" s="216"/>
      <c r="B464" s="255" t="s">
        <v>649</v>
      </c>
      <c r="C464" s="290" t="s">
        <v>390</v>
      </c>
      <c r="D464" s="227" t="s">
        <v>256</v>
      </c>
      <c r="E464" s="241"/>
      <c r="F464" s="228">
        <f t="shared" si="122"/>
        <v>6.9148222002037796E-2</v>
      </c>
      <c r="G464" s="269">
        <f>+F464*G450</f>
        <v>5.5032420674271958E-5</v>
      </c>
      <c r="H464" s="299"/>
      <c r="I464" s="299"/>
      <c r="J464" s="299"/>
      <c r="K464" s="299"/>
      <c r="L464" s="299"/>
      <c r="M464" s="299"/>
      <c r="N464" s="229">
        <v>1</v>
      </c>
      <c r="O464" s="229">
        <v>1</v>
      </c>
      <c r="P464" s="229">
        <v>1</v>
      </c>
      <c r="Q464" s="272">
        <v>1</v>
      </c>
      <c r="R464" s="272">
        <v>1</v>
      </c>
      <c r="S464" s="272">
        <v>1</v>
      </c>
      <c r="T464" s="256">
        <f t="shared" si="123"/>
        <v>1</v>
      </c>
      <c r="U464" s="256">
        <f t="shared" si="124"/>
        <v>1</v>
      </c>
      <c r="V464" s="256">
        <f t="shared" si="125"/>
        <v>1</v>
      </c>
      <c r="W464" s="256">
        <f t="shared" si="127"/>
        <v>1</v>
      </c>
      <c r="X464" s="216"/>
      <c r="Y464" s="216"/>
    </row>
    <row r="465" spans="1:25" s="140" customFormat="1" ht="13.5" hidden="1" outlineLevel="2" thickBot="1">
      <c r="A465" s="216"/>
      <c r="B465" s="291" t="s">
        <v>650</v>
      </c>
      <c r="C465" s="292" t="s">
        <v>170</v>
      </c>
      <c r="D465" s="234" t="s">
        <v>171</v>
      </c>
      <c r="E465" s="240"/>
      <c r="F465" s="223">
        <f t="shared" si="122"/>
        <v>4.25702422192204E-2</v>
      </c>
      <c r="G465" s="293">
        <f>+F465*G343</f>
        <v>3.325041214050644E-4</v>
      </c>
      <c r="H465" s="298"/>
      <c r="I465" s="298"/>
      <c r="J465" s="298"/>
      <c r="K465" s="298"/>
      <c r="L465" s="298"/>
      <c r="M465" s="298"/>
      <c r="N465" s="224">
        <v>0.94</v>
      </c>
      <c r="O465" s="224">
        <v>0.94</v>
      </c>
      <c r="P465" s="224">
        <v>0.94</v>
      </c>
      <c r="Q465" s="270">
        <v>0.9</v>
      </c>
      <c r="R465" s="270">
        <v>0.9</v>
      </c>
      <c r="S465" s="270">
        <v>0.9</v>
      </c>
      <c r="T465" s="254">
        <f t="shared" si="123"/>
        <v>0.95744680851063835</v>
      </c>
      <c r="U465" s="254">
        <f t="shared" si="124"/>
        <v>0.95744680851063835</v>
      </c>
      <c r="V465" s="254">
        <f t="shared" si="125"/>
        <v>0.95744680851063835</v>
      </c>
      <c r="W465" s="254">
        <f t="shared" si="127"/>
        <v>1</v>
      </c>
      <c r="X465" s="216"/>
      <c r="Y465" s="216"/>
    </row>
    <row r="466" spans="1:25" s="140" customFormat="1" ht="13.5" hidden="1" outlineLevel="1" thickBot="1">
      <c r="B466" s="300" t="s">
        <v>651</v>
      </c>
      <c r="C466" s="294" t="s">
        <v>392</v>
      </c>
      <c r="D466" s="294" t="s">
        <v>47</v>
      </c>
      <c r="E466" s="295"/>
      <c r="F466" s="296">
        <f t="shared" si="122"/>
        <v>3.9032542437386124E-2</v>
      </c>
      <c r="G466" s="296">
        <f>+F466*G342</f>
        <v>3.9032542437386126E-4</v>
      </c>
      <c r="H466" s="297"/>
      <c r="I466" s="297"/>
      <c r="J466" s="297"/>
      <c r="K466" s="297"/>
      <c r="L466" s="297"/>
      <c r="M466" s="297"/>
      <c r="N466" s="296">
        <f t="shared" ref="N466:S466" si="128">+SUMPRODUCT($F467:$F481,N467:N481)</f>
        <v>0.93999999999999972</v>
      </c>
      <c r="O466" s="296">
        <f t="shared" si="128"/>
        <v>0.93999999999999972</v>
      </c>
      <c r="P466" s="296">
        <f t="shared" si="128"/>
        <v>0.93999999999999972</v>
      </c>
      <c r="Q466" s="296">
        <f t="shared" si="128"/>
        <v>0.4383826661484056</v>
      </c>
      <c r="R466" s="296">
        <f t="shared" si="128"/>
        <v>0.4383826661484056</v>
      </c>
      <c r="S466" s="296">
        <f t="shared" si="128"/>
        <v>0.4383826661484056</v>
      </c>
      <c r="T466" s="296">
        <f t="shared" si="123"/>
        <v>0.46636453845575077</v>
      </c>
      <c r="U466" s="296">
        <f t="shared" si="124"/>
        <v>0.46636453845575077</v>
      </c>
      <c r="V466" s="296">
        <f t="shared" si="125"/>
        <v>0.46636453845575077</v>
      </c>
      <c r="W466" s="296">
        <f t="shared" si="127"/>
        <v>1</v>
      </c>
    </row>
    <row r="467" spans="1:25" s="140" customFormat="1" ht="13.5" hidden="1" outlineLevel="2" thickBot="1">
      <c r="A467" s="216"/>
      <c r="B467" s="255" t="s">
        <v>652</v>
      </c>
      <c r="C467" s="245" t="s">
        <v>49</v>
      </c>
      <c r="D467" s="227" t="s">
        <v>50</v>
      </c>
      <c r="E467" s="241"/>
      <c r="F467" s="228">
        <f t="shared" si="122"/>
        <v>9.2877610796635368E-2</v>
      </c>
      <c r="G467" s="269">
        <f>+F467*G466</f>
        <v>3.6252492849027016E-5</v>
      </c>
      <c r="H467" s="299"/>
      <c r="I467" s="299"/>
      <c r="J467" s="299"/>
      <c r="K467" s="299"/>
      <c r="L467" s="299"/>
      <c r="M467" s="299"/>
      <c r="N467" s="229">
        <v>0.94</v>
      </c>
      <c r="O467" s="229">
        <v>0.94</v>
      </c>
      <c r="P467" s="229">
        <v>0.94</v>
      </c>
      <c r="Q467" s="272">
        <v>1</v>
      </c>
      <c r="R467" s="272">
        <v>1</v>
      </c>
      <c r="S467" s="272">
        <v>1</v>
      </c>
      <c r="T467" s="256">
        <f t="shared" si="123"/>
        <v>1.0638297872340425</v>
      </c>
      <c r="U467" s="256">
        <f t="shared" si="124"/>
        <v>1.0638297872340425</v>
      </c>
      <c r="V467" s="256">
        <f t="shared" si="125"/>
        <v>1.0638297872340425</v>
      </c>
      <c r="W467" s="256">
        <f t="shared" si="127"/>
        <v>1</v>
      </c>
      <c r="X467" s="216"/>
      <c r="Y467" s="216"/>
    </row>
    <row r="468" spans="1:25" s="140" customFormat="1" ht="13.5" hidden="1" outlineLevel="2" thickBot="1">
      <c r="A468" s="216"/>
      <c r="B468" s="255" t="s">
        <v>653</v>
      </c>
      <c r="C468" s="245" t="s">
        <v>52</v>
      </c>
      <c r="D468" s="227" t="s">
        <v>53</v>
      </c>
      <c r="E468" s="241"/>
      <c r="F468" s="228">
        <f t="shared" si="122"/>
        <v>5.8105219309829384E-2</v>
      </c>
      <c r="G468" s="269">
        <f>+F468*G466</f>
        <v>2.2679944385445432E-5</v>
      </c>
      <c r="H468" s="299"/>
      <c r="I468" s="299"/>
      <c r="J468" s="299"/>
      <c r="K468" s="299"/>
      <c r="L468" s="299"/>
      <c r="M468" s="299"/>
      <c r="N468" s="229">
        <v>0.94</v>
      </c>
      <c r="O468" s="229">
        <v>0.94</v>
      </c>
      <c r="P468" s="229">
        <v>0.94</v>
      </c>
      <c r="Q468" s="272">
        <v>1</v>
      </c>
      <c r="R468" s="272">
        <v>1</v>
      </c>
      <c r="S468" s="272">
        <v>1</v>
      </c>
      <c r="T468" s="256">
        <f t="shared" si="123"/>
        <v>1.0638297872340425</v>
      </c>
      <c r="U468" s="256">
        <f t="shared" si="124"/>
        <v>1.0638297872340425</v>
      </c>
      <c r="V468" s="256">
        <f t="shared" si="125"/>
        <v>1.0638297872340425</v>
      </c>
      <c r="W468" s="256">
        <f t="shared" si="127"/>
        <v>1</v>
      </c>
      <c r="X468" s="216"/>
      <c r="Y468" s="216"/>
    </row>
    <row r="469" spans="1:25" s="140" customFormat="1" ht="13.5" hidden="1" outlineLevel="2" thickBot="1">
      <c r="A469" s="216"/>
      <c r="B469" s="255" t="s">
        <v>654</v>
      </c>
      <c r="C469" s="245" t="s">
        <v>55</v>
      </c>
      <c r="D469" s="227" t="s">
        <v>56</v>
      </c>
      <c r="E469" s="241"/>
      <c r="F469" s="228">
        <f t="shared" si="122"/>
        <v>2.7796911320762424E-2</v>
      </c>
      <c r="G469" s="269">
        <f>+F469*G466</f>
        <v>1.0849841207559182E-5</v>
      </c>
      <c r="H469" s="299"/>
      <c r="I469" s="299"/>
      <c r="J469" s="299"/>
      <c r="K469" s="299"/>
      <c r="L469" s="299"/>
      <c r="M469" s="299"/>
      <c r="N469" s="229">
        <v>0.94</v>
      </c>
      <c r="O469" s="229">
        <v>0.94</v>
      </c>
      <c r="P469" s="229">
        <v>0.94</v>
      </c>
      <c r="Q469" s="272">
        <v>1</v>
      </c>
      <c r="R469" s="272">
        <v>1</v>
      </c>
      <c r="S469" s="272">
        <v>1</v>
      </c>
      <c r="T469" s="256">
        <f t="shared" si="123"/>
        <v>1.0638297872340425</v>
      </c>
      <c r="U469" s="256">
        <f t="shared" si="124"/>
        <v>1.0638297872340425</v>
      </c>
      <c r="V469" s="256">
        <f t="shared" si="125"/>
        <v>1.0638297872340425</v>
      </c>
      <c r="W469" s="256">
        <f t="shared" si="127"/>
        <v>1</v>
      </c>
      <c r="X469" s="216"/>
      <c r="Y469" s="216"/>
    </row>
    <row r="470" spans="1:25" s="140" customFormat="1" ht="13.5" hidden="1" outlineLevel="2" thickBot="1">
      <c r="A470" s="216"/>
      <c r="B470" s="255" t="s">
        <v>655</v>
      </c>
      <c r="C470" s="245" t="s">
        <v>58</v>
      </c>
      <c r="D470" s="227" t="s">
        <v>59</v>
      </c>
      <c r="E470" s="241"/>
      <c r="F470" s="228">
        <f t="shared" si="122"/>
        <v>2.9155300375276354E-2</v>
      </c>
      <c r="G470" s="269">
        <f>+F470*G466</f>
        <v>1.1380054991727139E-5</v>
      </c>
      <c r="H470" s="299"/>
      <c r="I470" s="299"/>
      <c r="J470" s="299"/>
      <c r="K470" s="299"/>
      <c r="L470" s="299"/>
      <c r="M470" s="299"/>
      <c r="N470" s="229">
        <v>0.94</v>
      </c>
      <c r="O470" s="229">
        <v>0.94</v>
      </c>
      <c r="P470" s="229">
        <v>0.94</v>
      </c>
      <c r="Q470" s="272">
        <v>1</v>
      </c>
      <c r="R470" s="272">
        <v>1</v>
      </c>
      <c r="S470" s="272">
        <v>1</v>
      </c>
      <c r="T470" s="256">
        <f t="shared" si="123"/>
        <v>1.0638297872340425</v>
      </c>
      <c r="U470" s="256">
        <f t="shared" si="124"/>
        <v>1.0638297872340425</v>
      </c>
      <c r="V470" s="256">
        <f t="shared" si="125"/>
        <v>1.0638297872340425</v>
      </c>
      <c r="W470" s="256">
        <f t="shared" si="127"/>
        <v>1</v>
      </c>
      <c r="X470" s="216"/>
      <c r="Y470" s="216"/>
    </row>
    <row r="471" spans="1:25" s="140" customFormat="1" ht="13.5" hidden="1" outlineLevel="2" thickBot="1">
      <c r="A471" s="216"/>
      <c r="B471" s="255" t="s">
        <v>656</v>
      </c>
      <c r="C471" s="245" t="s">
        <v>61</v>
      </c>
      <c r="D471" s="227" t="s">
        <v>62</v>
      </c>
      <c r="E471" s="241"/>
      <c r="F471" s="228">
        <f t="shared" ref="F471:F492" si="129">F847</f>
        <v>4.0182801717972776E-2</v>
      </c>
      <c r="G471" s="269">
        <f>+F471*G466</f>
        <v>1.5684369133098445E-5</v>
      </c>
      <c r="H471" s="299"/>
      <c r="I471" s="299"/>
      <c r="J471" s="299"/>
      <c r="K471" s="299"/>
      <c r="L471" s="299"/>
      <c r="M471" s="299"/>
      <c r="N471" s="229">
        <v>0.93999999999999984</v>
      </c>
      <c r="O471" s="229">
        <v>0.93999999999999984</v>
      </c>
      <c r="P471" s="229">
        <v>0.93999999999999984</v>
      </c>
      <c r="Q471" s="272">
        <v>1</v>
      </c>
      <c r="R471" s="272">
        <v>1</v>
      </c>
      <c r="S471" s="272">
        <v>1</v>
      </c>
      <c r="T471" s="256">
        <f t="shared" ref="T471:T502" si="130">+IF(N471=0,0,$S471/N471)</f>
        <v>1.0638297872340428</v>
      </c>
      <c r="U471" s="256">
        <f t="shared" ref="U471:U502" si="131">+IF(O471=0,0,$S471/O471)</f>
        <v>1.0638297872340428</v>
      </c>
      <c r="V471" s="256">
        <f t="shared" ref="V471:V502" si="132">+IF(P471=0,0,$S471/P471)</f>
        <v>1.0638297872340428</v>
      </c>
      <c r="W471" s="256">
        <f t="shared" si="127"/>
        <v>1</v>
      </c>
      <c r="X471" s="216"/>
      <c r="Y471" s="216"/>
    </row>
    <row r="472" spans="1:25" s="140" customFormat="1" ht="13.5" hidden="1" outlineLevel="2" thickBot="1">
      <c r="A472" s="216"/>
      <c r="B472" s="255" t="s">
        <v>657</v>
      </c>
      <c r="C472" s="245" t="s">
        <v>64</v>
      </c>
      <c r="D472" s="227" t="s">
        <v>65</v>
      </c>
      <c r="E472" s="241"/>
      <c r="F472" s="228">
        <f t="shared" si="129"/>
        <v>9.8615013818202632E-2</v>
      </c>
      <c r="G472" s="269">
        <f>+F472*G466</f>
        <v>3.8491947118224134E-5</v>
      </c>
      <c r="H472" s="299"/>
      <c r="I472" s="299"/>
      <c r="J472" s="299"/>
      <c r="K472" s="299"/>
      <c r="L472" s="299"/>
      <c r="M472" s="299"/>
      <c r="N472" s="229">
        <v>0.93999999999999984</v>
      </c>
      <c r="O472" s="229">
        <v>0.93999999999999984</v>
      </c>
      <c r="P472" s="229">
        <v>0.93999999999999984</v>
      </c>
      <c r="Q472" s="272">
        <v>1</v>
      </c>
      <c r="R472" s="272">
        <v>1</v>
      </c>
      <c r="S472" s="272">
        <v>1</v>
      </c>
      <c r="T472" s="256">
        <f t="shared" si="130"/>
        <v>1.0638297872340428</v>
      </c>
      <c r="U472" s="256">
        <f t="shared" si="131"/>
        <v>1.0638297872340428</v>
      </c>
      <c r="V472" s="256">
        <f t="shared" si="132"/>
        <v>1.0638297872340428</v>
      </c>
      <c r="W472" s="256">
        <f t="shared" si="127"/>
        <v>1</v>
      </c>
      <c r="X472" s="216"/>
      <c r="Y472" s="216"/>
    </row>
    <row r="473" spans="1:25" s="140" customFormat="1" ht="13.5" hidden="1" outlineLevel="2" thickBot="1">
      <c r="A473" s="216"/>
      <c r="B473" s="255" t="s">
        <v>658</v>
      </c>
      <c r="C473" s="245" t="s">
        <v>67</v>
      </c>
      <c r="D473" s="227" t="s">
        <v>68</v>
      </c>
      <c r="E473" s="241"/>
      <c r="F473" s="228">
        <f t="shared" si="129"/>
        <v>9.164980880972666E-2</v>
      </c>
      <c r="G473" s="269">
        <f>+F473*G466</f>
        <v>3.5773250517439805E-5</v>
      </c>
      <c r="H473" s="299"/>
      <c r="I473" s="299"/>
      <c r="J473" s="299"/>
      <c r="K473" s="299"/>
      <c r="L473" s="299"/>
      <c r="M473" s="299"/>
      <c r="N473" s="229">
        <v>0.93999999999999984</v>
      </c>
      <c r="O473" s="229">
        <v>0.93999999999999984</v>
      </c>
      <c r="P473" s="229">
        <v>0.93999999999999984</v>
      </c>
      <c r="Q473" s="272">
        <v>1</v>
      </c>
      <c r="R473" s="272">
        <v>1</v>
      </c>
      <c r="S473" s="272">
        <v>1</v>
      </c>
      <c r="T473" s="256">
        <f t="shared" si="130"/>
        <v>1.0638297872340428</v>
      </c>
      <c r="U473" s="256">
        <f t="shared" si="131"/>
        <v>1.0638297872340428</v>
      </c>
      <c r="V473" s="256">
        <f t="shared" si="132"/>
        <v>1.0638297872340428</v>
      </c>
      <c r="W473" s="256">
        <f t="shared" si="127"/>
        <v>1</v>
      </c>
      <c r="X473" s="216"/>
      <c r="Y473" s="216"/>
    </row>
    <row r="474" spans="1:25" s="140" customFormat="1" ht="26.25" hidden="1" outlineLevel="2" thickBot="1">
      <c r="A474" s="216"/>
      <c r="B474" s="255" t="s">
        <v>659</v>
      </c>
      <c r="C474" s="245" t="s">
        <v>70</v>
      </c>
      <c r="D474" s="227" t="s">
        <v>71</v>
      </c>
      <c r="E474" s="241"/>
      <c r="F474" s="228">
        <f t="shared" si="129"/>
        <v>9.2909380612212003E-2</v>
      </c>
      <c r="G474" s="269">
        <f>+F474*G466</f>
        <v>3.6264893415774247E-5</v>
      </c>
      <c r="H474" s="299"/>
      <c r="I474" s="299"/>
      <c r="J474" s="299"/>
      <c r="K474" s="299"/>
      <c r="L474" s="299"/>
      <c r="M474" s="299"/>
      <c r="N474" s="229">
        <v>0.93999999999999984</v>
      </c>
      <c r="O474" s="229">
        <v>0.93999999999999984</v>
      </c>
      <c r="P474" s="229">
        <v>0.93999999999999984</v>
      </c>
      <c r="Q474" s="272">
        <v>0</v>
      </c>
      <c r="R474" s="272">
        <v>0</v>
      </c>
      <c r="S474" s="272">
        <v>0</v>
      </c>
      <c r="T474" s="256">
        <f t="shared" si="130"/>
        <v>0</v>
      </c>
      <c r="U474" s="256">
        <f t="shared" si="131"/>
        <v>0</v>
      </c>
      <c r="V474" s="256">
        <f t="shared" si="132"/>
        <v>0</v>
      </c>
      <c r="W474" s="256">
        <f t="shared" si="127"/>
        <v>0</v>
      </c>
      <c r="X474" s="216"/>
      <c r="Y474" s="216"/>
    </row>
    <row r="475" spans="1:25" s="140" customFormat="1" ht="13.5" hidden="1" outlineLevel="2" thickBot="1">
      <c r="A475" s="216"/>
      <c r="B475" s="255" t="s">
        <v>660</v>
      </c>
      <c r="C475" s="245" t="s">
        <v>73</v>
      </c>
      <c r="D475" s="227" t="s">
        <v>74</v>
      </c>
      <c r="E475" s="241"/>
      <c r="F475" s="228">
        <f t="shared" si="129"/>
        <v>8.0887028733242702E-2</v>
      </c>
      <c r="G475" s="269">
        <f>+F475*G466</f>
        <v>3.157226381664367E-5</v>
      </c>
      <c r="H475" s="299"/>
      <c r="I475" s="299"/>
      <c r="J475" s="299"/>
      <c r="K475" s="299"/>
      <c r="L475" s="299"/>
      <c r="M475" s="299"/>
      <c r="N475" s="229">
        <v>0.94</v>
      </c>
      <c r="O475" s="229">
        <v>0.94</v>
      </c>
      <c r="P475" s="229">
        <v>0.94</v>
      </c>
      <c r="Q475" s="272">
        <v>0</v>
      </c>
      <c r="R475" s="272">
        <v>0</v>
      </c>
      <c r="S475" s="272">
        <v>0</v>
      </c>
      <c r="T475" s="256">
        <f t="shared" si="130"/>
        <v>0</v>
      </c>
      <c r="U475" s="256">
        <f t="shared" si="131"/>
        <v>0</v>
      </c>
      <c r="V475" s="256">
        <f t="shared" si="132"/>
        <v>0</v>
      </c>
      <c r="W475" s="256">
        <f t="shared" si="127"/>
        <v>0</v>
      </c>
      <c r="X475" s="216"/>
      <c r="Y475" s="216"/>
    </row>
    <row r="476" spans="1:25" s="140" customFormat="1" ht="13.5" hidden="1" outlineLevel="2" thickBot="1">
      <c r="A476" s="216"/>
      <c r="B476" s="255" t="s">
        <v>661</v>
      </c>
      <c r="C476" s="245" t="s">
        <v>76</v>
      </c>
      <c r="D476" s="227" t="s">
        <v>77</v>
      </c>
      <c r="E476" s="241"/>
      <c r="F476" s="228">
        <f t="shared" si="129"/>
        <v>0.11788367881609482</v>
      </c>
      <c r="G476" s="269">
        <f>+F476*G466</f>
        <v>4.6012996960644173E-5</v>
      </c>
      <c r="H476" s="299"/>
      <c r="I476" s="299"/>
      <c r="J476" s="299"/>
      <c r="K476" s="299"/>
      <c r="L476" s="299"/>
      <c r="M476" s="299"/>
      <c r="N476" s="229">
        <v>0.94</v>
      </c>
      <c r="O476" s="229">
        <v>0.94</v>
      </c>
      <c r="P476" s="229">
        <v>0.94</v>
      </c>
      <c r="Q476" s="272">
        <v>0</v>
      </c>
      <c r="R476" s="272">
        <v>0</v>
      </c>
      <c r="S476" s="272">
        <v>0</v>
      </c>
      <c r="T476" s="256">
        <f t="shared" si="130"/>
        <v>0</v>
      </c>
      <c r="U476" s="256">
        <f t="shared" si="131"/>
        <v>0</v>
      </c>
      <c r="V476" s="256">
        <f t="shared" si="132"/>
        <v>0</v>
      </c>
      <c r="W476" s="256">
        <f t="shared" si="127"/>
        <v>0</v>
      </c>
      <c r="X476" s="216"/>
      <c r="Y476" s="216"/>
    </row>
    <row r="477" spans="1:25" s="140" customFormat="1" ht="13.5" hidden="1" outlineLevel="2" thickBot="1">
      <c r="A477" s="216"/>
      <c r="B477" s="255" t="s">
        <v>662</v>
      </c>
      <c r="C477" s="245" t="s">
        <v>79</v>
      </c>
      <c r="D477" s="227" t="s">
        <v>80</v>
      </c>
      <c r="E477" s="241"/>
      <c r="F477" s="228">
        <f t="shared" si="129"/>
        <v>4.1046638926131508E-2</v>
      </c>
      <c r="G477" s="269">
        <f>+F477*G466</f>
        <v>1.6021546757962935E-5</v>
      </c>
      <c r="H477" s="299"/>
      <c r="I477" s="299"/>
      <c r="J477" s="299"/>
      <c r="K477" s="299"/>
      <c r="L477" s="299"/>
      <c r="M477" s="299"/>
      <c r="N477" s="229">
        <v>0.94</v>
      </c>
      <c r="O477" s="229">
        <v>0.94</v>
      </c>
      <c r="P477" s="229">
        <v>0.94</v>
      </c>
      <c r="Q477" s="272">
        <v>0</v>
      </c>
      <c r="R477" s="272">
        <v>0</v>
      </c>
      <c r="S477" s="272">
        <v>0</v>
      </c>
      <c r="T477" s="256">
        <f t="shared" si="130"/>
        <v>0</v>
      </c>
      <c r="U477" s="256">
        <f t="shared" si="131"/>
        <v>0</v>
      </c>
      <c r="V477" s="256">
        <f t="shared" si="132"/>
        <v>0</v>
      </c>
      <c r="W477" s="256">
        <f t="shared" si="127"/>
        <v>0</v>
      </c>
      <c r="X477" s="216"/>
      <c r="Y477" s="216"/>
    </row>
    <row r="478" spans="1:25" s="140" customFormat="1" ht="13.5" hidden="1" outlineLevel="2" thickBot="1">
      <c r="A478" s="216"/>
      <c r="B478" s="255" t="s">
        <v>663</v>
      </c>
      <c r="C478" s="245" t="s">
        <v>82</v>
      </c>
      <c r="D478" s="227" t="s">
        <v>83</v>
      </c>
      <c r="E478" s="241"/>
      <c r="F478" s="228">
        <f t="shared" si="129"/>
        <v>5.3741978219236555E-2</v>
      </c>
      <c r="G478" s="269">
        <f>+F478*G466</f>
        <v>2.0976860455114316E-5</v>
      </c>
      <c r="H478" s="299"/>
      <c r="I478" s="299"/>
      <c r="J478" s="299"/>
      <c r="K478" s="299"/>
      <c r="L478" s="299"/>
      <c r="M478" s="299"/>
      <c r="N478" s="229">
        <v>0.94</v>
      </c>
      <c r="O478" s="229">
        <v>0.94</v>
      </c>
      <c r="P478" s="229">
        <v>0.94</v>
      </c>
      <c r="Q478" s="272">
        <v>0</v>
      </c>
      <c r="R478" s="272">
        <v>0</v>
      </c>
      <c r="S478" s="272">
        <v>0</v>
      </c>
      <c r="T478" s="256">
        <f t="shared" si="130"/>
        <v>0</v>
      </c>
      <c r="U478" s="256">
        <f t="shared" si="131"/>
        <v>0</v>
      </c>
      <c r="V478" s="256">
        <f t="shared" si="132"/>
        <v>0</v>
      </c>
      <c r="W478" s="256">
        <f t="shared" si="127"/>
        <v>0</v>
      </c>
      <c r="X478" s="216"/>
      <c r="Y478" s="216"/>
    </row>
    <row r="479" spans="1:25" s="140" customFormat="1" ht="13.5" hidden="1" outlineLevel="2" thickBot="1">
      <c r="A479" s="216"/>
      <c r="B479" s="255" t="s">
        <v>664</v>
      </c>
      <c r="C479" s="245" t="s">
        <v>85</v>
      </c>
      <c r="D479" s="227" t="s">
        <v>86</v>
      </c>
      <c r="E479" s="241"/>
      <c r="F479" s="228">
        <f t="shared" si="129"/>
        <v>5.8057394561842592E-2</v>
      </c>
      <c r="G479" s="269">
        <f>+F479*G466</f>
        <v>2.2661277170391916E-5</v>
      </c>
      <c r="H479" s="299"/>
      <c r="I479" s="299"/>
      <c r="J479" s="299"/>
      <c r="K479" s="299"/>
      <c r="L479" s="299"/>
      <c r="M479" s="299"/>
      <c r="N479" s="229">
        <v>0.93999999999999984</v>
      </c>
      <c r="O479" s="229">
        <v>0.93999999999999984</v>
      </c>
      <c r="P479" s="229">
        <v>0.93999999999999984</v>
      </c>
      <c r="Q479" s="272">
        <v>0</v>
      </c>
      <c r="R479" s="272">
        <v>0</v>
      </c>
      <c r="S479" s="272">
        <v>0</v>
      </c>
      <c r="T479" s="256">
        <f t="shared" si="130"/>
        <v>0</v>
      </c>
      <c r="U479" s="256">
        <f t="shared" si="131"/>
        <v>0</v>
      </c>
      <c r="V479" s="256">
        <f t="shared" si="132"/>
        <v>0</v>
      </c>
      <c r="W479" s="256">
        <f t="shared" si="127"/>
        <v>0</v>
      </c>
      <c r="X479" s="216"/>
      <c r="Y479" s="216"/>
    </row>
    <row r="480" spans="1:25" s="140" customFormat="1" ht="13.5" hidden="1" outlineLevel="2" thickBot="1">
      <c r="A480" s="216"/>
      <c r="B480" s="255" t="s">
        <v>665</v>
      </c>
      <c r="C480" s="245" t="s">
        <v>88</v>
      </c>
      <c r="D480" s="227" t="s">
        <v>89</v>
      </c>
      <c r="E480" s="241"/>
      <c r="F480" s="228">
        <f t="shared" si="129"/>
        <v>6.1612726844928238E-2</v>
      </c>
      <c r="G480" s="269">
        <f>+F480*G466</f>
        <v>2.4049013752577408E-5</v>
      </c>
      <c r="H480" s="299"/>
      <c r="I480" s="299"/>
      <c r="J480" s="299"/>
      <c r="K480" s="299"/>
      <c r="L480" s="299"/>
      <c r="M480" s="299"/>
      <c r="N480" s="229">
        <v>0.93999999999999984</v>
      </c>
      <c r="O480" s="229">
        <v>0.93999999999999984</v>
      </c>
      <c r="P480" s="229">
        <v>0.93999999999999984</v>
      </c>
      <c r="Q480" s="272">
        <v>0</v>
      </c>
      <c r="R480" s="272">
        <v>0</v>
      </c>
      <c r="S480" s="272">
        <v>0</v>
      </c>
      <c r="T480" s="256">
        <f t="shared" si="130"/>
        <v>0</v>
      </c>
      <c r="U480" s="256">
        <f t="shared" si="131"/>
        <v>0</v>
      </c>
      <c r="V480" s="256">
        <f t="shared" si="132"/>
        <v>0</v>
      </c>
      <c r="W480" s="256">
        <f t="shared" si="127"/>
        <v>0</v>
      </c>
      <c r="X480" s="216"/>
      <c r="Y480" s="216"/>
    </row>
    <row r="481" spans="1:25" s="140" customFormat="1" ht="13.5" hidden="1" outlineLevel="2" thickBot="1">
      <c r="A481" s="216"/>
      <c r="B481" s="255" t="s">
        <v>666</v>
      </c>
      <c r="C481" s="245" t="s">
        <v>91</v>
      </c>
      <c r="D481" s="227" t="s">
        <v>92</v>
      </c>
      <c r="E481" s="241"/>
      <c r="F481" s="228">
        <f t="shared" si="129"/>
        <v>5.5478507137905975E-2</v>
      </c>
      <c r="G481" s="269">
        <f>+F481*G466</f>
        <v>2.1654671842231441E-5</v>
      </c>
      <c r="H481" s="299"/>
      <c r="I481" s="299"/>
      <c r="J481" s="299"/>
      <c r="K481" s="299"/>
      <c r="L481" s="299"/>
      <c r="M481" s="299"/>
      <c r="N481" s="229">
        <v>0.93999999999999984</v>
      </c>
      <c r="O481" s="229">
        <v>0.93999999999999984</v>
      </c>
      <c r="P481" s="229">
        <v>0.93999999999999984</v>
      </c>
      <c r="Q481" s="272">
        <v>0</v>
      </c>
      <c r="R481" s="272">
        <v>0</v>
      </c>
      <c r="S481" s="272">
        <v>0</v>
      </c>
      <c r="T481" s="256">
        <f t="shared" si="130"/>
        <v>0</v>
      </c>
      <c r="U481" s="256">
        <f t="shared" si="131"/>
        <v>0</v>
      </c>
      <c r="V481" s="256">
        <f t="shared" si="132"/>
        <v>0</v>
      </c>
      <c r="W481" s="256">
        <f t="shared" si="127"/>
        <v>0</v>
      </c>
      <c r="X481" s="216"/>
      <c r="Y481" s="216"/>
    </row>
    <row r="482" spans="1:25" s="140" customFormat="1" ht="13.5" hidden="1" outlineLevel="2" thickBot="1">
      <c r="A482" s="216"/>
      <c r="B482" s="300" t="s">
        <v>667</v>
      </c>
      <c r="C482" s="294"/>
      <c r="D482" s="294" t="s">
        <v>94</v>
      </c>
      <c r="E482" s="295"/>
      <c r="F482" s="296">
        <f t="shared" si="129"/>
        <v>0.17989574156721069</v>
      </c>
      <c r="G482" s="296">
        <f>+F482*G342</f>
        <v>1.7989574156721069E-3</v>
      </c>
      <c r="H482" s="297"/>
      <c r="I482" s="297"/>
      <c r="J482" s="297"/>
      <c r="K482" s="297"/>
      <c r="L482" s="297"/>
      <c r="M482" s="297"/>
      <c r="N482" s="296">
        <f t="shared" ref="N482:S482" si="133">+$F483*N483+$F495*N495+$F503*N503+$F509*N509+$F513*N513</f>
        <v>0.92433719434164463</v>
      </c>
      <c r="O482" s="296">
        <f t="shared" si="133"/>
        <v>0.92433719434164463</v>
      </c>
      <c r="P482" s="296">
        <f t="shared" si="133"/>
        <v>0.92433719434164463</v>
      </c>
      <c r="Q482" s="296">
        <f t="shared" si="133"/>
        <v>0.41729476429078977</v>
      </c>
      <c r="R482" s="296">
        <f t="shared" si="133"/>
        <v>0.41729476429078977</v>
      </c>
      <c r="S482" s="296">
        <f t="shared" si="133"/>
        <v>0.41729476429078977</v>
      </c>
      <c r="T482" s="296">
        <f t="shared" si="130"/>
        <v>0.45145296201999774</v>
      </c>
      <c r="U482" s="296">
        <f t="shared" si="131"/>
        <v>0.45145296201999774</v>
      </c>
      <c r="V482" s="296">
        <f t="shared" si="132"/>
        <v>0.45145296201999774</v>
      </c>
      <c r="W482" s="296">
        <f t="shared" si="127"/>
        <v>1</v>
      </c>
      <c r="X482" s="216"/>
      <c r="Y482" s="216"/>
    </row>
    <row r="483" spans="1:25" s="140" customFormat="1" ht="13.5" hidden="1" outlineLevel="2" thickBot="1">
      <c r="B483" s="301" t="s">
        <v>668</v>
      </c>
      <c r="C483" s="251"/>
      <c r="D483" s="236" t="s">
        <v>97</v>
      </c>
      <c r="E483" s="242"/>
      <c r="F483" s="232">
        <f t="shared" si="129"/>
        <v>0.2064703407829992</v>
      </c>
      <c r="G483" s="232">
        <f>+F483*G482</f>
        <v>3.7143135066792344E-4</v>
      </c>
      <c r="H483" s="321"/>
      <c r="I483" s="321"/>
      <c r="J483" s="321"/>
      <c r="K483" s="321"/>
      <c r="L483" s="321"/>
      <c r="M483" s="321"/>
      <c r="N483" s="233">
        <f t="shared" ref="N483:S483" si="134">+SUMPRODUCT($F484:$F494,N484:N494)</f>
        <v>0.92273212183948317</v>
      </c>
      <c r="O483" s="233">
        <f t="shared" si="134"/>
        <v>0.92273212183948317</v>
      </c>
      <c r="P483" s="233">
        <f t="shared" si="134"/>
        <v>0.92273212183948317</v>
      </c>
      <c r="Q483" s="274">
        <f t="shared" si="134"/>
        <v>0.99475727252359469</v>
      </c>
      <c r="R483" s="274">
        <f t="shared" si="134"/>
        <v>0.99475727252359469</v>
      </c>
      <c r="S483" s="274">
        <f t="shared" si="134"/>
        <v>0.99475727252359469</v>
      </c>
      <c r="T483" s="260">
        <f t="shared" si="130"/>
        <v>1.0780564033476239</v>
      </c>
      <c r="U483" s="260">
        <f t="shared" si="131"/>
        <v>1.0780564033476239</v>
      </c>
      <c r="V483" s="260">
        <f t="shared" si="132"/>
        <v>1.0780564033476239</v>
      </c>
      <c r="W483" s="260">
        <f t="shared" si="127"/>
        <v>1</v>
      </c>
    </row>
    <row r="484" spans="1:25" s="140" customFormat="1" ht="26.25" hidden="1" outlineLevel="3" thickBot="1">
      <c r="A484" s="216"/>
      <c r="B484" s="255" t="s">
        <v>669</v>
      </c>
      <c r="C484" s="245" t="s">
        <v>99</v>
      </c>
      <c r="D484" s="227" t="s">
        <v>100</v>
      </c>
      <c r="E484" s="241"/>
      <c r="F484" s="228">
        <f t="shared" si="129"/>
        <v>5.8885812178438031E-2</v>
      </c>
      <c r="G484" s="269">
        <f>+F484*G483</f>
        <v>2.1872036752614895E-5</v>
      </c>
      <c r="H484" s="299"/>
      <c r="I484" s="299"/>
      <c r="J484" s="299"/>
      <c r="K484" s="299"/>
      <c r="L484" s="299"/>
      <c r="M484" s="299"/>
      <c r="N484" s="229">
        <v>1</v>
      </c>
      <c r="O484" s="229">
        <v>1</v>
      </c>
      <c r="P484" s="229">
        <v>1</v>
      </c>
      <c r="Q484" s="272">
        <v>1</v>
      </c>
      <c r="R484" s="272">
        <v>1</v>
      </c>
      <c r="S484" s="272">
        <v>1</v>
      </c>
      <c r="T484" s="256">
        <f t="shared" si="130"/>
        <v>1</v>
      </c>
      <c r="U484" s="256">
        <f t="shared" si="131"/>
        <v>1</v>
      </c>
      <c r="V484" s="256">
        <f t="shared" si="132"/>
        <v>1</v>
      </c>
      <c r="W484" s="256">
        <f t="shared" si="127"/>
        <v>1</v>
      </c>
      <c r="X484" s="216"/>
      <c r="Y484" s="216"/>
    </row>
    <row r="485" spans="1:25" s="140" customFormat="1" ht="26.25" hidden="1" outlineLevel="3" thickBot="1">
      <c r="A485" s="216"/>
      <c r="B485" s="255" t="s">
        <v>670</v>
      </c>
      <c r="C485" s="245" t="s">
        <v>102</v>
      </c>
      <c r="D485" s="227" t="s">
        <v>103</v>
      </c>
      <c r="E485" s="241"/>
      <c r="F485" s="228">
        <f t="shared" si="129"/>
        <v>9.5476860808951347E-2</v>
      </c>
      <c r="G485" s="269">
        <f>+F485*G483</f>
        <v>3.5463099367802123E-5</v>
      </c>
      <c r="H485" s="299"/>
      <c r="I485" s="299"/>
      <c r="J485" s="299"/>
      <c r="K485" s="299"/>
      <c r="L485" s="299"/>
      <c r="M485" s="299"/>
      <c r="N485" s="229">
        <v>1</v>
      </c>
      <c r="O485" s="229">
        <v>1</v>
      </c>
      <c r="P485" s="229">
        <v>1</v>
      </c>
      <c r="Q485" s="272">
        <v>1</v>
      </c>
      <c r="R485" s="272">
        <v>1</v>
      </c>
      <c r="S485" s="272">
        <v>1</v>
      </c>
      <c r="T485" s="256">
        <f t="shared" si="130"/>
        <v>1</v>
      </c>
      <c r="U485" s="256">
        <f t="shared" si="131"/>
        <v>1</v>
      </c>
      <c r="V485" s="256">
        <f t="shared" si="132"/>
        <v>1</v>
      </c>
      <c r="W485" s="256">
        <f t="shared" si="127"/>
        <v>1</v>
      </c>
      <c r="X485" s="216"/>
      <c r="Y485" s="216"/>
    </row>
    <row r="486" spans="1:25" s="140" customFormat="1" ht="26.25" hidden="1" outlineLevel="3" thickBot="1">
      <c r="A486" s="216"/>
      <c r="B486" s="255" t="s">
        <v>671</v>
      </c>
      <c r="C486" s="245" t="s">
        <v>105</v>
      </c>
      <c r="D486" s="227" t="s">
        <v>106</v>
      </c>
      <c r="E486" s="241"/>
      <c r="F486" s="228">
        <f t="shared" si="129"/>
        <v>7.7851641421759807E-2</v>
      </c>
      <c r="G486" s="269">
        <f>+F486*G483</f>
        <v>2.8916540324999101E-5</v>
      </c>
      <c r="H486" s="299"/>
      <c r="I486" s="299"/>
      <c r="J486" s="299"/>
      <c r="K486" s="299"/>
      <c r="L486" s="299"/>
      <c r="M486" s="299"/>
      <c r="N486" s="229">
        <v>0.94</v>
      </c>
      <c r="O486" s="229">
        <v>0.94</v>
      </c>
      <c r="P486" s="229">
        <v>0.94</v>
      </c>
      <c r="Q486" s="272">
        <v>1</v>
      </c>
      <c r="R486" s="272">
        <v>1</v>
      </c>
      <c r="S486" s="272">
        <v>1</v>
      </c>
      <c r="T486" s="256">
        <f t="shared" si="130"/>
        <v>1.0638297872340425</v>
      </c>
      <c r="U486" s="256">
        <f t="shared" si="131"/>
        <v>1.0638297872340425</v>
      </c>
      <c r="V486" s="256">
        <f t="shared" si="132"/>
        <v>1.0638297872340425</v>
      </c>
      <c r="W486" s="256">
        <f t="shared" si="127"/>
        <v>1</v>
      </c>
      <c r="X486" s="216"/>
      <c r="Y486" s="216"/>
    </row>
    <row r="487" spans="1:25" s="140" customFormat="1" ht="26.25" hidden="1" outlineLevel="3" thickBot="1">
      <c r="A487" s="216"/>
      <c r="B487" s="255" t="s">
        <v>672</v>
      </c>
      <c r="C487" s="245" t="s">
        <v>108</v>
      </c>
      <c r="D487" s="227" t="s">
        <v>109</v>
      </c>
      <c r="E487" s="241"/>
      <c r="F487" s="228">
        <f t="shared" si="129"/>
        <v>9.6299858611877787E-2</v>
      </c>
      <c r="G487" s="269">
        <f>+F487*G483</f>
        <v>3.5768786553339828E-5</v>
      </c>
      <c r="H487" s="299"/>
      <c r="I487" s="299"/>
      <c r="J487" s="299"/>
      <c r="K487" s="299"/>
      <c r="L487" s="299"/>
      <c r="M487" s="299"/>
      <c r="N487" s="229">
        <v>0.94</v>
      </c>
      <c r="O487" s="229">
        <v>0.94</v>
      </c>
      <c r="P487" s="229">
        <v>0.94</v>
      </c>
      <c r="Q487" s="272">
        <v>1</v>
      </c>
      <c r="R487" s="272">
        <v>1</v>
      </c>
      <c r="S487" s="272">
        <v>1</v>
      </c>
      <c r="T487" s="256">
        <f t="shared" si="130"/>
        <v>1.0638297872340425</v>
      </c>
      <c r="U487" s="256">
        <f t="shared" si="131"/>
        <v>1.0638297872340425</v>
      </c>
      <c r="V487" s="256">
        <f t="shared" si="132"/>
        <v>1.0638297872340425</v>
      </c>
      <c r="W487" s="256">
        <f t="shared" si="127"/>
        <v>1</v>
      </c>
      <c r="X487" s="216"/>
      <c r="Y487" s="216"/>
    </row>
    <row r="488" spans="1:25" s="140" customFormat="1" ht="39" hidden="1" outlineLevel="3" thickBot="1">
      <c r="A488" s="216"/>
      <c r="B488" s="255" t="s">
        <v>673</v>
      </c>
      <c r="C488" s="245" t="s">
        <v>111</v>
      </c>
      <c r="D488" s="227" t="s">
        <v>112</v>
      </c>
      <c r="E488" s="241"/>
      <c r="F488" s="228">
        <f t="shared" si="129"/>
        <v>0.2149063701910354</v>
      </c>
      <c r="G488" s="269">
        <f>+F488*G483</f>
        <v>7.982296334719704E-5</v>
      </c>
      <c r="H488" s="299"/>
      <c r="I488" s="299"/>
      <c r="J488" s="299"/>
      <c r="K488" s="299"/>
      <c r="L488" s="299"/>
      <c r="M488" s="299"/>
      <c r="N488" s="229">
        <v>0.94</v>
      </c>
      <c r="O488" s="229">
        <v>0.94</v>
      </c>
      <c r="P488" s="229">
        <v>0.94</v>
      </c>
      <c r="Q488" s="272">
        <v>1</v>
      </c>
      <c r="R488" s="272">
        <v>1</v>
      </c>
      <c r="S488" s="272">
        <v>1</v>
      </c>
      <c r="T488" s="256">
        <f t="shared" si="130"/>
        <v>1.0638297872340425</v>
      </c>
      <c r="U488" s="256">
        <f t="shared" si="131"/>
        <v>1.0638297872340425</v>
      </c>
      <c r="V488" s="256">
        <f t="shared" si="132"/>
        <v>1.0638297872340425</v>
      </c>
      <c r="W488" s="256">
        <f t="shared" si="127"/>
        <v>1</v>
      </c>
      <c r="X488" s="216"/>
      <c r="Y488" s="216"/>
    </row>
    <row r="489" spans="1:25" s="140" customFormat="1" ht="39" hidden="1" outlineLevel="3" thickBot="1">
      <c r="A489" s="216"/>
      <c r="B489" s="255" t="s">
        <v>674</v>
      </c>
      <c r="C489" s="245" t="s">
        <v>114</v>
      </c>
      <c r="D489" s="227" t="s">
        <v>115</v>
      </c>
      <c r="E489" s="241"/>
      <c r="F489" s="228">
        <f t="shared" si="129"/>
        <v>0.11738040352185054</v>
      </c>
      <c r="G489" s="269">
        <f>+F489*G483</f>
        <v>4.3598761822066827E-5</v>
      </c>
      <c r="H489" s="299"/>
      <c r="I489" s="299"/>
      <c r="J489" s="299"/>
      <c r="K489" s="299"/>
      <c r="L489" s="299"/>
      <c r="M489" s="299"/>
      <c r="N489" s="229">
        <v>0.94</v>
      </c>
      <c r="O489" s="229">
        <v>0.94</v>
      </c>
      <c r="P489" s="229">
        <v>0.94</v>
      </c>
      <c r="Q489" s="272">
        <v>1</v>
      </c>
      <c r="R489" s="272">
        <v>1</v>
      </c>
      <c r="S489" s="272">
        <v>1</v>
      </c>
      <c r="T489" s="256">
        <f t="shared" si="130"/>
        <v>1.0638297872340425</v>
      </c>
      <c r="U489" s="256">
        <f t="shared" si="131"/>
        <v>1.0638297872340425</v>
      </c>
      <c r="V489" s="256">
        <f t="shared" si="132"/>
        <v>1.0638297872340425</v>
      </c>
      <c r="W489" s="256">
        <f t="shared" si="127"/>
        <v>1</v>
      </c>
      <c r="X489" s="216"/>
      <c r="Y489" s="216"/>
    </row>
    <row r="490" spans="1:25" s="140" customFormat="1" ht="39" hidden="1" outlineLevel="3" thickBot="1">
      <c r="A490" s="216"/>
      <c r="B490" s="255" t="s">
        <v>675</v>
      </c>
      <c r="C490" s="245" t="s">
        <v>117</v>
      </c>
      <c r="D490" s="227" t="s">
        <v>118</v>
      </c>
      <c r="E490" s="241"/>
      <c r="F490" s="228">
        <f t="shared" si="129"/>
        <v>0.11930471289964986</v>
      </c>
      <c r="G490" s="269">
        <f>+F490*G483</f>
        <v>4.4313510653365778E-5</v>
      </c>
      <c r="H490" s="299"/>
      <c r="I490" s="299"/>
      <c r="J490" s="299"/>
      <c r="K490" s="299"/>
      <c r="L490" s="299"/>
      <c r="M490" s="299"/>
      <c r="N490" s="229">
        <v>0.94</v>
      </c>
      <c r="O490" s="229">
        <v>0.94</v>
      </c>
      <c r="P490" s="229">
        <v>0.94</v>
      </c>
      <c r="Q490" s="272">
        <v>1</v>
      </c>
      <c r="R490" s="272">
        <v>1</v>
      </c>
      <c r="S490" s="272">
        <v>1</v>
      </c>
      <c r="T490" s="256">
        <f t="shared" si="130"/>
        <v>1.0638297872340425</v>
      </c>
      <c r="U490" s="256">
        <f t="shared" si="131"/>
        <v>1.0638297872340425</v>
      </c>
      <c r="V490" s="256">
        <f t="shared" si="132"/>
        <v>1.0638297872340425</v>
      </c>
      <c r="W490" s="256">
        <f t="shared" si="127"/>
        <v>1</v>
      </c>
      <c r="X490" s="216"/>
      <c r="Y490" s="216"/>
    </row>
    <row r="491" spans="1:25" s="140" customFormat="1" ht="39" hidden="1" outlineLevel="3" thickBot="1">
      <c r="A491" s="216"/>
      <c r="B491" s="255" t="s">
        <v>676</v>
      </c>
      <c r="C491" s="245" t="s">
        <v>120</v>
      </c>
      <c r="D491" s="227" t="s">
        <v>121</v>
      </c>
      <c r="E491" s="241"/>
      <c r="F491" s="228">
        <f t="shared" si="129"/>
        <v>0.19167132064328818</v>
      </c>
      <c r="G491" s="269">
        <f>+F491*G483</f>
        <v>7.1192737510841167E-5</v>
      </c>
      <c r="H491" s="299"/>
      <c r="I491" s="299"/>
      <c r="J491" s="299"/>
      <c r="K491" s="299"/>
      <c r="L491" s="299"/>
      <c r="M491" s="299"/>
      <c r="N491" s="229">
        <v>0.94</v>
      </c>
      <c r="O491" s="229">
        <v>0.94</v>
      </c>
      <c r="P491" s="229">
        <v>0.94</v>
      </c>
      <c r="Q491" s="272">
        <v>1</v>
      </c>
      <c r="R491" s="272">
        <v>1</v>
      </c>
      <c r="S491" s="272">
        <v>1</v>
      </c>
      <c r="T491" s="256">
        <f t="shared" si="130"/>
        <v>1.0638297872340425</v>
      </c>
      <c r="U491" s="256">
        <f t="shared" si="131"/>
        <v>1.0638297872340425</v>
      </c>
      <c r="V491" s="256">
        <f t="shared" si="132"/>
        <v>1.0638297872340425</v>
      </c>
      <c r="W491" s="256">
        <f t="shared" si="127"/>
        <v>1</v>
      </c>
      <c r="X491" s="216"/>
      <c r="Y491" s="216"/>
    </row>
    <row r="492" spans="1:25" s="140" customFormat="1" ht="26.25" hidden="1" outlineLevel="3" thickBot="1">
      <c r="A492" s="216"/>
      <c r="B492" s="255" t="s">
        <v>677</v>
      </c>
      <c r="C492" s="245" t="s">
        <v>123</v>
      </c>
      <c r="D492" s="227" t="s">
        <v>124</v>
      </c>
      <c r="E492" s="241"/>
      <c r="F492" s="228">
        <f t="shared" si="129"/>
        <v>5.2427274764052581E-3</v>
      </c>
      <c r="G492" s="269">
        <f>+F492*G483</f>
        <v>1.9473133477450385E-6</v>
      </c>
      <c r="H492" s="299"/>
      <c r="I492" s="299"/>
      <c r="J492" s="299"/>
      <c r="K492" s="299"/>
      <c r="L492" s="299"/>
      <c r="M492" s="299"/>
      <c r="N492" s="229"/>
      <c r="O492" s="229"/>
      <c r="P492" s="229"/>
      <c r="Q492" s="272"/>
      <c r="R492" s="272"/>
      <c r="S492" s="272"/>
      <c r="T492" s="256">
        <f t="shared" si="130"/>
        <v>0</v>
      </c>
      <c r="U492" s="256">
        <f t="shared" si="131"/>
        <v>0</v>
      </c>
      <c r="V492" s="256">
        <f t="shared" si="132"/>
        <v>0</v>
      </c>
      <c r="W492" s="256">
        <f t="shared" si="127"/>
        <v>0</v>
      </c>
      <c r="X492" s="216"/>
      <c r="Y492" s="216"/>
    </row>
    <row r="493" spans="1:25" s="140" customFormat="1" ht="26.25" hidden="1" outlineLevel="3" thickBot="1">
      <c r="A493" s="216"/>
      <c r="B493" s="255" t="s">
        <v>678</v>
      </c>
      <c r="C493" s="245" t="s">
        <v>126</v>
      </c>
      <c r="D493" s="227" t="s">
        <v>127</v>
      </c>
      <c r="E493" s="241"/>
      <c r="F493" s="228">
        <f t="shared" ref="F493:F502" si="135">F869</f>
        <v>0</v>
      </c>
      <c r="G493" s="269">
        <f>+F493*G483</f>
        <v>0</v>
      </c>
      <c r="H493" s="299"/>
      <c r="I493" s="299"/>
      <c r="J493" s="299"/>
      <c r="K493" s="299"/>
      <c r="L493" s="299"/>
      <c r="M493" s="299"/>
      <c r="N493" s="229"/>
      <c r="O493" s="229"/>
      <c r="P493" s="229"/>
      <c r="Q493" s="272"/>
      <c r="R493" s="272"/>
      <c r="S493" s="272"/>
      <c r="T493" s="256">
        <f t="shared" si="130"/>
        <v>0</v>
      </c>
      <c r="U493" s="256">
        <f t="shared" si="131"/>
        <v>0</v>
      </c>
      <c r="V493" s="256">
        <f t="shared" si="132"/>
        <v>0</v>
      </c>
      <c r="W493" s="256">
        <f t="shared" si="127"/>
        <v>0</v>
      </c>
      <c r="X493" s="216"/>
      <c r="Y493" s="216"/>
    </row>
    <row r="494" spans="1:25" s="140" customFormat="1" ht="39" hidden="1" outlineLevel="3" thickBot="1">
      <c r="A494" s="216"/>
      <c r="B494" s="255" t="s">
        <v>679</v>
      </c>
      <c r="C494" s="245" t="s">
        <v>129</v>
      </c>
      <c r="D494" s="227" t="s">
        <v>130</v>
      </c>
      <c r="E494" s="241"/>
      <c r="F494" s="228">
        <f t="shared" si="135"/>
        <v>2.2980292246743819E-2</v>
      </c>
      <c r="G494" s="269">
        <f>+F494*G483</f>
        <v>8.5356009879516656E-6</v>
      </c>
      <c r="H494" s="299"/>
      <c r="I494" s="299"/>
      <c r="J494" s="299"/>
      <c r="K494" s="299"/>
      <c r="L494" s="299"/>
      <c r="M494" s="299"/>
      <c r="N494" s="229"/>
      <c r="O494" s="229"/>
      <c r="P494" s="229"/>
      <c r="Q494" s="272">
        <v>1</v>
      </c>
      <c r="R494" s="272">
        <v>1</v>
      </c>
      <c r="S494" s="272">
        <v>1</v>
      </c>
      <c r="T494" s="256">
        <f t="shared" si="130"/>
        <v>0</v>
      </c>
      <c r="U494" s="256">
        <f t="shared" si="131"/>
        <v>0</v>
      </c>
      <c r="V494" s="256">
        <f t="shared" si="132"/>
        <v>0</v>
      </c>
      <c r="W494" s="256">
        <f t="shared" si="127"/>
        <v>1</v>
      </c>
      <c r="X494" s="216"/>
      <c r="Y494" s="216"/>
    </row>
    <row r="495" spans="1:25" s="140" customFormat="1" ht="26.25" hidden="1" outlineLevel="2" thickBot="1">
      <c r="B495" s="301" t="s">
        <v>680</v>
      </c>
      <c r="C495" s="251"/>
      <c r="D495" s="236" t="s">
        <v>133</v>
      </c>
      <c r="E495" s="242"/>
      <c r="F495" s="232">
        <f t="shared" si="135"/>
        <v>0.15364965195292599</v>
      </c>
      <c r="G495" s="232">
        <f>+F495*G482</f>
        <v>2.7640918079615444E-4</v>
      </c>
      <c r="H495" s="321"/>
      <c r="I495" s="321"/>
      <c r="J495" s="321"/>
      <c r="K495" s="321"/>
      <c r="L495" s="321"/>
      <c r="M495" s="321"/>
      <c r="N495" s="233">
        <f t="shared" ref="N495:S495" si="136">+SUMPRODUCT($F496:$F502,N496:N502)</f>
        <v>0.85084132894856812</v>
      </c>
      <c r="O495" s="233">
        <f t="shared" si="136"/>
        <v>0.85084132894856812</v>
      </c>
      <c r="P495" s="233">
        <f t="shared" si="136"/>
        <v>0.85084132894856812</v>
      </c>
      <c r="Q495" s="274">
        <f t="shared" si="136"/>
        <v>0.89076914477748093</v>
      </c>
      <c r="R495" s="274">
        <f t="shared" si="136"/>
        <v>0.89076914477748093</v>
      </c>
      <c r="S495" s="274">
        <f t="shared" si="136"/>
        <v>0.89076914477748093</v>
      </c>
      <c r="T495" s="260">
        <f t="shared" si="130"/>
        <v>1.0469274522410117</v>
      </c>
      <c r="U495" s="260">
        <f t="shared" si="131"/>
        <v>1.0469274522410117</v>
      </c>
      <c r="V495" s="260">
        <f t="shared" si="132"/>
        <v>1.0469274522410117</v>
      </c>
      <c r="W495" s="260">
        <f t="shared" si="127"/>
        <v>1</v>
      </c>
    </row>
    <row r="496" spans="1:25" s="140" customFormat="1" ht="26.25" hidden="1" outlineLevel="3" thickBot="1">
      <c r="A496" s="216"/>
      <c r="B496" s="255" t="s">
        <v>681</v>
      </c>
      <c r="C496" s="245" t="s">
        <v>135</v>
      </c>
      <c r="D496" s="227" t="s">
        <v>136</v>
      </c>
      <c r="E496" s="241"/>
      <c r="F496" s="228">
        <f t="shared" si="135"/>
        <v>7.1676986389805894E-2</v>
      </c>
      <c r="G496" s="269">
        <f>+F496*G495</f>
        <v>1.9812177089943359E-5</v>
      </c>
      <c r="H496" s="299"/>
      <c r="I496" s="299"/>
      <c r="J496" s="299"/>
      <c r="K496" s="299"/>
      <c r="L496" s="299"/>
      <c r="M496" s="299"/>
      <c r="N496" s="229">
        <v>1</v>
      </c>
      <c r="O496" s="229">
        <v>1</v>
      </c>
      <c r="P496" s="229">
        <v>1</v>
      </c>
      <c r="Q496" s="272">
        <v>1</v>
      </c>
      <c r="R496" s="272">
        <v>1</v>
      </c>
      <c r="S496" s="272">
        <v>1</v>
      </c>
      <c r="T496" s="256">
        <f t="shared" si="130"/>
        <v>1</v>
      </c>
      <c r="U496" s="256">
        <f t="shared" si="131"/>
        <v>1</v>
      </c>
      <c r="V496" s="256">
        <f t="shared" si="132"/>
        <v>1</v>
      </c>
      <c r="W496" s="256">
        <f t="shared" si="127"/>
        <v>1</v>
      </c>
      <c r="X496" s="216"/>
      <c r="Y496" s="216"/>
    </row>
    <row r="497" spans="1:25" s="140" customFormat="1" ht="26.25" hidden="1" outlineLevel="3" thickBot="1">
      <c r="A497" s="216"/>
      <c r="B497" s="255" t="s">
        <v>682</v>
      </c>
      <c r="C497" s="245" t="s">
        <v>138</v>
      </c>
      <c r="D497" s="227" t="s">
        <v>139</v>
      </c>
      <c r="E497" s="241"/>
      <c r="F497" s="228">
        <f t="shared" si="135"/>
        <v>0.15362856123913068</v>
      </c>
      <c r="G497" s="269">
        <f>+F497*G495</f>
        <v>4.2464344758999959E-5</v>
      </c>
      <c r="H497" s="299"/>
      <c r="I497" s="299"/>
      <c r="J497" s="299"/>
      <c r="K497" s="299"/>
      <c r="L497" s="299"/>
      <c r="M497" s="299"/>
      <c r="N497" s="229">
        <v>1</v>
      </c>
      <c r="O497" s="229">
        <v>1</v>
      </c>
      <c r="P497" s="229">
        <v>1</v>
      </c>
      <c r="Q497" s="272">
        <v>1</v>
      </c>
      <c r="R497" s="272">
        <v>1</v>
      </c>
      <c r="S497" s="272">
        <v>1</v>
      </c>
      <c r="T497" s="256">
        <f t="shared" si="130"/>
        <v>1</v>
      </c>
      <c r="U497" s="256">
        <f t="shared" si="131"/>
        <v>1</v>
      </c>
      <c r="V497" s="256">
        <f t="shared" si="132"/>
        <v>1</v>
      </c>
      <c r="W497" s="256">
        <f t="shared" si="127"/>
        <v>1</v>
      </c>
      <c r="X497" s="216"/>
      <c r="Y497" s="216"/>
    </row>
    <row r="498" spans="1:25" s="140" customFormat="1" ht="26.25" hidden="1" outlineLevel="3" thickBot="1">
      <c r="A498" s="216"/>
      <c r="B498" s="255" t="s">
        <v>683</v>
      </c>
      <c r="C498" s="245" t="s">
        <v>141</v>
      </c>
      <c r="D498" s="227" t="s">
        <v>142</v>
      </c>
      <c r="E498" s="241"/>
      <c r="F498" s="228">
        <f t="shared" si="135"/>
        <v>0.20080921506999638</v>
      </c>
      <c r="G498" s="269">
        <f>+F498*G495</f>
        <v>5.5505510633816492E-5</v>
      </c>
      <c r="H498" s="299"/>
      <c r="I498" s="299"/>
      <c r="J498" s="299"/>
      <c r="K498" s="299"/>
      <c r="L498" s="299"/>
      <c r="M498" s="299"/>
      <c r="N498" s="229">
        <v>0.94</v>
      </c>
      <c r="O498" s="229">
        <v>0.94</v>
      </c>
      <c r="P498" s="229">
        <v>0.94</v>
      </c>
      <c r="Q498" s="272">
        <v>1</v>
      </c>
      <c r="R498" s="272">
        <v>1</v>
      </c>
      <c r="S498" s="272">
        <v>1</v>
      </c>
      <c r="T498" s="256">
        <f t="shared" si="130"/>
        <v>1.0638297872340425</v>
      </c>
      <c r="U498" s="256">
        <f t="shared" si="131"/>
        <v>1.0638297872340425</v>
      </c>
      <c r="V498" s="256">
        <f t="shared" si="132"/>
        <v>1.0638297872340425</v>
      </c>
      <c r="W498" s="256">
        <f t="shared" si="127"/>
        <v>1</v>
      </c>
      <c r="X498" s="216"/>
      <c r="Y498" s="216"/>
    </row>
    <row r="499" spans="1:25" s="140" customFormat="1" ht="26.25" hidden="1" outlineLevel="3" thickBot="1">
      <c r="A499" s="216"/>
      <c r="B499" s="255" t="s">
        <v>684</v>
      </c>
      <c r="C499" s="245" t="s">
        <v>144</v>
      </c>
      <c r="D499" s="227" t="s">
        <v>145</v>
      </c>
      <c r="E499" s="241"/>
      <c r="F499" s="228">
        <f t="shared" si="135"/>
        <v>0.2365874770023029</v>
      </c>
      <c r="G499" s="269">
        <f>+F499*G495</f>
        <v>6.539495070483558E-5</v>
      </c>
      <c r="H499" s="299"/>
      <c r="I499" s="299"/>
      <c r="J499" s="299"/>
      <c r="K499" s="299"/>
      <c r="L499" s="299"/>
      <c r="M499" s="299"/>
      <c r="N499" s="229">
        <v>0.94</v>
      </c>
      <c r="O499" s="229">
        <v>0.94</v>
      </c>
      <c r="P499" s="229">
        <v>0.94</v>
      </c>
      <c r="Q499" s="272">
        <v>1</v>
      </c>
      <c r="R499" s="272">
        <v>1</v>
      </c>
      <c r="S499" s="272">
        <v>1</v>
      </c>
      <c r="T499" s="256">
        <f t="shared" si="130"/>
        <v>1.0638297872340425</v>
      </c>
      <c r="U499" s="256">
        <f t="shared" si="131"/>
        <v>1.0638297872340425</v>
      </c>
      <c r="V499" s="256">
        <f t="shared" si="132"/>
        <v>1.0638297872340425</v>
      </c>
      <c r="W499" s="256">
        <f t="shared" si="127"/>
        <v>1</v>
      </c>
      <c r="X499" s="216"/>
      <c r="Y499" s="216"/>
    </row>
    <row r="500" spans="1:25" s="140" customFormat="1" ht="13.5" hidden="1" outlineLevel="3" thickBot="1">
      <c r="A500" s="216"/>
      <c r="B500" s="255" t="s">
        <v>685</v>
      </c>
      <c r="C500" s="245" t="s">
        <v>147</v>
      </c>
      <c r="D500" s="227" t="s">
        <v>148</v>
      </c>
      <c r="E500" s="241"/>
      <c r="F500" s="228">
        <f t="shared" si="135"/>
        <v>0.13605594911200233</v>
      </c>
      <c r="G500" s="269">
        <f>+F500*G495</f>
        <v>3.7607113436491843E-5</v>
      </c>
      <c r="H500" s="299"/>
      <c r="I500" s="299"/>
      <c r="J500" s="299"/>
      <c r="K500" s="299"/>
      <c r="L500" s="299"/>
      <c r="M500" s="299"/>
      <c r="N500" s="229">
        <v>0.94</v>
      </c>
      <c r="O500" s="229">
        <v>0.94</v>
      </c>
      <c r="P500" s="229">
        <v>0.94</v>
      </c>
      <c r="Q500" s="272">
        <v>1</v>
      </c>
      <c r="R500" s="272">
        <v>1</v>
      </c>
      <c r="S500" s="272">
        <v>1</v>
      </c>
      <c r="T500" s="256">
        <f t="shared" si="130"/>
        <v>1.0638297872340425</v>
      </c>
      <c r="U500" s="256">
        <f t="shared" si="131"/>
        <v>1.0638297872340425</v>
      </c>
      <c r="V500" s="256">
        <f t="shared" si="132"/>
        <v>1.0638297872340425</v>
      </c>
      <c r="W500" s="256">
        <f t="shared" si="127"/>
        <v>1</v>
      </c>
      <c r="X500" s="216"/>
      <c r="Y500" s="216"/>
    </row>
    <row r="501" spans="1:25" s="140" customFormat="1" ht="26.25" hidden="1" outlineLevel="3" thickBot="1">
      <c r="A501" s="216"/>
      <c r="B501" s="255" t="s">
        <v>686</v>
      </c>
      <c r="C501" s="245" t="s">
        <v>150</v>
      </c>
      <c r="D501" s="227" t="s">
        <v>151</v>
      </c>
      <c r="E501" s="241"/>
      <c r="F501" s="228">
        <f t="shared" si="135"/>
        <v>0.10923085522251913</v>
      </c>
      <c r="G501" s="269">
        <f>+F501*G495</f>
        <v>3.0192411209719861E-5</v>
      </c>
      <c r="H501" s="299"/>
      <c r="I501" s="299"/>
      <c r="J501" s="299"/>
      <c r="K501" s="299"/>
      <c r="L501" s="299"/>
      <c r="M501" s="299"/>
      <c r="N501" s="229"/>
      <c r="O501" s="229"/>
      <c r="P501" s="229"/>
      <c r="Q501" s="272">
        <v>0</v>
      </c>
      <c r="R501" s="272">
        <v>0</v>
      </c>
      <c r="S501" s="272">
        <v>0</v>
      </c>
      <c r="T501" s="256">
        <f t="shared" si="130"/>
        <v>0</v>
      </c>
      <c r="U501" s="256">
        <f t="shared" si="131"/>
        <v>0</v>
      </c>
      <c r="V501" s="256">
        <f t="shared" si="132"/>
        <v>0</v>
      </c>
      <c r="W501" s="256">
        <f t="shared" si="127"/>
        <v>0</v>
      </c>
      <c r="X501" s="216"/>
      <c r="Y501" s="216"/>
    </row>
    <row r="502" spans="1:25" s="140" customFormat="1" ht="26.25" hidden="1" outlineLevel="3" thickBot="1">
      <c r="A502" s="216"/>
      <c r="B502" s="255" t="s">
        <v>687</v>
      </c>
      <c r="C502" s="245" t="s">
        <v>153</v>
      </c>
      <c r="D502" s="227" t="s">
        <v>154</v>
      </c>
      <c r="E502" s="241"/>
      <c r="F502" s="228">
        <f t="shared" si="135"/>
        <v>9.2010955964242705E-2</v>
      </c>
      <c r="G502" s="269">
        <f>+F502*G495</f>
        <v>2.5432672962347367E-5</v>
      </c>
      <c r="H502" s="299"/>
      <c r="I502" s="299"/>
      <c r="J502" s="299"/>
      <c r="K502" s="299"/>
      <c r="L502" s="299"/>
      <c r="M502" s="299"/>
      <c r="N502" s="229">
        <v>0.94</v>
      </c>
      <c r="O502" s="229">
        <v>0.94</v>
      </c>
      <c r="P502" s="229">
        <v>0.94</v>
      </c>
      <c r="Q502" s="272">
        <v>1</v>
      </c>
      <c r="R502" s="272">
        <v>1</v>
      </c>
      <c r="S502" s="272">
        <v>1</v>
      </c>
      <c r="T502" s="256">
        <f t="shared" si="130"/>
        <v>1.0638297872340425</v>
      </c>
      <c r="U502" s="256">
        <f t="shared" si="131"/>
        <v>1.0638297872340425</v>
      </c>
      <c r="V502" s="256">
        <f t="shared" si="132"/>
        <v>1.0638297872340425</v>
      </c>
      <c r="W502" s="256">
        <f t="shared" si="127"/>
        <v>1</v>
      </c>
      <c r="X502" s="216"/>
      <c r="Y502" s="216"/>
    </row>
    <row r="503" spans="1:25" s="140" customFormat="1" ht="26.25" hidden="1" outlineLevel="1" thickBot="1">
      <c r="B503" s="301" t="s">
        <v>688</v>
      </c>
      <c r="C503" s="251"/>
      <c r="D503" s="236" t="s">
        <v>157</v>
      </c>
      <c r="E503" s="242"/>
      <c r="F503" s="232">
        <f t="shared" ref="F503:F527" si="137">F879</f>
        <v>0.15245155571846505</v>
      </c>
      <c r="G503" s="232">
        <f>+F503*G482</f>
        <v>2.7425385669048208E-4</v>
      </c>
      <c r="H503" s="321"/>
      <c r="I503" s="321"/>
      <c r="J503" s="321"/>
      <c r="K503" s="321"/>
      <c r="L503" s="321"/>
      <c r="M503" s="321"/>
      <c r="N503" s="233">
        <f t="shared" ref="N503:S503" si="138">+SUMPRODUCT($F504:$F508,N504:N508)</f>
        <v>0.94</v>
      </c>
      <c r="O503" s="233">
        <f t="shared" si="138"/>
        <v>0.94</v>
      </c>
      <c r="P503" s="233">
        <f t="shared" si="138"/>
        <v>0.94</v>
      </c>
      <c r="Q503" s="274">
        <f t="shared" si="138"/>
        <v>0.15655467851893795</v>
      </c>
      <c r="R503" s="274">
        <f t="shared" si="138"/>
        <v>0.15655467851893795</v>
      </c>
      <c r="S503" s="274">
        <f t="shared" si="138"/>
        <v>0.15655467851893795</v>
      </c>
      <c r="T503" s="254">
        <f t="shared" ref="T503:T527" si="139">+IF(N503=0,0,$S503/N503)</f>
        <v>0.1665475303392957</v>
      </c>
      <c r="U503" s="254">
        <f t="shared" ref="U503:U527" si="140">+IF(O503=0,0,$S503/O503)</f>
        <v>0.1665475303392957</v>
      </c>
      <c r="V503" s="254">
        <f t="shared" ref="V503:V527" si="141">+IF(P503=0,0,$S503/P503)</f>
        <v>0.1665475303392957</v>
      </c>
      <c r="W503" s="254">
        <f t="shared" si="127"/>
        <v>1</v>
      </c>
    </row>
    <row r="504" spans="1:25" s="140" customFormat="1" ht="13.5" hidden="1" outlineLevel="2" thickBot="1">
      <c r="A504" s="216"/>
      <c r="B504" s="255" t="s">
        <v>689</v>
      </c>
      <c r="C504" s="245" t="s">
        <v>181</v>
      </c>
      <c r="D504" s="227" t="s">
        <v>182</v>
      </c>
      <c r="E504" s="241"/>
      <c r="F504" s="228">
        <f t="shared" si="137"/>
        <v>0.81307686435397697</v>
      </c>
      <c r="G504" s="269">
        <f>+F504*G503</f>
        <v>2.2298946583488213E-4</v>
      </c>
      <c r="H504" s="299"/>
      <c r="I504" s="299"/>
      <c r="J504" s="299"/>
      <c r="K504" s="299"/>
      <c r="L504" s="299"/>
      <c r="M504" s="299"/>
      <c r="N504" s="229">
        <v>0.94</v>
      </c>
      <c r="O504" s="229">
        <v>0.94</v>
      </c>
      <c r="P504" s="229">
        <v>0.94</v>
      </c>
      <c r="Q504" s="272">
        <v>0</v>
      </c>
      <c r="R504" s="272">
        <v>0</v>
      </c>
      <c r="S504" s="272">
        <v>0</v>
      </c>
      <c r="T504" s="256">
        <f t="shared" si="139"/>
        <v>0</v>
      </c>
      <c r="U504" s="256">
        <f t="shared" si="140"/>
        <v>0</v>
      </c>
      <c r="V504" s="256">
        <f t="shared" si="141"/>
        <v>0</v>
      </c>
      <c r="W504" s="256">
        <f t="shared" si="127"/>
        <v>0</v>
      </c>
      <c r="X504" s="216"/>
      <c r="Y504" s="216"/>
    </row>
    <row r="505" spans="1:25" s="140" customFormat="1" ht="26.25" hidden="1" outlineLevel="2" thickBot="1">
      <c r="A505" s="216"/>
      <c r="B505" s="255" t="s">
        <v>690</v>
      </c>
      <c r="C505" s="245" t="s">
        <v>159</v>
      </c>
      <c r="D505" s="227" t="s">
        <v>160</v>
      </c>
      <c r="E505" s="241"/>
      <c r="F505" s="228">
        <f t="shared" si="137"/>
        <v>9.3460693266385869E-2</v>
      </c>
      <c r="G505" s="269">
        <f>+F505*G503</f>
        <v>2.5631955577272494E-5</v>
      </c>
      <c r="H505" s="299"/>
      <c r="I505" s="299"/>
      <c r="J505" s="299"/>
      <c r="K505" s="299"/>
      <c r="L505" s="299"/>
      <c r="M505" s="299"/>
      <c r="N505" s="229">
        <v>0.94</v>
      </c>
      <c r="O505" s="229">
        <v>0.94</v>
      </c>
      <c r="P505" s="229">
        <v>0.94</v>
      </c>
      <c r="Q505" s="272">
        <v>1</v>
      </c>
      <c r="R505" s="272">
        <v>1</v>
      </c>
      <c r="S505" s="272">
        <v>1</v>
      </c>
      <c r="T505" s="256">
        <f t="shared" si="139"/>
        <v>1.0638297872340425</v>
      </c>
      <c r="U505" s="256">
        <f t="shared" si="140"/>
        <v>1.0638297872340425</v>
      </c>
      <c r="V505" s="256">
        <f t="shared" si="141"/>
        <v>1.0638297872340425</v>
      </c>
      <c r="W505" s="256">
        <f t="shared" si="127"/>
        <v>1</v>
      </c>
      <c r="X505" s="216"/>
      <c r="Y505" s="216"/>
    </row>
    <row r="506" spans="1:25" s="140" customFormat="1" ht="26.25" hidden="1" outlineLevel="2" thickBot="1">
      <c r="A506" s="216"/>
      <c r="B506" s="255" t="s">
        <v>691</v>
      </c>
      <c r="C506" s="245" t="s">
        <v>162</v>
      </c>
      <c r="D506" s="227" t="s">
        <v>163</v>
      </c>
      <c r="E506" s="241"/>
      <c r="F506" s="228">
        <f t="shared" si="137"/>
        <v>3.036845712708507E-2</v>
      </c>
      <c r="G506" s="269">
        <f>+F506*G503</f>
        <v>8.3286664888426385E-6</v>
      </c>
      <c r="H506" s="299"/>
      <c r="I506" s="299"/>
      <c r="J506" s="299"/>
      <c r="K506" s="299"/>
      <c r="L506" s="299"/>
      <c r="M506" s="299"/>
      <c r="N506" s="229">
        <v>0.94</v>
      </c>
      <c r="O506" s="229">
        <v>0.94</v>
      </c>
      <c r="P506" s="229">
        <v>0.94</v>
      </c>
      <c r="Q506" s="272">
        <v>0</v>
      </c>
      <c r="R506" s="272">
        <v>0</v>
      </c>
      <c r="S506" s="272">
        <v>0</v>
      </c>
      <c r="T506" s="256">
        <f t="shared" si="139"/>
        <v>0</v>
      </c>
      <c r="U506" s="256">
        <f t="shared" si="140"/>
        <v>0</v>
      </c>
      <c r="V506" s="256">
        <f t="shared" si="141"/>
        <v>0</v>
      </c>
      <c r="W506" s="256">
        <f t="shared" si="127"/>
        <v>0</v>
      </c>
      <c r="X506" s="216"/>
      <c r="Y506" s="216"/>
    </row>
    <row r="507" spans="1:25" s="140" customFormat="1" ht="13.5" hidden="1" outlineLevel="2" thickBot="1">
      <c r="A507" s="216"/>
      <c r="B507" s="255" t="s">
        <v>692</v>
      </c>
      <c r="C507" s="245" t="s">
        <v>165</v>
      </c>
      <c r="D507" s="227" t="s">
        <v>166</v>
      </c>
      <c r="E507" s="241"/>
      <c r="F507" s="228">
        <f t="shared" si="137"/>
        <v>3.6002086533741685E-2</v>
      </c>
      <c r="G507" s="269">
        <f>+F507*G503</f>
        <v>9.8737110807831264E-6</v>
      </c>
      <c r="H507" s="299"/>
      <c r="I507" s="299"/>
      <c r="J507" s="299"/>
      <c r="K507" s="299"/>
      <c r="L507" s="299"/>
      <c r="M507" s="299"/>
      <c r="N507" s="229">
        <v>0.94</v>
      </c>
      <c r="O507" s="229">
        <v>0.94</v>
      </c>
      <c r="P507" s="229">
        <v>0.94</v>
      </c>
      <c r="Q507" s="272">
        <v>1</v>
      </c>
      <c r="R507" s="272">
        <v>1</v>
      </c>
      <c r="S507" s="272">
        <v>1</v>
      </c>
      <c r="T507" s="256">
        <f t="shared" si="139"/>
        <v>1.0638297872340425</v>
      </c>
      <c r="U507" s="256">
        <f t="shared" si="140"/>
        <v>1.0638297872340425</v>
      </c>
      <c r="V507" s="256">
        <f t="shared" si="141"/>
        <v>1.0638297872340425</v>
      </c>
      <c r="W507" s="256">
        <f t="shared" si="127"/>
        <v>1</v>
      </c>
      <c r="X507" s="216"/>
      <c r="Y507" s="216"/>
    </row>
    <row r="508" spans="1:25" s="140" customFormat="1" ht="13.5" hidden="1" outlineLevel="2" thickBot="1">
      <c r="A508" s="216"/>
      <c r="B508" s="255" t="s">
        <v>693</v>
      </c>
      <c r="C508" s="245" t="s">
        <v>168</v>
      </c>
      <c r="D508" s="227" t="s">
        <v>169</v>
      </c>
      <c r="E508" s="241"/>
      <c r="F508" s="228">
        <f t="shared" si="137"/>
        <v>2.7091898718810414E-2</v>
      </c>
      <c r="G508" s="269">
        <f>+F508*G503</f>
        <v>7.430057708701686E-6</v>
      </c>
      <c r="H508" s="299"/>
      <c r="I508" s="299"/>
      <c r="J508" s="299"/>
      <c r="K508" s="299"/>
      <c r="L508" s="299"/>
      <c r="M508" s="299"/>
      <c r="N508" s="229">
        <v>0.94</v>
      </c>
      <c r="O508" s="229">
        <v>0.94</v>
      </c>
      <c r="P508" s="229">
        <v>0.94</v>
      </c>
      <c r="Q508" s="272">
        <v>1</v>
      </c>
      <c r="R508" s="272">
        <v>1</v>
      </c>
      <c r="S508" s="272">
        <v>1</v>
      </c>
      <c r="T508" s="256">
        <f t="shared" si="139"/>
        <v>1.0638297872340425</v>
      </c>
      <c r="U508" s="256">
        <f t="shared" si="140"/>
        <v>1.0638297872340425</v>
      </c>
      <c r="V508" s="256">
        <f t="shared" si="141"/>
        <v>1.0638297872340425</v>
      </c>
      <c r="W508" s="256">
        <f t="shared" si="127"/>
        <v>1</v>
      </c>
      <c r="X508" s="216"/>
      <c r="Y508" s="216"/>
    </row>
    <row r="509" spans="1:25" s="140" customFormat="1" ht="26.25" hidden="1" outlineLevel="1" thickBot="1">
      <c r="B509" s="301" t="s">
        <v>694</v>
      </c>
      <c r="C509" s="251"/>
      <c r="D509" s="236" t="s">
        <v>173</v>
      </c>
      <c r="E509" s="242"/>
      <c r="F509" s="232">
        <f t="shared" si="137"/>
        <v>0.30792579068332282</v>
      </c>
      <c r="G509" s="232">
        <f>+F509*G482</f>
        <v>5.5394538462646059E-4</v>
      </c>
      <c r="H509" s="321"/>
      <c r="I509" s="321"/>
      <c r="J509" s="321"/>
      <c r="K509" s="321"/>
      <c r="L509" s="321"/>
      <c r="M509" s="321"/>
      <c r="N509" s="233">
        <f t="shared" ref="N509:S509" si="142">+SUMPRODUCT($F510:$F512,N510:N512)</f>
        <v>0.94520157081395939</v>
      </c>
      <c r="O509" s="233">
        <f t="shared" si="142"/>
        <v>0.94520157081395939</v>
      </c>
      <c r="P509" s="233">
        <f t="shared" si="142"/>
        <v>0.94520157081395939</v>
      </c>
      <c r="Q509" s="274">
        <f t="shared" si="142"/>
        <v>0.16618782649623062</v>
      </c>
      <c r="R509" s="274">
        <f t="shared" si="142"/>
        <v>0.16618782649623062</v>
      </c>
      <c r="S509" s="274">
        <f t="shared" si="142"/>
        <v>0.16618782649623062</v>
      </c>
      <c r="T509" s="254">
        <f t="shared" si="139"/>
        <v>0.17582263046084248</v>
      </c>
      <c r="U509" s="254">
        <f t="shared" si="140"/>
        <v>0.17582263046084248</v>
      </c>
      <c r="V509" s="254">
        <f t="shared" si="141"/>
        <v>0.17582263046084248</v>
      </c>
      <c r="W509" s="254">
        <f t="shared" si="127"/>
        <v>1</v>
      </c>
    </row>
    <row r="510" spans="1:25" s="140" customFormat="1" ht="26.25" hidden="1" outlineLevel="2" thickBot="1">
      <c r="A510" s="216"/>
      <c r="B510" s="255" t="s">
        <v>695</v>
      </c>
      <c r="C510" s="245" t="s">
        <v>175</v>
      </c>
      <c r="D510" s="227" t="s">
        <v>176</v>
      </c>
      <c r="E510" s="241"/>
      <c r="F510" s="228">
        <f t="shared" si="137"/>
        <v>0.16618782649623062</v>
      </c>
      <c r="G510" s="269">
        <f>+F510*G509</f>
        <v>9.205897946868997E-5</v>
      </c>
      <c r="H510" s="299"/>
      <c r="I510" s="299"/>
      <c r="J510" s="299"/>
      <c r="K510" s="299"/>
      <c r="L510" s="299"/>
      <c r="M510" s="299"/>
      <c r="N510" s="229">
        <v>0.9452015708139595</v>
      </c>
      <c r="O510" s="229">
        <v>0.9452015708139595</v>
      </c>
      <c r="P510" s="229">
        <v>0.9452015708139595</v>
      </c>
      <c r="Q510" s="272">
        <v>1</v>
      </c>
      <c r="R510" s="272">
        <v>1</v>
      </c>
      <c r="S510" s="272">
        <v>1</v>
      </c>
      <c r="T510" s="256">
        <f t="shared" si="139"/>
        <v>1.0579753894598916</v>
      </c>
      <c r="U510" s="256">
        <f t="shared" si="140"/>
        <v>1.0579753894598916</v>
      </c>
      <c r="V510" s="256">
        <f t="shared" si="141"/>
        <v>1.0579753894598916</v>
      </c>
      <c r="W510" s="256">
        <f t="shared" si="127"/>
        <v>1</v>
      </c>
      <c r="X510" s="216"/>
      <c r="Y510" s="216"/>
    </row>
    <row r="511" spans="1:25" s="140" customFormat="1" ht="26.25" hidden="1" outlineLevel="2" thickBot="1">
      <c r="A511" s="216"/>
      <c r="B511" s="255" t="s">
        <v>696</v>
      </c>
      <c r="C511" s="245" t="s">
        <v>178</v>
      </c>
      <c r="D511" s="227" t="s">
        <v>179</v>
      </c>
      <c r="E511" s="241"/>
      <c r="F511" s="228">
        <f t="shared" si="137"/>
        <v>0.36085232777611836</v>
      </c>
      <c r="G511" s="269">
        <f>+F511*G509</f>
        <v>1.998924815032955E-4</v>
      </c>
      <c r="H511" s="299"/>
      <c r="I511" s="299"/>
      <c r="J511" s="299"/>
      <c r="K511" s="299"/>
      <c r="L511" s="299"/>
      <c r="M511" s="299"/>
      <c r="N511" s="229">
        <v>0.9452015708139595</v>
      </c>
      <c r="O511" s="229">
        <v>0.9452015708139595</v>
      </c>
      <c r="P511" s="229">
        <v>0.9452015708139595</v>
      </c>
      <c r="Q511" s="272">
        <v>0</v>
      </c>
      <c r="R511" s="272">
        <v>0</v>
      </c>
      <c r="S511" s="272">
        <v>0</v>
      </c>
      <c r="T511" s="256">
        <f t="shared" si="139"/>
        <v>0</v>
      </c>
      <c r="U511" s="256">
        <f t="shared" si="140"/>
        <v>0</v>
      </c>
      <c r="V511" s="256">
        <f t="shared" si="141"/>
        <v>0</v>
      </c>
      <c r="W511" s="256">
        <f t="shared" si="127"/>
        <v>0</v>
      </c>
      <c r="X511" s="216"/>
      <c r="Y511" s="216"/>
    </row>
    <row r="512" spans="1:25" s="140" customFormat="1" ht="26.25" hidden="1" outlineLevel="2" thickBot="1">
      <c r="A512" s="216"/>
      <c r="B512" s="255" t="s">
        <v>697</v>
      </c>
      <c r="C512" s="245"/>
      <c r="D512" s="227" t="s">
        <v>439</v>
      </c>
      <c r="E512" s="241"/>
      <c r="F512" s="228">
        <f t="shared" si="137"/>
        <v>0.47295984572765098</v>
      </c>
      <c r="G512" s="269">
        <f>+F512*G509</f>
        <v>2.6199392365447509E-4</v>
      </c>
      <c r="H512" s="299"/>
      <c r="I512" s="299"/>
      <c r="J512" s="299"/>
      <c r="K512" s="299"/>
      <c r="L512" s="299"/>
      <c r="M512" s="299"/>
      <c r="N512" s="229">
        <v>0.9452015708139595</v>
      </c>
      <c r="O512" s="229">
        <v>0.9452015708139595</v>
      </c>
      <c r="P512" s="229">
        <v>0.9452015708139595</v>
      </c>
      <c r="Q512" s="272">
        <v>0</v>
      </c>
      <c r="R512" s="272">
        <v>0</v>
      </c>
      <c r="S512" s="272">
        <v>0</v>
      </c>
      <c r="T512" s="256">
        <f t="shared" si="139"/>
        <v>0</v>
      </c>
      <c r="U512" s="256">
        <f t="shared" si="140"/>
        <v>0</v>
      </c>
      <c r="V512" s="256">
        <f t="shared" si="141"/>
        <v>0</v>
      </c>
      <c r="W512" s="256">
        <f t="shared" si="127"/>
        <v>0</v>
      </c>
      <c r="X512" s="216"/>
      <c r="Y512" s="216"/>
    </row>
    <row r="513" spans="1:25" s="140" customFormat="1" ht="13.5" hidden="1" outlineLevel="1" thickBot="1">
      <c r="B513" s="301" t="s">
        <v>698</v>
      </c>
      <c r="C513" s="251"/>
      <c r="D513" s="236" t="s">
        <v>441</v>
      </c>
      <c r="E513" s="242"/>
      <c r="F513" s="232">
        <f t="shared" si="137"/>
        <v>0.17950266086228694</v>
      </c>
      <c r="G513" s="232">
        <f>+F513*G482</f>
        <v>3.2291764289108638E-4</v>
      </c>
      <c r="H513" s="321"/>
      <c r="I513" s="321"/>
      <c r="J513" s="321"/>
      <c r="K513" s="321"/>
      <c r="L513" s="321"/>
      <c r="M513" s="321"/>
      <c r="N513" s="233">
        <f t="shared" ref="N513:S513" si="143">+SUMPRODUCT($F514:$F514,N514:N514)</f>
        <v>0.94</v>
      </c>
      <c r="O513" s="233">
        <f t="shared" si="143"/>
        <v>0.94</v>
      </c>
      <c r="P513" s="233">
        <f t="shared" si="143"/>
        <v>0.94</v>
      </c>
      <c r="Q513" s="274">
        <f t="shared" si="143"/>
        <v>0</v>
      </c>
      <c r="R513" s="274">
        <f t="shared" si="143"/>
        <v>0</v>
      </c>
      <c r="S513" s="274">
        <f t="shared" si="143"/>
        <v>0</v>
      </c>
      <c r="T513" s="254">
        <f t="shared" si="139"/>
        <v>0</v>
      </c>
      <c r="U513" s="254">
        <f t="shared" si="140"/>
        <v>0</v>
      </c>
      <c r="V513" s="254">
        <f t="shared" si="141"/>
        <v>0</v>
      </c>
      <c r="W513" s="254">
        <f t="shared" si="127"/>
        <v>0</v>
      </c>
    </row>
    <row r="514" spans="1:25" s="140" customFormat="1" ht="13.5" hidden="1" outlineLevel="2" thickBot="1">
      <c r="A514" s="216"/>
      <c r="B514" s="255" t="s">
        <v>699</v>
      </c>
      <c r="C514" s="245" t="s">
        <v>187</v>
      </c>
      <c r="D514" s="227" t="s">
        <v>443</v>
      </c>
      <c r="E514" s="241"/>
      <c r="F514" s="228">
        <f t="shared" si="137"/>
        <v>1</v>
      </c>
      <c r="G514" s="269">
        <f>+F514*G513</f>
        <v>3.2291764289108638E-4</v>
      </c>
      <c r="H514" s="299"/>
      <c r="I514" s="299"/>
      <c r="J514" s="299"/>
      <c r="K514" s="299"/>
      <c r="L514" s="299"/>
      <c r="M514" s="299"/>
      <c r="N514" s="229">
        <v>0.94</v>
      </c>
      <c r="O514" s="229">
        <v>0.94</v>
      </c>
      <c r="P514" s="229">
        <v>0.94</v>
      </c>
      <c r="Q514" s="272">
        <v>0</v>
      </c>
      <c r="R514" s="272">
        <v>0</v>
      </c>
      <c r="S514" s="272">
        <v>0</v>
      </c>
      <c r="T514" s="256">
        <f t="shared" si="139"/>
        <v>0</v>
      </c>
      <c r="U514" s="256">
        <f t="shared" si="140"/>
        <v>0</v>
      </c>
      <c r="V514" s="256">
        <f t="shared" si="141"/>
        <v>0</v>
      </c>
      <c r="W514" s="256">
        <f t="shared" si="127"/>
        <v>0</v>
      </c>
      <c r="X514" s="216"/>
      <c r="Y514" s="216"/>
    </row>
    <row r="515" spans="1:25" s="140" customFormat="1" ht="13.5" hidden="1" outlineLevel="1" thickBot="1">
      <c r="B515" s="300" t="s">
        <v>700</v>
      </c>
      <c r="C515" s="294"/>
      <c r="D515" s="294" t="s">
        <v>193</v>
      </c>
      <c r="E515" s="295"/>
      <c r="F515" s="296">
        <f t="shared" si="137"/>
        <v>7.0876940001895719E-2</v>
      </c>
      <c r="G515" s="296">
        <f>+F515*G342</f>
        <v>7.0876940001895724E-4</v>
      </c>
      <c r="H515" s="297"/>
      <c r="I515" s="297"/>
      <c r="J515" s="297"/>
      <c r="K515" s="297"/>
      <c r="L515" s="297"/>
      <c r="M515" s="297"/>
      <c r="N515" s="296">
        <f t="shared" ref="N515:S515" si="144">+SUMPRODUCT($F516:$F527,N516:N527)</f>
        <v>0.94</v>
      </c>
      <c r="O515" s="296">
        <f t="shared" si="144"/>
        <v>0.94</v>
      </c>
      <c r="P515" s="296">
        <f t="shared" si="144"/>
        <v>0.94</v>
      </c>
      <c r="Q515" s="296">
        <f t="shared" si="144"/>
        <v>0</v>
      </c>
      <c r="R515" s="296">
        <f t="shared" si="144"/>
        <v>0</v>
      </c>
      <c r="S515" s="296">
        <f t="shared" si="144"/>
        <v>0</v>
      </c>
      <c r="T515" s="296">
        <f t="shared" si="139"/>
        <v>0</v>
      </c>
      <c r="U515" s="296">
        <f t="shared" si="140"/>
        <v>0</v>
      </c>
      <c r="V515" s="296">
        <f t="shared" si="141"/>
        <v>0</v>
      </c>
      <c r="W515" s="296">
        <f t="shared" si="127"/>
        <v>0</v>
      </c>
    </row>
    <row r="516" spans="1:25" s="140" customFormat="1" ht="13.5" hidden="1" outlineLevel="1" thickBot="1">
      <c r="A516" s="216"/>
      <c r="B516" s="255" t="s">
        <v>701</v>
      </c>
      <c r="C516" s="245" t="s">
        <v>195</v>
      </c>
      <c r="D516" s="227" t="s">
        <v>196</v>
      </c>
      <c r="E516" s="241"/>
      <c r="F516" s="228">
        <f t="shared" si="137"/>
        <v>0.11462043390407546</v>
      </c>
      <c r="G516" s="269">
        <f>+F516*G515</f>
        <v>8.1239456168104103E-5</v>
      </c>
      <c r="H516" s="299"/>
      <c r="I516" s="299"/>
      <c r="J516" s="299"/>
      <c r="K516" s="299"/>
      <c r="L516" s="299"/>
      <c r="M516" s="299"/>
      <c r="N516" s="229">
        <v>0.94</v>
      </c>
      <c r="O516" s="229">
        <v>0.94</v>
      </c>
      <c r="P516" s="229">
        <v>0.94</v>
      </c>
      <c r="Q516" s="272">
        <v>0</v>
      </c>
      <c r="R516" s="272">
        <v>0</v>
      </c>
      <c r="S516" s="272">
        <v>0</v>
      </c>
      <c r="T516" s="256">
        <f t="shared" si="139"/>
        <v>0</v>
      </c>
      <c r="U516" s="256">
        <f t="shared" si="140"/>
        <v>0</v>
      </c>
      <c r="V516" s="256">
        <f t="shared" si="141"/>
        <v>0</v>
      </c>
      <c r="W516" s="256">
        <f t="shared" si="127"/>
        <v>0</v>
      </c>
      <c r="X516" s="216"/>
      <c r="Y516" s="216"/>
    </row>
    <row r="517" spans="1:25" s="140" customFormat="1" ht="13.5" hidden="1" outlineLevel="1" thickBot="1">
      <c r="A517" s="216"/>
      <c r="B517" s="255" t="s">
        <v>702</v>
      </c>
      <c r="C517" s="245" t="s">
        <v>198</v>
      </c>
      <c r="D517" s="227" t="s">
        <v>199</v>
      </c>
      <c r="E517" s="241"/>
      <c r="F517" s="228">
        <f t="shared" si="137"/>
        <v>0.16914444012256166</v>
      </c>
      <c r="G517" s="269">
        <f>+F517*G515</f>
        <v>1.1988440334221047E-4</v>
      </c>
      <c r="H517" s="299"/>
      <c r="I517" s="299"/>
      <c r="J517" s="299"/>
      <c r="K517" s="299"/>
      <c r="L517" s="299"/>
      <c r="M517" s="299"/>
      <c r="N517" s="229">
        <v>0.94</v>
      </c>
      <c r="O517" s="229">
        <v>0.94</v>
      </c>
      <c r="P517" s="229">
        <v>0.94</v>
      </c>
      <c r="Q517" s="272">
        <v>0</v>
      </c>
      <c r="R517" s="272">
        <v>0</v>
      </c>
      <c r="S517" s="272">
        <v>0</v>
      </c>
      <c r="T517" s="256">
        <f t="shared" si="139"/>
        <v>0</v>
      </c>
      <c r="U517" s="256">
        <f t="shared" si="140"/>
        <v>0</v>
      </c>
      <c r="V517" s="256">
        <f t="shared" si="141"/>
        <v>0</v>
      </c>
      <c r="W517" s="256">
        <f t="shared" si="127"/>
        <v>0</v>
      </c>
      <c r="X517" s="216"/>
      <c r="Y517" s="216"/>
    </row>
    <row r="518" spans="1:25" s="140" customFormat="1" ht="13.5" hidden="1" outlineLevel="1" thickBot="1">
      <c r="A518" s="216"/>
      <c r="B518" s="255" t="s">
        <v>703</v>
      </c>
      <c r="C518" s="245" t="s">
        <v>201</v>
      </c>
      <c r="D518" s="227" t="s">
        <v>202</v>
      </c>
      <c r="E518" s="241"/>
      <c r="F518" s="228">
        <f t="shared" si="137"/>
        <v>0.15393682703771108</v>
      </c>
      <c r="G518" s="269">
        <f>+F518*G515</f>
        <v>1.0910571254034049E-4</v>
      </c>
      <c r="H518" s="299"/>
      <c r="I518" s="299"/>
      <c r="J518" s="299"/>
      <c r="K518" s="299"/>
      <c r="L518" s="299"/>
      <c r="M518" s="299"/>
      <c r="N518" s="229">
        <v>0.94</v>
      </c>
      <c r="O518" s="229">
        <v>0.94</v>
      </c>
      <c r="P518" s="229">
        <v>0.94</v>
      </c>
      <c r="Q518" s="272">
        <v>0</v>
      </c>
      <c r="R518" s="272">
        <v>0</v>
      </c>
      <c r="S518" s="272">
        <v>0</v>
      </c>
      <c r="T518" s="256">
        <f t="shared" si="139"/>
        <v>0</v>
      </c>
      <c r="U518" s="256">
        <f t="shared" si="140"/>
        <v>0</v>
      </c>
      <c r="V518" s="256">
        <f t="shared" si="141"/>
        <v>0</v>
      </c>
      <c r="W518" s="256">
        <f t="shared" ref="W518:W581" si="145">+IF(R518=0,0,$S518/R518)</f>
        <v>0</v>
      </c>
      <c r="X518" s="216"/>
      <c r="Y518" s="216"/>
    </row>
    <row r="519" spans="1:25" s="140" customFormat="1" ht="13.5" hidden="1" outlineLevel="1" thickBot="1">
      <c r="A519" s="216"/>
      <c r="B519" s="255" t="s">
        <v>704</v>
      </c>
      <c r="C519" s="245" t="s">
        <v>204</v>
      </c>
      <c r="D519" s="227" t="s">
        <v>205</v>
      </c>
      <c r="E519" s="241"/>
      <c r="F519" s="228">
        <f t="shared" si="137"/>
        <v>3.9190487501575728E-2</v>
      </c>
      <c r="G519" s="269">
        <f>+F519*G515</f>
        <v>2.7777018312942273E-5</v>
      </c>
      <c r="H519" s="299"/>
      <c r="I519" s="299"/>
      <c r="J519" s="299"/>
      <c r="K519" s="299"/>
      <c r="L519" s="299"/>
      <c r="M519" s="299"/>
      <c r="N519" s="229">
        <v>0.94</v>
      </c>
      <c r="O519" s="229">
        <v>0.94</v>
      </c>
      <c r="P519" s="229">
        <v>0.94</v>
      </c>
      <c r="Q519" s="272">
        <v>0</v>
      </c>
      <c r="R519" s="272">
        <v>0</v>
      </c>
      <c r="S519" s="272">
        <v>0</v>
      </c>
      <c r="T519" s="256">
        <f t="shared" si="139"/>
        <v>0</v>
      </c>
      <c r="U519" s="256">
        <f t="shared" si="140"/>
        <v>0</v>
      </c>
      <c r="V519" s="256">
        <f t="shared" si="141"/>
        <v>0</v>
      </c>
      <c r="W519" s="256">
        <f t="shared" si="145"/>
        <v>0</v>
      </c>
      <c r="X519" s="216"/>
      <c r="Y519" s="216"/>
    </row>
    <row r="520" spans="1:25" s="140" customFormat="1" ht="13.5" hidden="1" outlineLevel="1" thickBot="1">
      <c r="A520" s="216"/>
      <c r="B520" s="255" t="s">
        <v>705</v>
      </c>
      <c r="C520" s="245" t="s">
        <v>207</v>
      </c>
      <c r="D520" s="227" t="s">
        <v>205</v>
      </c>
      <c r="E520" s="241"/>
      <c r="F520" s="228">
        <f t="shared" si="137"/>
        <v>3.9190487501575728E-2</v>
      </c>
      <c r="G520" s="269">
        <f>+F520*G515</f>
        <v>2.7777018312942273E-5</v>
      </c>
      <c r="H520" s="299"/>
      <c r="I520" s="299"/>
      <c r="J520" s="299"/>
      <c r="K520" s="299"/>
      <c r="L520" s="299"/>
      <c r="M520" s="299"/>
      <c r="N520" s="229">
        <v>0.94</v>
      </c>
      <c r="O520" s="229">
        <v>0.94</v>
      </c>
      <c r="P520" s="229">
        <v>0.94</v>
      </c>
      <c r="Q520" s="272">
        <v>0</v>
      </c>
      <c r="R520" s="272">
        <v>0</v>
      </c>
      <c r="S520" s="272">
        <v>0</v>
      </c>
      <c r="T520" s="256">
        <f t="shared" si="139"/>
        <v>0</v>
      </c>
      <c r="U520" s="256">
        <f t="shared" si="140"/>
        <v>0</v>
      </c>
      <c r="V520" s="256">
        <f t="shared" si="141"/>
        <v>0</v>
      </c>
      <c r="W520" s="256">
        <f t="shared" si="145"/>
        <v>0</v>
      </c>
      <c r="X520" s="216"/>
      <c r="Y520" s="216"/>
    </row>
    <row r="521" spans="1:25" s="140" customFormat="1" ht="13.5" hidden="1" outlineLevel="1" thickBot="1">
      <c r="A521" s="216"/>
      <c r="B521" s="255" t="s">
        <v>706</v>
      </c>
      <c r="C521" s="245" t="s">
        <v>209</v>
      </c>
      <c r="D521" s="227" t="s">
        <v>205</v>
      </c>
      <c r="E521" s="241"/>
      <c r="F521" s="228">
        <f t="shared" si="137"/>
        <v>3.9190487501575728E-2</v>
      </c>
      <c r="G521" s="269">
        <f>+F521*G515</f>
        <v>2.7777018312942273E-5</v>
      </c>
      <c r="H521" s="299"/>
      <c r="I521" s="299"/>
      <c r="J521" s="299"/>
      <c r="K521" s="299"/>
      <c r="L521" s="299"/>
      <c r="M521" s="299"/>
      <c r="N521" s="229">
        <v>0.94</v>
      </c>
      <c r="O521" s="229">
        <v>0.94</v>
      </c>
      <c r="P521" s="229">
        <v>0.94</v>
      </c>
      <c r="Q521" s="272">
        <v>0</v>
      </c>
      <c r="R521" s="272">
        <v>0</v>
      </c>
      <c r="S521" s="272">
        <v>0</v>
      </c>
      <c r="T521" s="256">
        <f t="shared" si="139"/>
        <v>0</v>
      </c>
      <c r="U521" s="256">
        <f t="shared" si="140"/>
        <v>0</v>
      </c>
      <c r="V521" s="256">
        <f t="shared" si="141"/>
        <v>0</v>
      </c>
      <c r="W521" s="256">
        <f t="shared" si="145"/>
        <v>0</v>
      </c>
      <c r="X521" s="216"/>
      <c r="Y521" s="216"/>
    </row>
    <row r="522" spans="1:25" s="140" customFormat="1" ht="13.5" hidden="1" outlineLevel="1" thickBot="1">
      <c r="A522" s="216"/>
      <c r="B522" s="255" t="s">
        <v>707</v>
      </c>
      <c r="C522" s="245" t="s">
        <v>211</v>
      </c>
      <c r="D522" s="227" t="s">
        <v>205</v>
      </c>
      <c r="E522" s="241"/>
      <c r="F522" s="228">
        <f t="shared" si="137"/>
        <v>3.9190487501575728E-2</v>
      </c>
      <c r="G522" s="269">
        <f>+F522*G515</f>
        <v>2.7777018312942273E-5</v>
      </c>
      <c r="H522" s="299"/>
      <c r="I522" s="299"/>
      <c r="J522" s="299"/>
      <c r="K522" s="299"/>
      <c r="L522" s="299"/>
      <c r="M522" s="299"/>
      <c r="N522" s="229">
        <v>0.94</v>
      </c>
      <c r="O522" s="229">
        <v>0.94</v>
      </c>
      <c r="P522" s="229">
        <v>0.94</v>
      </c>
      <c r="Q522" s="272">
        <v>0</v>
      </c>
      <c r="R522" s="272">
        <v>0</v>
      </c>
      <c r="S522" s="272">
        <v>0</v>
      </c>
      <c r="T522" s="256">
        <f t="shared" si="139"/>
        <v>0</v>
      </c>
      <c r="U522" s="256">
        <f t="shared" si="140"/>
        <v>0</v>
      </c>
      <c r="V522" s="256">
        <f t="shared" si="141"/>
        <v>0</v>
      </c>
      <c r="W522" s="256">
        <f t="shared" si="145"/>
        <v>0</v>
      </c>
      <c r="X522" s="216"/>
      <c r="Y522" s="216"/>
    </row>
    <row r="523" spans="1:25" s="140" customFormat="1" ht="13.5" hidden="1" outlineLevel="1" thickBot="1">
      <c r="A523" s="216"/>
      <c r="B523" s="255" t="s">
        <v>708</v>
      </c>
      <c r="C523" s="245" t="s">
        <v>213</v>
      </c>
      <c r="D523" s="227" t="s">
        <v>205</v>
      </c>
      <c r="E523" s="241"/>
      <c r="F523" s="228">
        <f t="shared" si="137"/>
        <v>3.9190487501575728E-2</v>
      </c>
      <c r="G523" s="269">
        <f>+F523*G515</f>
        <v>2.7777018312942273E-5</v>
      </c>
      <c r="H523" s="299"/>
      <c r="I523" s="299"/>
      <c r="J523" s="299"/>
      <c r="K523" s="299"/>
      <c r="L523" s="299"/>
      <c r="M523" s="299"/>
      <c r="N523" s="229">
        <v>0.94</v>
      </c>
      <c r="O523" s="229">
        <v>0.94</v>
      </c>
      <c r="P523" s="229">
        <v>0.94</v>
      </c>
      <c r="Q523" s="272">
        <v>0</v>
      </c>
      <c r="R523" s="272">
        <v>0</v>
      </c>
      <c r="S523" s="272">
        <v>0</v>
      </c>
      <c r="T523" s="256">
        <f t="shared" si="139"/>
        <v>0</v>
      </c>
      <c r="U523" s="256">
        <f t="shared" si="140"/>
        <v>0</v>
      </c>
      <c r="V523" s="256">
        <f t="shared" si="141"/>
        <v>0</v>
      </c>
      <c r="W523" s="256">
        <f t="shared" si="145"/>
        <v>0</v>
      </c>
      <c r="X523" s="216"/>
      <c r="Y523" s="216"/>
    </row>
    <row r="524" spans="1:25" s="140" customFormat="1" ht="13.5" hidden="1" outlineLevel="1" thickBot="1">
      <c r="A524" s="216"/>
      <c r="B524" s="255" t="s">
        <v>709</v>
      </c>
      <c r="C524" s="281" t="s">
        <v>215</v>
      </c>
      <c r="D524" s="282" t="s">
        <v>216</v>
      </c>
      <c r="E524" s="283"/>
      <c r="F524" s="284">
        <f t="shared" si="137"/>
        <v>4.0894421740774678E-2</v>
      </c>
      <c r="G524" s="285">
        <f>+F524*G515</f>
        <v>2.8984714761331071E-5</v>
      </c>
      <c r="H524" s="322"/>
      <c r="I524" s="322"/>
      <c r="J524" s="322"/>
      <c r="K524" s="322"/>
      <c r="L524" s="322"/>
      <c r="M524" s="322"/>
      <c r="N524" s="286">
        <v>0.94</v>
      </c>
      <c r="O524" s="286">
        <v>0.94</v>
      </c>
      <c r="P524" s="286">
        <v>0.94</v>
      </c>
      <c r="Q524" s="272">
        <v>0</v>
      </c>
      <c r="R524" s="272">
        <v>0</v>
      </c>
      <c r="S524" s="272">
        <v>0</v>
      </c>
      <c r="T524" s="288">
        <f t="shared" si="139"/>
        <v>0</v>
      </c>
      <c r="U524" s="288">
        <f t="shared" si="140"/>
        <v>0</v>
      </c>
      <c r="V524" s="288">
        <f t="shared" si="141"/>
        <v>0</v>
      </c>
      <c r="W524" s="288">
        <f t="shared" si="145"/>
        <v>0</v>
      </c>
      <c r="X524" s="216"/>
      <c r="Y524" s="216"/>
    </row>
    <row r="525" spans="1:25" s="140" customFormat="1" ht="13.5" hidden="1" outlineLevel="1" thickBot="1">
      <c r="A525" s="216"/>
      <c r="B525" s="255" t="s">
        <v>710</v>
      </c>
      <c r="C525" s="281" t="s">
        <v>218</v>
      </c>
      <c r="D525" s="282" t="s">
        <v>219</v>
      </c>
      <c r="E525" s="283"/>
      <c r="F525" s="284">
        <f t="shared" si="137"/>
        <v>0.13120293641831876</v>
      </c>
      <c r="G525" s="285">
        <f>+F525*G515</f>
        <v>9.2992626525937176E-5</v>
      </c>
      <c r="H525" s="322"/>
      <c r="I525" s="322"/>
      <c r="J525" s="322"/>
      <c r="K525" s="322"/>
      <c r="L525" s="322"/>
      <c r="M525" s="322"/>
      <c r="N525" s="286">
        <v>0.94</v>
      </c>
      <c r="O525" s="286">
        <v>0.94</v>
      </c>
      <c r="P525" s="286">
        <v>0.94</v>
      </c>
      <c r="Q525" s="272">
        <v>0</v>
      </c>
      <c r="R525" s="272">
        <v>0</v>
      </c>
      <c r="S525" s="272">
        <v>0</v>
      </c>
      <c r="T525" s="288">
        <f t="shared" si="139"/>
        <v>0</v>
      </c>
      <c r="U525" s="288">
        <f t="shared" si="140"/>
        <v>0</v>
      </c>
      <c r="V525" s="288">
        <f t="shared" si="141"/>
        <v>0</v>
      </c>
      <c r="W525" s="288">
        <f t="shared" si="145"/>
        <v>0</v>
      </c>
      <c r="X525" s="216"/>
      <c r="Y525" s="216"/>
    </row>
    <row r="526" spans="1:25" s="140" customFormat="1" ht="13.5" hidden="1" outlineLevel="1" thickBot="1">
      <c r="A526" s="216"/>
      <c r="B526" s="255" t="s">
        <v>711</v>
      </c>
      <c r="C526" s="281" t="s">
        <v>221</v>
      </c>
      <c r="D526" s="282" t="s">
        <v>222</v>
      </c>
      <c r="E526" s="283"/>
      <c r="F526" s="284">
        <f t="shared" si="137"/>
        <v>0.17039342391989448</v>
      </c>
      <c r="G526" s="285">
        <f>+F526*G515</f>
        <v>1.2076964483887945E-4</v>
      </c>
      <c r="H526" s="322"/>
      <c r="I526" s="322"/>
      <c r="J526" s="322"/>
      <c r="K526" s="322"/>
      <c r="L526" s="322"/>
      <c r="M526" s="322"/>
      <c r="N526" s="286">
        <v>0.94</v>
      </c>
      <c r="O526" s="286">
        <v>0.94</v>
      </c>
      <c r="P526" s="286">
        <v>0.94</v>
      </c>
      <c r="Q526" s="272">
        <v>0</v>
      </c>
      <c r="R526" s="272">
        <v>0</v>
      </c>
      <c r="S526" s="272">
        <v>0</v>
      </c>
      <c r="T526" s="288">
        <f t="shared" si="139"/>
        <v>0</v>
      </c>
      <c r="U526" s="288">
        <f t="shared" si="140"/>
        <v>0</v>
      </c>
      <c r="V526" s="288">
        <f t="shared" si="141"/>
        <v>0</v>
      </c>
      <c r="W526" s="288">
        <f t="shared" si="145"/>
        <v>0</v>
      </c>
      <c r="X526" s="216"/>
      <c r="Y526" s="216"/>
    </row>
    <row r="527" spans="1:25" s="140" customFormat="1" ht="13.5" hidden="1" outlineLevel="1" thickBot="1">
      <c r="A527" s="216"/>
      <c r="B527" s="255" t="s">
        <v>712</v>
      </c>
      <c r="C527" s="281" t="s">
        <v>224</v>
      </c>
      <c r="D527" s="282" t="s">
        <v>225</v>
      </c>
      <c r="E527" s="283"/>
      <c r="F527" s="284">
        <f t="shared" si="137"/>
        <v>2.3855079348785228E-2</v>
      </c>
      <c r="G527" s="285">
        <f>+F527*G515</f>
        <v>1.6907750277443122E-5</v>
      </c>
      <c r="H527" s="322"/>
      <c r="I527" s="322"/>
      <c r="J527" s="322"/>
      <c r="K527" s="322"/>
      <c r="L527" s="322"/>
      <c r="M527" s="322"/>
      <c r="N527" s="286">
        <v>0.94</v>
      </c>
      <c r="O527" s="286">
        <v>0.94</v>
      </c>
      <c r="P527" s="286">
        <v>0.94</v>
      </c>
      <c r="Q527" s="272">
        <v>0</v>
      </c>
      <c r="R527" s="272">
        <v>0</v>
      </c>
      <c r="S527" s="272">
        <v>0</v>
      </c>
      <c r="T527" s="288">
        <f t="shared" si="139"/>
        <v>0</v>
      </c>
      <c r="U527" s="288">
        <f t="shared" si="140"/>
        <v>0</v>
      </c>
      <c r="V527" s="288">
        <f t="shared" si="141"/>
        <v>0</v>
      </c>
      <c r="W527" s="288">
        <f t="shared" si="145"/>
        <v>0</v>
      </c>
      <c r="X527" s="216"/>
      <c r="Y527" s="216"/>
    </row>
    <row r="528" spans="1:25" s="140" customFormat="1" ht="12.75" collapsed="1">
      <c r="B528" s="312">
        <v>5</v>
      </c>
      <c r="C528" s="313"/>
      <c r="D528" s="314" t="s">
        <v>2</v>
      </c>
      <c r="E528" s="315">
        <f>E718</f>
        <v>2484067916240.3301</v>
      </c>
      <c r="F528" s="316"/>
      <c r="G528" s="317">
        <v>0.79</v>
      </c>
      <c r="H528" s="358">
        <f>MIN(H529:H903)</f>
        <v>45884</v>
      </c>
      <c r="I528" s="358">
        <f>MAX(I529:I903)</f>
        <v>46598</v>
      </c>
      <c r="J528" s="358">
        <f>MIN(J529:J903)</f>
        <v>45885</v>
      </c>
      <c r="K528" s="358">
        <f>MAX(K529:K903)</f>
        <v>46758</v>
      </c>
      <c r="L528" s="358">
        <f>MIN(L529:L903)</f>
        <v>45885</v>
      </c>
      <c r="M528" s="358">
        <f>MAX(M529:M903)</f>
        <v>46783</v>
      </c>
      <c r="N528" s="318">
        <f t="shared" ref="N528:S528" si="146">+($F529*N529+$F718*N718)</f>
        <v>0.65845833864114178</v>
      </c>
      <c r="O528" s="318">
        <f t="shared" si="146"/>
        <v>0.55564636583447347</v>
      </c>
      <c r="P528" s="318">
        <f t="shared" si="146"/>
        <v>0.50077236819710647</v>
      </c>
      <c r="Q528" s="319">
        <f t="shared" si="146"/>
        <v>0.26491764325800532</v>
      </c>
      <c r="R528" s="319">
        <f t="shared" si="146"/>
        <v>0.25938794589838116</v>
      </c>
      <c r="S528" s="319">
        <f>+($F529*S529+$F718*S718)</f>
        <v>0.26090143953857159</v>
      </c>
      <c r="T528" s="320">
        <f t="shared" ref="T528:T532" si="147">+IF(N528=0,0,$S528/N528)</f>
        <v>0.3962307472284321</v>
      </c>
      <c r="U528" s="320">
        <f t="shared" ref="U528:U532" si="148">+IF(O528=0,0,$S528/O528)</f>
        <v>0.46954583990979237</v>
      </c>
      <c r="V528" s="320">
        <f t="shared" ref="V528:V532" si="149">+IF(P528=0,0,$S528/P528)</f>
        <v>0.52099807439031764</v>
      </c>
      <c r="W528" s="320">
        <f t="shared" si="145"/>
        <v>1.0058348649739621</v>
      </c>
    </row>
    <row r="529" spans="1:25" s="140" customFormat="1" ht="12.75" outlineLevel="1">
      <c r="B529" s="279">
        <v>5.0999999999999996</v>
      </c>
      <c r="C529" s="279"/>
      <c r="D529" s="279" t="s">
        <v>713</v>
      </c>
      <c r="E529" s="278"/>
      <c r="F529" s="280">
        <v>0.05</v>
      </c>
      <c r="G529" s="280">
        <f>+F529*$G$528</f>
        <v>3.9500000000000007E-2</v>
      </c>
      <c r="H529" s="354"/>
      <c r="I529" s="354"/>
      <c r="J529" s="354"/>
      <c r="K529" s="354"/>
      <c r="L529" s="354"/>
      <c r="M529" s="354"/>
      <c r="N529" s="280">
        <f t="shared" ref="N529:S529" si="150">+($F530*N530+$F531*N531+$F532*N532)</f>
        <v>0.99602915719095231</v>
      </c>
      <c r="O529" s="280">
        <f t="shared" si="150"/>
        <v>0.99602915719095231</v>
      </c>
      <c r="P529" s="280">
        <f t="shared" si="150"/>
        <v>0.99602915719095231</v>
      </c>
      <c r="Q529" s="280">
        <f t="shared" si="150"/>
        <v>0.91758247892872358</v>
      </c>
      <c r="R529" s="280">
        <f t="shared" si="150"/>
        <v>0.91758247892872358</v>
      </c>
      <c r="S529" s="280">
        <f t="shared" si="150"/>
        <v>0.92266418424882946</v>
      </c>
      <c r="T529" s="280">
        <f t="shared" si="147"/>
        <v>0.92634254488188861</v>
      </c>
      <c r="U529" s="280">
        <f t="shared" si="148"/>
        <v>0.92634254488188861</v>
      </c>
      <c r="V529" s="280">
        <f t="shared" si="149"/>
        <v>0.92634254488188861</v>
      </c>
      <c r="W529" s="280">
        <f t="shared" si="145"/>
        <v>1.0055381455474595</v>
      </c>
    </row>
    <row r="530" spans="1:25" s="140" customFormat="1" ht="12.75" hidden="1" outlineLevel="2">
      <c r="B530" s="257" t="s">
        <v>714</v>
      </c>
      <c r="C530" s="246"/>
      <c r="D530" s="247" t="s">
        <v>226</v>
      </c>
      <c r="E530" s="248"/>
      <c r="F530" s="230">
        <v>0.9</v>
      </c>
      <c r="G530" s="230">
        <f>+F530*$G$529</f>
        <v>3.5550000000000005E-2</v>
      </c>
      <c r="H530" s="360"/>
      <c r="I530" s="360"/>
      <c r="J530" s="360"/>
      <c r="K530" s="360"/>
      <c r="L530" s="360"/>
      <c r="M530" s="360"/>
      <c r="N530" s="231">
        <v>1</v>
      </c>
      <c r="O530" s="231">
        <v>1</v>
      </c>
      <c r="P530" s="231">
        <v>1</v>
      </c>
      <c r="Q530" s="273">
        <v>0.94399999999999995</v>
      </c>
      <c r="R530" s="273">
        <v>0.94399999999999995</v>
      </c>
      <c r="S530" s="273">
        <v>0.94399999999999995</v>
      </c>
      <c r="T530" s="258">
        <f t="shared" si="147"/>
        <v>0.94399999999999995</v>
      </c>
      <c r="U530" s="258">
        <f t="shared" si="148"/>
        <v>0.94399999999999995</v>
      </c>
      <c r="V530" s="258">
        <f t="shared" si="149"/>
        <v>0.94399999999999995</v>
      </c>
      <c r="W530" s="258">
        <f t="shared" si="145"/>
        <v>1</v>
      </c>
    </row>
    <row r="531" spans="1:25" s="140" customFormat="1" ht="12.75" hidden="1" outlineLevel="2">
      <c r="B531" s="257" t="s">
        <v>715</v>
      </c>
      <c r="C531" s="246"/>
      <c r="D531" s="247" t="s">
        <v>716</v>
      </c>
      <c r="E531" s="248"/>
      <c r="F531" s="230">
        <v>0.05</v>
      </c>
      <c r="G531" s="230">
        <f t="shared" ref="G531" si="151">+F531*$G$529</f>
        <v>1.9750000000000006E-3</v>
      </c>
      <c r="H531" s="360"/>
      <c r="I531" s="360"/>
      <c r="J531" s="360"/>
      <c r="K531" s="360"/>
      <c r="L531" s="360"/>
      <c r="M531" s="360"/>
      <c r="N531" s="231">
        <v>1</v>
      </c>
      <c r="O531" s="231">
        <v>1</v>
      </c>
      <c r="P531" s="231">
        <v>1</v>
      </c>
      <c r="Q531" s="273">
        <v>0.75900000000000001</v>
      </c>
      <c r="R531" s="273">
        <v>0.75900000000000001</v>
      </c>
      <c r="S531" s="273">
        <v>0.75900000000000001</v>
      </c>
      <c r="T531" s="258">
        <f t="shared" si="147"/>
        <v>0.75900000000000001</v>
      </c>
      <c r="U531" s="258">
        <f t="shared" si="148"/>
        <v>0.75900000000000001</v>
      </c>
      <c r="V531" s="258">
        <f t="shared" si="149"/>
        <v>0.75900000000000001</v>
      </c>
      <c r="W531" s="258">
        <f t="shared" si="145"/>
        <v>1</v>
      </c>
    </row>
    <row r="532" spans="1:25" s="140" customFormat="1" ht="12.75" hidden="1" outlineLevel="2">
      <c r="A532" s="216"/>
      <c r="B532" s="257" t="s">
        <v>717</v>
      </c>
      <c r="C532" s="246"/>
      <c r="D532" s="247" t="s">
        <v>718</v>
      </c>
      <c r="E532" s="248">
        <f>+E718/19</f>
        <v>130740416644.22791</v>
      </c>
      <c r="F532" s="230">
        <v>0.05</v>
      </c>
      <c r="G532" s="230">
        <f>+F532*$G$529</f>
        <v>1.9750000000000006E-3</v>
      </c>
      <c r="H532" s="360"/>
      <c r="I532" s="360"/>
      <c r="J532" s="360"/>
      <c r="K532" s="360"/>
      <c r="L532" s="360"/>
      <c r="M532" s="360"/>
      <c r="N532" s="249">
        <f t="shared" ref="N532:S532" si="152">+($F533*N533+$F656*N656+$F672*N672)</f>
        <v>0.92058314381904427</v>
      </c>
      <c r="O532" s="249">
        <f t="shared" si="152"/>
        <v>0.92058314381904427</v>
      </c>
      <c r="P532" s="249">
        <f t="shared" si="152"/>
        <v>0.92058314381904427</v>
      </c>
      <c r="Q532" s="273">
        <f t="shared" si="152"/>
        <v>0.60064957857447099</v>
      </c>
      <c r="R532" s="273">
        <f t="shared" si="152"/>
        <v>0.60064957857447099</v>
      </c>
      <c r="S532" s="273">
        <f t="shared" si="152"/>
        <v>0.70228368497658777</v>
      </c>
      <c r="T532" s="258">
        <f t="shared" si="147"/>
        <v>0.76286828592489753</v>
      </c>
      <c r="U532" s="258">
        <f t="shared" si="148"/>
        <v>0.76286828592489753</v>
      </c>
      <c r="V532" s="258">
        <f t="shared" si="149"/>
        <v>0.76286828592489753</v>
      </c>
      <c r="W532" s="258">
        <f t="shared" si="145"/>
        <v>1.1692069886127721</v>
      </c>
    </row>
    <row r="533" spans="1:25" s="140" customFormat="1" ht="12.75" hidden="1" outlineLevel="3">
      <c r="B533" s="300" t="s">
        <v>719</v>
      </c>
      <c r="C533" s="294"/>
      <c r="D533" s="294" t="s">
        <v>31</v>
      </c>
      <c r="E533" s="295"/>
      <c r="F533" s="296">
        <f t="shared" ref="F533:F564" si="153">F719</f>
        <v>0.78107171599540315</v>
      </c>
      <c r="G533" s="296">
        <f>+F533*G532</f>
        <v>1.5426166390909218E-3</v>
      </c>
      <c r="H533" s="297"/>
      <c r="I533" s="297"/>
      <c r="J533" s="297"/>
      <c r="K533" s="297"/>
      <c r="L533" s="297"/>
      <c r="M533" s="297"/>
      <c r="N533" s="296">
        <f t="shared" ref="N533:S533" si="154">+$F534*N534+$F555*N555+$F582*N582+$F594*N594+$F607*N607+$F622*N622+$F640*N640+$F655*N655</f>
        <v>1</v>
      </c>
      <c r="O533" s="296">
        <f t="shared" si="154"/>
        <v>1</v>
      </c>
      <c r="P533" s="296">
        <f t="shared" si="154"/>
        <v>1</v>
      </c>
      <c r="Q533" s="296">
        <f t="shared" si="154"/>
        <v>0.76900695067289571</v>
      </c>
      <c r="R533" s="296">
        <f t="shared" si="154"/>
        <v>0.76900695067289571</v>
      </c>
      <c r="S533" s="296">
        <f t="shared" si="154"/>
        <v>0.8991283010185469</v>
      </c>
      <c r="T533" s="296">
        <f t="shared" ref="T533:T564" si="155">+IF(N533=0,0,$S533/N533)</f>
        <v>0.8991283010185469</v>
      </c>
      <c r="U533" s="296">
        <f t="shared" ref="U533:U564" si="156">+IF(O533=0,0,$S533/O533)</f>
        <v>0.8991283010185469</v>
      </c>
      <c r="V533" s="296">
        <f t="shared" ref="V533:V564" si="157">+IF(P533=0,0,$S533/P533)</f>
        <v>0.8991283010185469</v>
      </c>
      <c r="W533" s="296">
        <f t="shared" si="145"/>
        <v>1.1692069886127721</v>
      </c>
    </row>
    <row r="534" spans="1:25" s="140" customFormat="1" ht="25.5" hidden="1" outlineLevel="4">
      <c r="A534" s="216"/>
      <c r="B534" s="291" t="s">
        <v>720</v>
      </c>
      <c r="C534" s="292" t="s">
        <v>32</v>
      </c>
      <c r="D534" s="234" t="s">
        <v>33</v>
      </c>
      <c r="E534" s="240"/>
      <c r="F534" s="223">
        <f t="shared" si="153"/>
        <v>0.19239834958539684</v>
      </c>
      <c r="G534" s="293">
        <f>+F534*G533</f>
        <v>2.9679689540406512E-4</v>
      </c>
      <c r="H534" s="298"/>
      <c r="I534" s="298"/>
      <c r="J534" s="298"/>
      <c r="K534" s="298"/>
      <c r="L534" s="298"/>
      <c r="M534" s="298"/>
      <c r="N534" s="224">
        <f t="shared" ref="N534:S534" si="158">+SUMPRODUCT($F535:$F554,N535:N554)</f>
        <v>0.99999999999999978</v>
      </c>
      <c r="O534" s="224">
        <f t="shared" si="158"/>
        <v>0.99999999999999978</v>
      </c>
      <c r="P534" s="224">
        <f t="shared" si="158"/>
        <v>0.99999999999999978</v>
      </c>
      <c r="Q534" s="270">
        <f t="shared" si="158"/>
        <v>0.98600000000000021</v>
      </c>
      <c r="R534" s="270">
        <f t="shared" si="158"/>
        <v>0.98600000000000021</v>
      </c>
      <c r="S534" s="270">
        <f t="shared" si="158"/>
        <v>0.99999999999999978</v>
      </c>
      <c r="T534" s="254">
        <f t="shared" si="155"/>
        <v>1</v>
      </c>
      <c r="U534" s="254">
        <f t="shared" si="156"/>
        <v>1</v>
      </c>
      <c r="V534" s="254">
        <f t="shared" si="157"/>
        <v>1</v>
      </c>
      <c r="W534" s="254">
        <f t="shared" si="145"/>
        <v>1.01419878296146</v>
      </c>
      <c r="X534" s="216"/>
      <c r="Y534" s="216"/>
    </row>
    <row r="535" spans="1:25" s="140" customFormat="1" ht="25.5" hidden="1" outlineLevel="5">
      <c r="A535" s="216"/>
      <c r="B535" s="255" t="s">
        <v>721</v>
      </c>
      <c r="C535" s="290" t="s">
        <v>230</v>
      </c>
      <c r="D535" s="227" t="s">
        <v>231</v>
      </c>
      <c r="E535" s="241"/>
      <c r="F535" s="228">
        <f t="shared" si="153"/>
        <v>4.4581817293365446E-2</v>
      </c>
      <c r="G535" s="269">
        <f>+F535*G534</f>
        <v>1.3231744964142126E-5</v>
      </c>
      <c r="H535" s="299"/>
      <c r="I535" s="299"/>
      <c r="J535" s="299"/>
      <c r="K535" s="299"/>
      <c r="L535" s="299"/>
      <c r="M535" s="299"/>
      <c r="N535" s="229">
        <v>1</v>
      </c>
      <c r="O535" s="229">
        <v>1</v>
      </c>
      <c r="P535" s="229">
        <v>1</v>
      </c>
      <c r="Q535" s="272">
        <v>0.98599999999999999</v>
      </c>
      <c r="R535" s="272">
        <v>0.98599999999999999</v>
      </c>
      <c r="S535" s="272">
        <v>1</v>
      </c>
      <c r="T535" s="256">
        <f t="shared" si="155"/>
        <v>1</v>
      </c>
      <c r="U535" s="256">
        <f t="shared" si="156"/>
        <v>1</v>
      </c>
      <c r="V535" s="256">
        <f t="shared" si="157"/>
        <v>1</v>
      </c>
      <c r="W535" s="256">
        <f t="shared" si="145"/>
        <v>1.0141987829614605</v>
      </c>
      <c r="X535" s="216"/>
      <c r="Y535" s="216"/>
    </row>
    <row r="536" spans="1:25" s="140" customFormat="1" ht="25.5" hidden="1" outlineLevel="5">
      <c r="A536" s="216"/>
      <c r="B536" s="255" t="s">
        <v>722</v>
      </c>
      <c r="C536" s="290" t="s">
        <v>233</v>
      </c>
      <c r="D536" s="227" t="s">
        <v>231</v>
      </c>
      <c r="E536" s="241"/>
      <c r="F536" s="228">
        <f t="shared" si="153"/>
        <v>4.4581817293365446E-2</v>
      </c>
      <c r="G536" s="269">
        <f>+F536*G534</f>
        <v>1.3231744964142126E-5</v>
      </c>
      <c r="H536" s="299"/>
      <c r="I536" s="299"/>
      <c r="J536" s="299"/>
      <c r="K536" s="299"/>
      <c r="L536" s="299"/>
      <c r="M536" s="299"/>
      <c r="N536" s="229">
        <v>1</v>
      </c>
      <c r="O536" s="229">
        <v>1</v>
      </c>
      <c r="P536" s="229">
        <v>1</v>
      </c>
      <c r="Q536" s="272">
        <v>0.98599999999999999</v>
      </c>
      <c r="R536" s="272">
        <v>0.98599999999999999</v>
      </c>
      <c r="S536" s="272">
        <v>1</v>
      </c>
      <c r="T536" s="256">
        <f t="shared" si="155"/>
        <v>1</v>
      </c>
      <c r="U536" s="256">
        <f t="shared" si="156"/>
        <v>1</v>
      </c>
      <c r="V536" s="256">
        <f t="shared" si="157"/>
        <v>1</v>
      </c>
      <c r="W536" s="256">
        <f t="shared" si="145"/>
        <v>1.0141987829614605</v>
      </c>
      <c r="X536" s="216"/>
      <c r="Y536" s="216"/>
    </row>
    <row r="537" spans="1:25" s="140" customFormat="1" ht="25.5" hidden="1" outlineLevel="5">
      <c r="A537" s="216"/>
      <c r="B537" s="255" t="s">
        <v>723</v>
      </c>
      <c r="C537" s="290" t="s">
        <v>235</v>
      </c>
      <c r="D537" s="227" t="s">
        <v>231</v>
      </c>
      <c r="E537" s="241"/>
      <c r="F537" s="228">
        <f t="shared" si="153"/>
        <v>4.4581817293365446E-2</v>
      </c>
      <c r="G537" s="269">
        <f>+F537*G534</f>
        <v>1.3231744964142126E-5</v>
      </c>
      <c r="H537" s="299"/>
      <c r="I537" s="299"/>
      <c r="J537" s="299"/>
      <c r="K537" s="299"/>
      <c r="L537" s="299"/>
      <c r="M537" s="299"/>
      <c r="N537" s="229">
        <v>1</v>
      </c>
      <c r="O537" s="229">
        <v>1</v>
      </c>
      <c r="P537" s="229">
        <v>1</v>
      </c>
      <c r="Q537" s="272">
        <v>0.98599999999999999</v>
      </c>
      <c r="R537" s="272">
        <v>0.98599999999999999</v>
      </c>
      <c r="S537" s="272">
        <v>1</v>
      </c>
      <c r="T537" s="256">
        <f t="shared" si="155"/>
        <v>1</v>
      </c>
      <c r="U537" s="256">
        <f t="shared" si="156"/>
        <v>1</v>
      </c>
      <c r="V537" s="256">
        <f t="shared" si="157"/>
        <v>1</v>
      </c>
      <c r="W537" s="256">
        <f t="shared" si="145"/>
        <v>1.0141987829614605</v>
      </c>
      <c r="X537" s="216"/>
      <c r="Y537" s="216"/>
    </row>
    <row r="538" spans="1:25" s="140" customFormat="1" ht="25.5" hidden="1" outlineLevel="5">
      <c r="A538" s="216"/>
      <c r="B538" s="255" t="s">
        <v>724</v>
      </c>
      <c r="C538" s="290" t="s">
        <v>237</v>
      </c>
      <c r="D538" s="227" t="s">
        <v>231</v>
      </c>
      <c r="E538" s="241"/>
      <c r="F538" s="228">
        <f t="shared" si="153"/>
        <v>4.4581817293365446E-2</v>
      </c>
      <c r="G538" s="269">
        <f>+F538*G534</f>
        <v>1.3231744964142126E-5</v>
      </c>
      <c r="H538" s="299"/>
      <c r="I538" s="299"/>
      <c r="J538" s="299"/>
      <c r="K538" s="299"/>
      <c r="L538" s="299"/>
      <c r="M538" s="299"/>
      <c r="N538" s="229">
        <v>1</v>
      </c>
      <c r="O538" s="229">
        <v>1</v>
      </c>
      <c r="P538" s="229">
        <v>1</v>
      </c>
      <c r="Q538" s="272">
        <v>0.98599999999999999</v>
      </c>
      <c r="R538" s="272">
        <v>0.98599999999999999</v>
      </c>
      <c r="S538" s="272">
        <v>1</v>
      </c>
      <c r="T538" s="256">
        <f t="shared" si="155"/>
        <v>1</v>
      </c>
      <c r="U538" s="256">
        <f t="shared" si="156"/>
        <v>1</v>
      </c>
      <c r="V538" s="256">
        <f t="shared" si="157"/>
        <v>1</v>
      </c>
      <c r="W538" s="256">
        <f t="shared" si="145"/>
        <v>1.0141987829614605</v>
      </c>
      <c r="X538" s="216"/>
      <c r="Y538" s="216"/>
    </row>
    <row r="539" spans="1:25" s="140" customFormat="1" ht="25.5" hidden="1" outlineLevel="5">
      <c r="A539" s="216"/>
      <c r="B539" s="255" t="s">
        <v>725</v>
      </c>
      <c r="C539" s="290" t="s">
        <v>239</v>
      </c>
      <c r="D539" s="227" t="s">
        <v>231</v>
      </c>
      <c r="E539" s="241"/>
      <c r="F539" s="228">
        <f t="shared" si="153"/>
        <v>4.4581817293365446E-2</v>
      </c>
      <c r="G539" s="269">
        <f>+F539*G534</f>
        <v>1.3231744964142126E-5</v>
      </c>
      <c r="H539" s="299"/>
      <c r="I539" s="299"/>
      <c r="J539" s="299"/>
      <c r="K539" s="299"/>
      <c r="L539" s="299"/>
      <c r="M539" s="299"/>
      <c r="N539" s="229">
        <v>1</v>
      </c>
      <c r="O539" s="229">
        <v>1</v>
      </c>
      <c r="P539" s="229">
        <v>1</v>
      </c>
      <c r="Q539" s="272">
        <v>0.98599999999999999</v>
      </c>
      <c r="R539" s="272">
        <v>0.98599999999999999</v>
      </c>
      <c r="S539" s="272">
        <v>1</v>
      </c>
      <c r="T539" s="256">
        <f t="shared" si="155"/>
        <v>1</v>
      </c>
      <c r="U539" s="256">
        <f t="shared" si="156"/>
        <v>1</v>
      </c>
      <c r="V539" s="256">
        <f t="shared" si="157"/>
        <v>1</v>
      </c>
      <c r="W539" s="256">
        <f t="shared" si="145"/>
        <v>1.0141987829614605</v>
      </c>
      <c r="X539" s="216"/>
      <c r="Y539" s="216"/>
    </row>
    <row r="540" spans="1:25" s="140" customFormat="1" ht="25.5" hidden="1" outlineLevel="5">
      <c r="A540" s="216"/>
      <c r="B540" s="255" t="s">
        <v>726</v>
      </c>
      <c r="C540" s="290" t="s">
        <v>241</v>
      </c>
      <c r="D540" s="227" t="s">
        <v>231</v>
      </c>
      <c r="E540" s="241"/>
      <c r="F540" s="228">
        <f t="shared" si="153"/>
        <v>4.4581817293365446E-2</v>
      </c>
      <c r="G540" s="269">
        <f>+F540*G534</f>
        <v>1.3231744964142126E-5</v>
      </c>
      <c r="H540" s="299"/>
      <c r="I540" s="299"/>
      <c r="J540" s="299"/>
      <c r="K540" s="299"/>
      <c r="L540" s="299"/>
      <c r="M540" s="299"/>
      <c r="N540" s="229">
        <v>1</v>
      </c>
      <c r="O540" s="229">
        <v>1</v>
      </c>
      <c r="P540" s="229">
        <v>1</v>
      </c>
      <c r="Q540" s="272">
        <v>0.98599999999999999</v>
      </c>
      <c r="R540" s="272">
        <v>0.98599999999999999</v>
      </c>
      <c r="S540" s="272">
        <v>1</v>
      </c>
      <c r="T540" s="256">
        <f t="shared" si="155"/>
        <v>1</v>
      </c>
      <c r="U540" s="256">
        <f t="shared" si="156"/>
        <v>1</v>
      </c>
      <c r="V540" s="256">
        <f t="shared" si="157"/>
        <v>1</v>
      </c>
      <c r="W540" s="256">
        <f t="shared" si="145"/>
        <v>1.0141987829614605</v>
      </c>
      <c r="X540" s="216"/>
      <c r="Y540" s="216"/>
    </row>
    <row r="541" spans="1:25" s="140" customFormat="1" ht="25.5" hidden="1" outlineLevel="5">
      <c r="A541" s="216"/>
      <c r="B541" s="255" t="s">
        <v>727</v>
      </c>
      <c r="C541" s="290" t="s">
        <v>243</v>
      </c>
      <c r="D541" s="227" t="s">
        <v>231</v>
      </c>
      <c r="E541" s="241"/>
      <c r="F541" s="228">
        <f t="shared" si="153"/>
        <v>4.4581817293365446E-2</v>
      </c>
      <c r="G541" s="269">
        <f>+F541*G534</f>
        <v>1.3231744964142126E-5</v>
      </c>
      <c r="H541" s="299"/>
      <c r="I541" s="299"/>
      <c r="J541" s="299"/>
      <c r="K541" s="299"/>
      <c r="L541" s="299"/>
      <c r="M541" s="299"/>
      <c r="N541" s="229">
        <v>1</v>
      </c>
      <c r="O541" s="229">
        <v>1</v>
      </c>
      <c r="P541" s="229">
        <v>1</v>
      </c>
      <c r="Q541" s="272">
        <v>0.98599999999999999</v>
      </c>
      <c r="R541" s="272">
        <v>0.98599999999999999</v>
      </c>
      <c r="S541" s="272">
        <v>1</v>
      </c>
      <c r="T541" s="256">
        <f t="shared" si="155"/>
        <v>1</v>
      </c>
      <c r="U541" s="256">
        <f t="shared" si="156"/>
        <v>1</v>
      </c>
      <c r="V541" s="256">
        <f t="shared" si="157"/>
        <v>1</v>
      </c>
      <c r="W541" s="256">
        <f t="shared" si="145"/>
        <v>1.0141987829614605</v>
      </c>
      <c r="X541" s="216"/>
      <c r="Y541" s="216"/>
    </row>
    <row r="542" spans="1:25" s="140" customFormat="1" ht="25.5" hidden="1" outlineLevel="5">
      <c r="A542" s="216"/>
      <c r="B542" s="255" t="s">
        <v>728</v>
      </c>
      <c r="C542" s="290" t="s">
        <v>245</v>
      </c>
      <c r="D542" s="227" t="s">
        <v>231</v>
      </c>
      <c r="E542" s="241"/>
      <c r="F542" s="228">
        <f t="shared" si="153"/>
        <v>4.4581817293365446E-2</v>
      </c>
      <c r="G542" s="269">
        <f>+F542*G534</f>
        <v>1.3231744964142126E-5</v>
      </c>
      <c r="H542" s="299"/>
      <c r="I542" s="299"/>
      <c r="J542" s="299"/>
      <c r="K542" s="299"/>
      <c r="L542" s="299"/>
      <c r="M542" s="299"/>
      <c r="N542" s="229">
        <v>1</v>
      </c>
      <c r="O542" s="229">
        <v>1</v>
      </c>
      <c r="P542" s="229">
        <v>1</v>
      </c>
      <c r="Q542" s="272">
        <v>0.98599999999999999</v>
      </c>
      <c r="R542" s="272">
        <v>0.98599999999999999</v>
      </c>
      <c r="S542" s="272">
        <v>1</v>
      </c>
      <c r="T542" s="256">
        <f t="shared" si="155"/>
        <v>1</v>
      </c>
      <c r="U542" s="256">
        <f t="shared" si="156"/>
        <v>1</v>
      </c>
      <c r="V542" s="256">
        <f t="shared" si="157"/>
        <v>1</v>
      </c>
      <c r="W542" s="256">
        <f t="shared" si="145"/>
        <v>1.0141987829614605</v>
      </c>
      <c r="X542" s="216"/>
      <c r="Y542" s="216"/>
    </row>
    <row r="543" spans="1:25" s="140" customFormat="1" ht="25.5" hidden="1" outlineLevel="5">
      <c r="A543" s="216"/>
      <c r="B543" s="255" t="s">
        <v>729</v>
      </c>
      <c r="C543" s="290" t="s">
        <v>247</v>
      </c>
      <c r="D543" s="227" t="s">
        <v>231</v>
      </c>
      <c r="E543" s="241"/>
      <c r="F543" s="228">
        <f t="shared" si="153"/>
        <v>4.4581817293365446E-2</v>
      </c>
      <c r="G543" s="269">
        <f>+F543*G534</f>
        <v>1.3231744964142126E-5</v>
      </c>
      <c r="H543" s="299"/>
      <c r="I543" s="299"/>
      <c r="J543" s="299"/>
      <c r="K543" s="299"/>
      <c r="L543" s="299"/>
      <c r="M543" s="299"/>
      <c r="N543" s="229">
        <v>1</v>
      </c>
      <c r="O543" s="229">
        <v>1</v>
      </c>
      <c r="P543" s="229">
        <v>1</v>
      </c>
      <c r="Q543" s="272">
        <v>0.98599999999999999</v>
      </c>
      <c r="R543" s="272">
        <v>0.98599999999999999</v>
      </c>
      <c r="S543" s="272">
        <v>1</v>
      </c>
      <c r="T543" s="256">
        <f t="shared" si="155"/>
        <v>1</v>
      </c>
      <c r="U543" s="256">
        <f t="shared" si="156"/>
        <v>1</v>
      </c>
      <c r="V543" s="256">
        <f t="shared" si="157"/>
        <v>1</v>
      </c>
      <c r="W543" s="256">
        <f t="shared" si="145"/>
        <v>1.0141987829614605</v>
      </c>
      <c r="X543" s="216"/>
      <c r="Y543" s="216"/>
    </row>
    <row r="544" spans="1:25" s="140" customFormat="1" ht="25.5" hidden="1" outlineLevel="5">
      <c r="A544" s="216"/>
      <c r="B544" s="255" t="s">
        <v>730</v>
      </c>
      <c r="C544" s="290" t="s">
        <v>249</v>
      </c>
      <c r="D544" s="227" t="s">
        <v>231</v>
      </c>
      <c r="E544" s="241"/>
      <c r="F544" s="228">
        <f t="shared" si="153"/>
        <v>4.4581817293365446E-2</v>
      </c>
      <c r="G544" s="269">
        <f>+F544*G534</f>
        <v>1.3231744964142126E-5</v>
      </c>
      <c r="H544" s="299"/>
      <c r="I544" s="299"/>
      <c r="J544" s="299"/>
      <c r="K544" s="299"/>
      <c r="L544" s="299"/>
      <c r="M544" s="299"/>
      <c r="N544" s="229">
        <v>1</v>
      </c>
      <c r="O544" s="229">
        <v>1</v>
      </c>
      <c r="P544" s="229">
        <v>1</v>
      </c>
      <c r="Q544" s="272">
        <v>0.98599999999999999</v>
      </c>
      <c r="R544" s="272">
        <v>0.98599999999999999</v>
      </c>
      <c r="S544" s="272">
        <v>1</v>
      </c>
      <c r="T544" s="256">
        <f t="shared" si="155"/>
        <v>1</v>
      </c>
      <c r="U544" s="256">
        <f t="shared" si="156"/>
        <v>1</v>
      </c>
      <c r="V544" s="256">
        <f t="shared" si="157"/>
        <v>1</v>
      </c>
      <c r="W544" s="256">
        <f t="shared" si="145"/>
        <v>1.0141987829614605</v>
      </c>
      <c r="X544" s="216"/>
      <c r="Y544" s="216"/>
    </row>
    <row r="545" spans="1:25" s="140" customFormat="1" ht="25.5" hidden="1" outlineLevel="5">
      <c r="A545" s="216"/>
      <c r="B545" s="255" t="s">
        <v>731</v>
      </c>
      <c r="C545" s="290" t="s">
        <v>251</v>
      </c>
      <c r="D545" s="227" t="s">
        <v>231</v>
      </c>
      <c r="E545" s="241"/>
      <c r="F545" s="228">
        <f t="shared" si="153"/>
        <v>4.4581817293365446E-2</v>
      </c>
      <c r="G545" s="269">
        <f>+F545*G534</f>
        <v>1.3231744964142126E-5</v>
      </c>
      <c r="H545" s="299"/>
      <c r="I545" s="299"/>
      <c r="J545" s="299"/>
      <c r="K545" s="299"/>
      <c r="L545" s="299"/>
      <c r="M545" s="299"/>
      <c r="N545" s="229">
        <v>1</v>
      </c>
      <c r="O545" s="229">
        <v>1</v>
      </c>
      <c r="P545" s="229">
        <v>1</v>
      </c>
      <c r="Q545" s="272">
        <v>0.98599999999999999</v>
      </c>
      <c r="R545" s="272">
        <v>0.98599999999999999</v>
      </c>
      <c r="S545" s="272">
        <v>1</v>
      </c>
      <c r="T545" s="256">
        <f t="shared" si="155"/>
        <v>1</v>
      </c>
      <c r="U545" s="256">
        <f t="shared" si="156"/>
        <v>1</v>
      </c>
      <c r="V545" s="256">
        <f t="shared" si="157"/>
        <v>1</v>
      </c>
      <c r="W545" s="256">
        <f t="shared" si="145"/>
        <v>1.0141987829614605</v>
      </c>
      <c r="X545" s="216"/>
      <c r="Y545" s="216"/>
    </row>
    <row r="546" spans="1:25" s="140" customFormat="1" ht="25.5" hidden="1" outlineLevel="5">
      <c r="A546" s="216"/>
      <c r="B546" s="255" t="s">
        <v>732</v>
      </c>
      <c r="C546" s="290" t="s">
        <v>253</v>
      </c>
      <c r="D546" s="227" t="s">
        <v>231</v>
      </c>
      <c r="E546" s="241"/>
      <c r="F546" s="228">
        <f t="shared" si="153"/>
        <v>4.4581817293365446E-2</v>
      </c>
      <c r="G546" s="269">
        <f>+F546*G534</f>
        <v>1.3231744964142126E-5</v>
      </c>
      <c r="H546" s="299"/>
      <c r="I546" s="299"/>
      <c r="J546" s="299"/>
      <c r="K546" s="299"/>
      <c r="L546" s="299"/>
      <c r="M546" s="299"/>
      <c r="N546" s="229">
        <v>1</v>
      </c>
      <c r="O546" s="229">
        <v>1</v>
      </c>
      <c r="P546" s="229">
        <v>1</v>
      </c>
      <c r="Q546" s="272">
        <v>0.98599999999999999</v>
      </c>
      <c r="R546" s="272">
        <v>0.98599999999999999</v>
      </c>
      <c r="S546" s="272">
        <v>1</v>
      </c>
      <c r="T546" s="256">
        <f t="shared" si="155"/>
        <v>1</v>
      </c>
      <c r="U546" s="256">
        <f t="shared" si="156"/>
        <v>1</v>
      </c>
      <c r="V546" s="256">
        <f t="shared" si="157"/>
        <v>1</v>
      </c>
      <c r="W546" s="256">
        <f t="shared" si="145"/>
        <v>1.0141987829614605</v>
      </c>
      <c r="X546" s="216"/>
      <c r="Y546" s="216"/>
    </row>
    <row r="547" spans="1:25" s="140" customFormat="1" ht="25.5" hidden="1" outlineLevel="5">
      <c r="A547" s="216"/>
      <c r="B547" s="255" t="s">
        <v>733</v>
      </c>
      <c r="C547" s="290" t="s">
        <v>255</v>
      </c>
      <c r="D547" s="227" t="s">
        <v>256</v>
      </c>
      <c r="E547" s="241"/>
      <c r="F547" s="228">
        <f t="shared" si="153"/>
        <v>5.8127274059616978E-2</v>
      </c>
      <c r="G547" s="269">
        <f>+F547*G534</f>
        <v>1.7251994479195568E-5</v>
      </c>
      <c r="H547" s="299"/>
      <c r="I547" s="299"/>
      <c r="J547" s="299"/>
      <c r="K547" s="299"/>
      <c r="L547" s="299"/>
      <c r="M547" s="299"/>
      <c r="N547" s="229">
        <v>1</v>
      </c>
      <c r="O547" s="229">
        <v>1</v>
      </c>
      <c r="P547" s="229">
        <v>1</v>
      </c>
      <c r="Q547" s="272">
        <v>0.98599999999999999</v>
      </c>
      <c r="R547" s="272">
        <v>0.98599999999999999</v>
      </c>
      <c r="S547" s="272">
        <v>1</v>
      </c>
      <c r="T547" s="256">
        <f t="shared" si="155"/>
        <v>1</v>
      </c>
      <c r="U547" s="256">
        <f t="shared" si="156"/>
        <v>1</v>
      </c>
      <c r="V547" s="256">
        <f t="shared" si="157"/>
        <v>1</v>
      </c>
      <c r="W547" s="256">
        <f t="shared" si="145"/>
        <v>1.0141987829614605</v>
      </c>
      <c r="X547" s="216"/>
      <c r="Y547" s="216"/>
    </row>
    <row r="548" spans="1:25" s="140" customFormat="1" ht="25.5" hidden="1" outlineLevel="5">
      <c r="A548" s="216"/>
      <c r="B548" s="255" t="s">
        <v>734</v>
      </c>
      <c r="C548" s="290" t="s">
        <v>258</v>
      </c>
      <c r="D548" s="227" t="s">
        <v>256</v>
      </c>
      <c r="E548" s="241"/>
      <c r="F548" s="228">
        <f t="shared" si="153"/>
        <v>5.8127274059616978E-2</v>
      </c>
      <c r="G548" s="269">
        <f>+F548*G534</f>
        <v>1.7251994479195568E-5</v>
      </c>
      <c r="H548" s="299"/>
      <c r="I548" s="299"/>
      <c r="J548" s="299"/>
      <c r="K548" s="299"/>
      <c r="L548" s="299"/>
      <c r="M548" s="299"/>
      <c r="N548" s="229">
        <v>1</v>
      </c>
      <c r="O548" s="229">
        <v>1</v>
      </c>
      <c r="P548" s="229">
        <v>1</v>
      </c>
      <c r="Q548" s="272">
        <v>0.98599999999999999</v>
      </c>
      <c r="R548" s="272">
        <v>0.98599999999999999</v>
      </c>
      <c r="S548" s="272">
        <v>1</v>
      </c>
      <c r="T548" s="256">
        <f t="shared" si="155"/>
        <v>1</v>
      </c>
      <c r="U548" s="256">
        <f t="shared" si="156"/>
        <v>1</v>
      </c>
      <c r="V548" s="256">
        <f t="shared" si="157"/>
        <v>1</v>
      </c>
      <c r="W548" s="256">
        <f t="shared" si="145"/>
        <v>1.0141987829614605</v>
      </c>
      <c r="X548" s="216"/>
      <c r="Y548" s="216"/>
    </row>
    <row r="549" spans="1:25" s="140" customFormat="1" ht="25.5" hidden="1" outlineLevel="5">
      <c r="A549" s="216"/>
      <c r="B549" s="255" t="s">
        <v>735</v>
      </c>
      <c r="C549" s="290" t="s">
        <v>260</v>
      </c>
      <c r="D549" s="227" t="s">
        <v>256</v>
      </c>
      <c r="E549" s="241"/>
      <c r="F549" s="228">
        <f t="shared" si="153"/>
        <v>5.8127274059616978E-2</v>
      </c>
      <c r="G549" s="269">
        <f>+F549*G534</f>
        <v>1.7251994479195568E-5</v>
      </c>
      <c r="H549" s="299"/>
      <c r="I549" s="299"/>
      <c r="J549" s="299"/>
      <c r="K549" s="299"/>
      <c r="L549" s="299"/>
      <c r="M549" s="299"/>
      <c r="N549" s="229">
        <v>1</v>
      </c>
      <c r="O549" s="229">
        <v>1</v>
      </c>
      <c r="P549" s="229">
        <v>1</v>
      </c>
      <c r="Q549" s="272">
        <v>0.98599999999999999</v>
      </c>
      <c r="R549" s="272">
        <v>0.98599999999999999</v>
      </c>
      <c r="S549" s="272">
        <v>1</v>
      </c>
      <c r="T549" s="256">
        <f t="shared" si="155"/>
        <v>1</v>
      </c>
      <c r="U549" s="256">
        <f t="shared" si="156"/>
        <v>1</v>
      </c>
      <c r="V549" s="256">
        <f t="shared" si="157"/>
        <v>1</v>
      </c>
      <c r="W549" s="256">
        <f t="shared" si="145"/>
        <v>1.0141987829614605</v>
      </c>
      <c r="X549" s="216"/>
      <c r="Y549" s="216"/>
    </row>
    <row r="550" spans="1:25" s="140" customFormat="1" ht="25.5" hidden="1" outlineLevel="5">
      <c r="A550" s="216"/>
      <c r="B550" s="255" t="s">
        <v>736</v>
      </c>
      <c r="C550" s="290" t="s">
        <v>262</v>
      </c>
      <c r="D550" s="227" t="s">
        <v>256</v>
      </c>
      <c r="E550" s="241"/>
      <c r="F550" s="228">
        <f t="shared" si="153"/>
        <v>5.8127274059616978E-2</v>
      </c>
      <c r="G550" s="269">
        <f>+F550*G534</f>
        <v>1.7251994479195568E-5</v>
      </c>
      <c r="H550" s="299"/>
      <c r="I550" s="299"/>
      <c r="J550" s="299"/>
      <c r="K550" s="299"/>
      <c r="L550" s="299"/>
      <c r="M550" s="299"/>
      <c r="N550" s="229">
        <v>1</v>
      </c>
      <c r="O550" s="229">
        <v>1</v>
      </c>
      <c r="P550" s="229">
        <v>1</v>
      </c>
      <c r="Q550" s="272">
        <v>0.98599999999999999</v>
      </c>
      <c r="R550" s="272">
        <v>0.98599999999999999</v>
      </c>
      <c r="S550" s="272">
        <v>1</v>
      </c>
      <c r="T550" s="256">
        <f t="shared" si="155"/>
        <v>1</v>
      </c>
      <c r="U550" s="256">
        <f t="shared" si="156"/>
        <v>1</v>
      </c>
      <c r="V550" s="256">
        <f t="shared" si="157"/>
        <v>1</v>
      </c>
      <c r="W550" s="256">
        <f t="shared" si="145"/>
        <v>1.0141987829614605</v>
      </c>
      <c r="X550" s="216"/>
      <c r="Y550" s="216"/>
    </row>
    <row r="551" spans="1:25" s="140" customFormat="1" ht="25.5" hidden="1" outlineLevel="5">
      <c r="A551" s="216"/>
      <c r="B551" s="255" t="s">
        <v>737</v>
      </c>
      <c r="C551" s="290" t="s">
        <v>264</v>
      </c>
      <c r="D551" s="227" t="s">
        <v>256</v>
      </c>
      <c r="E551" s="241"/>
      <c r="F551" s="228">
        <f t="shared" si="153"/>
        <v>5.8127274059616978E-2</v>
      </c>
      <c r="G551" s="269">
        <f>+F551*G534</f>
        <v>1.7251994479195568E-5</v>
      </c>
      <c r="H551" s="299"/>
      <c r="I551" s="299"/>
      <c r="J551" s="299"/>
      <c r="K551" s="299"/>
      <c r="L551" s="299"/>
      <c r="M551" s="299"/>
      <c r="N551" s="229">
        <v>1</v>
      </c>
      <c r="O551" s="229">
        <v>1</v>
      </c>
      <c r="P551" s="229">
        <v>1</v>
      </c>
      <c r="Q551" s="272">
        <v>0.98599999999999999</v>
      </c>
      <c r="R551" s="272">
        <v>0.98599999999999999</v>
      </c>
      <c r="S551" s="272">
        <v>1</v>
      </c>
      <c r="T551" s="256">
        <f t="shared" si="155"/>
        <v>1</v>
      </c>
      <c r="U551" s="256">
        <f t="shared" si="156"/>
        <v>1</v>
      </c>
      <c r="V551" s="256">
        <f t="shared" si="157"/>
        <v>1</v>
      </c>
      <c r="W551" s="256">
        <f t="shared" si="145"/>
        <v>1.0141987829614605</v>
      </c>
      <c r="X551" s="216"/>
      <c r="Y551" s="216"/>
    </row>
    <row r="552" spans="1:25" s="140" customFormat="1" ht="25.5" hidden="1" outlineLevel="5">
      <c r="A552" s="216"/>
      <c r="B552" s="255" t="s">
        <v>738</v>
      </c>
      <c r="C552" s="290" t="s">
        <v>266</v>
      </c>
      <c r="D552" s="227" t="s">
        <v>256</v>
      </c>
      <c r="E552" s="241"/>
      <c r="F552" s="228">
        <f t="shared" si="153"/>
        <v>5.8127274059616978E-2</v>
      </c>
      <c r="G552" s="269">
        <f>+F552*G534</f>
        <v>1.7251994479195568E-5</v>
      </c>
      <c r="H552" s="299"/>
      <c r="I552" s="299"/>
      <c r="J552" s="299"/>
      <c r="K552" s="299"/>
      <c r="L552" s="299"/>
      <c r="M552" s="299"/>
      <c r="N552" s="229">
        <v>1</v>
      </c>
      <c r="O552" s="229">
        <v>1</v>
      </c>
      <c r="P552" s="229">
        <v>1</v>
      </c>
      <c r="Q552" s="272">
        <v>0.98599999999999999</v>
      </c>
      <c r="R552" s="272">
        <v>0.98599999999999999</v>
      </c>
      <c r="S552" s="272">
        <v>1</v>
      </c>
      <c r="T552" s="256">
        <f t="shared" si="155"/>
        <v>1</v>
      </c>
      <c r="U552" s="256">
        <f t="shared" si="156"/>
        <v>1</v>
      </c>
      <c r="V552" s="256">
        <f t="shared" si="157"/>
        <v>1</v>
      </c>
      <c r="W552" s="256">
        <f t="shared" si="145"/>
        <v>1.0141987829614605</v>
      </c>
      <c r="X552" s="216"/>
      <c r="Y552" s="216"/>
    </row>
    <row r="553" spans="1:25" s="140" customFormat="1" ht="25.5" hidden="1" outlineLevel="5">
      <c r="A553" s="216"/>
      <c r="B553" s="255" t="s">
        <v>739</v>
      </c>
      <c r="C553" s="290" t="s">
        <v>268</v>
      </c>
      <c r="D553" s="227" t="s">
        <v>256</v>
      </c>
      <c r="E553" s="241"/>
      <c r="F553" s="228">
        <f t="shared" si="153"/>
        <v>5.8127274059616978E-2</v>
      </c>
      <c r="G553" s="269">
        <f>+F553*G534</f>
        <v>1.7251994479195568E-5</v>
      </c>
      <c r="H553" s="299"/>
      <c r="I553" s="299"/>
      <c r="J553" s="299"/>
      <c r="K553" s="299"/>
      <c r="L553" s="299"/>
      <c r="M553" s="299"/>
      <c r="N553" s="229">
        <v>1</v>
      </c>
      <c r="O553" s="229">
        <v>1</v>
      </c>
      <c r="P553" s="229">
        <v>1</v>
      </c>
      <c r="Q553" s="272">
        <v>0.98599999999999999</v>
      </c>
      <c r="R553" s="272">
        <v>0.98599999999999999</v>
      </c>
      <c r="S553" s="272">
        <v>1</v>
      </c>
      <c r="T553" s="256">
        <f t="shared" si="155"/>
        <v>1</v>
      </c>
      <c r="U553" s="256">
        <f t="shared" si="156"/>
        <v>1</v>
      </c>
      <c r="V553" s="256">
        <f t="shared" si="157"/>
        <v>1</v>
      </c>
      <c r="W553" s="256">
        <f t="shared" si="145"/>
        <v>1.0141987829614605</v>
      </c>
      <c r="X553" s="216"/>
      <c r="Y553" s="216"/>
    </row>
    <row r="554" spans="1:25" s="140" customFormat="1" ht="25.5" hidden="1" outlineLevel="5">
      <c r="A554" s="216"/>
      <c r="B554" s="255" t="s">
        <v>740</v>
      </c>
      <c r="C554" s="290" t="s">
        <v>270</v>
      </c>
      <c r="D554" s="227" t="s">
        <v>256</v>
      </c>
      <c r="E554" s="241"/>
      <c r="F554" s="228">
        <f t="shared" si="153"/>
        <v>5.8127274062295807E-2</v>
      </c>
      <c r="G554" s="269">
        <f>+F554*G534</f>
        <v>1.7251994479990637E-5</v>
      </c>
      <c r="H554" s="299"/>
      <c r="I554" s="299"/>
      <c r="J554" s="299"/>
      <c r="K554" s="299"/>
      <c r="L554" s="299"/>
      <c r="M554" s="299"/>
      <c r="N554" s="229">
        <v>1</v>
      </c>
      <c r="O554" s="229">
        <v>1</v>
      </c>
      <c r="P554" s="229">
        <v>1</v>
      </c>
      <c r="Q554" s="272">
        <v>0.98599999999999999</v>
      </c>
      <c r="R554" s="272">
        <v>0.98599999999999999</v>
      </c>
      <c r="S554" s="272">
        <v>1</v>
      </c>
      <c r="T554" s="256">
        <f t="shared" si="155"/>
        <v>1</v>
      </c>
      <c r="U554" s="256">
        <f t="shared" si="156"/>
        <v>1</v>
      </c>
      <c r="V554" s="256">
        <f t="shared" si="157"/>
        <v>1</v>
      </c>
      <c r="W554" s="256">
        <f t="shared" si="145"/>
        <v>1.0141987829614605</v>
      </c>
      <c r="X554" s="216"/>
      <c r="Y554" s="216"/>
    </row>
    <row r="555" spans="1:25" s="140" customFormat="1" ht="25.5" hidden="1" outlineLevel="4">
      <c r="A555" s="216"/>
      <c r="B555" s="291" t="s">
        <v>741</v>
      </c>
      <c r="C555" s="292" t="s">
        <v>35</v>
      </c>
      <c r="D555" s="234" t="s">
        <v>33</v>
      </c>
      <c r="E555" s="240"/>
      <c r="F555" s="223">
        <f t="shared" si="153"/>
        <v>0.23125330456717236</v>
      </c>
      <c r="G555" s="293">
        <f>+F555*G533</f>
        <v>3.5673519547008072E-4</v>
      </c>
      <c r="H555" s="298"/>
      <c r="I555" s="298"/>
      <c r="J555" s="298"/>
      <c r="K555" s="298"/>
      <c r="L555" s="298"/>
      <c r="M555" s="298"/>
      <c r="N555" s="224">
        <f t="shared" ref="N555:S555" si="159">+SUMPRODUCT($F556:$F581,N556:N581)</f>
        <v>0.99999999999999956</v>
      </c>
      <c r="O555" s="224">
        <f t="shared" si="159"/>
        <v>0.99999999999999956</v>
      </c>
      <c r="P555" s="224">
        <f t="shared" si="159"/>
        <v>0.99999999999999956</v>
      </c>
      <c r="Q555" s="270">
        <f t="shared" si="159"/>
        <v>0.99400000000000022</v>
      </c>
      <c r="R555" s="270">
        <f t="shared" si="159"/>
        <v>0.99400000000000022</v>
      </c>
      <c r="S555" s="270">
        <f t="shared" si="159"/>
        <v>0.99999999999999956</v>
      </c>
      <c r="T555" s="254">
        <f t="shared" si="155"/>
        <v>1</v>
      </c>
      <c r="U555" s="254">
        <f t="shared" si="156"/>
        <v>1</v>
      </c>
      <c r="V555" s="254">
        <f t="shared" si="157"/>
        <v>1</v>
      </c>
      <c r="W555" s="254">
        <f t="shared" si="145"/>
        <v>1.0060362173038222</v>
      </c>
      <c r="X555" s="216"/>
      <c r="Y555" s="216"/>
    </row>
    <row r="556" spans="1:25" s="140" customFormat="1" ht="25.5" hidden="1" outlineLevel="5">
      <c r="A556" s="216"/>
      <c r="B556" s="255" t="s">
        <v>742</v>
      </c>
      <c r="C556" s="290" t="s">
        <v>230</v>
      </c>
      <c r="D556" s="227" t="s">
        <v>231</v>
      </c>
      <c r="E556" s="241"/>
      <c r="F556" s="228">
        <f t="shared" si="153"/>
        <v>3.6801995565609057E-2</v>
      </c>
      <c r="G556" s="269">
        <f>+F556*G555</f>
        <v>1.3128567081786591E-5</v>
      </c>
      <c r="H556" s="299"/>
      <c r="I556" s="299"/>
      <c r="J556" s="299"/>
      <c r="K556" s="299"/>
      <c r="L556" s="299"/>
      <c r="M556" s="299"/>
      <c r="N556" s="229">
        <v>1</v>
      </c>
      <c r="O556" s="229">
        <v>1</v>
      </c>
      <c r="P556" s="229">
        <v>1</v>
      </c>
      <c r="Q556" s="272">
        <v>0.99399999999999999</v>
      </c>
      <c r="R556" s="272">
        <v>0.99399999999999999</v>
      </c>
      <c r="S556" s="272">
        <v>1</v>
      </c>
      <c r="T556" s="256">
        <f t="shared" si="155"/>
        <v>1</v>
      </c>
      <c r="U556" s="256">
        <f t="shared" si="156"/>
        <v>1</v>
      </c>
      <c r="V556" s="256">
        <f t="shared" si="157"/>
        <v>1</v>
      </c>
      <c r="W556" s="256">
        <f t="shared" si="145"/>
        <v>1.0060362173038229</v>
      </c>
      <c r="X556" s="216"/>
      <c r="Y556" s="216"/>
    </row>
    <row r="557" spans="1:25" s="140" customFormat="1" ht="25.5" hidden="1" outlineLevel="5">
      <c r="A557" s="216"/>
      <c r="B557" s="255" t="s">
        <v>743</v>
      </c>
      <c r="C557" s="290" t="s">
        <v>233</v>
      </c>
      <c r="D557" s="227" t="s">
        <v>231</v>
      </c>
      <c r="E557" s="241"/>
      <c r="F557" s="228">
        <f t="shared" si="153"/>
        <v>3.6801995565609057E-2</v>
      </c>
      <c r="G557" s="269">
        <f>+F557*G555</f>
        <v>1.3128567081786591E-5</v>
      </c>
      <c r="H557" s="299"/>
      <c r="I557" s="299"/>
      <c r="J557" s="299"/>
      <c r="K557" s="299"/>
      <c r="L557" s="299"/>
      <c r="M557" s="299"/>
      <c r="N557" s="229">
        <v>1</v>
      </c>
      <c r="O557" s="229">
        <v>1</v>
      </c>
      <c r="P557" s="229">
        <v>1</v>
      </c>
      <c r="Q557" s="272">
        <v>0.99399999999999999</v>
      </c>
      <c r="R557" s="272">
        <v>0.99399999999999999</v>
      </c>
      <c r="S557" s="272">
        <v>1</v>
      </c>
      <c r="T557" s="256">
        <f t="shared" si="155"/>
        <v>1</v>
      </c>
      <c r="U557" s="256">
        <f t="shared" si="156"/>
        <v>1</v>
      </c>
      <c r="V557" s="256">
        <f t="shared" si="157"/>
        <v>1</v>
      </c>
      <c r="W557" s="256">
        <f t="shared" si="145"/>
        <v>1.0060362173038229</v>
      </c>
      <c r="X557" s="216"/>
      <c r="Y557" s="216"/>
    </row>
    <row r="558" spans="1:25" s="140" customFormat="1" ht="25.5" hidden="1" outlineLevel="5">
      <c r="A558" s="216"/>
      <c r="B558" s="255" t="s">
        <v>744</v>
      </c>
      <c r="C558" s="290" t="s">
        <v>235</v>
      </c>
      <c r="D558" s="227" t="s">
        <v>231</v>
      </c>
      <c r="E558" s="241"/>
      <c r="F558" s="228">
        <f t="shared" si="153"/>
        <v>3.6801995565609057E-2</v>
      </c>
      <c r="G558" s="269">
        <f>+F558*G555</f>
        <v>1.3128567081786591E-5</v>
      </c>
      <c r="H558" s="299"/>
      <c r="I558" s="299"/>
      <c r="J558" s="299"/>
      <c r="K558" s="299"/>
      <c r="L558" s="299"/>
      <c r="M558" s="299"/>
      <c r="N558" s="229">
        <v>1</v>
      </c>
      <c r="O558" s="229">
        <v>1</v>
      </c>
      <c r="P558" s="229">
        <v>1</v>
      </c>
      <c r="Q558" s="272">
        <v>0.99399999999999999</v>
      </c>
      <c r="R558" s="272">
        <v>0.99399999999999999</v>
      </c>
      <c r="S558" s="272">
        <v>1</v>
      </c>
      <c r="T558" s="256">
        <f t="shared" si="155"/>
        <v>1</v>
      </c>
      <c r="U558" s="256">
        <f t="shared" si="156"/>
        <v>1</v>
      </c>
      <c r="V558" s="256">
        <f t="shared" si="157"/>
        <v>1</v>
      </c>
      <c r="W558" s="256">
        <f t="shared" si="145"/>
        <v>1.0060362173038229</v>
      </c>
      <c r="X558" s="216"/>
      <c r="Y558" s="216"/>
    </row>
    <row r="559" spans="1:25" s="140" customFormat="1" ht="25.5" hidden="1" outlineLevel="5">
      <c r="A559" s="216"/>
      <c r="B559" s="255" t="s">
        <v>745</v>
      </c>
      <c r="C559" s="290" t="s">
        <v>237</v>
      </c>
      <c r="D559" s="227" t="s">
        <v>231</v>
      </c>
      <c r="E559" s="241"/>
      <c r="F559" s="228">
        <f t="shared" si="153"/>
        <v>3.6801995565609057E-2</v>
      </c>
      <c r="G559" s="269">
        <f>+F559*G555</f>
        <v>1.3128567081786591E-5</v>
      </c>
      <c r="H559" s="299"/>
      <c r="I559" s="299"/>
      <c r="J559" s="299"/>
      <c r="K559" s="299"/>
      <c r="L559" s="299"/>
      <c r="M559" s="299"/>
      <c r="N559" s="229">
        <v>1</v>
      </c>
      <c r="O559" s="229">
        <v>1</v>
      </c>
      <c r="P559" s="229">
        <v>1</v>
      </c>
      <c r="Q559" s="272">
        <v>0.99399999999999999</v>
      </c>
      <c r="R559" s="272">
        <v>0.99399999999999999</v>
      </c>
      <c r="S559" s="272">
        <v>1</v>
      </c>
      <c r="T559" s="256">
        <f t="shared" si="155"/>
        <v>1</v>
      </c>
      <c r="U559" s="256">
        <f t="shared" si="156"/>
        <v>1</v>
      </c>
      <c r="V559" s="256">
        <f t="shared" si="157"/>
        <v>1</v>
      </c>
      <c r="W559" s="256">
        <f t="shared" si="145"/>
        <v>1.0060362173038229</v>
      </c>
      <c r="X559" s="216"/>
      <c r="Y559" s="216"/>
    </row>
    <row r="560" spans="1:25" s="140" customFormat="1" ht="25.5" hidden="1" outlineLevel="5">
      <c r="A560" s="216"/>
      <c r="B560" s="255" t="s">
        <v>746</v>
      </c>
      <c r="C560" s="290" t="s">
        <v>239</v>
      </c>
      <c r="D560" s="227" t="s">
        <v>231</v>
      </c>
      <c r="E560" s="241"/>
      <c r="F560" s="228">
        <f t="shared" si="153"/>
        <v>3.6801995565609057E-2</v>
      </c>
      <c r="G560" s="269">
        <f>+F560*G555</f>
        <v>1.3128567081786591E-5</v>
      </c>
      <c r="H560" s="299"/>
      <c r="I560" s="299"/>
      <c r="J560" s="299"/>
      <c r="K560" s="299"/>
      <c r="L560" s="299"/>
      <c r="M560" s="299"/>
      <c r="N560" s="229">
        <v>1</v>
      </c>
      <c r="O560" s="229">
        <v>1</v>
      </c>
      <c r="P560" s="229">
        <v>1</v>
      </c>
      <c r="Q560" s="272">
        <v>0.99399999999999999</v>
      </c>
      <c r="R560" s="272">
        <v>0.99399999999999999</v>
      </c>
      <c r="S560" s="272">
        <v>1</v>
      </c>
      <c r="T560" s="256">
        <f t="shared" si="155"/>
        <v>1</v>
      </c>
      <c r="U560" s="256">
        <f t="shared" si="156"/>
        <v>1</v>
      </c>
      <c r="V560" s="256">
        <f t="shared" si="157"/>
        <v>1</v>
      </c>
      <c r="W560" s="256">
        <f t="shared" si="145"/>
        <v>1.0060362173038229</v>
      </c>
      <c r="X560" s="216"/>
      <c r="Y560" s="216"/>
    </row>
    <row r="561" spans="1:25" s="140" customFormat="1" ht="25.5" hidden="1" outlineLevel="5">
      <c r="A561" s="216"/>
      <c r="B561" s="255" t="s">
        <v>747</v>
      </c>
      <c r="C561" s="290" t="s">
        <v>241</v>
      </c>
      <c r="D561" s="227" t="s">
        <v>231</v>
      </c>
      <c r="E561" s="241"/>
      <c r="F561" s="228">
        <f t="shared" si="153"/>
        <v>3.6801995565609057E-2</v>
      </c>
      <c r="G561" s="269">
        <f>+F561*G555</f>
        <v>1.3128567081786591E-5</v>
      </c>
      <c r="H561" s="299"/>
      <c r="I561" s="299"/>
      <c r="J561" s="299"/>
      <c r="K561" s="299"/>
      <c r="L561" s="299"/>
      <c r="M561" s="299"/>
      <c r="N561" s="229">
        <v>1</v>
      </c>
      <c r="O561" s="229">
        <v>1</v>
      </c>
      <c r="P561" s="229">
        <v>1</v>
      </c>
      <c r="Q561" s="272">
        <v>0.99399999999999999</v>
      </c>
      <c r="R561" s="272">
        <v>0.99399999999999999</v>
      </c>
      <c r="S561" s="272">
        <v>1</v>
      </c>
      <c r="T561" s="256">
        <f t="shared" si="155"/>
        <v>1</v>
      </c>
      <c r="U561" s="256">
        <f t="shared" si="156"/>
        <v>1</v>
      </c>
      <c r="V561" s="256">
        <f t="shared" si="157"/>
        <v>1</v>
      </c>
      <c r="W561" s="256">
        <f t="shared" si="145"/>
        <v>1.0060362173038229</v>
      </c>
      <c r="X561" s="216"/>
      <c r="Y561" s="216"/>
    </row>
    <row r="562" spans="1:25" s="140" customFormat="1" ht="25.5" hidden="1" outlineLevel="5">
      <c r="A562" s="216"/>
      <c r="B562" s="255" t="s">
        <v>748</v>
      </c>
      <c r="C562" s="290" t="s">
        <v>243</v>
      </c>
      <c r="D562" s="227" t="s">
        <v>231</v>
      </c>
      <c r="E562" s="241"/>
      <c r="F562" s="228">
        <f t="shared" si="153"/>
        <v>3.6801995565609057E-2</v>
      </c>
      <c r="G562" s="269">
        <f>+F562*G555</f>
        <v>1.3128567081786591E-5</v>
      </c>
      <c r="H562" s="299"/>
      <c r="I562" s="299"/>
      <c r="J562" s="299"/>
      <c r="K562" s="299"/>
      <c r="L562" s="299"/>
      <c r="M562" s="299"/>
      <c r="N562" s="229">
        <v>1</v>
      </c>
      <c r="O562" s="229">
        <v>1</v>
      </c>
      <c r="P562" s="229">
        <v>1</v>
      </c>
      <c r="Q562" s="272">
        <v>0.99399999999999999</v>
      </c>
      <c r="R562" s="272">
        <v>0.99399999999999999</v>
      </c>
      <c r="S562" s="272">
        <v>1</v>
      </c>
      <c r="T562" s="256">
        <f t="shared" si="155"/>
        <v>1</v>
      </c>
      <c r="U562" s="256">
        <f t="shared" si="156"/>
        <v>1</v>
      </c>
      <c r="V562" s="256">
        <f t="shared" si="157"/>
        <v>1</v>
      </c>
      <c r="W562" s="256">
        <f t="shared" si="145"/>
        <v>1.0060362173038229</v>
      </c>
      <c r="X562" s="216"/>
      <c r="Y562" s="216"/>
    </row>
    <row r="563" spans="1:25" s="140" customFormat="1" ht="25.5" hidden="1" outlineLevel="5">
      <c r="A563" s="216"/>
      <c r="B563" s="255" t="s">
        <v>749</v>
      </c>
      <c r="C563" s="290" t="s">
        <v>245</v>
      </c>
      <c r="D563" s="227" t="s">
        <v>231</v>
      </c>
      <c r="E563" s="241"/>
      <c r="F563" s="228">
        <f t="shared" si="153"/>
        <v>3.6801995565609057E-2</v>
      </c>
      <c r="G563" s="269">
        <f>+F563*G555</f>
        <v>1.3128567081786591E-5</v>
      </c>
      <c r="H563" s="299"/>
      <c r="I563" s="299"/>
      <c r="J563" s="299"/>
      <c r="K563" s="299"/>
      <c r="L563" s="299"/>
      <c r="M563" s="299"/>
      <c r="N563" s="229">
        <v>1</v>
      </c>
      <c r="O563" s="229">
        <v>1</v>
      </c>
      <c r="P563" s="229">
        <v>1</v>
      </c>
      <c r="Q563" s="272">
        <v>0.99399999999999999</v>
      </c>
      <c r="R563" s="272">
        <v>0.99399999999999999</v>
      </c>
      <c r="S563" s="272">
        <v>1</v>
      </c>
      <c r="T563" s="256">
        <f t="shared" si="155"/>
        <v>1</v>
      </c>
      <c r="U563" s="256">
        <f t="shared" si="156"/>
        <v>1</v>
      </c>
      <c r="V563" s="256">
        <f t="shared" si="157"/>
        <v>1</v>
      </c>
      <c r="W563" s="256">
        <f t="shared" si="145"/>
        <v>1.0060362173038229</v>
      </c>
      <c r="X563" s="216"/>
      <c r="Y563" s="216"/>
    </row>
    <row r="564" spans="1:25" s="140" customFormat="1" ht="25.5" hidden="1" outlineLevel="5">
      <c r="A564" s="216"/>
      <c r="B564" s="255" t="s">
        <v>750</v>
      </c>
      <c r="C564" s="290" t="s">
        <v>247</v>
      </c>
      <c r="D564" s="227" t="s">
        <v>231</v>
      </c>
      <c r="E564" s="241"/>
      <c r="F564" s="228">
        <f t="shared" si="153"/>
        <v>3.6801995565609057E-2</v>
      </c>
      <c r="G564" s="269">
        <f>+F564*G555</f>
        <v>1.3128567081786591E-5</v>
      </c>
      <c r="H564" s="299"/>
      <c r="I564" s="299"/>
      <c r="J564" s="299"/>
      <c r="K564" s="299"/>
      <c r="L564" s="299"/>
      <c r="M564" s="299"/>
      <c r="N564" s="229">
        <v>1</v>
      </c>
      <c r="O564" s="229">
        <v>1</v>
      </c>
      <c r="P564" s="229">
        <v>1</v>
      </c>
      <c r="Q564" s="272">
        <v>0.99399999999999999</v>
      </c>
      <c r="R564" s="272">
        <v>0.99399999999999999</v>
      </c>
      <c r="S564" s="272">
        <v>1</v>
      </c>
      <c r="T564" s="256">
        <f t="shared" si="155"/>
        <v>1</v>
      </c>
      <c r="U564" s="256">
        <f t="shared" si="156"/>
        <v>1</v>
      </c>
      <c r="V564" s="256">
        <f t="shared" si="157"/>
        <v>1</v>
      </c>
      <c r="W564" s="256">
        <f t="shared" si="145"/>
        <v>1.0060362173038229</v>
      </c>
      <c r="X564" s="216"/>
      <c r="Y564" s="216"/>
    </row>
    <row r="565" spans="1:25" s="140" customFormat="1" ht="25.5" hidden="1" outlineLevel="5">
      <c r="A565" s="216"/>
      <c r="B565" s="255" t="s">
        <v>751</v>
      </c>
      <c r="C565" s="290" t="s">
        <v>249</v>
      </c>
      <c r="D565" s="227" t="s">
        <v>231</v>
      </c>
      <c r="E565" s="241"/>
      <c r="F565" s="228">
        <f t="shared" ref="F565:F596" si="160">F751</f>
        <v>3.6801995565609057E-2</v>
      </c>
      <c r="G565" s="269">
        <f>+F565*G555</f>
        <v>1.3128567081786591E-5</v>
      </c>
      <c r="H565" s="299"/>
      <c r="I565" s="299"/>
      <c r="J565" s="299"/>
      <c r="K565" s="299"/>
      <c r="L565" s="299"/>
      <c r="M565" s="299"/>
      <c r="N565" s="229">
        <v>1</v>
      </c>
      <c r="O565" s="229">
        <v>1</v>
      </c>
      <c r="P565" s="229">
        <v>1</v>
      </c>
      <c r="Q565" s="272">
        <v>0.99399999999999999</v>
      </c>
      <c r="R565" s="272">
        <v>0.99399999999999999</v>
      </c>
      <c r="S565" s="272">
        <v>1</v>
      </c>
      <c r="T565" s="256">
        <f t="shared" ref="T565:T596" si="161">+IF(N565=0,0,$S565/N565)</f>
        <v>1</v>
      </c>
      <c r="U565" s="256">
        <f t="shared" ref="U565:U596" si="162">+IF(O565=0,0,$S565/O565)</f>
        <v>1</v>
      </c>
      <c r="V565" s="256">
        <f t="shared" ref="V565:V596" si="163">+IF(P565=0,0,$S565/P565)</f>
        <v>1</v>
      </c>
      <c r="W565" s="256">
        <f t="shared" si="145"/>
        <v>1.0060362173038229</v>
      </c>
      <c r="X565" s="216"/>
      <c r="Y565" s="216"/>
    </row>
    <row r="566" spans="1:25" s="140" customFormat="1" ht="25.5" hidden="1" outlineLevel="5">
      <c r="A566" s="216"/>
      <c r="B566" s="255" t="s">
        <v>752</v>
      </c>
      <c r="C566" s="290" t="s">
        <v>251</v>
      </c>
      <c r="D566" s="227" t="s">
        <v>231</v>
      </c>
      <c r="E566" s="241"/>
      <c r="F566" s="228">
        <f t="shared" si="160"/>
        <v>3.6801995565609057E-2</v>
      </c>
      <c r="G566" s="269">
        <f>+F566*G555</f>
        <v>1.3128567081786591E-5</v>
      </c>
      <c r="H566" s="299"/>
      <c r="I566" s="299"/>
      <c r="J566" s="299"/>
      <c r="K566" s="299"/>
      <c r="L566" s="299"/>
      <c r="M566" s="299"/>
      <c r="N566" s="229">
        <v>1</v>
      </c>
      <c r="O566" s="229">
        <v>1</v>
      </c>
      <c r="P566" s="229">
        <v>1</v>
      </c>
      <c r="Q566" s="272">
        <v>0.99399999999999999</v>
      </c>
      <c r="R566" s="272">
        <v>0.99399999999999999</v>
      </c>
      <c r="S566" s="272">
        <v>1</v>
      </c>
      <c r="T566" s="256">
        <f t="shared" si="161"/>
        <v>1</v>
      </c>
      <c r="U566" s="256">
        <f t="shared" si="162"/>
        <v>1</v>
      </c>
      <c r="V566" s="256">
        <f t="shared" si="163"/>
        <v>1</v>
      </c>
      <c r="W566" s="256">
        <f t="shared" si="145"/>
        <v>1.0060362173038229</v>
      </c>
      <c r="X566" s="216"/>
      <c r="Y566" s="216"/>
    </row>
    <row r="567" spans="1:25" s="140" customFormat="1" ht="25.5" hidden="1" outlineLevel="5">
      <c r="A567" s="216"/>
      <c r="B567" s="255" t="s">
        <v>753</v>
      </c>
      <c r="C567" s="290" t="s">
        <v>253</v>
      </c>
      <c r="D567" s="227" t="s">
        <v>231</v>
      </c>
      <c r="E567" s="241"/>
      <c r="F567" s="228">
        <f t="shared" si="160"/>
        <v>3.6801995565609057E-2</v>
      </c>
      <c r="G567" s="269">
        <f>+F567*G555</f>
        <v>1.3128567081786591E-5</v>
      </c>
      <c r="H567" s="299"/>
      <c r="I567" s="299"/>
      <c r="J567" s="299"/>
      <c r="K567" s="299"/>
      <c r="L567" s="299"/>
      <c r="M567" s="299"/>
      <c r="N567" s="229">
        <v>1</v>
      </c>
      <c r="O567" s="229">
        <v>1</v>
      </c>
      <c r="P567" s="229">
        <v>1</v>
      </c>
      <c r="Q567" s="272">
        <v>0.99399999999999999</v>
      </c>
      <c r="R567" s="272">
        <v>0.99399999999999999</v>
      </c>
      <c r="S567" s="272">
        <v>1</v>
      </c>
      <c r="T567" s="256">
        <f t="shared" si="161"/>
        <v>1</v>
      </c>
      <c r="U567" s="256">
        <f t="shared" si="162"/>
        <v>1</v>
      </c>
      <c r="V567" s="256">
        <f t="shared" si="163"/>
        <v>1</v>
      </c>
      <c r="W567" s="256">
        <f t="shared" si="145"/>
        <v>1.0060362173038229</v>
      </c>
      <c r="X567" s="216"/>
      <c r="Y567" s="216"/>
    </row>
    <row r="568" spans="1:25" s="140" customFormat="1" ht="25.5" hidden="1" outlineLevel="5">
      <c r="A568" s="216"/>
      <c r="B568" s="255" t="s">
        <v>754</v>
      </c>
      <c r="C568" s="290" t="s">
        <v>285</v>
      </c>
      <c r="D568" s="227" t="s">
        <v>231</v>
      </c>
      <c r="E568" s="241"/>
      <c r="F568" s="228">
        <f t="shared" si="160"/>
        <v>3.6801995565609057E-2</v>
      </c>
      <c r="G568" s="269">
        <f>+F568*G555</f>
        <v>1.3128567081786591E-5</v>
      </c>
      <c r="H568" s="299"/>
      <c r="I568" s="299"/>
      <c r="J568" s="299"/>
      <c r="K568" s="299"/>
      <c r="L568" s="299"/>
      <c r="M568" s="299"/>
      <c r="N568" s="229">
        <v>1</v>
      </c>
      <c r="O568" s="229">
        <v>1</v>
      </c>
      <c r="P568" s="229">
        <v>1</v>
      </c>
      <c r="Q568" s="272">
        <v>0.99399999999999999</v>
      </c>
      <c r="R568" s="272">
        <v>0.99399999999999999</v>
      </c>
      <c r="S568" s="272">
        <v>1</v>
      </c>
      <c r="T568" s="256">
        <f t="shared" si="161"/>
        <v>1</v>
      </c>
      <c r="U568" s="256">
        <f t="shared" si="162"/>
        <v>1</v>
      </c>
      <c r="V568" s="256">
        <f t="shared" si="163"/>
        <v>1</v>
      </c>
      <c r="W568" s="256">
        <f t="shared" si="145"/>
        <v>1.0060362173038229</v>
      </c>
      <c r="X568" s="216"/>
      <c r="Y568" s="216"/>
    </row>
    <row r="569" spans="1:25" s="140" customFormat="1" ht="25.5" hidden="1" outlineLevel="5">
      <c r="A569" s="216"/>
      <c r="B569" s="255" t="s">
        <v>755</v>
      </c>
      <c r="C569" s="290" t="s">
        <v>287</v>
      </c>
      <c r="D569" s="227" t="s">
        <v>231</v>
      </c>
      <c r="E569" s="241"/>
      <c r="F569" s="228">
        <f t="shared" si="160"/>
        <v>3.6801995565609057E-2</v>
      </c>
      <c r="G569" s="269">
        <f>+F569*G555</f>
        <v>1.3128567081786591E-5</v>
      </c>
      <c r="H569" s="299"/>
      <c r="I569" s="299"/>
      <c r="J569" s="299"/>
      <c r="K569" s="299"/>
      <c r="L569" s="299"/>
      <c r="M569" s="299"/>
      <c r="N569" s="229">
        <v>1</v>
      </c>
      <c r="O569" s="229">
        <v>1</v>
      </c>
      <c r="P569" s="229">
        <v>1</v>
      </c>
      <c r="Q569" s="272">
        <v>0.99399999999999999</v>
      </c>
      <c r="R569" s="272">
        <v>0.99399999999999999</v>
      </c>
      <c r="S569" s="272">
        <v>1</v>
      </c>
      <c r="T569" s="256">
        <f t="shared" si="161"/>
        <v>1</v>
      </c>
      <c r="U569" s="256">
        <f t="shared" si="162"/>
        <v>1</v>
      </c>
      <c r="V569" s="256">
        <f t="shared" si="163"/>
        <v>1</v>
      </c>
      <c r="W569" s="256">
        <f t="shared" si="145"/>
        <v>1.0060362173038229</v>
      </c>
      <c r="X569" s="216"/>
      <c r="Y569" s="216"/>
    </row>
    <row r="570" spans="1:25" s="140" customFormat="1" ht="25.5" hidden="1" outlineLevel="5">
      <c r="A570" s="216"/>
      <c r="B570" s="255" t="s">
        <v>756</v>
      </c>
      <c r="C570" s="290" t="s">
        <v>289</v>
      </c>
      <c r="D570" s="227" t="s">
        <v>231</v>
      </c>
      <c r="E570" s="241"/>
      <c r="F570" s="228">
        <f t="shared" si="160"/>
        <v>3.6801995565609057E-2</v>
      </c>
      <c r="G570" s="269">
        <f>+F570*G555</f>
        <v>1.3128567081786591E-5</v>
      </c>
      <c r="H570" s="299"/>
      <c r="I570" s="299"/>
      <c r="J570" s="299"/>
      <c r="K570" s="299"/>
      <c r="L570" s="299"/>
      <c r="M570" s="299"/>
      <c r="N570" s="229">
        <v>1</v>
      </c>
      <c r="O570" s="229">
        <v>1</v>
      </c>
      <c r="P570" s="229">
        <v>1</v>
      </c>
      <c r="Q570" s="272">
        <v>0.99399999999999999</v>
      </c>
      <c r="R570" s="272">
        <v>0.99399999999999999</v>
      </c>
      <c r="S570" s="272">
        <v>1</v>
      </c>
      <c r="T570" s="256">
        <f t="shared" si="161"/>
        <v>1</v>
      </c>
      <c r="U570" s="256">
        <f t="shared" si="162"/>
        <v>1</v>
      </c>
      <c r="V570" s="256">
        <f t="shared" si="163"/>
        <v>1</v>
      </c>
      <c r="W570" s="256">
        <f t="shared" si="145"/>
        <v>1.0060362173038229</v>
      </c>
      <c r="X570" s="216"/>
      <c r="Y570" s="216"/>
    </row>
    <row r="571" spans="1:25" s="140" customFormat="1" ht="25.5" hidden="1" outlineLevel="5">
      <c r="A571" s="216"/>
      <c r="B571" s="255" t="s">
        <v>757</v>
      </c>
      <c r="C571" s="290" t="s">
        <v>291</v>
      </c>
      <c r="D571" s="227" t="s">
        <v>231</v>
      </c>
      <c r="E571" s="241"/>
      <c r="F571" s="228">
        <f t="shared" si="160"/>
        <v>3.6801995565609057E-2</v>
      </c>
      <c r="G571" s="269">
        <f>+F571*G555</f>
        <v>1.3128567081786591E-5</v>
      </c>
      <c r="H571" s="299"/>
      <c r="I571" s="299"/>
      <c r="J571" s="299"/>
      <c r="K571" s="299"/>
      <c r="L571" s="299"/>
      <c r="M571" s="299"/>
      <c r="N571" s="229">
        <v>1</v>
      </c>
      <c r="O571" s="229">
        <v>1</v>
      </c>
      <c r="P571" s="229">
        <v>1</v>
      </c>
      <c r="Q571" s="272">
        <v>0.99399999999999999</v>
      </c>
      <c r="R571" s="272">
        <v>0.99399999999999999</v>
      </c>
      <c r="S571" s="272">
        <v>1</v>
      </c>
      <c r="T571" s="256">
        <f t="shared" si="161"/>
        <v>1</v>
      </c>
      <c r="U571" s="256">
        <f t="shared" si="162"/>
        <v>1</v>
      </c>
      <c r="V571" s="256">
        <f t="shared" si="163"/>
        <v>1</v>
      </c>
      <c r="W571" s="256">
        <f t="shared" si="145"/>
        <v>1.0060362173038229</v>
      </c>
      <c r="X571" s="216"/>
      <c r="Y571" s="216"/>
    </row>
    <row r="572" spans="1:25" s="140" customFormat="1" ht="25.5" hidden="1" outlineLevel="5">
      <c r="A572" s="216"/>
      <c r="B572" s="255" t="s">
        <v>758</v>
      </c>
      <c r="C572" s="290" t="s">
        <v>293</v>
      </c>
      <c r="D572" s="227" t="s">
        <v>231</v>
      </c>
      <c r="E572" s="241"/>
      <c r="F572" s="228">
        <f t="shared" si="160"/>
        <v>3.6801995565609057E-2</v>
      </c>
      <c r="G572" s="269">
        <f>+F572*G555</f>
        <v>1.3128567081786591E-5</v>
      </c>
      <c r="H572" s="299"/>
      <c r="I572" s="299"/>
      <c r="J572" s="299"/>
      <c r="K572" s="299"/>
      <c r="L572" s="299"/>
      <c r="M572" s="299"/>
      <c r="N572" s="229">
        <v>1</v>
      </c>
      <c r="O572" s="229">
        <v>1</v>
      </c>
      <c r="P572" s="229">
        <v>1</v>
      </c>
      <c r="Q572" s="272">
        <v>0.99399999999999999</v>
      </c>
      <c r="R572" s="272">
        <v>0.99399999999999999</v>
      </c>
      <c r="S572" s="272">
        <v>1</v>
      </c>
      <c r="T572" s="256">
        <f t="shared" si="161"/>
        <v>1</v>
      </c>
      <c r="U572" s="256">
        <f t="shared" si="162"/>
        <v>1</v>
      </c>
      <c r="V572" s="256">
        <f t="shared" si="163"/>
        <v>1</v>
      </c>
      <c r="W572" s="256">
        <f t="shared" si="145"/>
        <v>1.0060362173038229</v>
      </c>
      <c r="X572" s="216"/>
      <c r="Y572" s="216"/>
    </row>
    <row r="573" spans="1:25" s="140" customFormat="1" ht="25.5" hidden="1" outlineLevel="5">
      <c r="A573" s="216"/>
      <c r="B573" s="255" t="s">
        <v>759</v>
      </c>
      <c r="C573" s="290" t="s">
        <v>295</v>
      </c>
      <c r="D573" s="227" t="s">
        <v>231</v>
      </c>
      <c r="E573" s="241"/>
      <c r="F573" s="228">
        <f t="shared" si="160"/>
        <v>3.6801995565609057E-2</v>
      </c>
      <c r="G573" s="269">
        <f>+F573*G555</f>
        <v>1.3128567081786591E-5</v>
      </c>
      <c r="H573" s="299"/>
      <c r="I573" s="299"/>
      <c r="J573" s="299"/>
      <c r="K573" s="299"/>
      <c r="L573" s="299"/>
      <c r="M573" s="299"/>
      <c r="N573" s="229">
        <v>1</v>
      </c>
      <c r="O573" s="229">
        <v>1</v>
      </c>
      <c r="P573" s="229">
        <v>1</v>
      </c>
      <c r="Q573" s="272">
        <v>0.99399999999999999</v>
      </c>
      <c r="R573" s="272">
        <v>0.99399999999999999</v>
      </c>
      <c r="S573" s="272">
        <v>1</v>
      </c>
      <c r="T573" s="256">
        <f t="shared" si="161"/>
        <v>1</v>
      </c>
      <c r="U573" s="256">
        <f t="shared" si="162"/>
        <v>1</v>
      </c>
      <c r="V573" s="256">
        <f t="shared" si="163"/>
        <v>1</v>
      </c>
      <c r="W573" s="256">
        <f t="shared" si="145"/>
        <v>1.0060362173038229</v>
      </c>
      <c r="X573" s="216"/>
      <c r="Y573" s="216"/>
    </row>
    <row r="574" spans="1:25" s="140" customFormat="1" ht="25.5" hidden="1" outlineLevel="5">
      <c r="A574" s="216"/>
      <c r="B574" s="255" t="s">
        <v>760</v>
      </c>
      <c r="C574" s="290" t="s">
        <v>297</v>
      </c>
      <c r="D574" s="227" t="s">
        <v>231</v>
      </c>
      <c r="E574" s="241"/>
      <c r="F574" s="228">
        <f t="shared" si="160"/>
        <v>3.6801995565609057E-2</v>
      </c>
      <c r="G574" s="269">
        <f>+F574*G555</f>
        <v>1.3128567081786591E-5</v>
      </c>
      <c r="H574" s="299"/>
      <c r="I574" s="299"/>
      <c r="J574" s="299"/>
      <c r="K574" s="299"/>
      <c r="L574" s="299"/>
      <c r="M574" s="299"/>
      <c r="N574" s="229">
        <v>1</v>
      </c>
      <c r="O574" s="229">
        <v>1</v>
      </c>
      <c r="P574" s="229">
        <v>1</v>
      </c>
      <c r="Q574" s="272">
        <v>0.99399999999999999</v>
      </c>
      <c r="R574" s="272">
        <v>0.99399999999999999</v>
      </c>
      <c r="S574" s="272">
        <v>1</v>
      </c>
      <c r="T574" s="256">
        <f t="shared" si="161"/>
        <v>1</v>
      </c>
      <c r="U574" s="256">
        <f t="shared" si="162"/>
        <v>1</v>
      </c>
      <c r="V574" s="256">
        <f t="shared" si="163"/>
        <v>1</v>
      </c>
      <c r="W574" s="256">
        <f t="shared" si="145"/>
        <v>1.0060362173038229</v>
      </c>
      <c r="X574" s="216"/>
      <c r="Y574" s="216"/>
    </row>
    <row r="575" spans="1:25" s="140" customFormat="1" ht="25.5" hidden="1" outlineLevel="5">
      <c r="A575" s="216"/>
      <c r="B575" s="255" t="s">
        <v>761</v>
      </c>
      <c r="C575" s="290" t="s">
        <v>299</v>
      </c>
      <c r="D575" s="227" t="s">
        <v>231</v>
      </c>
      <c r="E575" s="241"/>
      <c r="F575" s="228">
        <f t="shared" si="160"/>
        <v>3.6801995565609057E-2</v>
      </c>
      <c r="G575" s="269">
        <f>+F575*G555</f>
        <v>1.3128567081786591E-5</v>
      </c>
      <c r="H575" s="299"/>
      <c r="I575" s="299"/>
      <c r="J575" s="299"/>
      <c r="K575" s="299"/>
      <c r="L575" s="299"/>
      <c r="M575" s="299"/>
      <c r="N575" s="229">
        <v>1</v>
      </c>
      <c r="O575" s="229">
        <v>1</v>
      </c>
      <c r="P575" s="229">
        <v>1</v>
      </c>
      <c r="Q575" s="272">
        <v>0.99399999999999999</v>
      </c>
      <c r="R575" s="272">
        <v>0.99399999999999999</v>
      </c>
      <c r="S575" s="272">
        <v>1</v>
      </c>
      <c r="T575" s="256">
        <f t="shared" si="161"/>
        <v>1</v>
      </c>
      <c r="U575" s="256">
        <f t="shared" si="162"/>
        <v>1</v>
      </c>
      <c r="V575" s="256">
        <f t="shared" si="163"/>
        <v>1</v>
      </c>
      <c r="W575" s="256">
        <f t="shared" si="145"/>
        <v>1.0060362173038229</v>
      </c>
      <c r="X575" s="216"/>
      <c r="Y575" s="216"/>
    </row>
    <row r="576" spans="1:25" s="140" customFormat="1" ht="25.5" hidden="1" outlineLevel="5">
      <c r="A576" s="216"/>
      <c r="B576" s="255" t="s">
        <v>762</v>
      </c>
      <c r="C576" s="290" t="s">
        <v>301</v>
      </c>
      <c r="D576" s="227" t="s">
        <v>231</v>
      </c>
      <c r="E576" s="241"/>
      <c r="F576" s="228">
        <f t="shared" si="160"/>
        <v>3.6801995565609057E-2</v>
      </c>
      <c r="G576" s="269">
        <f>+F576*G555</f>
        <v>1.3128567081786591E-5</v>
      </c>
      <c r="H576" s="299"/>
      <c r="I576" s="299"/>
      <c r="J576" s="299"/>
      <c r="K576" s="299"/>
      <c r="L576" s="299"/>
      <c r="M576" s="299"/>
      <c r="N576" s="229">
        <v>1</v>
      </c>
      <c r="O576" s="229">
        <v>1</v>
      </c>
      <c r="P576" s="229">
        <v>1</v>
      </c>
      <c r="Q576" s="272">
        <v>0.99399999999999999</v>
      </c>
      <c r="R576" s="272">
        <v>0.99399999999999999</v>
      </c>
      <c r="S576" s="272">
        <v>1</v>
      </c>
      <c r="T576" s="256">
        <f t="shared" si="161"/>
        <v>1</v>
      </c>
      <c r="U576" s="256">
        <f t="shared" si="162"/>
        <v>1</v>
      </c>
      <c r="V576" s="256">
        <f t="shared" si="163"/>
        <v>1</v>
      </c>
      <c r="W576" s="256">
        <f t="shared" si="145"/>
        <v>1.0060362173038229</v>
      </c>
      <c r="X576" s="216"/>
      <c r="Y576" s="216"/>
    </row>
    <row r="577" spans="1:25" s="140" customFormat="1" ht="25.5" hidden="1" outlineLevel="5">
      <c r="A577" s="216"/>
      <c r="B577" s="255" t="s">
        <v>763</v>
      </c>
      <c r="C577" s="290" t="s">
        <v>303</v>
      </c>
      <c r="D577" s="227" t="s">
        <v>231</v>
      </c>
      <c r="E577" s="241"/>
      <c r="F577" s="228">
        <f t="shared" si="160"/>
        <v>3.6801995565609057E-2</v>
      </c>
      <c r="G577" s="269">
        <f>+F577*G555</f>
        <v>1.3128567081786591E-5</v>
      </c>
      <c r="H577" s="299"/>
      <c r="I577" s="299"/>
      <c r="J577" s="299"/>
      <c r="K577" s="299"/>
      <c r="L577" s="299"/>
      <c r="M577" s="299"/>
      <c r="N577" s="229">
        <v>1</v>
      </c>
      <c r="O577" s="229">
        <v>1</v>
      </c>
      <c r="P577" s="229">
        <v>1</v>
      </c>
      <c r="Q577" s="272">
        <v>0.99399999999999999</v>
      </c>
      <c r="R577" s="272">
        <v>0.99399999999999999</v>
      </c>
      <c r="S577" s="272">
        <v>1</v>
      </c>
      <c r="T577" s="256">
        <f t="shared" si="161"/>
        <v>1</v>
      </c>
      <c r="U577" s="256">
        <f t="shared" si="162"/>
        <v>1</v>
      </c>
      <c r="V577" s="256">
        <f t="shared" si="163"/>
        <v>1</v>
      </c>
      <c r="W577" s="256">
        <f t="shared" si="145"/>
        <v>1.0060362173038229</v>
      </c>
      <c r="X577" s="216"/>
      <c r="Y577" s="216"/>
    </row>
    <row r="578" spans="1:25" s="140" customFormat="1" ht="25.5" hidden="1" outlineLevel="5">
      <c r="A578" s="216"/>
      <c r="B578" s="255" t="s">
        <v>764</v>
      </c>
      <c r="C578" s="290" t="s">
        <v>255</v>
      </c>
      <c r="D578" s="227" t="s">
        <v>256</v>
      </c>
      <c r="E578" s="241"/>
      <c r="F578" s="228">
        <f t="shared" si="160"/>
        <v>4.7589024389150178E-2</v>
      </c>
      <c r="G578" s="269">
        <f>+F578*G555</f>
        <v>1.6976679917693929E-5</v>
      </c>
      <c r="H578" s="299"/>
      <c r="I578" s="299"/>
      <c r="J578" s="299"/>
      <c r="K578" s="299"/>
      <c r="L578" s="299"/>
      <c r="M578" s="299"/>
      <c r="N578" s="229">
        <v>1</v>
      </c>
      <c r="O578" s="229">
        <v>1</v>
      </c>
      <c r="P578" s="229">
        <v>1</v>
      </c>
      <c r="Q578" s="272">
        <v>0.99399999999999999</v>
      </c>
      <c r="R578" s="272">
        <v>0.99399999999999999</v>
      </c>
      <c r="S578" s="272">
        <v>1</v>
      </c>
      <c r="T578" s="256">
        <f t="shared" si="161"/>
        <v>1</v>
      </c>
      <c r="U578" s="256">
        <f t="shared" si="162"/>
        <v>1</v>
      </c>
      <c r="V578" s="256">
        <f t="shared" si="163"/>
        <v>1</v>
      </c>
      <c r="W578" s="256">
        <f t="shared" si="145"/>
        <v>1.0060362173038229</v>
      </c>
      <c r="X578" s="216"/>
      <c r="Y578" s="216"/>
    </row>
    <row r="579" spans="1:25" s="140" customFormat="1" ht="25.5" hidden="1" outlineLevel="5">
      <c r="A579" s="216"/>
      <c r="B579" s="255" t="s">
        <v>765</v>
      </c>
      <c r="C579" s="290" t="s">
        <v>258</v>
      </c>
      <c r="D579" s="227" t="s">
        <v>256</v>
      </c>
      <c r="E579" s="241"/>
      <c r="F579" s="228">
        <f t="shared" si="160"/>
        <v>4.7589024389150178E-2</v>
      </c>
      <c r="G579" s="269">
        <f>+F579*G555</f>
        <v>1.6976679917693929E-5</v>
      </c>
      <c r="H579" s="299"/>
      <c r="I579" s="299"/>
      <c r="J579" s="299"/>
      <c r="K579" s="299"/>
      <c r="L579" s="299"/>
      <c r="M579" s="299"/>
      <c r="N579" s="229">
        <v>1</v>
      </c>
      <c r="O579" s="229">
        <v>1</v>
      </c>
      <c r="P579" s="229">
        <v>1</v>
      </c>
      <c r="Q579" s="272">
        <v>0.99399999999999999</v>
      </c>
      <c r="R579" s="272">
        <v>0.99399999999999999</v>
      </c>
      <c r="S579" s="272">
        <v>1</v>
      </c>
      <c r="T579" s="256">
        <f t="shared" si="161"/>
        <v>1</v>
      </c>
      <c r="U579" s="256">
        <f t="shared" si="162"/>
        <v>1</v>
      </c>
      <c r="V579" s="256">
        <f t="shared" si="163"/>
        <v>1</v>
      </c>
      <c r="W579" s="256">
        <f t="shared" si="145"/>
        <v>1.0060362173038229</v>
      </c>
      <c r="X579" s="216"/>
      <c r="Y579" s="216"/>
    </row>
    <row r="580" spans="1:25" s="140" customFormat="1" ht="25.5" hidden="1" outlineLevel="5">
      <c r="A580" s="216"/>
      <c r="B580" s="255" t="s">
        <v>766</v>
      </c>
      <c r="C580" s="290" t="s">
        <v>260</v>
      </c>
      <c r="D580" s="227" t="s">
        <v>256</v>
      </c>
      <c r="E580" s="241"/>
      <c r="F580" s="228">
        <f t="shared" si="160"/>
        <v>4.7589024389150178E-2</v>
      </c>
      <c r="G580" s="269">
        <f>+F580*G555</f>
        <v>1.6976679917693929E-5</v>
      </c>
      <c r="H580" s="299"/>
      <c r="I580" s="299"/>
      <c r="J580" s="299"/>
      <c r="K580" s="299"/>
      <c r="L580" s="299"/>
      <c r="M580" s="299"/>
      <c r="N580" s="229">
        <v>1</v>
      </c>
      <c r="O580" s="229">
        <v>1</v>
      </c>
      <c r="P580" s="229">
        <v>1</v>
      </c>
      <c r="Q580" s="272">
        <v>0.99399999999999999</v>
      </c>
      <c r="R580" s="272">
        <v>0.99399999999999999</v>
      </c>
      <c r="S580" s="272">
        <v>1</v>
      </c>
      <c r="T580" s="256">
        <f t="shared" si="161"/>
        <v>1</v>
      </c>
      <c r="U580" s="256">
        <f t="shared" si="162"/>
        <v>1</v>
      </c>
      <c r="V580" s="256">
        <f t="shared" si="163"/>
        <v>1</v>
      </c>
      <c r="W580" s="256">
        <f t="shared" si="145"/>
        <v>1.0060362173038229</v>
      </c>
      <c r="X580" s="216"/>
      <c r="Y580" s="216"/>
    </row>
    <row r="581" spans="1:25" s="140" customFormat="1" ht="25.5" hidden="1" outlineLevel="5">
      <c r="A581" s="216"/>
      <c r="B581" s="255" t="s">
        <v>767</v>
      </c>
      <c r="C581" s="290" t="s">
        <v>262</v>
      </c>
      <c r="D581" s="227" t="s">
        <v>256</v>
      </c>
      <c r="E581" s="241"/>
      <c r="F581" s="228">
        <f t="shared" si="160"/>
        <v>4.7589024389150178E-2</v>
      </c>
      <c r="G581" s="269">
        <f>+F581*G555</f>
        <v>1.6976679917693929E-5</v>
      </c>
      <c r="H581" s="299"/>
      <c r="I581" s="299"/>
      <c r="J581" s="299"/>
      <c r="K581" s="299"/>
      <c r="L581" s="299"/>
      <c r="M581" s="299"/>
      <c r="N581" s="229">
        <v>1</v>
      </c>
      <c r="O581" s="229">
        <v>1</v>
      </c>
      <c r="P581" s="229">
        <v>1</v>
      </c>
      <c r="Q581" s="272">
        <v>0.99399999999999999</v>
      </c>
      <c r="R581" s="272">
        <v>0.99399999999999999</v>
      </c>
      <c r="S581" s="272">
        <v>1</v>
      </c>
      <c r="T581" s="256">
        <f t="shared" si="161"/>
        <v>1</v>
      </c>
      <c r="U581" s="256">
        <f t="shared" si="162"/>
        <v>1</v>
      </c>
      <c r="V581" s="256">
        <f t="shared" si="163"/>
        <v>1</v>
      </c>
      <c r="W581" s="256">
        <f t="shared" si="145"/>
        <v>1.0060362173038229</v>
      </c>
      <c r="X581" s="216"/>
      <c r="Y581" s="216"/>
    </row>
    <row r="582" spans="1:25" s="140" customFormat="1" ht="25.5" hidden="1" outlineLevel="4">
      <c r="A582" s="216"/>
      <c r="B582" s="291" t="s">
        <v>768</v>
      </c>
      <c r="C582" s="292" t="s">
        <v>37</v>
      </c>
      <c r="D582" s="234" t="s">
        <v>33</v>
      </c>
      <c r="E582" s="240"/>
      <c r="F582" s="223">
        <f t="shared" si="160"/>
        <v>9.0647549000068411E-2</v>
      </c>
      <c r="G582" s="293">
        <f>+F582*G533</f>
        <v>1.3983441738031518E-4</v>
      </c>
      <c r="H582" s="298"/>
      <c r="I582" s="298"/>
      <c r="J582" s="298"/>
      <c r="K582" s="298"/>
      <c r="L582" s="298"/>
      <c r="M582" s="298"/>
      <c r="N582" s="224">
        <f t="shared" ref="N582:S582" si="164">+SUMPRODUCT($F583:$F593,N583:N593)</f>
        <v>1.0000000000000002</v>
      </c>
      <c r="O582" s="224">
        <f t="shared" si="164"/>
        <v>1.0000000000000002</v>
      </c>
      <c r="P582" s="224">
        <f t="shared" si="164"/>
        <v>1.0000000000000002</v>
      </c>
      <c r="Q582" s="270">
        <f t="shared" si="164"/>
        <v>0.34999999999999987</v>
      </c>
      <c r="R582" s="270">
        <f t="shared" si="164"/>
        <v>0.34999999999999987</v>
      </c>
      <c r="S582" s="270">
        <f t="shared" si="164"/>
        <v>0.34999999999999987</v>
      </c>
      <c r="T582" s="254">
        <f t="shared" si="161"/>
        <v>0.34999999999999981</v>
      </c>
      <c r="U582" s="254">
        <f t="shared" si="162"/>
        <v>0.34999999999999981</v>
      </c>
      <c r="V582" s="254">
        <f t="shared" si="163"/>
        <v>0.34999999999999981</v>
      </c>
      <c r="W582" s="254">
        <f t="shared" ref="W582:W645" si="165">+IF(R582=0,0,$S582/R582)</f>
        <v>1</v>
      </c>
      <c r="X582" s="216"/>
      <c r="Y582" s="216"/>
    </row>
    <row r="583" spans="1:25" s="140" customFormat="1" ht="25.5" hidden="1" outlineLevel="5">
      <c r="A583" s="216"/>
      <c r="B583" s="255" t="s">
        <v>769</v>
      </c>
      <c r="C583" s="290" t="s">
        <v>230</v>
      </c>
      <c r="D583" s="227" t="s">
        <v>231</v>
      </c>
      <c r="E583" s="241"/>
      <c r="F583" s="228">
        <f t="shared" si="160"/>
        <v>9.0909090909090912E-2</v>
      </c>
      <c r="G583" s="269">
        <f>+F583*G582</f>
        <v>1.2712219761846836E-5</v>
      </c>
      <c r="H583" s="299"/>
      <c r="I583" s="299"/>
      <c r="J583" s="299"/>
      <c r="K583" s="299"/>
      <c r="L583" s="299"/>
      <c r="M583" s="299"/>
      <c r="N583" s="229">
        <v>1</v>
      </c>
      <c r="O583" s="229">
        <v>1</v>
      </c>
      <c r="P583" s="229">
        <v>1</v>
      </c>
      <c r="Q583" s="272">
        <v>0.35</v>
      </c>
      <c r="R583" s="272">
        <v>0.35</v>
      </c>
      <c r="S583" s="272">
        <v>0.35</v>
      </c>
      <c r="T583" s="256">
        <f t="shared" si="161"/>
        <v>0.35</v>
      </c>
      <c r="U583" s="256">
        <f t="shared" si="162"/>
        <v>0.35</v>
      </c>
      <c r="V583" s="256">
        <f t="shared" si="163"/>
        <v>0.35</v>
      </c>
      <c r="W583" s="256">
        <f t="shared" si="165"/>
        <v>1</v>
      </c>
      <c r="X583" s="216"/>
      <c r="Y583" s="216"/>
    </row>
    <row r="584" spans="1:25" s="140" customFormat="1" ht="25.5" hidden="1" outlineLevel="5">
      <c r="A584" s="216"/>
      <c r="B584" s="255" t="s">
        <v>770</v>
      </c>
      <c r="C584" s="290" t="s">
        <v>233</v>
      </c>
      <c r="D584" s="227" t="s">
        <v>231</v>
      </c>
      <c r="E584" s="241"/>
      <c r="F584" s="228">
        <f t="shared" si="160"/>
        <v>9.0909090909090912E-2</v>
      </c>
      <c r="G584" s="269">
        <f>+F584*G582</f>
        <v>1.2712219761846836E-5</v>
      </c>
      <c r="H584" s="299"/>
      <c r="I584" s="299"/>
      <c r="J584" s="299"/>
      <c r="K584" s="299"/>
      <c r="L584" s="299"/>
      <c r="M584" s="299"/>
      <c r="N584" s="229">
        <v>1</v>
      </c>
      <c r="O584" s="229">
        <v>1</v>
      </c>
      <c r="P584" s="229">
        <v>1</v>
      </c>
      <c r="Q584" s="272">
        <v>0.35</v>
      </c>
      <c r="R584" s="272">
        <v>0.35</v>
      </c>
      <c r="S584" s="272">
        <v>0.35</v>
      </c>
      <c r="T584" s="256">
        <f t="shared" si="161"/>
        <v>0.35</v>
      </c>
      <c r="U584" s="256">
        <f t="shared" si="162"/>
        <v>0.35</v>
      </c>
      <c r="V584" s="256">
        <f t="shared" si="163"/>
        <v>0.35</v>
      </c>
      <c r="W584" s="256">
        <f t="shared" si="165"/>
        <v>1</v>
      </c>
      <c r="X584" s="216"/>
      <c r="Y584" s="216"/>
    </row>
    <row r="585" spans="1:25" s="140" customFormat="1" ht="25.5" hidden="1" outlineLevel="5">
      <c r="A585" s="216"/>
      <c r="B585" s="255" t="s">
        <v>771</v>
      </c>
      <c r="C585" s="290" t="s">
        <v>235</v>
      </c>
      <c r="D585" s="227" t="s">
        <v>231</v>
      </c>
      <c r="E585" s="241"/>
      <c r="F585" s="228">
        <f t="shared" si="160"/>
        <v>9.0909090909090912E-2</v>
      </c>
      <c r="G585" s="269">
        <f>+F585*G582</f>
        <v>1.2712219761846836E-5</v>
      </c>
      <c r="H585" s="299"/>
      <c r="I585" s="299"/>
      <c r="J585" s="299"/>
      <c r="K585" s="299"/>
      <c r="L585" s="299"/>
      <c r="M585" s="299"/>
      <c r="N585" s="229">
        <v>1</v>
      </c>
      <c r="O585" s="229">
        <v>1</v>
      </c>
      <c r="P585" s="229">
        <v>1</v>
      </c>
      <c r="Q585" s="272">
        <v>0.35</v>
      </c>
      <c r="R585" s="272">
        <v>0.35</v>
      </c>
      <c r="S585" s="272">
        <v>0.35</v>
      </c>
      <c r="T585" s="256">
        <f t="shared" si="161"/>
        <v>0.35</v>
      </c>
      <c r="U585" s="256">
        <f t="shared" si="162"/>
        <v>0.35</v>
      </c>
      <c r="V585" s="256">
        <f t="shared" si="163"/>
        <v>0.35</v>
      </c>
      <c r="W585" s="256">
        <f t="shared" si="165"/>
        <v>1</v>
      </c>
      <c r="X585" s="216"/>
      <c r="Y585" s="216"/>
    </row>
    <row r="586" spans="1:25" s="140" customFormat="1" ht="25.5" hidden="1" outlineLevel="5">
      <c r="A586" s="216"/>
      <c r="B586" s="255" t="s">
        <v>772</v>
      </c>
      <c r="C586" s="290" t="s">
        <v>237</v>
      </c>
      <c r="D586" s="227" t="s">
        <v>231</v>
      </c>
      <c r="E586" s="241"/>
      <c r="F586" s="228">
        <f t="shared" si="160"/>
        <v>9.0909090909090912E-2</v>
      </c>
      <c r="G586" s="269">
        <f>+F586*G582</f>
        <v>1.2712219761846836E-5</v>
      </c>
      <c r="H586" s="299"/>
      <c r="I586" s="299"/>
      <c r="J586" s="299"/>
      <c r="K586" s="299"/>
      <c r="L586" s="299"/>
      <c r="M586" s="299"/>
      <c r="N586" s="229">
        <v>1</v>
      </c>
      <c r="O586" s="229">
        <v>1</v>
      </c>
      <c r="P586" s="229">
        <v>1</v>
      </c>
      <c r="Q586" s="272">
        <v>0.35</v>
      </c>
      <c r="R586" s="272">
        <v>0.35</v>
      </c>
      <c r="S586" s="272">
        <v>0.35</v>
      </c>
      <c r="T586" s="256">
        <f t="shared" si="161"/>
        <v>0.35</v>
      </c>
      <c r="U586" s="256">
        <f t="shared" si="162"/>
        <v>0.35</v>
      </c>
      <c r="V586" s="256">
        <f t="shared" si="163"/>
        <v>0.35</v>
      </c>
      <c r="W586" s="256">
        <f t="shared" si="165"/>
        <v>1</v>
      </c>
      <c r="X586" s="216"/>
      <c r="Y586" s="216"/>
    </row>
    <row r="587" spans="1:25" s="140" customFormat="1" ht="25.5" hidden="1" outlineLevel="5">
      <c r="A587" s="216"/>
      <c r="B587" s="255" t="s">
        <v>773</v>
      </c>
      <c r="C587" s="290" t="s">
        <v>239</v>
      </c>
      <c r="D587" s="227" t="s">
        <v>231</v>
      </c>
      <c r="E587" s="241"/>
      <c r="F587" s="228">
        <f t="shared" si="160"/>
        <v>9.0909090909090912E-2</v>
      </c>
      <c r="G587" s="269">
        <f>+F587*G582</f>
        <v>1.2712219761846836E-5</v>
      </c>
      <c r="H587" s="299"/>
      <c r="I587" s="299"/>
      <c r="J587" s="299"/>
      <c r="K587" s="299"/>
      <c r="L587" s="299"/>
      <c r="M587" s="299"/>
      <c r="N587" s="229">
        <v>1</v>
      </c>
      <c r="O587" s="229">
        <v>1</v>
      </c>
      <c r="P587" s="229">
        <v>1</v>
      </c>
      <c r="Q587" s="272">
        <v>0.35</v>
      </c>
      <c r="R587" s="272">
        <v>0.35</v>
      </c>
      <c r="S587" s="272">
        <v>0.35</v>
      </c>
      <c r="T587" s="256">
        <f t="shared" si="161"/>
        <v>0.35</v>
      </c>
      <c r="U587" s="256">
        <f t="shared" si="162"/>
        <v>0.35</v>
      </c>
      <c r="V587" s="256">
        <f t="shared" si="163"/>
        <v>0.35</v>
      </c>
      <c r="W587" s="256">
        <f t="shared" si="165"/>
        <v>1</v>
      </c>
      <c r="X587" s="216"/>
      <c r="Y587" s="216"/>
    </row>
    <row r="588" spans="1:25" s="140" customFormat="1" ht="25.5" hidden="1" outlineLevel="5">
      <c r="A588" s="216"/>
      <c r="B588" s="255" t="s">
        <v>774</v>
      </c>
      <c r="C588" s="290" t="s">
        <v>241</v>
      </c>
      <c r="D588" s="227" t="s">
        <v>231</v>
      </c>
      <c r="E588" s="241"/>
      <c r="F588" s="228">
        <f t="shared" si="160"/>
        <v>9.0909090909090912E-2</v>
      </c>
      <c r="G588" s="269">
        <f>+F588*G582</f>
        <v>1.2712219761846836E-5</v>
      </c>
      <c r="H588" s="299"/>
      <c r="I588" s="299"/>
      <c r="J588" s="299"/>
      <c r="K588" s="299"/>
      <c r="L588" s="299"/>
      <c r="M588" s="299"/>
      <c r="N588" s="229">
        <v>1</v>
      </c>
      <c r="O588" s="229">
        <v>1</v>
      </c>
      <c r="P588" s="229">
        <v>1</v>
      </c>
      <c r="Q588" s="272">
        <v>0.35</v>
      </c>
      <c r="R588" s="272">
        <v>0.35</v>
      </c>
      <c r="S588" s="272">
        <v>0.35</v>
      </c>
      <c r="T588" s="256">
        <f t="shared" si="161"/>
        <v>0.35</v>
      </c>
      <c r="U588" s="256">
        <f t="shared" si="162"/>
        <v>0.35</v>
      </c>
      <c r="V588" s="256">
        <f t="shared" si="163"/>
        <v>0.35</v>
      </c>
      <c r="W588" s="256">
        <f t="shared" si="165"/>
        <v>1</v>
      </c>
      <c r="X588" s="216"/>
      <c r="Y588" s="216"/>
    </row>
    <row r="589" spans="1:25" s="140" customFormat="1" ht="25.5" hidden="1" outlineLevel="5">
      <c r="A589" s="216"/>
      <c r="B589" s="255" t="s">
        <v>775</v>
      </c>
      <c r="C589" s="290" t="s">
        <v>243</v>
      </c>
      <c r="D589" s="227" t="s">
        <v>231</v>
      </c>
      <c r="E589" s="241"/>
      <c r="F589" s="228">
        <f t="shared" si="160"/>
        <v>9.0909090909090912E-2</v>
      </c>
      <c r="G589" s="269">
        <f>+F589*G582</f>
        <v>1.2712219761846836E-5</v>
      </c>
      <c r="H589" s="299"/>
      <c r="I589" s="299"/>
      <c r="J589" s="299"/>
      <c r="K589" s="299"/>
      <c r="L589" s="299"/>
      <c r="M589" s="299"/>
      <c r="N589" s="229">
        <v>1</v>
      </c>
      <c r="O589" s="229">
        <v>1</v>
      </c>
      <c r="P589" s="229">
        <v>1</v>
      </c>
      <c r="Q589" s="272">
        <v>0.35</v>
      </c>
      <c r="R589" s="272">
        <v>0.35</v>
      </c>
      <c r="S589" s="272">
        <v>0.35</v>
      </c>
      <c r="T589" s="256">
        <f t="shared" si="161"/>
        <v>0.35</v>
      </c>
      <c r="U589" s="256">
        <f t="shared" si="162"/>
        <v>0.35</v>
      </c>
      <c r="V589" s="256">
        <f t="shared" si="163"/>
        <v>0.35</v>
      </c>
      <c r="W589" s="256">
        <f t="shared" si="165"/>
        <v>1</v>
      </c>
      <c r="X589" s="216"/>
      <c r="Y589" s="216"/>
    </row>
    <row r="590" spans="1:25" s="140" customFormat="1" ht="25.5" hidden="1" outlineLevel="5">
      <c r="A590" s="216"/>
      <c r="B590" s="255" t="s">
        <v>776</v>
      </c>
      <c r="C590" s="290" t="s">
        <v>245</v>
      </c>
      <c r="D590" s="227" t="s">
        <v>231</v>
      </c>
      <c r="E590" s="241"/>
      <c r="F590" s="228">
        <f t="shared" si="160"/>
        <v>9.0909090909090912E-2</v>
      </c>
      <c r="G590" s="269">
        <f>+F590*G582</f>
        <v>1.2712219761846836E-5</v>
      </c>
      <c r="H590" s="299"/>
      <c r="I590" s="299"/>
      <c r="J590" s="299"/>
      <c r="K590" s="299"/>
      <c r="L590" s="299"/>
      <c r="M590" s="299"/>
      <c r="N590" s="229">
        <v>1</v>
      </c>
      <c r="O590" s="229">
        <v>1</v>
      </c>
      <c r="P590" s="229">
        <v>1</v>
      </c>
      <c r="Q590" s="272">
        <v>0.35</v>
      </c>
      <c r="R590" s="272">
        <v>0.35</v>
      </c>
      <c r="S590" s="272">
        <v>0.35</v>
      </c>
      <c r="T590" s="256">
        <f t="shared" si="161"/>
        <v>0.35</v>
      </c>
      <c r="U590" s="256">
        <f t="shared" si="162"/>
        <v>0.35</v>
      </c>
      <c r="V590" s="256">
        <f t="shared" si="163"/>
        <v>0.35</v>
      </c>
      <c r="W590" s="256">
        <f t="shared" si="165"/>
        <v>1</v>
      </c>
      <c r="X590" s="216"/>
      <c r="Y590" s="216"/>
    </row>
    <row r="591" spans="1:25" s="140" customFormat="1" ht="25.5" hidden="1" outlineLevel="5">
      <c r="A591" s="216"/>
      <c r="B591" s="255" t="s">
        <v>777</v>
      </c>
      <c r="C591" s="290" t="s">
        <v>247</v>
      </c>
      <c r="D591" s="227" t="s">
        <v>231</v>
      </c>
      <c r="E591" s="241"/>
      <c r="F591" s="228">
        <f t="shared" si="160"/>
        <v>9.0909090909090912E-2</v>
      </c>
      <c r="G591" s="269">
        <f>+F591*G582</f>
        <v>1.2712219761846836E-5</v>
      </c>
      <c r="H591" s="299"/>
      <c r="I591" s="299"/>
      <c r="J591" s="299"/>
      <c r="K591" s="299"/>
      <c r="L591" s="299"/>
      <c r="M591" s="299"/>
      <c r="N591" s="229">
        <v>1</v>
      </c>
      <c r="O591" s="229">
        <v>1</v>
      </c>
      <c r="P591" s="229">
        <v>1</v>
      </c>
      <c r="Q591" s="272">
        <v>0.35</v>
      </c>
      <c r="R591" s="272">
        <v>0.35</v>
      </c>
      <c r="S591" s="272">
        <v>0.35</v>
      </c>
      <c r="T591" s="256">
        <f t="shared" si="161"/>
        <v>0.35</v>
      </c>
      <c r="U591" s="256">
        <f t="shared" si="162"/>
        <v>0.35</v>
      </c>
      <c r="V591" s="256">
        <f t="shared" si="163"/>
        <v>0.35</v>
      </c>
      <c r="W591" s="256">
        <f t="shared" si="165"/>
        <v>1</v>
      </c>
      <c r="X591" s="216"/>
      <c r="Y591" s="216"/>
    </row>
    <row r="592" spans="1:25" s="140" customFormat="1" ht="25.5" hidden="1" outlineLevel="5">
      <c r="A592" s="216"/>
      <c r="B592" s="255" t="s">
        <v>778</v>
      </c>
      <c r="C592" s="290" t="s">
        <v>249</v>
      </c>
      <c r="D592" s="227" t="s">
        <v>231</v>
      </c>
      <c r="E592" s="241"/>
      <c r="F592" s="228">
        <f t="shared" si="160"/>
        <v>9.0909090909090912E-2</v>
      </c>
      <c r="G592" s="269">
        <f>+F592*G582</f>
        <v>1.2712219761846836E-5</v>
      </c>
      <c r="H592" s="299"/>
      <c r="I592" s="299"/>
      <c r="J592" s="299"/>
      <c r="K592" s="299"/>
      <c r="L592" s="299"/>
      <c r="M592" s="299"/>
      <c r="N592" s="229">
        <v>1</v>
      </c>
      <c r="O592" s="229">
        <v>1</v>
      </c>
      <c r="P592" s="229">
        <v>1</v>
      </c>
      <c r="Q592" s="272">
        <v>0.35</v>
      </c>
      <c r="R592" s="272">
        <v>0.35</v>
      </c>
      <c r="S592" s="272">
        <v>0.35</v>
      </c>
      <c r="T592" s="256">
        <f t="shared" si="161"/>
        <v>0.35</v>
      </c>
      <c r="U592" s="256">
        <f t="shared" si="162"/>
        <v>0.35</v>
      </c>
      <c r="V592" s="256">
        <f t="shared" si="163"/>
        <v>0.35</v>
      </c>
      <c r="W592" s="256">
        <f t="shared" si="165"/>
        <v>1</v>
      </c>
      <c r="X592" s="216"/>
      <c r="Y592" s="216"/>
    </row>
    <row r="593" spans="1:25" s="140" customFormat="1" ht="25.5" hidden="1" outlineLevel="5">
      <c r="A593" s="216"/>
      <c r="B593" s="255" t="s">
        <v>779</v>
      </c>
      <c r="C593" s="290" t="s">
        <v>251</v>
      </c>
      <c r="D593" s="227" t="s">
        <v>231</v>
      </c>
      <c r="E593" s="241"/>
      <c r="F593" s="228">
        <f t="shared" si="160"/>
        <v>9.0909090909090912E-2</v>
      </c>
      <c r="G593" s="269">
        <f>+F593*G582</f>
        <v>1.2712219761846836E-5</v>
      </c>
      <c r="H593" s="299"/>
      <c r="I593" s="299"/>
      <c r="J593" s="299"/>
      <c r="K593" s="299"/>
      <c r="L593" s="299"/>
      <c r="M593" s="299"/>
      <c r="N593" s="229">
        <v>1</v>
      </c>
      <c r="O593" s="229">
        <v>1</v>
      </c>
      <c r="P593" s="229">
        <v>1</v>
      </c>
      <c r="Q593" s="272">
        <v>0.35</v>
      </c>
      <c r="R593" s="272">
        <v>0.35</v>
      </c>
      <c r="S593" s="272">
        <v>0.35</v>
      </c>
      <c r="T593" s="256">
        <f t="shared" si="161"/>
        <v>0.35</v>
      </c>
      <c r="U593" s="256">
        <f t="shared" si="162"/>
        <v>0.35</v>
      </c>
      <c r="V593" s="256">
        <f t="shared" si="163"/>
        <v>0.35</v>
      </c>
      <c r="W593" s="256">
        <f t="shared" si="165"/>
        <v>1</v>
      </c>
      <c r="X593" s="216"/>
      <c r="Y593" s="216"/>
    </row>
    <row r="594" spans="1:25" s="140" customFormat="1" ht="25.5" hidden="1" outlineLevel="4">
      <c r="A594" s="216"/>
      <c r="B594" s="291" t="s">
        <v>780</v>
      </c>
      <c r="C594" s="292" t="s">
        <v>39</v>
      </c>
      <c r="D594" s="234" t="s">
        <v>33</v>
      </c>
      <c r="E594" s="240"/>
      <c r="F594" s="223">
        <f t="shared" si="160"/>
        <v>9.6849312518274097E-2</v>
      </c>
      <c r="G594" s="293">
        <f>+F594*G533</f>
        <v>1.4940136097520634E-4</v>
      </c>
      <c r="H594" s="298"/>
      <c r="I594" s="298"/>
      <c r="J594" s="298"/>
      <c r="K594" s="298"/>
      <c r="L594" s="298"/>
      <c r="M594" s="298"/>
      <c r="N594" s="224">
        <f t="shared" ref="N594:S594" si="166">+SUMPRODUCT($F595:$F606,N595:N606)</f>
        <v>1</v>
      </c>
      <c r="O594" s="224">
        <f t="shared" si="166"/>
        <v>1</v>
      </c>
      <c r="P594" s="224">
        <f t="shared" si="166"/>
        <v>1</v>
      </c>
      <c r="Q594" s="270">
        <f t="shared" si="166"/>
        <v>0.8999999999999998</v>
      </c>
      <c r="R594" s="270">
        <f t="shared" si="166"/>
        <v>0.8999999999999998</v>
      </c>
      <c r="S594" s="270">
        <f t="shared" si="166"/>
        <v>0.8999999999999998</v>
      </c>
      <c r="T594" s="254">
        <f t="shared" si="161"/>
        <v>0.8999999999999998</v>
      </c>
      <c r="U594" s="254">
        <f t="shared" si="162"/>
        <v>0.8999999999999998</v>
      </c>
      <c r="V594" s="254">
        <f t="shared" si="163"/>
        <v>0.8999999999999998</v>
      </c>
      <c r="W594" s="254">
        <f t="shared" si="165"/>
        <v>1</v>
      </c>
      <c r="X594" s="216"/>
      <c r="Y594" s="216"/>
    </row>
    <row r="595" spans="1:25" s="140" customFormat="1" ht="25.5" hidden="1" outlineLevel="5">
      <c r="A595" s="216"/>
      <c r="B595" s="255" t="s">
        <v>781</v>
      </c>
      <c r="C595" s="290" t="s">
        <v>230</v>
      </c>
      <c r="D595" s="227" t="s">
        <v>231</v>
      </c>
      <c r="E595" s="241"/>
      <c r="F595" s="228">
        <f t="shared" si="160"/>
        <v>8.3333333333333329E-2</v>
      </c>
      <c r="G595" s="269">
        <f>+F595*G594</f>
        <v>1.2450113414600527E-5</v>
      </c>
      <c r="H595" s="299"/>
      <c r="I595" s="299"/>
      <c r="J595" s="299"/>
      <c r="K595" s="299"/>
      <c r="L595" s="299"/>
      <c r="M595" s="299"/>
      <c r="N595" s="229">
        <v>1</v>
      </c>
      <c r="O595" s="229">
        <v>1</v>
      </c>
      <c r="P595" s="229">
        <v>1</v>
      </c>
      <c r="Q595" s="272">
        <v>0.9</v>
      </c>
      <c r="R595" s="272">
        <v>0.9</v>
      </c>
      <c r="S595" s="272">
        <v>0.9</v>
      </c>
      <c r="T595" s="256">
        <f t="shared" si="161"/>
        <v>0.9</v>
      </c>
      <c r="U595" s="256">
        <f t="shared" si="162"/>
        <v>0.9</v>
      </c>
      <c r="V595" s="256">
        <f t="shared" si="163"/>
        <v>0.9</v>
      </c>
      <c r="W595" s="256">
        <f t="shared" si="165"/>
        <v>1</v>
      </c>
      <c r="X595" s="216"/>
      <c r="Y595" s="216"/>
    </row>
    <row r="596" spans="1:25" s="140" customFormat="1" ht="25.5" hidden="1" outlineLevel="5">
      <c r="A596" s="216"/>
      <c r="B596" s="255" t="s">
        <v>782</v>
      </c>
      <c r="C596" s="290" t="s">
        <v>233</v>
      </c>
      <c r="D596" s="227" t="s">
        <v>231</v>
      </c>
      <c r="E596" s="241"/>
      <c r="F596" s="228">
        <f t="shared" si="160"/>
        <v>8.3333333333333329E-2</v>
      </c>
      <c r="G596" s="269">
        <f>+F596*G594</f>
        <v>1.2450113414600527E-5</v>
      </c>
      <c r="H596" s="299"/>
      <c r="I596" s="299"/>
      <c r="J596" s="299"/>
      <c r="K596" s="299"/>
      <c r="L596" s="299"/>
      <c r="M596" s="299"/>
      <c r="N596" s="229">
        <v>1</v>
      </c>
      <c r="O596" s="229">
        <v>1</v>
      </c>
      <c r="P596" s="229">
        <v>1</v>
      </c>
      <c r="Q596" s="272">
        <v>0.9</v>
      </c>
      <c r="R596" s="272">
        <v>0.9</v>
      </c>
      <c r="S596" s="272">
        <v>0.9</v>
      </c>
      <c r="T596" s="256">
        <f t="shared" si="161"/>
        <v>0.9</v>
      </c>
      <c r="U596" s="256">
        <f t="shared" si="162"/>
        <v>0.9</v>
      </c>
      <c r="V596" s="256">
        <f t="shared" si="163"/>
        <v>0.9</v>
      </c>
      <c r="W596" s="256">
        <f t="shared" si="165"/>
        <v>1</v>
      </c>
      <c r="X596" s="216"/>
      <c r="Y596" s="216"/>
    </row>
    <row r="597" spans="1:25" s="140" customFormat="1" ht="25.5" hidden="1" outlineLevel="5">
      <c r="A597" s="216"/>
      <c r="B597" s="255" t="s">
        <v>783</v>
      </c>
      <c r="C597" s="290" t="s">
        <v>235</v>
      </c>
      <c r="D597" s="227" t="s">
        <v>231</v>
      </c>
      <c r="E597" s="241"/>
      <c r="F597" s="228">
        <f t="shared" ref="F597:F628" si="167">F783</f>
        <v>8.3333333333333329E-2</v>
      </c>
      <c r="G597" s="269">
        <f>+F597*G594</f>
        <v>1.2450113414600527E-5</v>
      </c>
      <c r="H597" s="299"/>
      <c r="I597" s="299"/>
      <c r="J597" s="299"/>
      <c r="K597" s="299"/>
      <c r="L597" s="299"/>
      <c r="M597" s="299"/>
      <c r="N597" s="229">
        <v>1</v>
      </c>
      <c r="O597" s="229">
        <v>1</v>
      </c>
      <c r="P597" s="229">
        <v>1</v>
      </c>
      <c r="Q597" s="272">
        <v>0.9</v>
      </c>
      <c r="R597" s="272">
        <v>0.9</v>
      </c>
      <c r="S597" s="272">
        <v>0.9</v>
      </c>
      <c r="T597" s="256">
        <f t="shared" ref="T597:T628" si="168">+IF(N597=0,0,$S597/N597)</f>
        <v>0.9</v>
      </c>
      <c r="U597" s="256">
        <f t="shared" ref="U597:U628" si="169">+IF(O597=0,0,$S597/O597)</f>
        <v>0.9</v>
      </c>
      <c r="V597" s="256">
        <f t="shared" ref="V597:V628" si="170">+IF(P597=0,0,$S597/P597)</f>
        <v>0.9</v>
      </c>
      <c r="W597" s="256">
        <f t="shared" si="165"/>
        <v>1</v>
      </c>
      <c r="X597" s="216"/>
      <c r="Y597" s="216"/>
    </row>
    <row r="598" spans="1:25" s="140" customFormat="1" ht="25.5" hidden="1" outlineLevel="5">
      <c r="A598" s="216"/>
      <c r="B598" s="255" t="s">
        <v>784</v>
      </c>
      <c r="C598" s="290" t="s">
        <v>237</v>
      </c>
      <c r="D598" s="227" t="s">
        <v>231</v>
      </c>
      <c r="E598" s="241"/>
      <c r="F598" s="228">
        <f t="shared" si="167"/>
        <v>8.3333333333333329E-2</v>
      </c>
      <c r="G598" s="269">
        <f>+F598*G594</f>
        <v>1.2450113414600527E-5</v>
      </c>
      <c r="H598" s="299"/>
      <c r="I598" s="299"/>
      <c r="J598" s="299"/>
      <c r="K598" s="299"/>
      <c r="L598" s="299"/>
      <c r="M598" s="299"/>
      <c r="N598" s="229">
        <v>1</v>
      </c>
      <c r="O598" s="229">
        <v>1</v>
      </c>
      <c r="P598" s="229">
        <v>1</v>
      </c>
      <c r="Q598" s="272">
        <v>0.9</v>
      </c>
      <c r="R598" s="272">
        <v>0.9</v>
      </c>
      <c r="S598" s="272">
        <v>0.9</v>
      </c>
      <c r="T598" s="256">
        <f t="shared" si="168"/>
        <v>0.9</v>
      </c>
      <c r="U598" s="256">
        <f t="shared" si="169"/>
        <v>0.9</v>
      </c>
      <c r="V598" s="256">
        <f t="shared" si="170"/>
        <v>0.9</v>
      </c>
      <c r="W598" s="256">
        <f t="shared" si="165"/>
        <v>1</v>
      </c>
      <c r="X598" s="216"/>
      <c r="Y598" s="216"/>
    </row>
    <row r="599" spans="1:25" s="140" customFormat="1" ht="25.5" hidden="1" outlineLevel="5">
      <c r="A599" s="216"/>
      <c r="B599" s="255" t="s">
        <v>785</v>
      </c>
      <c r="C599" s="290" t="s">
        <v>239</v>
      </c>
      <c r="D599" s="227" t="s">
        <v>231</v>
      </c>
      <c r="E599" s="241"/>
      <c r="F599" s="228">
        <f t="shared" si="167"/>
        <v>8.3333333333333329E-2</v>
      </c>
      <c r="G599" s="269">
        <f>+F599*G594</f>
        <v>1.2450113414600527E-5</v>
      </c>
      <c r="H599" s="299"/>
      <c r="I599" s="299"/>
      <c r="J599" s="299"/>
      <c r="K599" s="299"/>
      <c r="L599" s="299"/>
      <c r="M599" s="299"/>
      <c r="N599" s="229">
        <v>1</v>
      </c>
      <c r="O599" s="229">
        <v>1</v>
      </c>
      <c r="P599" s="229">
        <v>1</v>
      </c>
      <c r="Q599" s="272">
        <v>0.9</v>
      </c>
      <c r="R599" s="272">
        <v>0.9</v>
      </c>
      <c r="S599" s="272">
        <v>0.9</v>
      </c>
      <c r="T599" s="256">
        <f t="shared" si="168"/>
        <v>0.9</v>
      </c>
      <c r="U599" s="256">
        <f t="shared" si="169"/>
        <v>0.9</v>
      </c>
      <c r="V599" s="256">
        <f t="shared" si="170"/>
        <v>0.9</v>
      </c>
      <c r="W599" s="256">
        <f t="shared" si="165"/>
        <v>1</v>
      </c>
      <c r="X599" s="216"/>
      <c r="Y599" s="216"/>
    </row>
    <row r="600" spans="1:25" s="140" customFormat="1" ht="25.5" hidden="1" outlineLevel="5">
      <c r="A600" s="216"/>
      <c r="B600" s="255" t="s">
        <v>786</v>
      </c>
      <c r="C600" s="290" t="s">
        <v>241</v>
      </c>
      <c r="D600" s="227" t="s">
        <v>231</v>
      </c>
      <c r="E600" s="241"/>
      <c r="F600" s="228">
        <f t="shared" si="167"/>
        <v>8.3333333333333329E-2</v>
      </c>
      <c r="G600" s="269">
        <f>+F600*G594</f>
        <v>1.2450113414600527E-5</v>
      </c>
      <c r="H600" s="299"/>
      <c r="I600" s="299"/>
      <c r="J600" s="299"/>
      <c r="K600" s="299"/>
      <c r="L600" s="299"/>
      <c r="M600" s="299"/>
      <c r="N600" s="229">
        <v>1</v>
      </c>
      <c r="O600" s="229">
        <v>1</v>
      </c>
      <c r="P600" s="229">
        <v>1</v>
      </c>
      <c r="Q600" s="272">
        <v>0.9</v>
      </c>
      <c r="R600" s="272">
        <v>0.9</v>
      </c>
      <c r="S600" s="272">
        <v>0.9</v>
      </c>
      <c r="T600" s="256">
        <f t="shared" si="168"/>
        <v>0.9</v>
      </c>
      <c r="U600" s="256">
        <f t="shared" si="169"/>
        <v>0.9</v>
      </c>
      <c r="V600" s="256">
        <f t="shared" si="170"/>
        <v>0.9</v>
      </c>
      <c r="W600" s="256">
        <f t="shared" si="165"/>
        <v>1</v>
      </c>
      <c r="X600" s="216"/>
      <c r="Y600" s="216"/>
    </row>
    <row r="601" spans="1:25" s="140" customFormat="1" ht="25.5" hidden="1" outlineLevel="5">
      <c r="A601" s="216"/>
      <c r="B601" s="255" t="s">
        <v>787</v>
      </c>
      <c r="C601" s="290" t="s">
        <v>243</v>
      </c>
      <c r="D601" s="227" t="s">
        <v>231</v>
      </c>
      <c r="E601" s="241"/>
      <c r="F601" s="228">
        <f t="shared" si="167"/>
        <v>8.3333333333333329E-2</v>
      </c>
      <c r="G601" s="269">
        <f>+F601*G594</f>
        <v>1.2450113414600527E-5</v>
      </c>
      <c r="H601" s="299"/>
      <c r="I601" s="299"/>
      <c r="J601" s="299"/>
      <c r="K601" s="299"/>
      <c r="L601" s="299"/>
      <c r="M601" s="299"/>
      <c r="N601" s="229">
        <v>1</v>
      </c>
      <c r="O601" s="229">
        <v>1</v>
      </c>
      <c r="P601" s="229">
        <v>1</v>
      </c>
      <c r="Q601" s="272">
        <v>0.9</v>
      </c>
      <c r="R601" s="272">
        <v>0.9</v>
      </c>
      <c r="S601" s="272">
        <v>0.9</v>
      </c>
      <c r="T601" s="256">
        <f t="shared" si="168"/>
        <v>0.9</v>
      </c>
      <c r="U601" s="256">
        <f t="shared" si="169"/>
        <v>0.9</v>
      </c>
      <c r="V601" s="256">
        <f t="shared" si="170"/>
        <v>0.9</v>
      </c>
      <c r="W601" s="256">
        <f t="shared" si="165"/>
        <v>1</v>
      </c>
      <c r="X601" s="216"/>
      <c r="Y601" s="216"/>
    </row>
    <row r="602" spans="1:25" s="140" customFormat="1" ht="25.5" hidden="1" outlineLevel="5">
      <c r="A602" s="216"/>
      <c r="B602" s="255" t="s">
        <v>788</v>
      </c>
      <c r="C602" s="290" t="s">
        <v>245</v>
      </c>
      <c r="D602" s="227" t="s">
        <v>231</v>
      </c>
      <c r="E602" s="241"/>
      <c r="F602" s="228">
        <f t="shared" si="167"/>
        <v>8.3333333333333329E-2</v>
      </c>
      <c r="G602" s="269">
        <f>+F602*G594</f>
        <v>1.2450113414600527E-5</v>
      </c>
      <c r="H602" s="299"/>
      <c r="I602" s="299"/>
      <c r="J602" s="299"/>
      <c r="K602" s="299"/>
      <c r="L602" s="299"/>
      <c r="M602" s="299"/>
      <c r="N602" s="229">
        <v>1</v>
      </c>
      <c r="O602" s="229">
        <v>1</v>
      </c>
      <c r="P602" s="229">
        <v>1</v>
      </c>
      <c r="Q602" s="272">
        <v>0.9</v>
      </c>
      <c r="R602" s="272">
        <v>0.9</v>
      </c>
      <c r="S602" s="272">
        <v>0.9</v>
      </c>
      <c r="T602" s="256">
        <f t="shared" si="168"/>
        <v>0.9</v>
      </c>
      <c r="U602" s="256">
        <f t="shared" si="169"/>
        <v>0.9</v>
      </c>
      <c r="V602" s="256">
        <f t="shared" si="170"/>
        <v>0.9</v>
      </c>
      <c r="W602" s="256">
        <f t="shared" si="165"/>
        <v>1</v>
      </c>
      <c r="X602" s="216"/>
      <c r="Y602" s="216"/>
    </row>
    <row r="603" spans="1:25" s="140" customFormat="1" ht="25.5" hidden="1" outlineLevel="5">
      <c r="A603" s="216"/>
      <c r="B603" s="255" t="s">
        <v>789</v>
      </c>
      <c r="C603" s="290" t="s">
        <v>247</v>
      </c>
      <c r="D603" s="227" t="s">
        <v>231</v>
      </c>
      <c r="E603" s="241"/>
      <c r="F603" s="228">
        <f t="shared" si="167"/>
        <v>8.3333333333333329E-2</v>
      </c>
      <c r="G603" s="269">
        <f>+F603*G594</f>
        <v>1.2450113414600527E-5</v>
      </c>
      <c r="H603" s="299"/>
      <c r="I603" s="299"/>
      <c r="J603" s="299"/>
      <c r="K603" s="299"/>
      <c r="L603" s="299"/>
      <c r="M603" s="299"/>
      <c r="N603" s="229">
        <v>1</v>
      </c>
      <c r="O603" s="229">
        <v>1</v>
      </c>
      <c r="P603" s="229">
        <v>1</v>
      </c>
      <c r="Q603" s="272">
        <v>0.9</v>
      </c>
      <c r="R603" s="272">
        <v>0.9</v>
      </c>
      <c r="S603" s="272">
        <v>0.9</v>
      </c>
      <c r="T603" s="256">
        <f t="shared" si="168"/>
        <v>0.9</v>
      </c>
      <c r="U603" s="256">
        <f t="shared" si="169"/>
        <v>0.9</v>
      </c>
      <c r="V603" s="256">
        <f t="shared" si="170"/>
        <v>0.9</v>
      </c>
      <c r="W603" s="256">
        <f t="shared" si="165"/>
        <v>1</v>
      </c>
      <c r="X603" s="216"/>
      <c r="Y603" s="216"/>
    </row>
    <row r="604" spans="1:25" s="140" customFormat="1" ht="25.5" hidden="1" outlineLevel="5">
      <c r="A604" s="216"/>
      <c r="B604" s="255" t="s">
        <v>790</v>
      </c>
      <c r="C604" s="290" t="s">
        <v>249</v>
      </c>
      <c r="D604" s="227" t="s">
        <v>231</v>
      </c>
      <c r="E604" s="241"/>
      <c r="F604" s="228">
        <f t="shared" si="167"/>
        <v>8.3333333333333329E-2</v>
      </c>
      <c r="G604" s="269">
        <f>+F604*G594</f>
        <v>1.2450113414600527E-5</v>
      </c>
      <c r="H604" s="299"/>
      <c r="I604" s="299"/>
      <c r="J604" s="299"/>
      <c r="K604" s="299"/>
      <c r="L604" s="299"/>
      <c r="M604" s="299"/>
      <c r="N604" s="229">
        <v>1</v>
      </c>
      <c r="O604" s="229">
        <v>1</v>
      </c>
      <c r="P604" s="229">
        <v>1</v>
      </c>
      <c r="Q604" s="272">
        <v>0.9</v>
      </c>
      <c r="R604" s="272">
        <v>0.9</v>
      </c>
      <c r="S604" s="272">
        <v>0.9</v>
      </c>
      <c r="T604" s="256">
        <f t="shared" si="168"/>
        <v>0.9</v>
      </c>
      <c r="U604" s="256">
        <f t="shared" si="169"/>
        <v>0.9</v>
      </c>
      <c r="V604" s="256">
        <f t="shared" si="170"/>
        <v>0.9</v>
      </c>
      <c r="W604" s="256">
        <f t="shared" si="165"/>
        <v>1</v>
      </c>
      <c r="X604" s="216"/>
      <c r="Y604" s="216"/>
    </row>
    <row r="605" spans="1:25" s="140" customFormat="1" ht="25.5" hidden="1" outlineLevel="5">
      <c r="A605" s="216"/>
      <c r="B605" s="255" t="s">
        <v>791</v>
      </c>
      <c r="C605" s="290" t="s">
        <v>251</v>
      </c>
      <c r="D605" s="227" t="s">
        <v>231</v>
      </c>
      <c r="E605" s="241"/>
      <c r="F605" s="228">
        <f t="shared" si="167"/>
        <v>8.3333333333333329E-2</v>
      </c>
      <c r="G605" s="269">
        <f>+F605*G594</f>
        <v>1.2450113414600527E-5</v>
      </c>
      <c r="H605" s="299"/>
      <c r="I605" s="299"/>
      <c r="J605" s="299"/>
      <c r="K605" s="299"/>
      <c r="L605" s="299"/>
      <c r="M605" s="299"/>
      <c r="N605" s="229">
        <v>1</v>
      </c>
      <c r="O605" s="229">
        <v>1</v>
      </c>
      <c r="P605" s="229">
        <v>1</v>
      </c>
      <c r="Q605" s="272">
        <v>0.9</v>
      </c>
      <c r="R605" s="272">
        <v>0.9</v>
      </c>
      <c r="S605" s="272">
        <v>0.9</v>
      </c>
      <c r="T605" s="256">
        <f t="shared" si="168"/>
        <v>0.9</v>
      </c>
      <c r="U605" s="256">
        <f t="shared" si="169"/>
        <v>0.9</v>
      </c>
      <c r="V605" s="256">
        <f t="shared" si="170"/>
        <v>0.9</v>
      </c>
      <c r="W605" s="256">
        <f t="shared" si="165"/>
        <v>1</v>
      </c>
      <c r="X605" s="216"/>
      <c r="Y605" s="216"/>
    </row>
    <row r="606" spans="1:25" s="140" customFormat="1" ht="25.5" hidden="1" outlineLevel="5">
      <c r="A606" s="216"/>
      <c r="B606" s="255" t="s">
        <v>792</v>
      </c>
      <c r="C606" s="290" t="s">
        <v>253</v>
      </c>
      <c r="D606" s="227" t="s">
        <v>231</v>
      </c>
      <c r="E606" s="241"/>
      <c r="F606" s="228">
        <f t="shared" si="167"/>
        <v>8.3333333333333329E-2</v>
      </c>
      <c r="G606" s="269">
        <f>+F606*G594</f>
        <v>1.2450113414600527E-5</v>
      </c>
      <c r="H606" s="299"/>
      <c r="I606" s="299"/>
      <c r="J606" s="299"/>
      <c r="K606" s="299"/>
      <c r="L606" s="299"/>
      <c r="M606" s="299"/>
      <c r="N606" s="229">
        <v>1</v>
      </c>
      <c r="O606" s="229">
        <v>1</v>
      </c>
      <c r="P606" s="229">
        <v>1</v>
      </c>
      <c r="Q606" s="272">
        <v>0.9</v>
      </c>
      <c r="R606" s="272">
        <v>0.9</v>
      </c>
      <c r="S606" s="272">
        <v>0.9</v>
      </c>
      <c r="T606" s="256">
        <f t="shared" si="168"/>
        <v>0.9</v>
      </c>
      <c r="U606" s="256">
        <f t="shared" si="169"/>
        <v>0.9</v>
      </c>
      <c r="V606" s="256">
        <f t="shared" si="170"/>
        <v>0.9</v>
      </c>
      <c r="W606" s="256">
        <f t="shared" si="165"/>
        <v>1</v>
      </c>
      <c r="X606" s="216"/>
      <c r="Y606" s="216"/>
    </row>
    <row r="607" spans="1:25" s="140" customFormat="1" ht="25.5" hidden="1" outlineLevel="4">
      <c r="A607" s="216"/>
      <c r="B607" s="291" t="s">
        <v>793</v>
      </c>
      <c r="C607" s="292" t="s">
        <v>41</v>
      </c>
      <c r="D607" s="234" t="s">
        <v>33</v>
      </c>
      <c r="E607" s="240"/>
      <c r="F607" s="223">
        <f t="shared" si="167"/>
        <v>0.11049772843953055</v>
      </c>
      <c r="G607" s="293">
        <f>+F607*G533</f>
        <v>1.7045563447256999E-4</v>
      </c>
      <c r="H607" s="298"/>
      <c r="I607" s="298"/>
      <c r="J607" s="298"/>
      <c r="K607" s="298"/>
      <c r="L607" s="298"/>
      <c r="M607" s="298"/>
      <c r="N607" s="224">
        <f t="shared" ref="N607:S607" si="171">+SUMPRODUCT($F608:$F621,N608:N621)</f>
        <v>0.99999999999999967</v>
      </c>
      <c r="O607" s="224">
        <f t="shared" si="171"/>
        <v>0.99999999999999967</v>
      </c>
      <c r="P607" s="224">
        <f t="shared" si="171"/>
        <v>0.99999999999999967</v>
      </c>
      <c r="Q607" s="270">
        <f t="shared" si="171"/>
        <v>0.7213999999999996</v>
      </c>
      <c r="R607" s="270">
        <f t="shared" si="171"/>
        <v>0.7213999999999996</v>
      </c>
      <c r="S607" s="270">
        <f t="shared" si="171"/>
        <v>0.85289999999999988</v>
      </c>
      <c r="T607" s="254">
        <f t="shared" si="168"/>
        <v>0.85290000000000021</v>
      </c>
      <c r="U607" s="254">
        <f t="shared" si="169"/>
        <v>0.85290000000000021</v>
      </c>
      <c r="V607" s="254">
        <f t="shared" si="170"/>
        <v>0.85290000000000021</v>
      </c>
      <c r="W607" s="254">
        <f t="shared" si="165"/>
        <v>1.182284446908789</v>
      </c>
      <c r="X607" s="216"/>
      <c r="Y607" s="216"/>
    </row>
    <row r="608" spans="1:25" s="140" customFormat="1" ht="25.5" hidden="1" outlineLevel="5">
      <c r="A608" s="216"/>
      <c r="B608" s="255" t="s">
        <v>794</v>
      </c>
      <c r="C608" s="290" t="s">
        <v>230</v>
      </c>
      <c r="D608" s="227" t="s">
        <v>231</v>
      </c>
      <c r="E608" s="241"/>
      <c r="F608" s="228">
        <f t="shared" si="167"/>
        <v>7.1428571428571411E-2</v>
      </c>
      <c r="G608" s="269">
        <f>+F608*G607</f>
        <v>1.2175402462326425E-5</v>
      </c>
      <c r="H608" s="299"/>
      <c r="I608" s="299"/>
      <c r="J608" s="299"/>
      <c r="K608" s="299"/>
      <c r="L608" s="299"/>
      <c r="M608" s="299"/>
      <c r="N608" s="229">
        <v>1</v>
      </c>
      <c r="O608" s="229">
        <v>1</v>
      </c>
      <c r="P608" s="229">
        <v>1</v>
      </c>
      <c r="Q608" s="272">
        <v>0.72140000000000004</v>
      </c>
      <c r="R608" s="272">
        <v>0.72140000000000004</v>
      </c>
      <c r="S608" s="272">
        <v>0.85289999999999999</v>
      </c>
      <c r="T608" s="256">
        <f t="shared" si="168"/>
        <v>0.85289999999999999</v>
      </c>
      <c r="U608" s="256">
        <f t="shared" si="169"/>
        <v>0.85289999999999999</v>
      </c>
      <c r="V608" s="256">
        <f t="shared" si="170"/>
        <v>0.85289999999999999</v>
      </c>
      <c r="W608" s="256">
        <f t="shared" si="165"/>
        <v>1.1822844469087883</v>
      </c>
      <c r="X608" s="216"/>
      <c r="Y608" s="216"/>
    </row>
    <row r="609" spans="1:25" s="140" customFormat="1" ht="25.5" hidden="1" outlineLevel="5">
      <c r="A609" s="216"/>
      <c r="B609" s="255" t="s">
        <v>795</v>
      </c>
      <c r="C609" s="290" t="s">
        <v>233</v>
      </c>
      <c r="D609" s="227" t="s">
        <v>231</v>
      </c>
      <c r="E609" s="241"/>
      <c r="F609" s="228">
        <f t="shared" si="167"/>
        <v>7.1428571428571411E-2</v>
      </c>
      <c r="G609" s="269">
        <f>+F609*G607</f>
        <v>1.2175402462326425E-5</v>
      </c>
      <c r="H609" s="299"/>
      <c r="I609" s="299"/>
      <c r="J609" s="299"/>
      <c r="K609" s="299"/>
      <c r="L609" s="299"/>
      <c r="M609" s="299"/>
      <c r="N609" s="229">
        <v>1</v>
      </c>
      <c r="O609" s="229">
        <v>1</v>
      </c>
      <c r="P609" s="229">
        <v>1</v>
      </c>
      <c r="Q609" s="272">
        <v>0.72140000000000004</v>
      </c>
      <c r="R609" s="272">
        <v>0.72140000000000004</v>
      </c>
      <c r="S609" s="272">
        <v>0.85289999999999999</v>
      </c>
      <c r="T609" s="256">
        <f t="shared" si="168"/>
        <v>0.85289999999999999</v>
      </c>
      <c r="U609" s="256">
        <f t="shared" si="169"/>
        <v>0.85289999999999999</v>
      </c>
      <c r="V609" s="256">
        <f t="shared" si="170"/>
        <v>0.85289999999999999</v>
      </c>
      <c r="W609" s="256">
        <f t="shared" si="165"/>
        <v>1.1822844469087883</v>
      </c>
      <c r="X609" s="216"/>
      <c r="Y609" s="216"/>
    </row>
    <row r="610" spans="1:25" s="140" customFormat="1" ht="25.5" hidden="1" outlineLevel="5">
      <c r="A610" s="216"/>
      <c r="B610" s="255" t="s">
        <v>796</v>
      </c>
      <c r="C610" s="290" t="s">
        <v>235</v>
      </c>
      <c r="D610" s="227" t="s">
        <v>231</v>
      </c>
      <c r="E610" s="241"/>
      <c r="F610" s="228">
        <f t="shared" si="167"/>
        <v>7.1428571428571411E-2</v>
      </c>
      <c r="G610" s="269">
        <f>+F610*G607</f>
        <v>1.2175402462326425E-5</v>
      </c>
      <c r="H610" s="299"/>
      <c r="I610" s="299"/>
      <c r="J610" s="299"/>
      <c r="K610" s="299"/>
      <c r="L610" s="299"/>
      <c r="M610" s="299"/>
      <c r="N610" s="229">
        <v>1</v>
      </c>
      <c r="O610" s="229">
        <v>1</v>
      </c>
      <c r="P610" s="229">
        <v>1</v>
      </c>
      <c r="Q610" s="272">
        <v>0.72140000000000004</v>
      </c>
      <c r="R610" s="272">
        <v>0.72140000000000004</v>
      </c>
      <c r="S610" s="272">
        <v>0.85289999999999999</v>
      </c>
      <c r="T610" s="256">
        <f t="shared" si="168"/>
        <v>0.85289999999999999</v>
      </c>
      <c r="U610" s="256">
        <f t="shared" si="169"/>
        <v>0.85289999999999999</v>
      </c>
      <c r="V610" s="256">
        <f t="shared" si="170"/>
        <v>0.85289999999999999</v>
      </c>
      <c r="W610" s="256">
        <f t="shared" si="165"/>
        <v>1.1822844469087883</v>
      </c>
      <c r="X610" s="216"/>
      <c r="Y610" s="216"/>
    </row>
    <row r="611" spans="1:25" s="140" customFormat="1" ht="25.5" hidden="1" outlineLevel="5">
      <c r="A611" s="216"/>
      <c r="B611" s="255" t="s">
        <v>797</v>
      </c>
      <c r="C611" s="290" t="s">
        <v>237</v>
      </c>
      <c r="D611" s="227" t="s">
        <v>231</v>
      </c>
      <c r="E611" s="241"/>
      <c r="F611" s="228">
        <f t="shared" si="167"/>
        <v>7.1428571428571411E-2</v>
      </c>
      <c r="G611" s="269">
        <f>+F611*G607</f>
        <v>1.2175402462326425E-5</v>
      </c>
      <c r="H611" s="299"/>
      <c r="I611" s="299"/>
      <c r="J611" s="299"/>
      <c r="K611" s="299"/>
      <c r="L611" s="299"/>
      <c r="M611" s="299"/>
      <c r="N611" s="229">
        <v>1</v>
      </c>
      <c r="O611" s="229">
        <v>1</v>
      </c>
      <c r="P611" s="229">
        <v>1</v>
      </c>
      <c r="Q611" s="272">
        <v>0.72140000000000004</v>
      </c>
      <c r="R611" s="272">
        <v>0.72140000000000004</v>
      </c>
      <c r="S611" s="272">
        <v>0.85289999999999999</v>
      </c>
      <c r="T611" s="256">
        <f t="shared" si="168"/>
        <v>0.85289999999999999</v>
      </c>
      <c r="U611" s="256">
        <f t="shared" si="169"/>
        <v>0.85289999999999999</v>
      </c>
      <c r="V611" s="256">
        <f t="shared" si="170"/>
        <v>0.85289999999999999</v>
      </c>
      <c r="W611" s="256">
        <f t="shared" si="165"/>
        <v>1.1822844469087883</v>
      </c>
      <c r="X611" s="216"/>
      <c r="Y611" s="216"/>
    </row>
    <row r="612" spans="1:25" s="140" customFormat="1" ht="25.5" hidden="1" outlineLevel="5">
      <c r="A612" s="216"/>
      <c r="B612" s="255" t="s">
        <v>798</v>
      </c>
      <c r="C612" s="290" t="s">
        <v>239</v>
      </c>
      <c r="D612" s="227" t="s">
        <v>231</v>
      </c>
      <c r="E612" s="241"/>
      <c r="F612" s="228">
        <f t="shared" si="167"/>
        <v>7.1428571428571411E-2</v>
      </c>
      <c r="G612" s="269">
        <f>+F612*G607</f>
        <v>1.2175402462326425E-5</v>
      </c>
      <c r="H612" s="299"/>
      <c r="I612" s="299"/>
      <c r="J612" s="299"/>
      <c r="K612" s="299"/>
      <c r="L612" s="299"/>
      <c r="M612" s="299"/>
      <c r="N612" s="229">
        <v>1</v>
      </c>
      <c r="O612" s="229">
        <v>1</v>
      </c>
      <c r="P612" s="229">
        <v>1</v>
      </c>
      <c r="Q612" s="272">
        <v>0.72140000000000004</v>
      </c>
      <c r="R612" s="272">
        <v>0.72140000000000004</v>
      </c>
      <c r="S612" s="272">
        <v>0.85289999999999999</v>
      </c>
      <c r="T612" s="256">
        <f t="shared" si="168"/>
        <v>0.85289999999999999</v>
      </c>
      <c r="U612" s="256">
        <f t="shared" si="169"/>
        <v>0.85289999999999999</v>
      </c>
      <c r="V612" s="256">
        <f t="shared" si="170"/>
        <v>0.85289999999999999</v>
      </c>
      <c r="W612" s="256">
        <f t="shared" si="165"/>
        <v>1.1822844469087883</v>
      </c>
      <c r="X612" s="216"/>
      <c r="Y612" s="216"/>
    </row>
    <row r="613" spans="1:25" s="140" customFormat="1" ht="25.5" hidden="1" outlineLevel="5">
      <c r="A613" s="216"/>
      <c r="B613" s="255" t="s">
        <v>799</v>
      </c>
      <c r="C613" s="290" t="s">
        <v>241</v>
      </c>
      <c r="D613" s="227" t="s">
        <v>231</v>
      </c>
      <c r="E613" s="241"/>
      <c r="F613" s="228">
        <f t="shared" si="167"/>
        <v>7.1428571428571411E-2</v>
      </c>
      <c r="G613" s="269">
        <f>+F613*G607</f>
        <v>1.2175402462326425E-5</v>
      </c>
      <c r="H613" s="299"/>
      <c r="I613" s="299"/>
      <c r="J613" s="299"/>
      <c r="K613" s="299"/>
      <c r="L613" s="299"/>
      <c r="M613" s="299"/>
      <c r="N613" s="229">
        <v>1</v>
      </c>
      <c r="O613" s="229">
        <v>1</v>
      </c>
      <c r="P613" s="229">
        <v>1</v>
      </c>
      <c r="Q613" s="272">
        <v>0.72140000000000004</v>
      </c>
      <c r="R613" s="272">
        <v>0.72140000000000004</v>
      </c>
      <c r="S613" s="272">
        <v>0.85289999999999999</v>
      </c>
      <c r="T613" s="256">
        <f t="shared" si="168"/>
        <v>0.85289999999999999</v>
      </c>
      <c r="U613" s="256">
        <f t="shared" si="169"/>
        <v>0.85289999999999999</v>
      </c>
      <c r="V613" s="256">
        <f t="shared" si="170"/>
        <v>0.85289999999999999</v>
      </c>
      <c r="W613" s="256">
        <f t="shared" si="165"/>
        <v>1.1822844469087883</v>
      </c>
      <c r="X613" s="216"/>
      <c r="Y613" s="216"/>
    </row>
    <row r="614" spans="1:25" s="140" customFormat="1" ht="25.5" hidden="1" outlineLevel="5">
      <c r="A614" s="216"/>
      <c r="B614" s="255" t="s">
        <v>800</v>
      </c>
      <c r="C614" s="290" t="s">
        <v>243</v>
      </c>
      <c r="D614" s="227" t="s">
        <v>231</v>
      </c>
      <c r="E614" s="241"/>
      <c r="F614" s="228">
        <f t="shared" si="167"/>
        <v>7.1428571428571411E-2</v>
      </c>
      <c r="G614" s="269">
        <f>+F614*G607</f>
        <v>1.2175402462326425E-5</v>
      </c>
      <c r="H614" s="299"/>
      <c r="I614" s="299"/>
      <c r="J614" s="299"/>
      <c r="K614" s="299"/>
      <c r="L614" s="299"/>
      <c r="M614" s="299"/>
      <c r="N614" s="229">
        <v>1</v>
      </c>
      <c r="O614" s="229">
        <v>1</v>
      </c>
      <c r="P614" s="229">
        <v>1</v>
      </c>
      <c r="Q614" s="272">
        <v>0.72140000000000004</v>
      </c>
      <c r="R614" s="272">
        <v>0.72140000000000004</v>
      </c>
      <c r="S614" s="272">
        <v>0.85289999999999999</v>
      </c>
      <c r="T614" s="256">
        <f t="shared" si="168"/>
        <v>0.85289999999999999</v>
      </c>
      <c r="U614" s="256">
        <f t="shared" si="169"/>
        <v>0.85289999999999999</v>
      </c>
      <c r="V614" s="256">
        <f t="shared" si="170"/>
        <v>0.85289999999999999</v>
      </c>
      <c r="W614" s="256">
        <f t="shared" si="165"/>
        <v>1.1822844469087883</v>
      </c>
      <c r="X614" s="216"/>
      <c r="Y614" s="216"/>
    </row>
    <row r="615" spans="1:25" s="140" customFormat="1" ht="25.5" hidden="1" outlineLevel="5">
      <c r="A615" s="216"/>
      <c r="B615" s="255" t="s">
        <v>801</v>
      </c>
      <c r="C615" s="290" t="s">
        <v>245</v>
      </c>
      <c r="D615" s="227" t="s">
        <v>231</v>
      </c>
      <c r="E615" s="241"/>
      <c r="F615" s="228">
        <f t="shared" si="167"/>
        <v>7.1428571428571411E-2</v>
      </c>
      <c r="G615" s="269">
        <f>+F615*G607</f>
        <v>1.2175402462326425E-5</v>
      </c>
      <c r="H615" s="299"/>
      <c r="I615" s="299"/>
      <c r="J615" s="299"/>
      <c r="K615" s="299"/>
      <c r="L615" s="299"/>
      <c r="M615" s="299"/>
      <c r="N615" s="229">
        <v>1</v>
      </c>
      <c r="O615" s="229">
        <v>1</v>
      </c>
      <c r="P615" s="229">
        <v>1</v>
      </c>
      <c r="Q615" s="272">
        <v>0.72140000000000004</v>
      </c>
      <c r="R615" s="272">
        <v>0.72140000000000004</v>
      </c>
      <c r="S615" s="272">
        <v>0.85289999999999999</v>
      </c>
      <c r="T615" s="256">
        <f t="shared" si="168"/>
        <v>0.85289999999999999</v>
      </c>
      <c r="U615" s="256">
        <f t="shared" si="169"/>
        <v>0.85289999999999999</v>
      </c>
      <c r="V615" s="256">
        <f t="shared" si="170"/>
        <v>0.85289999999999999</v>
      </c>
      <c r="W615" s="256">
        <f t="shared" si="165"/>
        <v>1.1822844469087883</v>
      </c>
      <c r="X615" s="216"/>
      <c r="Y615" s="216"/>
    </row>
    <row r="616" spans="1:25" s="140" customFormat="1" ht="25.5" hidden="1" outlineLevel="5">
      <c r="A616" s="216"/>
      <c r="B616" s="255" t="s">
        <v>802</v>
      </c>
      <c r="C616" s="290" t="s">
        <v>247</v>
      </c>
      <c r="D616" s="227" t="s">
        <v>231</v>
      </c>
      <c r="E616" s="241"/>
      <c r="F616" s="228">
        <f t="shared" si="167"/>
        <v>7.1428571428571411E-2</v>
      </c>
      <c r="G616" s="269">
        <f>+F616*G607</f>
        <v>1.2175402462326425E-5</v>
      </c>
      <c r="H616" s="299"/>
      <c r="I616" s="299"/>
      <c r="J616" s="299"/>
      <c r="K616" s="299"/>
      <c r="L616" s="299"/>
      <c r="M616" s="299"/>
      <c r="N616" s="229">
        <v>1</v>
      </c>
      <c r="O616" s="229">
        <v>1</v>
      </c>
      <c r="P616" s="229">
        <v>1</v>
      </c>
      <c r="Q616" s="272">
        <v>0.72140000000000004</v>
      </c>
      <c r="R616" s="272">
        <v>0.72140000000000004</v>
      </c>
      <c r="S616" s="272">
        <v>0.85289999999999999</v>
      </c>
      <c r="T616" s="256">
        <f t="shared" si="168"/>
        <v>0.85289999999999999</v>
      </c>
      <c r="U616" s="256">
        <f t="shared" si="169"/>
        <v>0.85289999999999999</v>
      </c>
      <c r="V616" s="256">
        <f t="shared" si="170"/>
        <v>0.85289999999999999</v>
      </c>
      <c r="W616" s="256">
        <f t="shared" si="165"/>
        <v>1.1822844469087883</v>
      </c>
      <c r="X616" s="216"/>
      <c r="Y616" s="216"/>
    </row>
    <row r="617" spans="1:25" s="140" customFormat="1" ht="25.5" hidden="1" outlineLevel="5">
      <c r="A617" s="216"/>
      <c r="B617" s="255" t="s">
        <v>803</v>
      </c>
      <c r="C617" s="290" t="s">
        <v>249</v>
      </c>
      <c r="D617" s="227" t="s">
        <v>231</v>
      </c>
      <c r="E617" s="241"/>
      <c r="F617" s="228">
        <f t="shared" si="167"/>
        <v>7.1428571428571411E-2</v>
      </c>
      <c r="G617" s="269">
        <f>+F617*G607</f>
        <v>1.2175402462326425E-5</v>
      </c>
      <c r="H617" s="299"/>
      <c r="I617" s="299"/>
      <c r="J617" s="299"/>
      <c r="K617" s="299"/>
      <c r="L617" s="299"/>
      <c r="M617" s="299"/>
      <c r="N617" s="229">
        <v>1</v>
      </c>
      <c r="O617" s="229">
        <v>1</v>
      </c>
      <c r="P617" s="229">
        <v>1</v>
      </c>
      <c r="Q617" s="272">
        <v>0.72140000000000004</v>
      </c>
      <c r="R617" s="272">
        <v>0.72140000000000004</v>
      </c>
      <c r="S617" s="272">
        <v>0.85289999999999999</v>
      </c>
      <c r="T617" s="256">
        <f t="shared" si="168"/>
        <v>0.85289999999999999</v>
      </c>
      <c r="U617" s="256">
        <f t="shared" si="169"/>
        <v>0.85289999999999999</v>
      </c>
      <c r="V617" s="256">
        <f t="shared" si="170"/>
        <v>0.85289999999999999</v>
      </c>
      <c r="W617" s="256">
        <f t="shared" si="165"/>
        <v>1.1822844469087883</v>
      </c>
      <c r="X617" s="216"/>
      <c r="Y617" s="216"/>
    </row>
    <row r="618" spans="1:25" s="140" customFormat="1" ht="25.5" hidden="1" outlineLevel="5">
      <c r="A618" s="216"/>
      <c r="B618" s="255" t="s">
        <v>804</v>
      </c>
      <c r="C618" s="290" t="s">
        <v>251</v>
      </c>
      <c r="D618" s="227" t="s">
        <v>231</v>
      </c>
      <c r="E618" s="241"/>
      <c r="F618" s="228">
        <f t="shared" si="167"/>
        <v>7.1428571428571411E-2</v>
      </c>
      <c r="G618" s="269">
        <f>+F618*G607</f>
        <v>1.2175402462326425E-5</v>
      </c>
      <c r="H618" s="299"/>
      <c r="I618" s="299"/>
      <c r="J618" s="299"/>
      <c r="K618" s="299"/>
      <c r="L618" s="299"/>
      <c r="M618" s="299"/>
      <c r="N618" s="229">
        <v>1</v>
      </c>
      <c r="O618" s="229">
        <v>1</v>
      </c>
      <c r="P618" s="229">
        <v>1</v>
      </c>
      <c r="Q618" s="272">
        <v>0.72140000000000004</v>
      </c>
      <c r="R618" s="272">
        <v>0.72140000000000004</v>
      </c>
      <c r="S618" s="272">
        <v>0.85289999999999999</v>
      </c>
      <c r="T618" s="256">
        <f t="shared" si="168"/>
        <v>0.85289999999999999</v>
      </c>
      <c r="U618" s="256">
        <f t="shared" si="169"/>
        <v>0.85289999999999999</v>
      </c>
      <c r="V618" s="256">
        <f t="shared" si="170"/>
        <v>0.85289999999999999</v>
      </c>
      <c r="W618" s="256">
        <f t="shared" si="165"/>
        <v>1.1822844469087883</v>
      </c>
      <c r="X618" s="216"/>
      <c r="Y618" s="216"/>
    </row>
    <row r="619" spans="1:25" s="140" customFormat="1" ht="25.5" hidden="1" outlineLevel="5">
      <c r="A619" s="216"/>
      <c r="B619" s="255" t="s">
        <v>805</v>
      </c>
      <c r="C619" s="290" t="s">
        <v>253</v>
      </c>
      <c r="D619" s="227" t="s">
        <v>231</v>
      </c>
      <c r="E619" s="241"/>
      <c r="F619" s="228">
        <f t="shared" si="167"/>
        <v>7.1428571428571411E-2</v>
      </c>
      <c r="G619" s="269">
        <f>+F619*G607</f>
        <v>1.2175402462326425E-5</v>
      </c>
      <c r="H619" s="299"/>
      <c r="I619" s="299"/>
      <c r="J619" s="299"/>
      <c r="K619" s="299"/>
      <c r="L619" s="299"/>
      <c r="M619" s="299"/>
      <c r="N619" s="229">
        <v>1</v>
      </c>
      <c r="O619" s="229">
        <v>1</v>
      </c>
      <c r="P619" s="229">
        <v>1</v>
      </c>
      <c r="Q619" s="272">
        <v>0.72140000000000004</v>
      </c>
      <c r="R619" s="272">
        <v>0.72140000000000004</v>
      </c>
      <c r="S619" s="272">
        <v>0.85289999999999999</v>
      </c>
      <c r="T619" s="256">
        <f t="shared" si="168"/>
        <v>0.85289999999999999</v>
      </c>
      <c r="U619" s="256">
        <f t="shared" si="169"/>
        <v>0.85289999999999999</v>
      </c>
      <c r="V619" s="256">
        <f t="shared" si="170"/>
        <v>0.85289999999999999</v>
      </c>
      <c r="W619" s="256">
        <f t="shared" si="165"/>
        <v>1.1822844469087883</v>
      </c>
      <c r="X619" s="216"/>
      <c r="Y619" s="216"/>
    </row>
    <row r="620" spans="1:25" s="140" customFormat="1" ht="25.5" hidden="1" outlineLevel="5">
      <c r="A620" s="216"/>
      <c r="B620" s="255" t="s">
        <v>806</v>
      </c>
      <c r="C620" s="290" t="s">
        <v>285</v>
      </c>
      <c r="D620" s="227" t="s">
        <v>231</v>
      </c>
      <c r="E620" s="241"/>
      <c r="F620" s="228">
        <f t="shared" si="167"/>
        <v>7.1428571428571411E-2</v>
      </c>
      <c r="G620" s="269">
        <f>+F620*G607</f>
        <v>1.2175402462326425E-5</v>
      </c>
      <c r="H620" s="299"/>
      <c r="I620" s="299"/>
      <c r="J620" s="299"/>
      <c r="K620" s="299"/>
      <c r="L620" s="299"/>
      <c r="M620" s="299"/>
      <c r="N620" s="229">
        <v>1</v>
      </c>
      <c r="O620" s="229">
        <v>1</v>
      </c>
      <c r="P620" s="229">
        <v>1</v>
      </c>
      <c r="Q620" s="272">
        <v>0.72140000000000004</v>
      </c>
      <c r="R620" s="272">
        <v>0.72140000000000004</v>
      </c>
      <c r="S620" s="272">
        <v>0.85289999999999999</v>
      </c>
      <c r="T620" s="256">
        <f t="shared" si="168"/>
        <v>0.85289999999999999</v>
      </c>
      <c r="U620" s="256">
        <f t="shared" si="169"/>
        <v>0.85289999999999999</v>
      </c>
      <c r="V620" s="256">
        <f t="shared" si="170"/>
        <v>0.85289999999999999</v>
      </c>
      <c r="W620" s="256">
        <f t="shared" si="165"/>
        <v>1.1822844469087883</v>
      </c>
      <c r="X620" s="216"/>
      <c r="Y620" s="216"/>
    </row>
    <row r="621" spans="1:25" s="140" customFormat="1" ht="25.5" hidden="1" outlineLevel="5">
      <c r="A621" s="216"/>
      <c r="B621" s="255" t="s">
        <v>807</v>
      </c>
      <c r="C621" s="290" t="s">
        <v>287</v>
      </c>
      <c r="D621" s="227" t="s">
        <v>231</v>
      </c>
      <c r="E621" s="241"/>
      <c r="F621" s="228">
        <f t="shared" si="167"/>
        <v>7.1428571428571411E-2</v>
      </c>
      <c r="G621" s="269">
        <f>+F621*G607</f>
        <v>1.2175402462326425E-5</v>
      </c>
      <c r="H621" s="299"/>
      <c r="I621" s="299"/>
      <c r="J621" s="299"/>
      <c r="K621" s="299"/>
      <c r="L621" s="299"/>
      <c r="M621" s="299"/>
      <c r="N621" s="229">
        <v>1</v>
      </c>
      <c r="O621" s="229">
        <v>1</v>
      </c>
      <c r="P621" s="229">
        <v>1</v>
      </c>
      <c r="Q621" s="272">
        <v>0.72140000000000004</v>
      </c>
      <c r="R621" s="272">
        <v>0.72140000000000004</v>
      </c>
      <c r="S621" s="272">
        <v>0.85289999999999999</v>
      </c>
      <c r="T621" s="256">
        <f t="shared" si="168"/>
        <v>0.85289999999999999</v>
      </c>
      <c r="U621" s="256">
        <f t="shared" si="169"/>
        <v>0.85289999999999999</v>
      </c>
      <c r="V621" s="256">
        <f t="shared" si="170"/>
        <v>0.85289999999999999</v>
      </c>
      <c r="W621" s="256">
        <f t="shared" si="165"/>
        <v>1.1822844469087883</v>
      </c>
      <c r="X621" s="216"/>
      <c r="Y621" s="216"/>
    </row>
    <row r="622" spans="1:25" s="140" customFormat="1" ht="25.5" hidden="1" outlineLevel="4">
      <c r="A622" s="216"/>
      <c r="B622" s="291" t="s">
        <v>808</v>
      </c>
      <c r="C622" s="292" t="s">
        <v>43</v>
      </c>
      <c r="D622" s="234" t="s">
        <v>33</v>
      </c>
      <c r="E622" s="240"/>
      <c r="F622" s="223">
        <f t="shared" si="167"/>
        <v>0.13388996515868054</v>
      </c>
      <c r="G622" s="293">
        <f>+F622*G533</f>
        <v>2.065408880610844E-4</v>
      </c>
      <c r="H622" s="298"/>
      <c r="I622" s="298"/>
      <c r="J622" s="298"/>
      <c r="K622" s="298"/>
      <c r="L622" s="298"/>
      <c r="M622" s="298"/>
      <c r="N622" s="224">
        <f t="shared" ref="N622:S622" si="172">+SUMPRODUCT($F623:$F639,N623:N639)</f>
        <v>1.0000000000000002</v>
      </c>
      <c r="O622" s="224">
        <f t="shared" si="172"/>
        <v>1.0000000000000002</v>
      </c>
      <c r="P622" s="224">
        <f t="shared" si="172"/>
        <v>1.0000000000000002</v>
      </c>
      <c r="Q622" s="270">
        <f t="shared" si="172"/>
        <v>0.72</v>
      </c>
      <c r="R622" s="270">
        <f t="shared" si="172"/>
        <v>0.72</v>
      </c>
      <c r="S622" s="270">
        <f t="shared" si="172"/>
        <v>1.0000000000000002</v>
      </c>
      <c r="T622" s="254">
        <f t="shared" si="168"/>
        <v>1</v>
      </c>
      <c r="U622" s="254">
        <f t="shared" si="169"/>
        <v>1</v>
      </c>
      <c r="V622" s="254">
        <f t="shared" si="170"/>
        <v>1</v>
      </c>
      <c r="W622" s="254">
        <f t="shared" si="165"/>
        <v>1.3888888888888893</v>
      </c>
      <c r="X622" s="216"/>
      <c r="Y622" s="216"/>
    </row>
    <row r="623" spans="1:25" s="140" customFormat="1" ht="25.5" hidden="1" outlineLevel="5">
      <c r="A623" s="216"/>
      <c r="B623" s="255" t="s">
        <v>809</v>
      </c>
      <c r="C623" s="290" t="s">
        <v>230</v>
      </c>
      <c r="D623" s="227" t="s">
        <v>231</v>
      </c>
      <c r="E623" s="241"/>
      <c r="F623" s="228">
        <f t="shared" si="167"/>
        <v>6.2251019714089834E-2</v>
      </c>
      <c r="G623" s="269">
        <f>+F623*G622</f>
        <v>1.2857380894456186E-5</v>
      </c>
      <c r="H623" s="299"/>
      <c r="I623" s="299"/>
      <c r="J623" s="299"/>
      <c r="K623" s="299"/>
      <c r="L623" s="299"/>
      <c r="M623" s="299"/>
      <c r="N623" s="229">
        <v>1</v>
      </c>
      <c r="O623" s="229">
        <v>1</v>
      </c>
      <c r="P623" s="229">
        <v>1</v>
      </c>
      <c r="Q623" s="272">
        <v>0.72</v>
      </c>
      <c r="R623" s="272">
        <v>0.72</v>
      </c>
      <c r="S623" s="272">
        <v>1</v>
      </c>
      <c r="T623" s="256">
        <f t="shared" si="168"/>
        <v>1</v>
      </c>
      <c r="U623" s="256">
        <f t="shared" si="169"/>
        <v>1</v>
      </c>
      <c r="V623" s="256">
        <f t="shared" si="170"/>
        <v>1</v>
      </c>
      <c r="W623" s="256">
        <f t="shared" si="165"/>
        <v>1.3888888888888888</v>
      </c>
      <c r="X623" s="216"/>
      <c r="Y623" s="216"/>
    </row>
    <row r="624" spans="1:25" s="140" customFormat="1" ht="25.5" hidden="1" outlineLevel="5">
      <c r="A624" s="216"/>
      <c r="B624" s="255" t="s">
        <v>810</v>
      </c>
      <c r="C624" s="290" t="s">
        <v>233</v>
      </c>
      <c r="D624" s="227" t="s">
        <v>231</v>
      </c>
      <c r="E624" s="241"/>
      <c r="F624" s="228">
        <f t="shared" si="167"/>
        <v>6.2251019714089834E-2</v>
      </c>
      <c r="G624" s="269">
        <f>+F624*G622</f>
        <v>1.2857380894456186E-5</v>
      </c>
      <c r="H624" s="299"/>
      <c r="I624" s="299"/>
      <c r="J624" s="299"/>
      <c r="K624" s="299"/>
      <c r="L624" s="299"/>
      <c r="M624" s="299"/>
      <c r="N624" s="229">
        <v>1</v>
      </c>
      <c r="O624" s="229">
        <v>1</v>
      </c>
      <c r="P624" s="229">
        <v>1</v>
      </c>
      <c r="Q624" s="272">
        <v>0.72</v>
      </c>
      <c r="R624" s="272">
        <v>0.72</v>
      </c>
      <c r="S624" s="272">
        <v>1</v>
      </c>
      <c r="T624" s="256">
        <f t="shared" si="168"/>
        <v>1</v>
      </c>
      <c r="U624" s="256">
        <f t="shared" si="169"/>
        <v>1</v>
      </c>
      <c r="V624" s="256">
        <f t="shared" si="170"/>
        <v>1</v>
      </c>
      <c r="W624" s="256">
        <f t="shared" si="165"/>
        <v>1.3888888888888888</v>
      </c>
      <c r="X624" s="216"/>
      <c r="Y624" s="216"/>
    </row>
    <row r="625" spans="1:25" s="140" customFormat="1" ht="25.5" hidden="1" outlineLevel="5">
      <c r="A625" s="216"/>
      <c r="B625" s="255" t="s">
        <v>811</v>
      </c>
      <c r="C625" s="290" t="s">
        <v>235</v>
      </c>
      <c r="D625" s="227" t="s">
        <v>231</v>
      </c>
      <c r="E625" s="241"/>
      <c r="F625" s="228">
        <f t="shared" si="167"/>
        <v>6.2251019714089834E-2</v>
      </c>
      <c r="G625" s="269">
        <f>+F625*G622</f>
        <v>1.2857380894456186E-5</v>
      </c>
      <c r="H625" s="299"/>
      <c r="I625" s="299"/>
      <c r="J625" s="299"/>
      <c r="K625" s="299"/>
      <c r="L625" s="299"/>
      <c r="M625" s="299"/>
      <c r="N625" s="229">
        <v>1</v>
      </c>
      <c r="O625" s="229">
        <v>1</v>
      </c>
      <c r="P625" s="229">
        <v>1</v>
      </c>
      <c r="Q625" s="272">
        <v>0.72</v>
      </c>
      <c r="R625" s="272">
        <v>0.72</v>
      </c>
      <c r="S625" s="272">
        <v>1</v>
      </c>
      <c r="T625" s="256">
        <f t="shared" si="168"/>
        <v>1</v>
      </c>
      <c r="U625" s="256">
        <f t="shared" si="169"/>
        <v>1</v>
      </c>
      <c r="V625" s="256">
        <f t="shared" si="170"/>
        <v>1</v>
      </c>
      <c r="W625" s="256">
        <f t="shared" si="165"/>
        <v>1.3888888888888888</v>
      </c>
      <c r="X625" s="216"/>
      <c r="Y625" s="216"/>
    </row>
    <row r="626" spans="1:25" s="140" customFormat="1" ht="25.5" hidden="1" outlineLevel="5">
      <c r="A626" s="216"/>
      <c r="B626" s="255" t="s">
        <v>812</v>
      </c>
      <c r="C626" s="290" t="s">
        <v>237</v>
      </c>
      <c r="D626" s="227" t="s">
        <v>231</v>
      </c>
      <c r="E626" s="241"/>
      <c r="F626" s="228">
        <f t="shared" si="167"/>
        <v>6.2251019714089834E-2</v>
      </c>
      <c r="G626" s="269">
        <f>+F626*G622</f>
        <v>1.2857380894456186E-5</v>
      </c>
      <c r="H626" s="299"/>
      <c r="I626" s="299"/>
      <c r="J626" s="299"/>
      <c r="K626" s="299"/>
      <c r="L626" s="299"/>
      <c r="M626" s="299"/>
      <c r="N626" s="229">
        <v>1</v>
      </c>
      <c r="O626" s="229">
        <v>1</v>
      </c>
      <c r="P626" s="229">
        <v>1</v>
      </c>
      <c r="Q626" s="272">
        <v>0.72</v>
      </c>
      <c r="R626" s="272">
        <v>0.72</v>
      </c>
      <c r="S626" s="272">
        <v>1</v>
      </c>
      <c r="T626" s="256">
        <f t="shared" si="168"/>
        <v>1</v>
      </c>
      <c r="U626" s="256">
        <f t="shared" si="169"/>
        <v>1</v>
      </c>
      <c r="V626" s="256">
        <f t="shared" si="170"/>
        <v>1</v>
      </c>
      <c r="W626" s="256">
        <f t="shared" si="165"/>
        <v>1.3888888888888888</v>
      </c>
      <c r="X626" s="216"/>
      <c r="Y626" s="216"/>
    </row>
    <row r="627" spans="1:25" s="140" customFormat="1" ht="25.5" hidden="1" outlineLevel="5">
      <c r="A627" s="216"/>
      <c r="B627" s="255" t="s">
        <v>813</v>
      </c>
      <c r="C627" s="290" t="s">
        <v>239</v>
      </c>
      <c r="D627" s="227" t="s">
        <v>231</v>
      </c>
      <c r="E627" s="241"/>
      <c r="F627" s="228">
        <f t="shared" si="167"/>
        <v>6.2251019714089834E-2</v>
      </c>
      <c r="G627" s="269">
        <f>+F627*G622</f>
        <v>1.2857380894456186E-5</v>
      </c>
      <c r="H627" s="299"/>
      <c r="I627" s="299"/>
      <c r="J627" s="299"/>
      <c r="K627" s="299"/>
      <c r="L627" s="299"/>
      <c r="M627" s="299"/>
      <c r="N627" s="229">
        <v>1</v>
      </c>
      <c r="O627" s="229">
        <v>1</v>
      </c>
      <c r="P627" s="229">
        <v>1</v>
      </c>
      <c r="Q627" s="272">
        <v>0.72</v>
      </c>
      <c r="R627" s="272">
        <v>0.72</v>
      </c>
      <c r="S627" s="272">
        <v>1</v>
      </c>
      <c r="T627" s="256">
        <f t="shared" si="168"/>
        <v>1</v>
      </c>
      <c r="U627" s="256">
        <f t="shared" si="169"/>
        <v>1</v>
      </c>
      <c r="V627" s="256">
        <f t="shared" si="170"/>
        <v>1</v>
      </c>
      <c r="W627" s="256">
        <f t="shared" si="165"/>
        <v>1.3888888888888888</v>
      </c>
      <c r="X627" s="216"/>
      <c r="Y627" s="216"/>
    </row>
    <row r="628" spans="1:25" s="140" customFormat="1" ht="25.5" hidden="1" outlineLevel="5">
      <c r="A628" s="216"/>
      <c r="B628" s="255" t="s">
        <v>814</v>
      </c>
      <c r="C628" s="290" t="s">
        <v>241</v>
      </c>
      <c r="D628" s="227" t="s">
        <v>231</v>
      </c>
      <c r="E628" s="241"/>
      <c r="F628" s="228">
        <f t="shared" si="167"/>
        <v>6.2251019714089834E-2</v>
      </c>
      <c r="G628" s="269">
        <f>+F628*G622</f>
        <v>1.2857380894456186E-5</v>
      </c>
      <c r="H628" s="299"/>
      <c r="I628" s="299"/>
      <c r="J628" s="299"/>
      <c r="K628" s="299"/>
      <c r="L628" s="299"/>
      <c r="M628" s="299"/>
      <c r="N628" s="229">
        <v>1</v>
      </c>
      <c r="O628" s="229">
        <v>1</v>
      </c>
      <c r="P628" s="229">
        <v>1</v>
      </c>
      <c r="Q628" s="272">
        <v>0.72</v>
      </c>
      <c r="R628" s="272">
        <v>0.72</v>
      </c>
      <c r="S628" s="272">
        <v>1</v>
      </c>
      <c r="T628" s="256">
        <f t="shared" si="168"/>
        <v>1</v>
      </c>
      <c r="U628" s="256">
        <f t="shared" si="169"/>
        <v>1</v>
      </c>
      <c r="V628" s="256">
        <f t="shared" si="170"/>
        <v>1</v>
      </c>
      <c r="W628" s="256">
        <f t="shared" si="165"/>
        <v>1.3888888888888888</v>
      </c>
      <c r="X628" s="216"/>
      <c r="Y628" s="216"/>
    </row>
    <row r="629" spans="1:25" s="140" customFormat="1" ht="25.5" hidden="1" outlineLevel="5">
      <c r="A629" s="216"/>
      <c r="B629" s="255" t="s">
        <v>815</v>
      </c>
      <c r="C629" s="290" t="s">
        <v>243</v>
      </c>
      <c r="D629" s="227" t="s">
        <v>231</v>
      </c>
      <c r="E629" s="241"/>
      <c r="F629" s="228">
        <f t="shared" ref="F629:F660" si="173">F815</f>
        <v>6.2251019714089834E-2</v>
      </c>
      <c r="G629" s="269">
        <f>+F629*G622</f>
        <v>1.2857380894456186E-5</v>
      </c>
      <c r="H629" s="299"/>
      <c r="I629" s="299"/>
      <c r="J629" s="299"/>
      <c r="K629" s="299"/>
      <c r="L629" s="299"/>
      <c r="M629" s="299"/>
      <c r="N629" s="229">
        <v>1</v>
      </c>
      <c r="O629" s="229">
        <v>1</v>
      </c>
      <c r="P629" s="229">
        <v>1</v>
      </c>
      <c r="Q629" s="272">
        <v>0.72</v>
      </c>
      <c r="R629" s="272">
        <v>0.72</v>
      </c>
      <c r="S629" s="272">
        <v>1</v>
      </c>
      <c r="T629" s="256">
        <f t="shared" ref="T629:T660" si="174">+IF(N629=0,0,$S629/N629)</f>
        <v>1</v>
      </c>
      <c r="U629" s="256">
        <f t="shared" ref="U629:U660" si="175">+IF(O629=0,0,$S629/O629)</f>
        <v>1</v>
      </c>
      <c r="V629" s="256">
        <f t="shared" ref="V629:V660" si="176">+IF(P629=0,0,$S629/P629)</f>
        <v>1</v>
      </c>
      <c r="W629" s="256">
        <f t="shared" si="165"/>
        <v>1.3888888888888888</v>
      </c>
      <c r="X629" s="216"/>
      <c r="Y629" s="216"/>
    </row>
    <row r="630" spans="1:25" s="140" customFormat="1" ht="25.5" hidden="1" outlineLevel="5">
      <c r="A630" s="216"/>
      <c r="B630" s="255" t="s">
        <v>816</v>
      </c>
      <c r="C630" s="290" t="s">
        <v>245</v>
      </c>
      <c r="D630" s="227" t="s">
        <v>231</v>
      </c>
      <c r="E630" s="241"/>
      <c r="F630" s="228">
        <f t="shared" si="173"/>
        <v>6.2251019714089834E-2</v>
      </c>
      <c r="G630" s="269">
        <f>+F630*G622</f>
        <v>1.2857380894456186E-5</v>
      </c>
      <c r="H630" s="299"/>
      <c r="I630" s="299"/>
      <c r="J630" s="299"/>
      <c r="K630" s="299"/>
      <c r="L630" s="299"/>
      <c r="M630" s="299"/>
      <c r="N630" s="229">
        <v>1</v>
      </c>
      <c r="O630" s="229">
        <v>1</v>
      </c>
      <c r="P630" s="229">
        <v>1</v>
      </c>
      <c r="Q630" s="272">
        <v>0.72</v>
      </c>
      <c r="R630" s="272">
        <v>0.72</v>
      </c>
      <c r="S630" s="272">
        <v>1</v>
      </c>
      <c r="T630" s="256">
        <f t="shared" si="174"/>
        <v>1</v>
      </c>
      <c r="U630" s="256">
        <f t="shared" si="175"/>
        <v>1</v>
      </c>
      <c r="V630" s="256">
        <f t="shared" si="176"/>
        <v>1</v>
      </c>
      <c r="W630" s="256">
        <f t="shared" si="165"/>
        <v>1.3888888888888888</v>
      </c>
      <c r="X630" s="216"/>
      <c r="Y630" s="216"/>
    </row>
    <row r="631" spans="1:25" s="140" customFormat="1" ht="25.5" hidden="1" outlineLevel="5">
      <c r="A631" s="216"/>
      <c r="B631" s="255" t="s">
        <v>817</v>
      </c>
      <c r="C631" s="290" t="s">
        <v>247</v>
      </c>
      <c r="D631" s="227" t="s">
        <v>231</v>
      </c>
      <c r="E631" s="241"/>
      <c r="F631" s="228">
        <f t="shared" si="173"/>
        <v>6.2251019714089834E-2</v>
      </c>
      <c r="G631" s="269">
        <f>+F631*G622</f>
        <v>1.2857380894456186E-5</v>
      </c>
      <c r="H631" s="299"/>
      <c r="I631" s="299"/>
      <c r="J631" s="299"/>
      <c r="K631" s="299"/>
      <c r="L631" s="299"/>
      <c r="M631" s="299"/>
      <c r="N631" s="229">
        <v>1</v>
      </c>
      <c r="O631" s="229">
        <v>1</v>
      </c>
      <c r="P631" s="229">
        <v>1</v>
      </c>
      <c r="Q631" s="272">
        <v>0.72</v>
      </c>
      <c r="R631" s="272">
        <v>0.72</v>
      </c>
      <c r="S631" s="272">
        <v>1</v>
      </c>
      <c r="T631" s="256">
        <f t="shared" si="174"/>
        <v>1</v>
      </c>
      <c r="U631" s="256">
        <f t="shared" si="175"/>
        <v>1</v>
      </c>
      <c r="V631" s="256">
        <f t="shared" si="176"/>
        <v>1</v>
      </c>
      <c r="W631" s="256">
        <f t="shared" si="165"/>
        <v>1.3888888888888888</v>
      </c>
      <c r="X631" s="216"/>
      <c r="Y631" s="216"/>
    </row>
    <row r="632" spans="1:25" s="140" customFormat="1" ht="25.5" hidden="1" outlineLevel="5">
      <c r="A632" s="216"/>
      <c r="B632" s="255" t="s">
        <v>818</v>
      </c>
      <c r="C632" s="290" t="s">
        <v>249</v>
      </c>
      <c r="D632" s="227" t="s">
        <v>231</v>
      </c>
      <c r="E632" s="241"/>
      <c r="F632" s="228">
        <f t="shared" si="173"/>
        <v>6.2251019714089834E-2</v>
      </c>
      <c r="G632" s="269">
        <f>+F632*G622</f>
        <v>1.2857380894456186E-5</v>
      </c>
      <c r="H632" s="299"/>
      <c r="I632" s="299"/>
      <c r="J632" s="299"/>
      <c r="K632" s="299"/>
      <c r="L632" s="299"/>
      <c r="M632" s="299"/>
      <c r="N632" s="229">
        <v>1</v>
      </c>
      <c r="O632" s="229">
        <v>1</v>
      </c>
      <c r="P632" s="229">
        <v>1</v>
      </c>
      <c r="Q632" s="272">
        <v>0.72</v>
      </c>
      <c r="R632" s="272">
        <v>0.72</v>
      </c>
      <c r="S632" s="272">
        <v>1</v>
      </c>
      <c r="T632" s="256">
        <f t="shared" si="174"/>
        <v>1</v>
      </c>
      <c r="U632" s="256">
        <f t="shared" si="175"/>
        <v>1</v>
      </c>
      <c r="V632" s="256">
        <f t="shared" si="176"/>
        <v>1</v>
      </c>
      <c r="W632" s="256">
        <f t="shared" si="165"/>
        <v>1.3888888888888888</v>
      </c>
      <c r="X632" s="216"/>
      <c r="Y632" s="216"/>
    </row>
    <row r="633" spans="1:25" s="140" customFormat="1" ht="25.5" hidden="1" outlineLevel="5">
      <c r="A633" s="216"/>
      <c r="B633" s="255" t="s">
        <v>819</v>
      </c>
      <c r="C633" s="290" t="s">
        <v>251</v>
      </c>
      <c r="D633" s="227" t="s">
        <v>231</v>
      </c>
      <c r="E633" s="241"/>
      <c r="F633" s="228">
        <f t="shared" si="173"/>
        <v>6.2251019714089834E-2</v>
      </c>
      <c r="G633" s="269">
        <f>+F633*G622</f>
        <v>1.2857380894456186E-5</v>
      </c>
      <c r="H633" s="299"/>
      <c r="I633" s="299"/>
      <c r="J633" s="299"/>
      <c r="K633" s="299"/>
      <c r="L633" s="299"/>
      <c r="M633" s="299"/>
      <c r="N633" s="229">
        <v>1</v>
      </c>
      <c r="O633" s="229">
        <v>1</v>
      </c>
      <c r="P633" s="229">
        <v>1</v>
      </c>
      <c r="Q633" s="272">
        <v>0.72</v>
      </c>
      <c r="R633" s="272">
        <v>0.72</v>
      </c>
      <c r="S633" s="272">
        <v>1</v>
      </c>
      <c r="T633" s="256">
        <f t="shared" si="174"/>
        <v>1</v>
      </c>
      <c r="U633" s="256">
        <f t="shared" si="175"/>
        <v>1</v>
      </c>
      <c r="V633" s="256">
        <f t="shared" si="176"/>
        <v>1</v>
      </c>
      <c r="W633" s="256">
        <f t="shared" si="165"/>
        <v>1.3888888888888888</v>
      </c>
      <c r="X633" s="216"/>
      <c r="Y633" s="216"/>
    </row>
    <row r="634" spans="1:25" s="140" customFormat="1" ht="25.5" hidden="1" outlineLevel="5">
      <c r="A634" s="216"/>
      <c r="B634" s="255" t="s">
        <v>820</v>
      </c>
      <c r="C634" s="290" t="s">
        <v>253</v>
      </c>
      <c r="D634" s="227" t="s">
        <v>231</v>
      </c>
      <c r="E634" s="241"/>
      <c r="F634" s="228">
        <f t="shared" si="173"/>
        <v>6.2251019714089834E-2</v>
      </c>
      <c r="G634" s="269">
        <f>+F634*G622</f>
        <v>1.2857380894456186E-5</v>
      </c>
      <c r="H634" s="299"/>
      <c r="I634" s="299"/>
      <c r="J634" s="299"/>
      <c r="K634" s="299"/>
      <c r="L634" s="299"/>
      <c r="M634" s="299"/>
      <c r="N634" s="229">
        <v>1</v>
      </c>
      <c r="O634" s="229">
        <v>1</v>
      </c>
      <c r="P634" s="229">
        <v>1</v>
      </c>
      <c r="Q634" s="272">
        <v>0.72</v>
      </c>
      <c r="R634" s="272">
        <v>0.72</v>
      </c>
      <c r="S634" s="272">
        <v>1</v>
      </c>
      <c r="T634" s="256">
        <f t="shared" si="174"/>
        <v>1</v>
      </c>
      <c r="U634" s="256">
        <f t="shared" si="175"/>
        <v>1</v>
      </c>
      <c r="V634" s="256">
        <f t="shared" si="176"/>
        <v>1</v>
      </c>
      <c r="W634" s="256">
        <f t="shared" si="165"/>
        <v>1.3888888888888888</v>
      </c>
      <c r="X634" s="216"/>
      <c r="Y634" s="216"/>
    </row>
    <row r="635" spans="1:25" s="140" customFormat="1" ht="25.5" hidden="1" outlineLevel="5">
      <c r="A635" s="216"/>
      <c r="B635" s="255" t="s">
        <v>821</v>
      </c>
      <c r="C635" s="290" t="s">
        <v>285</v>
      </c>
      <c r="D635" s="227" t="s">
        <v>231</v>
      </c>
      <c r="E635" s="241"/>
      <c r="F635" s="228">
        <f t="shared" si="173"/>
        <v>6.2251019714089834E-2</v>
      </c>
      <c r="G635" s="269">
        <f>+F635*G622</f>
        <v>1.2857380894456186E-5</v>
      </c>
      <c r="H635" s="299"/>
      <c r="I635" s="299"/>
      <c r="J635" s="299"/>
      <c r="K635" s="299"/>
      <c r="L635" s="299"/>
      <c r="M635" s="299"/>
      <c r="N635" s="229">
        <v>1</v>
      </c>
      <c r="O635" s="229">
        <v>1</v>
      </c>
      <c r="P635" s="229">
        <v>1</v>
      </c>
      <c r="Q635" s="272">
        <v>0.72</v>
      </c>
      <c r="R635" s="272">
        <v>0.72</v>
      </c>
      <c r="S635" s="272">
        <v>1</v>
      </c>
      <c r="T635" s="256">
        <f t="shared" si="174"/>
        <v>1</v>
      </c>
      <c r="U635" s="256">
        <f t="shared" si="175"/>
        <v>1</v>
      </c>
      <c r="V635" s="256">
        <f t="shared" si="176"/>
        <v>1</v>
      </c>
      <c r="W635" s="256">
        <f t="shared" si="165"/>
        <v>1.3888888888888888</v>
      </c>
      <c r="X635" s="216"/>
      <c r="Y635" s="216"/>
    </row>
    <row r="636" spans="1:25" s="140" customFormat="1" ht="25.5" hidden="1" outlineLevel="5">
      <c r="A636" s="216"/>
      <c r="B636" s="255" t="s">
        <v>822</v>
      </c>
      <c r="C636" s="290" t="s">
        <v>287</v>
      </c>
      <c r="D636" s="227" t="s">
        <v>231</v>
      </c>
      <c r="E636" s="241"/>
      <c r="F636" s="228">
        <f t="shared" si="173"/>
        <v>6.2251019714089834E-2</v>
      </c>
      <c r="G636" s="269">
        <f>+F636*G622</f>
        <v>1.2857380894456186E-5</v>
      </c>
      <c r="H636" s="299"/>
      <c r="I636" s="299"/>
      <c r="J636" s="299"/>
      <c r="K636" s="299"/>
      <c r="L636" s="299"/>
      <c r="M636" s="299"/>
      <c r="N636" s="229">
        <v>1</v>
      </c>
      <c r="O636" s="229">
        <v>1</v>
      </c>
      <c r="P636" s="229">
        <v>1</v>
      </c>
      <c r="Q636" s="272">
        <v>0.72</v>
      </c>
      <c r="R636" s="272">
        <v>0.72</v>
      </c>
      <c r="S636" s="272">
        <v>1</v>
      </c>
      <c r="T636" s="256">
        <f t="shared" si="174"/>
        <v>1</v>
      </c>
      <c r="U636" s="256">
        <f t="shared" si="175"/>
        <v>1</v>
      </c>
      <c r="V636" s="256">
        <f t="shared" si="176"/>
        <v>1</v>
      </c>
      <c r="W636" s="256">
        <f t="shared" si="165"/>
        <v>1.3888888888888888</v>
      </c>
      <c r="X636" s="216"/>
      <c r="Y636" s="216"/>
    </row>
    <row r="637" spans="1:25" s="140" customFormat="1" ht="25.5" hidden="1" outlineLevel="5">
      <c r="A637" s="216"/>
      <c r="B637" s="255" t="s">
        <v>823</v>
      </c>
      <c r="C637" s="290" t="s">
        <v>289</v>
      </c>
      <c r="D637" s="227" t="s">
        <v>231</v>
      </c>
      <c r="E637" s="241"/>
      <c r="F637" s="228">
        <f t="shared" si="173"/>
        <v>6.2251019714089834E-2</v>
      </c>
      <c r="G637" s="269">
        <f>+F637*G622</f>
        <v>1.2857380894456186E-5</v>
      </c>
      <c r="H637" s="299"/>
      <c r="I637" s="299"/>
      <c r="J637" s="299"/>
      <c r="K637" s="299"/>
      <c r="L637" s="299"/>
      <c r="M637" s="299"/>
      <c r="N637" s="229">
        <v>1</v>
      </c>
      <c r="O637" s="229">
        <v>1</v>
      </c>
      <c r="P637" s="229">
        <v>1</v>
      </c>
      <c r="Q637" s="272">
        <v>0.72</v>
      </c>
      <c r="R637" s="272">
        <v>0.72</v>
      </c>
      <c r="S637" s="272">
        <v>1</v>
      </c>
      <c r="T637" s="256">
        <f t="shared" si="174"/>
        <v>1</v>
      </c>
      <c r="U637" s="256">
        <f t="shared" si="175"/>
        <v>1</v>
      </c>
      <c r="V637" s="256">
        <f t="shared" si="176"/>
        <v>1</v>
      </c>
      <c r="W637" s="256">
        <f t="shared" si="165"/>
        <v>1.3888888888888888</v>
      </c>
      <c r="X637" s="216"/>
      <c r="Y637" s="216"/>
    </row>
    <row r="638" spans="1:25" s="140" customFormat="1" ht="25.5" hidden="1" outlineLevel="5">
      <c r="A638" s="216"/>
      <c r="B638" s="255" t="s">
        <v>824</v>
      </c>
      <c r="C638" s="290" t="s">
        <v>291</v>
      </c>
      <c r="D638" s="227" t="s">
        <v>231</v>
      </c>
      <c r="E638" s="241"/>
      <c r="F638" s="228">
        <f t="shared" si="173"/>
        <v>6.2251019714089834E-2</v>
      </c>
      <c r="G638" s="269">
        <f>+F638*G622</f>
        <v>1.2857380894456186E-5</v>
      </c>
      <c r="H638" s="299"/>
      <c r="I638" s="299"/>
      <c r="J638" s="299"/>
      <c r="K638" s="299"/>
      <c r="L638" s="299"/>
      <c r="M638" s="299"/>
      <c r="N638" s="229">
        <v>1</v>
      </c>
      <c r="O638" s="229">
        <v>1</v>
      </c>
      <c r="P638" s="229">
        <v>1</v>
      </c>
      <c r="Q638" s="272">
        <v>0.72</v>
      </c>
      <c r="R638" s="272">
        <v>0.72</v>
      </c>
      <c r="S638" s="272">
        <v>1</v>
      </c>
      <c r="T638" s="256">
        <f t="shared" si="174"/>
        <v>1</v>
      </c>
      <c r="U638" s="256">
        <f t="shared" si="175"/>
        <v>1</v>
      </c>
      <c r="V638" s="256">
        <f t="shared" si="176"/>
        <v>1</v>
      </c>
      <c r="W638" s="256">
        <f t="shared" si="165"/>
        <v>1.3888888888888888</v>
      </c>
      <c r="X638" s="216"/>
      <c r="Y638" s="216"/>
    </row>
    <row r="639" spans="1:25" s="140" customFormat="1" ht="25.5" hidden="1" outlineLevel="5">
      <c r="A639" s="216"/>
      <c r="B639" s="255" t="s">
        <v>825</v>
      </c>
      <c r="C639" s="290" t="s">
        <v>366</v>
      </c>
      <c r="D639" s="227" t="s">
        <v>367</v>
      </c>
      <c r="E639" s="241"/>
      <c r="F639" s="228">
        <f t="shared" si="173"/>
        <v>3.9836845745626157E-3</v>
      </c>
      <c r="G639" s="269">
        <f>+F639*G622</f>
        <v>8.2279374978540587E-7</v>
      </c>
      <c r="H639" s="299"/>
      <c r="I639" s="299"/>
      <c r="J639" s="299"/>
      <c r="K639" s="299"/>
      <c r="L639" s="299"/>
      <c r="M639" s="299"/>
      <c r="N639" s="229">
        <v>1</v>
      </c>
      <c r="O639" s="229">
        <v>1</v>
      </c>
      <c r="P639" s="229">
        <v>1</v>
      </c>
      <c r="Q639" s="272">
        <v>0.72</v>
      </c>
      <c r="R639" s="272">
        <v>0.72</v>
      </c>
      <c r="S639" s="272">
        <v>1</v>
      </c>
      <c r="T639" s="256">
        <f t="shared" si="174"/>
        <v>1</v>
      </c>
      <c r="U639" s="256">
        <f t="shared" si="175"/>
        <v>1</v>
      </c>
      <c r="V639" s="256">
        <f t="shared" si="176"/>
        <v>1</v>
      </c>
      <c r="W639" s="256">
        <f t="shared" si="165"/>
        <v>1.3888888888888888</v>
      </c>
      <c r="X639" s="216"/>
      <c r="Y639" s="216"/>
    </row>
    <row r="640" spans="1:25" s="140" customFormat="1" ht="25.5" hidden="1" outlineLevel="4">
      <c r="A640" s="216"/>
      <c r="B640" s="291" t="s">
        <v>826</v>
      </c>
      <c r="C640" s="292" t="s">
        <v>45</v>
      </c>
      <c r="D640" s="234" t="s">
        <v>33</v>
      </c>
      <c r="E640" s="240"/>
      <c r="F640" s="223">
        <f t="shared" si="173"/>
        <v>0.10189354851165684</v>
      </c>
      <c r="G640" s="293">
        <f>+F640*G533</f>
        <v>1.5718268335009988E-4</v>
      </c>
      <c r="H640" s="298"/>
      <c r="I640" s="298"/>
      <c r="J640" s="298"/>
      <c r="K640" s="298"/>
      <c r="L640" s="298"/>
      <c r="M640" s="298"/>
      <c r="N640" s="224">
        <f t="shared" ref="N640:S640" si="177">+SUMPRODUCT($F641:$F654,N641:N654)</f>
        <v>1.0000000000000002</v>
      </c>
      <c r="O640" s="224">
        <f t="shared" si="177"/>
        <v>1.0000000000000002</v>
      </c>
      <c r="P640" s="224">
        <f t="shared" si="177"/>
        <v>1.0000000000000002</v>
      </c>
      <c r="Q640" s="270">
        <f t="shared" si="177"/>
        <v>0.53419999999999979</v>
      </c>
      <c r="R640" s="270">
        <f t="shared" si="177"/>
        <v>0.53419999999999979</v>
      </c>
      <c r="S640" s="270">
        <f t="shared" si="177"/>
        <v>0.89829999999999999</v>
      </c>
      <c r="T640" s="254">
        <f t="shared" si="174"/>
        <v>0.89829999999999977</v>
      </c>
      <c r="U640" s="254">
        <f t="shared" si="175"/>
        <v>0.89829999999999977</v>
      </c>
      <c r="V640" s="254">
        <f t="shared" si="176"/>
        <v>0.89829999999999977</v>
      </c>
      <c r="W640" s="254">
        <f t="shared" si="165"/>
        <v>1.6815799326095102</v>
      </c>
      <c r="X640" s="216"/>
      <c r="Y640" s="216"/>
    </row>
    <row r="641" spans="1:25" s="140" customFormat="1" ht="25.5" hidden="1" outlineLevel="5">
      <c r="A641" s="216"/>
      <c r="B641" s="255" t="s">
        <v>827</v>
      </c>
      <c r="C641" s="290" t="s">
        <v>230</v>
      </c>
      <c r="D641" s="227" t="s">
        <v>231</v>
      </c>
      <c r="E641" s="241"/>
      <c r="F641" s="228">
        <f t="shared" si="173"/>
        <v>7.4469037330616245E-2</v>
      </c>
      <c r="G641" s="269">
        <f>+F641*G640</f>
        <v>1.170524311412502E-5</v>
      </c>
      <c r="H641" s="299"/>
      <c r="I641" s="299"/>
      <c r="J641" s="299"/>
      <c r="K641" s="299"/>
      <c r="L641" s="299"/>
      <c r="M641" s="299"/>
      <c r="N641" s="229">
        <v>1</v>
      </c>
      <c r="O641" s="229">
        <v>1</v>
      </c>
      <c r="P641" s="229">
        <v>1</v>
      </c>
      <c r="Q641" s="272">
        <v>0.53420000000000001</v>
      </c>
      <c r="R641" s="272">
        <v>0.53420000000000001</v>
      </c>
      <c r="S641" s="272">
        <v>0.89829999999999999</v>
      </c>
      <c r="T641" s="256">
        <f t="shared" si="174"/>
        <v>0.89829999999999999</v>
      </c>
      <c r="U641" s="256">
        <f t="shared" si="175"/>
        <v>0.89829999999999999</v>
      </c>
      <c r="V641" s="256">
        <f t="shared" si="176"/>
        <v>0.89829999999999999</v>
      </c>
      <c r="W641" s="256">
        <f t="shared" si="165"/>
        <v>1.6815799326095096</v>
      </c>
      <c r="X641" s="216"/>
      <c r="Y641" s="216"/>
    </row>
    <row r="642" spans="1:25" s="140" customFormat="1" ht="25.5" hidden="1" outlineLevel="5">
      <c r="A642" s="216"/>
      <c r="B642" s="255" t="s">
        <v>828</v>
      </c>
      <c r="C642" s="290" t="s">
        <v>233</v>
      </c>
      <c r="D642" s="227" t="s">
        <v>231</v>
      </c>
      <c r="E642" s="241"/>
      <c r="F642" s="228">
        <f t="shared" si="173"/>
        <v>7.4469037330616245E-2</v>
      </c>
      <c r="G642" s="269">
        <f>+F642*G640</f>
        <v>1.170524311412502E-5</v>
      </c>
      <c r="H642" s="299"/>
      <c r="I642" s="299"/>
      <c r="J642" s="299"/>
      <c r="K642" s="299"/>
      <c r="L642" s="299"/>
      <c r="M642" s="299"/>
      <c r="N642" s="229">
        <v>1</v>
      </c>
      <c r="O642" s="229">
        <v>1</v>
      </c>
      <c r="P642" s="229">
        <v>1</v>
      </c>
      <c r="Q642" s="272">
        <v>0.53420000000000001</v>
      </c>
      <c r="R642" s="272">
        <v>0.53420000000000001</v>
      </c>
      <c r="S642" s="272">
        <v>0.89829999999999999</v>
      </c>
      <c r="T642" s="256">
        <f t="shared" si="174"/>
        <v>0.89829999999999999</v>
      </c>
      <c r="U642" s="256">
        <f t="shared" si="175"/>
        <v>0.89829999999999999</v>
      </c>
      <c r="V642" s="256">
        <f t="shared" si="176"/>
        <v>0.89829999999999999</v>
      </c>
      <c r="W642" s="256">
        <f t="shared" si="165"/>
        <v>1.6815799326095096</v>
      </c>
      <c r="X642" s="216"/>
      <c r="Y642" s="216"/>
    </row>
    <row r="643" spans="1:25" s="140" customFormat="1" ht="25.5" hidden="1" outlineLevel="5">
      <c r="A643" s="216"/>
      <c r="B643" s="255" t="s">
        <v>829</v>
      </c>
      <c r="C643" s="290" t="s">
        <v>235</v>
      </c>
      <c r="D643" s="227" t="s">
        <v>231</v>
      </c>
      <c r="E643" s="241"/>
      <c r="F643" s="228">
        <f t="shared" si="173"/>
        <v>7.4469037330616245E-2</v>
      </c>
      <c r="G643" s="269">
        <f>+F643*G640</f>
        <v>1.170524311412502E-5</v>
      </c>
      <c r="H643" s="299"/>
      <c r="I643" s="299"/>
      <c r="J643" s="299"/>
      <c r="K643" s="299"/>
      <c r="L643" s="299"/>
      <c r="M643" s="299"/>
      <c r="N643" s="229">
        <v>1</v>
      </c>
      <c r="O643" s="229">
        <v>1</v>
      </c>
      <c r="P643" s="229">
        <v>1</v>
      </c>
      <c r="Q643" s="272">
        <v>0.53420000000000001</v>
      </c>
      <c r="R643" s="272">
        <v>0.53420000000000001</v>
      </c>
      <c r="S643" s="272">
        <v>0.89829999999999999</v>
      </c>
      <c r="T643" s="256">
        <f t="shared" si="174"/>
        <v>0.89829999999999999</v>
      </c>
      <c r="U643" s="256">
        <f t="shared" si="175"/>
        <v>0.89829999999999999</v>
      </c>
      <c r="V643" s="256">
        <f t="shared" si="176"/>
        <v>0.89829999999999999</v>
      </c>
      <c r="W643" s="256">
        <f t="shared" si="165"/>
        <v>1.6815799326095096</v>
      </c>
      <c r="X643" s="216"/>
      <c r="Y643" s="216"/>
    </row>
    <row r="644" spans="1:25" s="140" customFormat="1" ht="25.5" hidden="1" outlineLevel="5">
      <c r="A644" s="216"/>
      <c r="B644" s="255" t="s">
        <v>830</v>
      </c>
      <c r="C644" s="290" t="s">
        <v>237</v>
      </c>
      <c r="D644" s="227" t="s">
        <v>231</v>
      </c>
      <c r="E644" s="241"/>
      <c r="F644" s="228">
        <f t="shared" si="173"/>
        <v>7.4469037330616245E-2</v>
      </c>
      <c r="G644" s="269">
        <f>+F644*G640</f>
        <v>1.170524311412502E-5</v>
      </c>
      <c r="H644" s="299"/>
      <c r="I644" s="299"/>
      <c r="J644" s="299"/>
      <c r="K644" s="299"/>
      <c r="L644" s="299"/>
      <c r="M644" s="299"/>
      <c r="N644" s="229">
        <v>1</v>
      </c>
      <c r="O644" s="229">
        <v>1</v>
      </c>
      <c r="P644" s="229">
        <v>1</v>
      </c>
      <c r="Q644" s="272">
        <v>0.53420000000000001</v>
      </c>
      <c r="R644" s="272">
        <v>0.53420000000000001</v>
      </c>
      <c r="S644" s="272">
        <v>0.89829999999999999</v>
      </c>
      <c r="T644" s="256">
        <f t="shared" si="174"/>
        <v>0.89829999999999999</v>
      </c>
      <c r="U644" s="256">
        <f t="shared" si="175"/>
        <v>0.89829999999999999</v>
      </c>
      <c r="V644" s="256">
        <f t="shared" si="176"/>
        <v>0.89829999999999999</v>
      </c>
      <c r="W644" s="256">
        <f t="shared" si="165"/>
        <v>1.6815799326095096</v>
      </c>
      <c r="X644" s="216"/>
      <c r="Y644" s="216"/>
    </row>
    <row r="645" spans="1:25" s="140" customFormat="1" ht="25.5" hidden="1" outlineLevel="5">
      <c r="A645" s="216"/>
      <c r="B645" s="255" t="s">
        <v>831</v>
      </c>
      <c r="C645" s="290" t="s">
        <v>239</v>
      </c>
      <c r="D645" s="227" t="s">
        <v>231</v>
      </c>
      <c r="E645" s="241"/>
      <c r="F645" s="228">
        <f t="shared" si="173"/>
        <v>7.4469037330616245E-2</v>
      </c>
      <c r="G645" s="269">
        <f>+F645*G640</f>
        <v>1.170524311412502E-5</v>
      </c>
      <c r="H645" s="299"/>
      <c r="I645" s="299"/>
      <c r="J645" s="299"/>
      <c r="K645" s="299"/>
      <c r="L645" s="299"/>
      <c r="M645" s="299"/>
      <c r="N645" s="229">
        <v>1</v>
      </c>
      <c r="O645" s="229">
        <v>1</v>
      </c>
      <c r="P645" s="229">
        <v>1</v>
      </c>
      <c r="Q645" s="272">
        <v>0.53420000000000001</v>
      </c>
      <c r="R645" s="272">
        <v>0.53420000000000001</v>
      </c>
      <c r="S645" s="272">
        <v>0.89829999999999999</v>
      </c>
      <c r="T645" s="256">
        <f t="shared" si="174"/>
        <v>0.89829999999999999</v>
      </c>
      <c r="U645" s="256">
        <f t="shared" si="175"/>
        <v>0.89829999999999999</v>
      </c>
      <c r="V645" s="256">
        <f t="shared" si="176"/>
        <v>0.89829999999999999</v>
      </c>
      <c r="W645" s="256">
        <f t="shared" si="165"/>
        <v>1.6815799326095096</v>
      </c>
      <c r="X645" s="216"/>
      <c r="Y645" s="216"/>
    </row>
    <row r="646" spans="1:25" s="140" customFormat="1" ht="25.5" hidden="1" outlineLevel="5">
      <c r="A646" s="216"/>
      <c r="B646" s="255" t="s">
        <v>832</v>
      </c>
      <c r="C646" s="290" t="s">
        <v>241</v>
      </c>
      <c r="D646" s="227" t="s">
        <v>231</v>
      </c>
      <c r="E646" s="241"/>
      <c r="F646" s="228">
        <f t="shared" si="173"/>
        <v>7.4469037330616245E-2</v>
      </c>
      <c r="G646" s="269">
        <f>+F646*G640</f>
        <v>1.170524311412502E-5</v>
      </c>
      <c r="H646" s="299"/>
      <c r="I646" s="299"/>
      <c r="J646" s="299"/>
      <c r="K646" s="299"/>
      <c r="L646" s="299"/>
      <c r="M646" s="299"/>
      <c r="N646" s="229">
        <v>1</v>
      </c>
      <c r="O646" s="229">
        <v>1</v>
      </c>
      <c r="P646" s="229">
        <v>1</v>
      </c>
      <c r="Q646" s="272">
        <v>0.53420000000000001</v>
      </c>
      <c r="R646" s="272">
        <v>0.53420000000000001</v>
      </c>
      <c r="S646" s="272">
        <v>0.89829999999999999</v>
      </c>
      <c r="T646" s="256">
        <f t="shared" si="174"/>
        <v>0.89829999999999999</v>
      </c>
      <c r="U646" s="256">
        <f t="shared" si="175"/>
        <v>0.89829999999999999</v>
      </c>
      <c r="V646" s="256">
        <f t="shared" si="176"/>
        <v>0.89829999999999999</v>
      </c>
      <c r="W646" s="256">
        <f t="shared" ref="W646:W709" si="178">+IF(R646=0,0,$S646/R646)</f>
        <v>1.6815799326095096</v>
      </c>
      <c r="X646" s="216"/>
      <c r="Y646" s="216"/>
    </row>
    <row r="647" spans="1:25" s="140" customFormat="1" ht="25.5" hidden="1" outlineLevel="5">
      <c r="A647" s="216"/>
      <c r="B647" s="255" t="s">
        <v>833</v>
      </c>
      <c r="C647" s="290" t="s">
        <v>376</v>
      </c>
      <c r="D647" s="227" t="s">
        <v>256</v>
      </c>
      <c r="E647" s="241"/>
      <c r="F647" s="228">
        <f t="shared" si="173"/>
        <v>6.9148222002037796E-2</v>
      </c>
      <c r="G647" s="269">
        <f>+F647*G640</f>
        <v>1.0868903083168717E-5</v>
      </c>
      <c r="H647" s="299"/>
      <c r="I647" s="299"/>
      <c r="J647" s="299"/>
      <c r="K647" s="299"/>
      <c r="L647" s="299"/>
      <c r="M647" s="299"/>
      <c r="N647" s="229">
        <v>1</v>
      </c>
      <c r="O647" s="229">
        <v>1</v>
      </c>
      <c r="P647" s="229">
        <v>1</v>
      </c>
      <c r="Q647" s="272">
        <v>0.53420000000000001</v>
      </c>
      <c r="R647" s="272">
        <v>0.53420000000000001</v>
      </c>
      <c r="S647" s="272">
        <v>0.89829999999999999</v>
      </c>
      <c r="T647" s="256">
        <f t="shared" si="174"/>
        <v>0.89829999999999999</v>
      </c>
      <c r="U647" s="256">
        <f t="shared" si="175"/>
        <v>0.89829999999999999</v>
      </c>
      <c r="V647" s="256">
        <f t="shared" si="176"/>
        <v>0.89829999999999999</v>
      </c>
      <c r="W647" s="256">
        <f t="shared" si="178"/>
        <v>1.6815799326095096</v>
      </c>
      <c r="X647" s="216"/>
      <c r="Y647" s="216"/>
    </row>
    <row r="648" spans="1:25" s="140" customFormat="1" ht="25.5" hidden="1" outlineLevel="5">
      <c r="A648" s="216"/>
      <c r="B648" s="255" t="s">
        <v>834</v>
      </c>
      <c r="C648" s="290" t="s">
        <v>378</v>
      </c>
      <c r="D648" s="227" t="s">
        <v>256</v>
      </c>
      <c r="E648" s="241"/>
      <c r="F648" s="228">
        <f t="shared" si="173"/>
        <v>6.9148222002037796E-2</v>
      </c>
      <c r="G648" s="269">
        <f>+F648*G640</f>
        <v>1.0868903083168717E-5</v>
      </c>
      <c r="H648" s="299"/>
      <c r="I648" s="299"/>
      <c r="J648" s="299"/>
      <c r="K648" s="299"/>
      <c r="L648" s="299"/>
      <c r="M648" s="299"/>
      <c r="N648" s="229">
        <v>1</v>
      </c>
      <c r="O648" s="229">
        <v>1</v>
      </c>
      <c r="P648" s="229">
        <v>1</v>
      </c>
      <c r="Q648" s="272">
        <v>0.53420000000000001</v>
      </c>
      <c r="R648" s="272">
        <v>0.53420000000000001</v>
      </c>
      <c r="S648" s="272">
        <v>0.89829999999999999</v>
      </c>
      <c r="T648" s="256">
        <f t="shared" si="174"/>
        <v>0.89829999999999999</v>
      </c>
      <c r="U648" s="256">
        <f t="shared" si="175"/>
        <v>0.89829999999999999</v>
      </c>
      <c r="V648" s="256">
        <f t="shared" si="176"/>
        <v>0.89829999999999999</v>
      </c>
      <c r="W648" s="256">
        <f t="shared" si="178"/>
        <v>1.6815799326095096</v>
      </c>
      <c r="X648" s="216"/>
      <c r="Y648" s="216"/>
    </row>
    <row r="649" spans="1:25" s="140" customFormat="1" ht="25.5" hidden="1" outlineLevel="5">
      <c r="A649" s="216"/>
      <c r="B649" s="255" t="s">
        <v>835</v>
      </c>
      <c r="C649" s="290" t="s">
        <v>380</v>
      </c>
      <c r="D649" s="227" t="s">
        <v>256</v>
      </c>
      <c r="E649" s="241"/>
      <c r="F649" s="228">
        <f t="shared" si="173"/>
        <v>6.9148222002037796E-2</v>
      </c>
      <c r="G649" s="269">
        <f>+F649*G640</f>
        <v>1.0868903083168717E-5</v>
      </c>
      <c r="H649" s="299"/>
      <c r="I649" s="299"/>
      <c r="J649" s="299"/>
      <c r="K649" s="299"/>
      <c r="L649" s="299"/>
      <c r="M649" s="299"/>
      <c r="N649" s="229">
        <v>1</v>
      </c>
      <c r="O649" s="229">
        <v>1</v>
      </c>
      <c r="P649" s="229">
        <v>1</v>
      </c>
      <c r="Q649" s="272">
        <v>0.53420000000000001</v>
      </c>
      <c r="R649" s="272">
        <v>0.53420000000000001</v>
      </c>
      <c r="S649" s="272">
        <v>0.89829999999999999</v>
      </c>
      <c r="T649" s="256">
        <f t="shared" si="174"/>
        <v>0.89829999999999999</v>
      </c>
      <c r="U649" s="256">
        <f t="shared" si="175"/>
        <v>0.89829999999999999</v>
      </c>
      <c r="V649" s="256">
        <f t="shared" si="176"/>
        <v>0.89829999999999999</v>
      </c>
      <c r="W649" s="256">
        <f t="shared" si="178"/>
        <v>1.6815799326095096</v>
      </c>
      <c r="X649" s="216"/>
      <c r="Y649" s="216"/>
    </row>
    <row r="650" spans="1:25" s="140" customFormat="1" ht="25.5" hidden="1" outlineLevel="5">
      <c r="A650" s="216"/>
      <c r="B650" s="255" t="s">
        <v>836</v>
      </c>
      <c r="C650" s="290" t="s">
        <v>382</v>
      </c>
      <c r="D650" s="227" t="s">
        <v>256</v>
      </c>
      <c r="E650" s="241"/>
      <c r="F650" s="228">
        <f t="shared" si="173"/>
        <v>6.9148222002037796E-2</v>
      </c>
      <c r="G650" s="269">
        <f>+F650*G640</f>
        <v>1.0868903083168717E-5</v>
      </c>
      <c r="H650" s="299"/>
      <c r="I650" s="299"/>
      <c r="J650" s="299"/>
      <c r="K650" s="299"/>
      <c r="L650" s="299"/>
      <c r="M650" s="299"/>
      <c r="N650" s="229">
        <v>1</v>
      </c>
      <c r="O650" s="229">
        <v>1</v>
      </c>
      <c r="P650" s="229">
        <v>1</v>
      </c>
      <c r="Q650" s="272">
        <v>0.53420000000000001</v>
      </c>
      <c r="R650" s="272">
        <v>0.53420000000000001</v>
      </c>
      <c r="S650" s="272">
        <v>0.89829999999999999</v>
      </c>
      <c r="T650" s="256">
        <f t="shared" si="174"/>
        <v>0.89829999999999999</v>
      </c>
      <c r="U650" s="256">
        <f t="shared" si="175"/>
        <v>0.89829999999999999</v>
      </c>
      <c r="V650" s="256">
        <f t="shared" si="176"/>
        <v>0.89829999999999999</v>
      </c>
      <c r="W650" s="256">
        <f t="shared" si="178"/>
        <v>1.6815799326095096</v>
      </c>
      <c r="X650" s="216"/>
      <c r="Y650" s="216"/>
    </row>
    <row r="651" spans="1:25" s="140" customFormat="1" ht="25.5" hidden="1" outlineLevel="5">
      <c r="A651" s="216"/>
      <c r="B651" s="255" t="s">
        <v>837</v>
      </c>
      <c r="C651" s="290" t="s">
        <v>384</v>
      </c>
      <c r="D651" s="227" t="s">
        <v>256</v>
      </c>
      <c r="E651" s="241"/>
      <c r="F651" s="228">
        <f t="shared" si="173"/>
        <v>6.9148222002037796E-2</v>
      </c>
      <c r="G651" s="269">
        <f>+F651*G640</f>
        <v>1.0868903083168717E-5</v>
      </c>
      <c r="H651" s="299"/>
      <c r="I651" s="299"/>
      <c r="J651" s="299"/>
      <c r="K651" s="299"/>
      <c r="L651" s="299"/>
      <c r="M651" s="299"/>
      <c r="N651" s="229">
        <v>1</v>
      </c>
      <c r="O651" s="229">
        <v>1</v>
      </c>
      <c r="P651" s="229">
        <v>1</v>
      </c>
      <c r="Q651" s="272">
        <v>0.53420000000000001</v>
      </c>
      <c r="R651" s="272">
        <v>0.53420000000000001</v>
      </c>
      <c r="S651" s="272">
        <v>0.89829999999999999</v>
      </c>
      <c r="T651" s="256">
        <f t="shared" si="174"/>
        <v>0.89829999999999999</v>
      </c>
      <c r="U651" s="256">
        <f t="shared" si="175"/>
        <v>0.89829999999999999</v>
      </c>
      <c r="V651" s="256">
        <f t="shared" si="176"/>
        <v>0.89829999999999999</v>
      </c>
      <c r="W651" s="256">
        <f t="shared" si="178"/>
        <v>1.6815799326095096</v>
      </c>
      <c r="X651" s="216"/>
      <c r="Y651" s="216"/>
    </row>
    <row r="652" spans="1:25" s="140" customFormat="1" ht="25.5" hidden="1" outlineLevel="5">
      <c r="A652" s="216"/>
      <c r="B652" s="255" t="s">
        <v>838</v>
      </c>
      <c r="C652" s="290" t="s">
        <v>386</v>
      </c>
      <c r="D652" s="227" t="s">
        <v>256</v>
      </c>
      <c r="E652" s="241"/>
      <c r="F652" s="228">
        <f t="shared" si="173"/>
        <v>6.9148222002037796E-2</v>
      </c>
      <c r="G652" s="269">
        <f>+F652*G640</f>
        <v>1.0868903083168717E-5</v>
      </c>
      <c r="H652" s="299"/>
      <c r="I652" s="299"/>
      <c r="J652" s="299"/>
      <c r="K652" s="299"/>
      <c r="L652" s="299"/>
      <c r="M652" s="299"/>
      <c r="N652" s="229">
        <v>1</v>
      </c>
      <c r="O652" s="229">
        <v>1</v>
      </c>
      <c r="P652" s="229">
        <v>1</v>
      </c>
      <c r="Q652" s="272">
        <v>0.53420000000000001</v>
      </c>
      <c r="R652" s="272">
        <v>0.53420000000000001</v>
      </c>
      <c r="S652" s="272">
        <v>0.89829999999999999</v>
      </c>
      <c r="T652" s="256">
        <f t="shared" si="174"/>
        <v>0.89829999999999999</v>
      </c>
      <c r="U652" s="256">
        <f t="shared" si="175"/>
        <v>0.89829999999999999</v>
      </c>
      <c r="V652" s="256">
        <f t="shared" si="176"/>
        <v>0.89829999999999999</v>
      </c>
      <c r="W652" s="256">
        <f t="shared" si="178"/>
        <v>1.6815799326095096</v>
      </c>
      <c r="X652" s="216"/>
      <c r="Y652" s="216"/>
    </row>
    <row r="653" spans="1:25" s="140" customFormat="1" ht="25.5" hidden="1" outlineLevel="5">
      <c r="A653" s="216"/>
      <c r="B653" s="255" t="s">
        <v>839</v>
      </c>
      <c r="C653" s="290" t="s">
        <v>388</v>
      </c>
      <c r="D653" s="227" t="s">
        <v>256</v>
      </c>
      <c r="E653" s="241"/>
      <c r="F653" s="228">
        <f t="shared" si="173"/>
        <v>6.9148222002037796E-2</v>
      </c>
      <c r="G653" s="269">
        <f>+F653*G640</f>
        <v>1.0868903083168717E-5</v>
      </c>
      <c r="H653" s="299"/>
      <c r="I653" s="299"/>
      <c r="J653" s="299"/>
      <c r="K653" s="299"/>
      <c r="L653" s="299"/>
      <c r="M653" s="299"/>
      <c r="N653" s="229">
        <v>1</v>
      </c>
      <c r="O653" s="229">
        <v>1</v>
      </c>
      <c r="P653" s="229">
        <v>1</v>
      </c>
      <c r="Q653" s="272">
        <v>0.53420000000000001</v>
      </c>
      <c r="R653" s="272">
        <v>0.53420000000000001</v>
      </c>
      <c r="S653" s="272">
        <v>0.89829999999999999</v>
      </c>
      <c r="T653" s="256">
        <f t="shared" si="174"/>
        <v>0.89829999999999999</v>
      </c>
      <c r="U653" s="256">
        <f t="shared" si="175"/>
        <v>0.89829999999999999</v>
      </c>
      <c r="V653" s="256">
        <f t="shared" si="176"/>
        <v>0.89829999999999999</v>
      </c>
      <c r="W653" s="256">
        <f t="shared" si="178"/>
        <v>1.6815799326095096</v>
      </c>
      <c r="X653" s="216"/>
      <c r="Y653" s="216"/>
    </row>
    <row r="654" spans="1:25" s="140" customFormat="1" ht="25.5" hidden="1" outlineLevel="5">
      <c r="A654" s="216"/>
      <c r="B654" s="255" t="s">
        <v>840</v>
      </c>
      <c r="C654" s="290" t="s">
        <v>390</v>
      </c>
      <c r="D654" s="227" t="s">
        <v>256</v>
      </c>
      <c r="E654" s="241"/>
      <c r="F654" s="228">
        <f t="shared" si="173"/>
        <v>6.9148222002037796E-2</v>
      </c>
      <c r="G654" s="269">
        <f>+F654*G640</f>
        <v>1.0868903083168717E-5</v>
      </c>
      <c r="H654" s="299"/>
      <c r="I654" s="299"/>
      <c r="J654" s="299"/>
      <c r="K654" s="299"/>
      <c r="L654" s="299"/>
      <c r="M654" s="299"/>
      <c r="N654" s="229">
        <v>1</v>
      </c>
      <c r="O654" s="229">
        <v>1</v>
      </c>
      <c r="P654" s="229">
        <v>1</v>
      </c>
      <c r="Q654" s="272">
        <v>0.53420000000000001</v>
      </c>
      <c r="R654" s="272">
        <v>0.53420000000000001</v>
      </c>
      <c r="S654" s="272">
        <v>0.89829999999999999</v>
      </c>
      <c r="T654" s="256">
        <f t="shared" si="174"/>
        <v>0.89829999999999999</v>
      </c>
      <c r="U654" s="256">
        <f t="shared" si="175"/>
        <v>0.89829999999999999</v>
      </c>
      <c r="V654" s="256">
        <f t="shared" si="176"/>
        <v>0.89829999999999999</v>
      </c>
      <c r="W654" s="256">
        <f t="shared" si="178"/>
        <v>1.6815799326095096</v>
      </c>
      <c r="X654" s="216"/>
      <c r="Y654" s="216"/>
    </row>
    <row r="655" spans="1:25" s="140" customFormat="1" ht="12.75" hidden="1" outlineLevel="4">
      <c r="A655" s="216"/>
      <c r="B655" s="291" t="s">
        <v>841</v>
      </c>
      <c r="C655" s="292" t="s">
        <v>170</v>
      </c>
      <c r="D655" s="234" t="s">
        <v>171</v>
      </c>
      <c r="E655" s="240"/>
      <c r="F655" s="223">
        <f t="shared" si="173"/>
        <v>4.25702422192204E-2</v>
      </c>
      <c r="G655" s="293">
        <f>+F655*G533</f>
        <v>6.5669563977500237E-5</v>
      </c>
      <c r="H655" s="298"/>
      <c r="I655" s="298"/>
      <c r="J655" s="298"/>
      <c r="K655" s="298"/>
      <c r="L655" s="298"/>
      <c r="M655" s="298"/>
      <c r="N655" s="224">
        <v>1</v>
      </c>
      <c r="O655" s="224">
        <v>1</v>
      </c>
      <c r="P655" s="224">
        <v>1</v>
      </c>
      <c r="Q655" s="270">
        <v>0</v>
      </c>
      <c r="R655" s="270">
        <v>0</v>
      </c>
      <c r="S655" s="270">
        <v>0.86729999999999996</v>
      </c>
      <c r="T655" s="254">
        <f t="shared" si="174"/>
        <v>0.86729999999999996</v>
      </c>
      <c r="U655" s="254">
        <f t="shared" si="175"/>
        <v>0.86729999999999996</v>
      </c>
      <c r="V655" s="254">
        <f t="shared" si="176"/>
        <v>0.86729999999999996</v>
      </c>
      <c r="W655" s="254">
        <f t="shared" si="178"/>
        <v>0</v>
      </c>
      <c r="X655" s="216"/>
      <c r="Y655" s="216"/>
    </row>
    <row r="656" spans="1:25" s="140" customFormat="1" ht="12.75" hidden="1" outlineLevel="3">
      <c r="B656" s="300" t="s">
        <v>842</v>
      </c>
      <c r="C656" s="294" t="s">
        <v>392</v>
      </c>
      <c r="D656" s="294" t="s">
        <v>47</v>
      </c>
      <c r="E656" s="295"/>
      <c r="F656" s="296">
        <f t="shared" si="173"/>
        <v>3.9032542437386124E-2</v>
      </c>
      <c r="G656" s="296">
        <f>+F656*G532</f>
        <v>7.7089271313837614E-5</v>
      </c>
      <c r="H656" s="297"/>
      <c r="I656" s="297"/>
      <c r="J656" s="297"/>
      <c r="K656" s="297"/>
      <c r="L656" s="297"/>
      <c r="M656" s="297"/>
      <c r="N656" s="296">
        <f t="shared" ref="N656:S656" si="179">+SUMPRODUCT($F657:$F671,N657:N671)</f>
        <v>0.3522129931231141</v>
      </c>
      <c r="O656" s="296">
        <f t="shared" si="179"/>
        <v>0.3522129931231141</v>
      </c>
      <c r="P656" s="296">
        <f t="shared" si="179"/>
        <v>0.3522129931231141</v>
      </c>
      <c r="Q656" s="296">
        <f t="shared" si="179"/>
        <v>0</v>
      </c>
      <c r="R656" s="296">
        <f t="shared" si="179"/>
        <v>0</v>
      </c>
      <c r="S656" s="296">
        <f t="shared" si="179"/>
        <v>0</v>
      </c>
      <c r="T656" s="296">
        <f t="shared" si="174"/>
        <v>0</v>
      </c>
      <c r="U656" s="296">
        <f t="shared" si="175"/>
        <v>0</v>
      </c>
      <c r="V656" s="296">
        <f t="shared" si="176"/>
        <v>0</v>
      </c>
      <c r="W656" s="296">
        <f t="shared" si="178"/>
        <v>0</v>
      </c>
    </row>
    <row r="657" spans="1:25" s="140" customFormat="1" ht="12.75" hidden="1" outlineLevel="4">
      <c r="A657" s="216"/>
      <c r="B657" s="255" t="s">
        <v>843</v>
      </c>
      <c r="C657" s="245" t="s">
        <v>49</v>
      </c>
      <c r="D657" s="227" t="s">
        <v>50</v>
      </c>
      <c r="E657" s="241"/>
      <c r="F657" s="228">
        <f t="shared" si="173"/>
        <v>9.2877610796635368E-2</v>
      </c>
      <c r="G657" s="269">
        <f>+F657*G656</f>
        <v>7.1598673376828376E-6</v>
      </c>
      <c r="H657" s="299"/>
      <c r="I657" s="299"/>
      <c r="J657" s="299"/>
      <c r="K657" s="299"/>
      <c r="L657" s="299"/>
      <c r="M657" s="299"/>
      <c r="N657" s="229">
        <v>1</v>
      </c>
      <c r="O657" s="229">
        <v>1</v>
      </c>
      <c r="P657" s="229">
        <v>1</v>
      </c>
      <c r="Q657" s="272">
        <v>0</v>
      </c>
      <c r="R657" s="272">
        <v>0</v>
      </c>
      <c r="S657" s="272">
        <v>0</v>
      </c>
      <c r="T657" s="256">
        <f t="shared" si="174"/>
        <v>0</v>
      </c>
      <c r="U657" s="256">
        <f t="shared" si="175"/>
        <v>0</v>
      </c>
      <c r="V657" s="256">
        <f t="shared" si="176"/>
        <v>0</v>
      </c>
      <c r="W657" s="256">
        <f t="shared" si="178"/>
        <v>0</v>
      </c>
      <c r="X657" s="216"/>
      <c r="Y657" s="216"/>
    </row>
    <row r="658" spans="1:25" s="140" customFormat="1" ht="12.75" hidden="1" outlineLevel="4">
      <c r="A658" s="216"/>
      <c r="B658" s="255" t="s">
        <v>844</v>
      </c>
      <c r="C658" s="245" t="s">
        <v>52</v>
      </c>
      <c r="D658" s="227" t="s">
        <v>53</v>
      </c>
      <c r="E658" s="241"/>
      <c r="F658" s="228">
        <f t="shared" si="173"/>
        <v>5.8105219309829384E-2</v>
      </c>
      <c r="G658" s="269">
        <f>+F658*G656</f>
        <v>4.479289016125474E-6</v>
      </c>
      <c r="H658" s="299"/>
      <c r="I658" s="299"/>
      <c r="J658" s="299"/>
      <c r="K658" s="299"/>
      <c r="L658" s="299"/>
      <c r="M658" s="299"/>
      <c r="N658" s="229">
        <v>1</v>
      </c>
      <c r="O658" s="229">
        <v>1</v>
      </c>
      <c r="P658" s="229">
        <v>1</v>
      </c>
      <c r="Q658" s="272">
        <v>0</v>
      </c>
      <c r="R658" s="272">
        <v>0</v>
      </c>
      <c r="S658" s="272">
        <v>0</v>
      </c>
      <c r="T658" s="256">
        <f t="shared" si="174"/>
        <v>0</v>
      </c>
      <c r="U658" s="256">
        <f t="shared" si="175"/>
        <v>0</v>
      </c>
      <c r="V658" s="256">
        <f t="shared" si="176"/>
        <v>0</v>
      </c>
      <c r="W658" s="256">
        <f t="shared" si="178"/>
        <v>0</v>
      </c>
      <c r="X658" s="216"/>
      <c r="Y658" s="216"/>
    </row>
    <row r="659" spans="1:25" s="140" customFormat="1" ht="12.75" hidden="1" outlineLevel="4">
      <c r="A659" s="216"/>
      <c r="B659" s="255" t="s">
        <v>845</v>
      </c>
      <c r="C659" s="245" t="s">
        <v>55</v>
      </c>
      <c r="D659" s="227" t="s">
        <v>56</v>
      </c>
      <c r="E659" s="241"/>
      <c r="F659" s="228">
        <f t="shared" si="173"/>
        <v>2.7796911320762424E-2</v>
      </c>
      <c r="G659" s="269">
        <f>+F659*G656</f>
        <v>2.1428436384929386E-6</v>
      </c>
      <c r="H659" s="299"/>
      <c r="I659" s="299"/>
      <c r="J659" s="299"/>
      <c r="K659" s="299"/>
      <c r="L659" s="299"/>
      <c r="M659" s="299"/>
      <c r="N659" s="229">
        <v>1</v>
      </c>
      <c r="O659" s="229">
        <v>1</v>
      </c>
      <c r="P659" s="229">
        <v>1</v>
      </c>
      <c r="Q659" s="272">
        <v>0</v>
      </c>
      <c r="R659" s="272">
        <v>0</v>
      </c>
      <c r="S659" s="272">
        <v>0</v>
      </c>
      <c r="T659" s="256">
        <f t="shared" si="174"/>
        <v>0</v>
      </c>
      <c r="U659" s="256">
        <f t="shared" si="175"/>
        <v>0</v>
      </c>
      <c r="V659" s="256">
        <f t="shared" si="176"/>
        <v>0</v>
      </c>
      <c r="W659" s="256">
        <f t="shared" si="178"/>
        <v>0</v>
      </c>
      <c r="X659" s="216"/>
      <c r="Y659" s="216"/>
    </row>
    <row r="660" spans="1:25" s="140" customFormat="1" ht="12.75" hidden="1" outlineLevel="4">
      <c r="A660" s="216"/>
      <c r="B660" s="255" t="s">
        <v>846</v>
      </c>
      <c r="C660" s="245" t="s">
        <v>58</v>
      </c>
      <c r="D660" s="227" t="s">
        <v>59</v>
      </c>
      <c r="E660" s="241"/>
      <c r="F660" s="228">
        <f t="shared" si="173"/>
        <v>2.9155300375276354E-2</v>
      </c>
      <c r="G660" s="269">
        <f>+F660*G656</f>
        <v>2.2475608608661104E-6</v>
      </c>
      <c r="H660" s="299"/>
      <c r="I660" s="299"/>
      <c r="J660" s="299"/>
      <c r="K660" s="299"/>
      <c r="L660" s="299"/>
      <c r="M660" s="299"/>
      <c r="N660" s="229">
        <v>1</v>
      </c>
      <c r="O660" s="229">
        <v>1</v>
      </c>
      <c r="P660" s="229">
        <v>1</v>
      </c>
      <c r="Q660" s="272">
        <v>0</v>
      </c>
      <c r="R660" s="272">
        <v>0</v>
      </c>
      <c r="S660" s="272">
        <v>0</v>
      </c>
      <c r="T660" s="256">
        <f t="shared" si="174"/>
        <v>0</v>
      </c>
      <c r="U660" s="256">
        <f t="shared" si="175"/>
        <v>0</v>
      </c>
      <c r="V660" s="256">
        <f t="shared" si="176"/>
        <v>0</v>
      </c>
      <c r="W660" s="256">
        <f t="shared" si="178"/>
        <v>0</v>
      </c>
      <c r="X660" s="216"/>
      <c r="Y660" s="216"/>
    </row>
    <row r="661" spans="1:25" s="140" customFormat="1" ht="12.75" hidden="1" outlineLevel="4">
      <c r="A661" s="216"/>
      <c r="B661" s="255" t="s">
        <v>847</v>
      </c>
      <c r="C661" s="245" t="s">
        <v>61</v>
      </c>
      <c r="D661" s="227" t="s">
        <v>62</v>
      </c>
      <c r="E661" s="241"/>
      <c r="F661" s="228">
        <f t="shared" ref="F661:F682" si="180">F847</f>
        <v>4.0182801717972776E-2</v>
      </c>
      <c r="G661" s="269">
        <f>+F661*G656</f>
        <v>3.0976629037869434E-6</v>
      </c>
      <c r="H661" s="299"/>
      <c r="I661" s="299"/>
      <c r="J661" s="299"/>
      <c r="K661" s="299"/>
      <c r="L661" s="299"/>
      <c r="M661" s="299"/>
      <c r="N661" s="229">
        <v>0.28942090444761831</v>
      </c>
      <c r="O661" s="229">
        <v>0.28942090444761831</v>
      </c>
      <c r="P661" s="229">
        <v>0.28942090444761831</v>
      </c>
      <c r="Q661" s="272">
        <v>0</v>
      </c>
      <c r="R661" s="272">
        <v>0</v>
      </c>
      <c r="S661" s="272">
        <v>0</v>
      </c>
      <c r="T661" s="256">
        <f t="shared" ref="T661:T692" si="181">+IF(N661=0,0,$S661/N661)</f>
        <v>0</v>
      </c>
      <c r="U661" s="256">
        <f t="shared" ref="U661:U692" si="182">+IF(O661=0,0,$S661/O661)</f>
        <v>0</v>
      </c>
      <c r="V661" s="256">
        <f t="shared" ref="V661:V692" si="183">+IF(P661=0,0,$S661/P661)</f>
        <v>0</v>
      </c>
      <c r="W661" s="256">
        <f t="shared" si="178"/>
        <v>0</v>
      </c>
      <c r="X661" s="216"/>
      <c r="Y661" s="216"/>
    </row>
    <row r="662" spans="1:25" s="140" customFormat="1" ht="12.75" hidden="1" outlineLevel="4">
      <c r="A662" s="216"/>
      <c r="B662" s="255" t="s">
        <v>848</v>
      </c>
      <c r="C662" s="245" t="s">
        <v>64</v>
      </c>
      <c r="D662" s="227" t="s">
        <v>65</v>
      </c>
      <c r="E662" s="241"/>
      <c r="F662" s="228">
        <f t="shared" si="180"/>
        <v>9.8615013818202632E-2</v>
      </c>
      <c r="G662" s="269">
        <f>+F662*G656</f>
        <v>7.602159555849268E-6</v>
      </c>
      <c r="H662" s="299"/>
      <c r="I662" s="299"/>
      <c r="J662" s="299"/>
      <c r="K662" s="299"/>
      <c r="L662" s="299"/>
      <c r="M662" s="299"/>
      <c r="N662" s="229">
        <v>0.28942090444761831</v>
      </c>
      <c r="O662" s="229">
        <v>0.28942090444761831</v>
      </c>
      <c r="P662" s="229">
        <v>0.28942090444761831</v>
      </c>
      <c r="Q662" s="272">
        <v>0</v>
      </c>
      <c r="R662" s="272">
        <v>0</v>
      </c>
      <c r="S662" s="272">
        <v>0</v>
      </c>
      <c r="T662" s="256">
        <f t="shared" si="181"/>
        <v>0</v>
      </c>
      <c r="U662" s="256">
        <f t="shared" si="182"/>
        <v>0</v>
      </c>
      <c r="V662" s="256">
        <f t="shared" si="183"/>
        <v>0</v>
      </c>
      <c r="W662" s="256">
        <f t="shared" si="178"/>
        <v>0</v>
      </c>
      <c r="X662" s="216"/>
      <c r="Y662" s="216"/>
    </row>
    <row r="663" spans="1:25" s="140" customFormat="1" ht="12.75" hidden="1" outlineLevel="4">
      <c r="A663" s="216"/>
      <c r="B663" s="255" t="s">
        <v>849</v>
      </c>
      <c r="C663" s="245" t="s">
        <v>67</v>
      </c>
      <c r="D663" s="227" t="s">
        <v>68</v>
      </c>
      <c r="E663" s="241"/>
      <c r="F663" s="228">
        <f t="shared" si="180"/>
        <v>9.164980880972666E-2</v>
      </c>
      <c r="G663" s="269">
        <f>+F663*G656</f>
        <v>7.0652169771943633E-6</v>
      </c>
      <c r="H663" s="299"/>
      <c r="I663" s="299"/>
      <c r="J663" s="299"/>
      <c r="K663" s="299"/>
      <c r="L663" s="299"/>
      <c r="M663" s="299"/>
      <c r="N663" s="229">
        <v>0.28942090444761831</v>
      </c>
      <c r="O663" s="229">
        <v>0.28942090444761831</v>
      </c>
      <c r="P663" s="229">
        <v>0.28942090444761831</v>
      </c>
      <c r="Q663" s="272">
        <v>0</v>
      </c>
      <c r="R663" s="272">
        <v>0</v>
      </c>
      <c r="S663" s="272">
        <v>0</v>
      </c>
      <c r="T663" s="256">
        <f t="shared" si="181"/>
        <v>0</v>
      </c>
      <c r="U663" s="256">
        <f t="shared" si="182"/>
        <v>0</v>
      </c>
      <c r="V663" s="256">
        <f t="shared" si="183"/>
        <v>0</v>
      </c>
      <c r="W663" s="256">
        <f t="shared" si="178"/>
        <v>0</v>
      </c>
      <c r="X663" s="216"/>
      <c r="Y663" s="216"/>
    </row>
    <row r="664" spans="1:25" s="140" customFormat="1" ht="25.5" hidden="1" outlineLevel="4">
      <c r="A664" s="216"/>
      <c r="B664" s="255" t="s">
        <v>850</v>
      </c>
      <c r="C664" s="245" t="s">
        <v>70</v>
      </c>
      <c r="D664" s="227" t="s">
        <v>71</v>
      </c>
      <c r="E664" s="241"/>
      <c r="F664" s="228">
        <f t="shared" si="180"/>
        <v>9.2909380612212003E-2</v>
      </c>
      <c r="G664" s="269">
        <f>+F664*G656</f>
        <v>7.162316449615415E-6</v>
      </c>
      <c r="H664" s="299"/>
      <c r="I664" s="299"/>
      <c r="J664" s="299"/>
      <c r="K664" s="299"/>
      <c r="L664" s="299"/>
      <c r="M664" s="299"/>
      <c r="N664" s="229">
        <v>0.28942090444761831</v>
      </c>
      <c r="O664" s="229">
        <v>0.28942090444761831</v>
      </c>
      <c r="P664" s="229">
        <v>0.28942090444761831</v>
      </c>
      <c r="Q664" s="272">
        <v>0</v>
      </c>
      <c r="R664" s="272">
        <v>0</v>
      </c>
      <c r="S664" s="272">
        <v>0</v>
      </c>
      <c r="T664" s="256">
        <f t="shared" si="181"/>
        <v>0</v>
      </c>
      <c r="U664" s="256">
        <f t="shared" si="182"/>
        <v>0</v>
      </c>
      <c r="V664" s="256">
        <f t="shared" si="183"/>
        <v>0</v>
      </c>
      <c r="W664" s="256">
        <f t="shared" si="178"/>
        <v>0</v>
      </c>
      <c r="X664" s="216"/>
      <c r="Y664" s="216"/>
    </row>
    <row r="665" spans="1:25" s="140" customFormat="1" ht="12.75" hidden="1" outlineLevel="4">
      <c r="A665" s="216"/>
      <c r="B665" s="255" t="s">
        <v>851</v>
      </c>
      <c r="C665" s="245" t="s">
        <v>73</v>
      </c>
      <c r="D665" s="227" t="s">
        <v>74</v>
      </c>
      <c r="E665" s="241"/>
      <c r="F665" s="228">
        <f t="shared" si="180"/>
        <v>8.0887028733242702E-2</v>
      </c>
      <c r="G665" s="269">
        <f>+F665*G656</f>
        <v>6.2355221037871258E-6</v>
      </c>
      <c r="H665" s="299"/>
      <c r="I665" s="299"/>
      <c r="J665" s="299"/>
      <c r="K665" s="299"/>
      <c r="L665" s="299"/>
      <c r="M665" s="299"/>
      <c r="N665" s="229">
        <v>0</v>
      </c>
      <c r="O665" s="229">
        <v>0</v>
      </c>
      <c r="P665" s="229">
        <v>0</v>
      </c>
      <c r="Q665" s="272">
        <v>0</v>
      </c>
      <c r="R665" s="272">
        <v>0</v>
      </c>
      <c r="S665" s="272">
        <v>0</v>
      </c>
      <c r="T665" s="256">
        <f t="shared" si="181"/>
        <v>0</v>
      </c>
      <c r="U665" s="256">
        <f t="shared" si="182"/>
        <v>0</v>
      </c>
      <c r="V665" s="256">
        <f t="shared" si="183"/>
        <v>0</v>
      </c>
      <c r="W665" s="256">
        <f t="shared" si="178"/>
        <v>0</v>
      </c>
      <c r="X665" s="216"/>
      <c r="Y665" s="216"/>
    </row>
    <row r="666" spans="1:25" s="140" customFormat="1" ht="12.75" hidden="1" outlineLevel="4">
      <c r="A666" s="216"/>
      <c r="B666" s="255" t="s">
        <v>852</v>
      </c>
      <c r="C666" s="245" t="s">
        <v>76</v>
      </c>
      <c r="D666" s="227" t="s">
        <v>77</v>
      </c>
      <c r="E666" s="241"/>
      <c r="F666" s="228">
        <f t="shared" si="180"/>
        <v>0.11788367881609482</v>
      </c>
      <c r="G666" s="269">
        <f>+F666*G656</f>
        <v>9.0875668997272256E-6</v>
      </c>
      <c r="H666" s="299"/>
      <c r="I666" s="299"/>
      <c r="J666" s="299"/>
      <c r="K666" s="299"/>
      <c r="L666" s="299"/>
      <c r="M666" s="299"/>
      <c r="N666" s="229">
        <v>0</v>
      </c>
      <c r="O666" s="229">
        <v>0</v>
      </c>
      <c r="P666" s="229">
        <v>0</v>
      </c>
      <c r="Q666" s="272">
        <v>0</v>
      </c>
      <c r="R666" s="272">
        <v>0</v>
      </c>
      <c r="S666" s="272">
        <v>0</v>
      </c>
      <c r="T666" s="256">
        <f t="shared" si="181"/>
        <v>0</v>
      </c>
      <c r="U666" s="256">
        <f t="shared" si="182"/>
        <v>0</v>
      </c>
      <c r="V666" s="256">
        <f t="shared" si="183"/>
        <v>0</v>
      </c>
      <c r="W666" s="256">
        <f t="shared" si="178"/>
        <v>0</v>
      </c>
      <c r="X666" s="216"/>
      <c r="Y666" s="216"/>
    </row>
    <row r="667" spans="1:25" s="140" customFormat="1" ht="12.75" hidden="1" outlineLevel="4">
      <c r="A667" s="216"/>
      <c r="B667" s="255" t="s">
        <v>853</v>
      </c>
      <c r="C667" s="245" t="s">
        <v>79</v>
      </c>
      <c r="D667" s="227" t="s">
        <v>80</v>
      </c>
      <c r="E667" s="241"/>
      <c r="F667" s="228">
        <f t="shared" si="180"/>
        <v>4.1046638926131508E-2</v>
      </c>
      <c r="G667" s="269">
        <f>+F667*G656</f>
        <v>3.1642554846976801E-6</v>
      </c>
      <c r="H667" s="299"/>
      <c r="I667" s="299"/>
      <c r="J667" s="299"/>
      <c r="K667" s="299"/>
      <c r="L667" s="299"/>
      <c r="M667" s="299"/>
      <c r="N667" s="229">
        <v>0</v>
      </c>
      <c r="O667" s="229">
        <v>0</v>
      </c>
      <c r="P667" s="229">
        <v>0</v>
      </c>
      <c r="Q667" s="272">
        <v>0</v>
      </c>
      <c r="R667" s="272">
        <v>0</v>
      </c>
      <c r="S667" s="272">
        <v>0</v>
      </c>
      <c r="T667" s="256">
        <f t="shared" si="181"/>
        <v>0</v>
      </c>
      <c r="U667" s="256">
        <f t="shared" si="182"/>
        <v>0</v>
      </c>
      <c r="V667" s="256">
        <f t="shared" si="183"/>
        <v>0</v>
      </c>
      <c r="W667" s="256">
        <f t="shared" si="178"/>
        <v>0</v>
      </c>
      <c r="X667" s="216"/>
      <c r="Y667" s="216"/>
    </row>
    <row r="668" spans="1:25" s="140" customFormat="1" ht="12.75" hidden="1" outlineLevel="4">
      <c r="A668" s="216"/>
      <c r="B668" s="255" t="s">
        <v>854</v>
      </c>
      <c r="C668" s="245" t="s">
        <v>82</v>
      </c>
      <c r="D668" s="227" t="s">
        <v>83</v>
      </c>
      <c r="E668" s="241"/>
      <c r="F668" s="228">
        <f t="shared" si="180"/>
        <v>5.3741978219236555E-2</v>
      </c>
      <c r="G668" s="269">
        <f>+F668*G656</f>
        <v>4.1429299398850783E-6</v>
      </c>
      <c r="H668" s="299"/>
      <c r="I668" s="299"/>
      <c r="J668" s="299"/>
      <c r="K668" s="299"/>
      <c r="L668" s="299"/>
      <c r="M668" s="299"/>
      <c r="N668" s="229">
        <v>0</v>
      </c>
      <c r="O668" s="229">
        <v>0</v>
      </c>
      <c r="P668" s="229">
        <v>0</v>
      </c>
      <c r="Q668" s="272">
        <v>0</v>
      </c>
      <c r="R668" s="272">
        <v>0</v>
      </c>
      <c r="S668" s="272">
        <v>0</v>
      </c>
      <c r="T668" s="256">
        <f t="shared" si="181"/>
        <v>0</v>
      </c>
      <c r="U668" s="256">
        <f t="shared" si="182"/>
        <v>0</v>
      </c>
      <c r="V668" s="256">
        <f t="shared" si="183"/>
        <v>0</v>
      </c>
      <c r="W668" s="256">
        <f t="shared" si="178"/>
        <v>0</v>
      </c>
      <c r="X668" s="216"/>
      <c r="Y668" s="216"/>
    </row>
    <row r="669" spans="1:25" s="140" customFormat="1" ht="12.75" hidden="1" outlineLevel="4">
      <c r="A669" s="216"/>
      <c r="B669" s="255" t="s">
        <v>855</v>
      </c>
      <c r="C669" s="245" t="s">
        <v>85</v>
      </c>
      <c r="D669" s="227" t="s">
        <v>86</v>
      </c>
      <c r="E669" s="241"/>
      <c r="F669" s="228">
        <f t="shared" si="180"/>
        <v>5.8057394561842592E-2</v>
      </c>
      <c r="G669" s="269">
        <f>+F669*G656</f>
        <v>4.475602241152404E-6</v>
      </c>
      <c r="H669" s="299"/>
      <c r="I669" s="299"/>
      <c r="J669" s="299"/>
      <c r="K669" s="299"/>
      <c r="L669" s="299"/>
      <c r="M669" s="299"/>
      <c r="N669" s="229">
        <v>0.28942090444761831</v>
      </c>
      <c r="O669" s="229">
        <v>0.28942090444761831</v>
      </c>
      <c r="P669" s="229">
        <v>0.28942090444761831</v>
      </c>
      <c r="Q669" s="272">
        <v>0</v>
      </c>
      <c r="R669" s="272">
        <v>0</v>
      </c>
      <c r="S669" s="272">
        <v>0</v>
      </c>
      <c r="T669" s="256">
        <f t="shared" si="181"/>
        <v>0</v>
      </c>
      <c r="U669" s="256">
        <f t="shared" si="182"/>
        <v>0</v>
      </c>
      <c r="V669" s="256">
        <f t="shared" si="183"/>
        <v>0</v>
      </c>
      <c r="W669" s="256">
        <f t="shared" si="178"/>
        <v>0</v>
      </c>
      <c r="X669" s="216"/>
      <c r="Y669" s="216"/>
    </row>
    <row r="670" spans="1:25" s="140" customFormat="1" ht="12.75" hidden="1" outlineLevel="4">
      <c r="A670" s="216"/>
      <c r="B670" s="255" t="s">
        <v>856</v>
      </c>
      <c r="C670" s="245" t="s">
        <v>88</v>
      </c>
      <c r="D670" s="227" t="s">
        <v>89</v>
      </c>
      <c r="E670" s="241"/>
      <c r="F670" s="228">
        <f t="shared" si="180"/>
        <v>6.1612726844928238E-2</v>
      </c>
      <c r="G670" s="269">
        <f>+F670*G656</f>
        <v>4.7496802161340394E-6</v>
      </c>
      <c r="H670" s="299"/>
      <c r="I670" s="299"/>
      <c r="J670" s="299"/>
      <c r="K670" s="299"/>
      <c r="L670" s="299"/>
      <c r="M670" s="299"/>
      <c r="N670" s="229">
        <v>0.28942090444761831</v>
      </c>
      <c r="O670" s="229">
        <v>0.28942090444761831</v>
      </c>
      <c r="P670" s="229">
        <v>0.28942090444761831</v>
      </c>
      <c r="Q670" s="272">
        <v>0</v>
      </c>
      <c r="R670" s="272">
        <v>0</v>
      </c>
      <c r="S670" s="272">
        <v>0</v>
      </c>
      <c r="T670" s="256">
        <f t="shared" si="181"/>
        <v>0</v>
      </c>
      <c r="U670" s="256">
        <f t="shared" si="182"/>
        <v>0</v>
      </c>
      <c r="V670" s="256">
        <f t="shared" si="183"/>
        <v>0</v>
      </c>
      <c r="W670" s="256">
        <f t="shared" si="178"/>
        <v>0</v>
      </c>
      <c r="X670" s="216"/>
      <c r="Y670" s="216"/>
    </row>
    <row r="671" spans="1:25" s="140" customFormat="1" ht="12.75" hidden="1" outlineLevel="4">
      <c r="A671" s="216"/>
      <c r="B671" s="255" t="s">
        <v>857</v>
      </c>
      <c r="C671" s="245" t="s">
        <v>91</v>
      </c>
      <c r="D671" s="227" t="s">
        <v>92</v>
      </c>
      <c r="E671" s="241"/>
      <c r="F671" s="228">
        <f t="shared" si="180"/>
        <v>5.5478507137905975E-2</v>
      </c>
      <c r="G671" s="269">
        <f>+F671*G656</f>
        <v>4.2767976888407102E-6</v>
      </c>
      <c r="H671" s="299"/>
      <c r="I671" s="299"/>
      <c r="J671" s="299"/>
      <c r="K671" s="299"/>
      <c r="L671" s="299"/>
      <c r="M671" s="299"/>
      <c r="N671" s="229">
        <v>0.28942090444761831</v>
      </c>
      <c r="O671" s="229">
        <v>0.28942090444761831</v>
      </c>
      <c r="P671" s="229">
        <v>0.28942090444761831</v>
      </c>
      <c r="Q671" s="272">
        <v>0</v>
      </c>
      <c r="R671" s="272">
        <v>0</v>
      </c>
      <c r="S671" s="272">
        <v>0</v>
      </c>
      <c r="T671" s="256">
        <f t="shared" si="181"/>
        <v>0</v>
      </c>
      <c r="U671" s="256">
        <f t="shared" si="182"/>
        <v>0</v>
      </c>
      <c r="V671" s="256">
        <f t="shared" si="183"/>
        <v>0</v>
      </c>
      <c r="W671" s="256">
        <f t="shared" si="178"/>
        <v>0</v>
      </c>
      <c r="X671" s="216"/>
      <c r="Y671" s="216"/>
    </row>
    <row r="672" spans="1:25" s="140" customFormat="1" ht="12.75" hidden="1" outlineLevel="4">
      <c r="A672" s="216"/>
      <c r="B672" s="300" t="s">
        <v>858</v>
      </c>
      <c r="C672" s="294"/>
      <c r="D672" s="294" t="s">
        <v>94</v>
      </c>
      <c r="E672" s="295"/>
      <c r="F672" s="296">
        <f t="shared" si="180"/>
        <v>0.17989574156721069</v>
      </c>
      <c r="G672" s="296">
        <f>+F672*G532</f>
        <v>3.5529408959524125E-4</v>
      </c>
      <c r="H672" s="297"/>
      <c r="I672" s="297"/>
      <c r="J672" s="297"/>
      <c r="K672" s="297"/>
      <c r="L672" s="297"/>
      <c r="M672" s="297"/>
      <c r="N672" s="296">
        <f t="shared" ref="N672:S672" si="184">+$F673*N673+$F685*N685+$F693*N693+$F699*N699+$F703*N703</f>
        <v>0.69909191916907032</v>
      </c>
      <c r="O672" s="296">
        <f t="shared" si="184"/>
        <v>0.69909191916907032</v>
      </c>
      <c r="P672" s="296">
        <f t="shared" si="184"/>
        <v>0.69909191916907032</v>
      </c>
      <c r="Q672" s="296">
        <f t="shared" si="184"/>
        <v>0</v>
      </c>
      <c r="R672" s="296">
        <f t="shared" si="184"/>
        <v>0</v>
      </c>
      <c r="S672" s="296">
        <f t="shared" si="184"/>
        <v>0</v>
      </c>
      <c r="T672" s="296">
        <f t="shared" si="181"/>
        <v>0</v>
      </c>
      <c r="U672" s="296">
        <f t="shared" si="182"/>
        <v>0</v>
      </c>
      <c r="V672" s="296">
        <f t="shared" si="183"/>
        <v>0</v>
      </c>
      <c r="W672" s="296">
        <f t="shared" si="178"/>
        <v>0</v>
      </c>
      <c r="X672" s="216"/>
      <c r="Y672" s="216"/>
    </row>
    <row r="673" spans="1:25" s="140" customFormat="1" ht="12.75" hidden="1" outlineLevel="4">
      <c r="B673" s="301" t="s">
        <v>859</v>
      </c>
      <c r="C673" s="251"/>
      <c r="D673" s="236" t="s">
        <v>97</v>
      </c>
      <c r="E673" s="242"/>
      <c r="F673" s="232">
        <f t="shared" si="180"/>
        <v>0.2064703407829992</v>
      </c>
      <c r="G673" s="232">
        <f>+F673*G672</f>
        <v>7.3357691756914916E-5</v>
      </c>
      <c r="H673" s="321"/>
      <c r="I673" s="321"/>
      <c r="J673" s="321"/>
      <c r="K673" s="321"/>
      <c r="L673" s="321"/>
      <c r="M673" s="321"/>
      <c r="N673" s="233">
        <f t="shared" ref="N673:S673" si="185">+SUMPRODUCT($F674:$F684,N674:N684)</f>
        <v>0.97177698027685089</v>
      </c>
      <c r="O673" s="233">
        <f t="shared" si="185"/>
        <v>0.97177698027685089</v>
      </c>
      <c r="P673" s="233">
        <f t="shared" si="185"/>
        <v>0.97177698027685089</v>
      </c>
      <c r="Q673" s="274">
        <f t="shared" si="185"/>
        <v>0</v>
      </c>
      <c r="R673" s="274">
        <f t="shared" si="185"/>
        <v>0</v>
      </c>
      <c r="S673" s="274">
        <f t="shared" si="185"/>
        <v>0</v>
      </c>
      <c r="T673" s="260">
        <f t="shared" si="181"/>
        <v>0</v>
      </c>
      <c r="U673" s="260">
        <f t="shared" si="182"/>
        <v>0</v>
      </c>
      <c r="V673" s="260">
        <f t="shared" si="183"/>
        <v>0</v>
      </c>
      <c r="W673" s="260">
        <f t="shared" si="178"/>
        <v>0</v>
      </c>
    </row>
    <row r="674" spans="1:25" s="140" customFormat="1" ht="25.5" hidden="1" outlineLevel="5">
      <c r="A674" s="216"/>
      <c r="B674" s="255" t="s">
        <v>860</v>
      </c>
      <c r="C674" s="245" t="s">
        <v>99</v>
      </c>
      <c r="D674" s="227" t="s">
        <v>100</v>
      </c>
      <c r="E674" s="241"/>
      <c r="F674" s="228">
        <f t="shared" si="180"/>
        <v>5.8885812178438031E-2</v>
      </c>
      <c r="G674" s="269">
        <f>+F674*G673</f>
        <v>4.3197272586414435E-6</v>
      </c>
      <c r="H674" s="299"/>
      <c r="I674" s="299"/>
      <c r="J674" s="299"/>
      <c r="K674" s="299"/>
      <c r="L674" s="299"/>
      <c r="M674" s="299"/>
      <c r="N674" s="229">
        <v>1</v>
      </c>
      <c r="O674" s="229">
        <v>1</v>
      </c>
      <c r="P674" s="229">
        <v>1</v>
      </c>
      <c r="Q674" s="272">
        <v>0</v>
      </c>
      <c r="R674" s="272">
        <v>0</v>
      </c>
      <c r="S674" s="272">
        <v>0</v>
      </c>
      <c r="T674" s="256">
        <f t="shared" si="181"/>
        <v>0</v>
      </c>
      <c r="U674" s="256">
        <f t="shared" si="182"/>
        <v>0</v>
      </c>
      <c r="V674" s="256">
        <f t="shared" si="183"/>
        <v>0</v>
      </c>
      <c r="W674" s="256">
        <f t="shared" si="178"/>
        <v>0</v>
      </c>
      <c r="X674" s="216"/>
      <c r="Y674" s="216"/>
    </row>
    <row r="675" spans="1:25" s="140" customFormat="1" ht="25.5" hidden="1" outlineLevel="5">
      <c r="A675" s="216"/>
      <c r="B675" s="255" t="s">
        <v>861</v>
      </c>
      <c r="C675" s="245" t="s">
        <v>102</v>
      </c>
      <c r="D675" s="227" t="s">
        <v>103</v>
      </c>
      <c r="E675" s="241"/>
      <c r="F675" s="228">
        <f t="shared" si="180"/>
        <v>9.5476860808951347E-2</v>
      </c>
      <c r="G675" s="269">
        <f>+F675*G673</f>
        <v>7.0039621251409233E-6</v>
      </c>
      <c r="H675" s="299"/>
      <c r="I675" s="299"/>
      <c r="J675" s="299"/>
      <c r="K675" s="299"/>
      <c r="L675" s="299"/>
      <c r="M675" s="299"/>
      <c r="N675" s="229">
        <v>1</v>
      </c>
      <c r="O675" s="229">
        <v>1</v>
      </c>
      <c r="P675" s="229">
        <v>1</v>
      </c>
      <c r="Q675" s="272">
        <v>0</v>
      </c>
      <c r="R675" s="272">
        <v>0</v>
      </c>
      <c r="S675" s="272">
        <v>0</v>
      </c>
      <c r="T675" s="256">
        <f t="shared" si="181"/>
        <v>0</v>
      </c>
      <c r="U675" s="256">
        <f t="shared" si="182"/>
        <v>0</v>
      </c>
      <c r="V675" s="256">
        <f t="shared" si="183"/>
        <v>0</v>
      </c>
      <c r="W675" s="256">
        <f t="shared" si="178"/>
        <v>0</v>
      </c>
      <c r="X675" s="216"/>
      <c r="Y675" s="216"/>
    </row>
    <row r="676" spans="1:25" s="140" customFormat="1" ht="25.5" hidden="1" outlineLevel="5">
      <c r="A676" s="216"/>
      <c r="B676" s="255" t="s">
        <v>862</v>
      </c>
      <c r="C676" s="245" t="s">
        <v>105</v>
      </c>
      <c r="D676" s="227" t="s">
        <v>106</v>
      </c>
      <c r="E676" s="241"/>
      <c r="F676" s="228">
        <f t="shared" si="180"/>
        <v>7.7851641421759807E-2</v>
      </c>
      <c r="G676" s="269">
        <f>+F676*G673</f>
        <v>5.711016714187325E-6</v>
      </c>
      <c r="H676" s="299"/>
      <c r="I676" s="299"/>
      <c r="J676" s="299"/>
      <c r="K676" s="299"/>
      <c r="L676" s="299"/>
      <c r="M676" s="299"/>
      <c r="N676" s="229">
        <v>1</v>
      </c>
      <c r="O676" s="229">
        <v>1</v>
      </c>
      <c r="P676" s="229">
        <v>1</v>
      </c>
      <c r="Q676" s="272">
        <v>0</v>
      </c>
      <c r="R676" s="272">
        <v>0</v>
      </c>
      <c r="S676" s="272">
        <v>0</v>
      </c>
      <c r="T676" s="256">
        <f t="shared" si="181"/>
        <v>0</v>
      </c>
      <c r="U676" s="256">
        <f t="shared" si="182"/>
        <v>0</v>
      </c>
      <c r="V676" s="256">
        <f t="shared" si="183"/>
        <v>0</v>
      </c>
      <c r="W676" s="256">
        <f t="shared" si="178"/>
        <v>0</v>
      </c>
      <c r="X676" s="216"/>
      <c r="Y676" s="216"/>
    </row>
    <row r="677" spans="1:25" s="140" customFormat="1" ht="25.5" hidden="1" outlineLevel="5">
      <c r="A677" s="216"/>
      <c r="B677" s="255" t="s">
        <v>863</v>
      </c>
      <c r="C677" s="245" t="s">
        <v>108</v>
      </c>
      <c r="D677" s="227" t="s">
        <v>109</v>
      </c>
      <c r="E677" s="241"/>
      <c r="F677" s="228">
        <f t="shared" si="180"/>
        <v>9.6299858611877787E-2</v>
      </c>
      <c r="G677" s="269">
        <f>+F677*G673</f>
        <v>7.0643353442846189E-6</v>
      </c>
      <c r="H677" s="299"/>
      <c r="I677" s="299"/>
      <c r="J677" s="299"/>
      <c r="K677" s="299"/>
      <c r="L677" s="299"/>
      <c r="M677" s="299"/>
      <c r="N677" s="229">
        <v>1</v>
      </c>
      <c r="O677" s="229">
        <v>1</v>
      </c>
      <c r="P677" s="229">
        <v>1</v>
      </c>
      <c r="Q677" s="272">
        <v>0</v>
      </c>
      <c r="R677" s="272">
        <v>0</v>
      </c>
      <c r="S677" s="272">
        <v>0</v>
      </c>
      <c r="T677" s="256">
        <f t="shared" si="181"/>
        <v>0</v>
      </c>
      <c r="U677" s="256">
        <f t="shared" si="182"/>
        <v>0</v>
      </c>
      <c r="V677" s="256">
        <f t="shared" si="183"/>
        <v>0</v>
      </c>
      <c r="W677" s="256">
        <f t="shared" si="178"/>
        <v>0</v>
      </c>
      <c r="X677" s="216"/>
      <c r="Y677" s="216"/>
    </row>
    <row r="678" spans="1:25" s="140" customFormat="1" ht="38.25" hidden="1" outlineLevel="5">
      <c r="A678" s="216"/>
      <c r="B678" s="255" t="s">
        <v>864</v>
      </c>
      <c r="C678" s="245" t="s">
        <v>111</v>
      </c>
      <c r="D678" s="227" t="s">
        <v>112</v>
      </c>
      <c r="E678" s="241"/>
      <c r="F678" s="228">
        <f t="shared" si="180"/>
        <v>0.2149063701910354</v>
      </c>
      <c r="G678" s="269">
        <f>+F678*G673</f>
        <v>1.5765035261071422E-5</v>
      </c>
      <c r="H678" s="299"/>
      <c r="I678" s="299"/>
      <c r="J678" s="299"/>
      <c r="K678" s="299"/>
      <c r="L678" s="299"/>
      <c r="M678" s="299"/>
      <c r="N678" s="229">
        <v>1</v>
      </c>
      <c r="O678" s="229">
        <v>1</v>
      </c>
      <c r="P678" s="229">
        <v>1</v>
      </c>
      <c r="Q678" s="272">
        <v>0</v>
      </c>
      <c r="R678" s="272">
        <v>0</v>
      </c>
      <c r="S678" s="272">
        <v>0</v>
      </c>
      <c r="T678" s="256">
        <f t="shared" si="181"/>
        <v>0</v>
      </c>
      <c r="U678" s="256">
        <f t="shared" si="182"/>
        <v>0</v>
      </c>
      <c r="V678" s="256">
        <f t="shared" si="183"/>
        <v>0</v>
      </c>
      <c r="W678" s="256">
        <f t="shared" si="178"/>
        <v>0</v>
      </c>
      <c r="X678" s="216"/>
      <c r="Y678" s="216"/>
    </row>
    <row r="679" spans="1:25" s="140" customFormat="1" ht="38.25" hidden="1" outlineLevel="5">
      <c r="A679" s="216"/>
      <c r="B679" s="255" t="s">
        <v>865</v>
      </c>
      <c r="C679" s="245" t="s">
        <v>114</v>
      </c>
      <c r="D679" s="227" t="s">
        <v>115</v>
      </c>
      <c r="E679" s="241"/>
      <c r="F679" s="228">
        <f t="shared" si="180"/>
        <v>0.11738040352185054</v>
      </c>
      <c r="G679" s="269">
        <f>+F679*G673</f>
        <v>8.6107554598582029E-6</v>
      </c>
      <c r="H679" s="299"/>
      <c r="I679" s="299"/>
      <c r="J679" s="299"/>
      <c r="K679" s="299"/>
      <c r="L679" s="299"/>
      <c r="M679" s="299"/>
      <c r="N679" s="229">
        <v>1</v>
      </c>
      <c r="O679" s="229">
        <v>1</v>
      </c>
      <c r="P679" s="229">
        <v>1</v>
      </c>
      <c r="Q679" s="272">
        <v>0</v>
      </c>
      <c r="R679" s="272">
        <v>0</v>
      </c>
      <c r="S679" s="272">
        <v>0</v>
      </c>
      <c r="T679" s="256">
        <f t="shared" si="181"/>
        <v>0</v>
      </c>
      <c r="U679" s="256">
        <f t="shared" si="182"/>
        <v>0</v>
      </c>
      <c r="V679" s="256">
        <f t="shared" si="183"/>
        <v>0</v>
      </c>
      <c r="W679" s="256">
        <f t="shared" si="178"/>
        <v>0</v>
      </c>
      <c r="X679" s="216"/>
      <c r="Y679" s="216"/>
    </row>
    <row r="680" spans="1:25" s="140" customFormat="1" ht="38.25" hidden="1" outlineLevel="5">
      <c r="A680" s="216"/>
      <c r="B680" s="255" t="s">
        <v>866</v>
      </c>
      <c r="C680" s="245" t="s">
        <v>117</v>
      </c>
      <c r="D680" s="227" t="s">
        <v>118</v>
      </c>
      <c r="E680" s="241"/>
      <c r="F680" s="228">
        <f t="shared" si="180"/>
        <v>0.11930471289964986</v>
      </c>
      <c r="G680" s="269">
        <f>+F680*G673</f>
        <v>8.7519183540397456E-6</v>
      </c>
      <c r="H680" s="299"/>
      <c r="I680" s="299"/>
      <c r="J680" s="299"/>
      <c r="K680" s="299"/>
      <c r="L680" s="299"/>
      <c r="M680" s="299"/>
      <c r="N680" s="229">
        <v>1</v>
      </c>
      <c r="O680" s="229">
        <v>1</v>
      </c>
      <c r="P680" s="229">
        <v>1</v>
      </c>
      <c r="Q680" s="272">
        <v>0</v>
      </c>
      <c r="R680" s="272">
        <v>0</v>
      </c>
      <c r="S680" s="272">
        <v>0</v>
      </c>
      <c r="T680" s="256">
        <f t="shared" si="181"/>
        <v>0</v>
      </c>
      <c r="U680" s="256">
        <f t="shared" si="182"/>
        <v>0</v>
      </c>
      <c r="V680" s="256">
        <f t="shared" si="183"/>
        <v>0</v>
      </c>
      <c r="W680" s="256">
        <f t="shared" si="178"/>
        <v>0</v>
      </c>
      <c r="X680" s="216"/>
      <c r="Y680" s="216"/>
    </row>
    <row r="681" spans="1:25" s="140" customFormat="1" ht="38.25" hidden="1" outlineLevel="5">
      <c r="A681" s="216"/>
      <c r="B681" s="255" t="s">
        <v>867</v>
      </c>
      <c r="C681" s="245" t="s">
        <v>120</v>
      </c>
      <c r="D681" s="227" t="s">
        <v>121</v>
      </c>
      <c r="E681" s="241"/>
      <c r="F681" s="228">
        <f t="shared" si="180"/>
        <v>0.19167132064328818</v>
      </c>
      <c r="G681" s="269">
        <f>+F681*G673</f>
        <v>1.4060565658391137E-5</v>
      </c>
      <c r="H681" s="299"/>
      <c r="I681" s="299"/>
      <c r="J681" s="299"/>
      <c r="K681" s="299"/>
      <c r="L681" s="299"/>
      <c r="M681" s="299"/>
      <c r="N681" s="229">
        <v>1</v>
      </c>
      <c r="O681" s="229">
        <v>1</v>
      </c>
      <c r="P681" s="229">
        <v>1</v>
      </c>
      <c r="Q681" s="272">
        <v>0</v>
      </c>
      <c r="R681" s="272">
        <v>0</v>
      </c>
      <c r="S681" s="272">
        <v>0</v>
      </c>
      <c r="T681" s="256">
        <f t="shared" si="181"/>
        <v>0</v>
      </c>
      <c r="U681" s="256">
        <f t="shared" si="182"/>
        <v>0</v>
      </c>
      <c r="V681" s="256">
        <f t="shared" si="183"/>
        <v>0</v>
      </c>
      <c r="W681" s="256">
        <f t="shared" si="178"/>
        <v>0</v>
      </c>
      <c r="X681" s="216"/>
      <c r="Y681" s="216"/>
    </row>
    <row r="682" spans="1:25" s="140" customFormat="1" ht="25.5" hidden="1" outlineLevel="5">
      <c r="A682" s="216"/>
      <c r="B682" s="255" t="s">
        <v>868</v>
      </c>
      <c r="C682" s="245" t="s">
        <v>123</v>
      </c>
      <c r="D682" s="227" t="s">
        <v>124</v>
      </c>
      <c r="E682" s="241"/>
      <c r="F682" s="228">
        <f t="shared" si="180"/>
        <v>5.2427274764052581E-3</v>
      </c>
      <c r="G682" s="269">
        <f>+F682*G673</f>
        <v>3.8459438617964532E-7</v>
      </c>
      <c r="H682" s="299"/>
      <c r="I682" s="299"/>
      <c r="J682" s="299"/>
      <c r="K682" s="299"/>
      <c r="L682" s="299"/>
      <c r="M682" s="299"/>
      <c r="N682" s="229"/>
      <c r="O682" s="229"/>
      <c r="P682" s="229"/>
      <c r="Q682" s="272"/>
      <c r="R682" s="272"/>
      <c r="S682" s="272"/>
      <c r="T682" s="256">
        <f t="shared" si="181"/>
        <v>0</v>
      </c>
      <c r="U682" s="256">
        <f t="shared" si="182"/>
        <v>0</v>
      </c>
      <c r="V682" s="256">
        <f t="shared" si="183"/>
        <v>0</v>
      </c>
      <c r="W682" s="256">
        <f t="shared" si="178"/>
        <v>0</v>
      </c>
      <c r="X682" s="216"/>
      <c r="Y682" s="216"/>
    </row>
    <row r="683" spans="1:25" s="140" customFormat="1" ht="25.5" hidden="1" outlineLevel="5">
      <c r="A683" s="216"/>
      <c r="B683" s="255" t="s">
        <v>869</v>
      </c>
      <c r="C683" s="245" t="s">
        <v>126</v>
      </c>
      <c r="D683" s="227" t="s">
        <v>127</v>
      </c>
      <c r="E683" s="241"/>
      <c r="F683" s="228">
        <f t="shared" ref="F683:F692" si="186">F869</f>
        <v>0</v>
      </c>
      <c r="G683" s="269">
        <f>+F683*G673</f>
        <v>0</v>
      </c>
      <c r="H683" s="299"/>
      <c r="I683" s="299"/>
      <c r="J683" s="299"/>
      <c r="K683" s="299"/>
      <c r="L683" s="299"/>
      <c r="M683" s="299"/>
      <c r="N683" s="229"/>
      <c r="O683" s="229"/>
      <c r="P683" s="229"/>
      <c r="Q683" s="272"/>
      <c r="R683" s="272"/>
      <c r="S683" s="272"/>
      <c r="T683" s="256">
        <f t="shared" si="181"/>
        <v>0</v>
      </c>
      <c r="U683" s="256">
        <f t="shared" si="182"/>
        <v>0</v>
      </c>
      <c r="V683" s="256">
        <f t="shared" si="183"/>
        <v>0</v>
      </c>
      <c r="W683" s="256">
        <f t="shared" si="178"/>
        <v>0</v>
      </c>
      <c r="X683" s="216"/>
      <c r="Y683" s="216"/>
    </row>
    <row r="684" spans="1:25" s="140" customFormat="1" ht="38.25" hidden="1" outlineLevel="5">
      <c r="A684" s="216"/>
      <c r="B684" s="255" t="s">
        <v>870</v>
      </c>
      <c r="C684" s="245" t="s">
        <v>129</v>
      </c>
      <c r="D684" s="227" t="s">
        <v>130</v>
      </c>
      <c r="E684" s="241"/>
      <c r="F684" s="228">
        <f t="shared" si="186"/>
        <v>2.2980292246743819E-2</v>
      </c>
      <c r="G684" s="269">
        <f>+F684*G673</f>
        <v>1.6857811951204547E-6</v>
      </c>
      <c r="H684" s="299"/>
      <c r="I684" s="299"/>
      <c r="J684" s="299"/>
      <c r="K684" s="299"/>
      <c r="L684" s="299"/>
      <c r="M684" s="299"/>
      <c r="N684" s="229"/>
      <c r="O684" s="229"/>
      <c r="P684" s="229"/>
      <c r="Q684" s="272"/>
      <c r="R684" s="272"/>
      <c r="S684" s="272"/>
      <c r="T684" s="256">
        <f t="shared" si="181"/>
        <v>0</v>
      </c>
      <c r="U684" s="256">
        <f t="shared" si="182"/>
        <v>0</v>
      </c>
      <c r="V684" s="256">
        <f t="shared" si="183"/>
        <v>0</v>
      </c>
      <c r="W684" s="256">
        <f t="shared" si="178"/>
        <v>0</v>
      </c>
      <c r="X684" s="216"/>
      <c r="Y684" s="216"/>
    </row>
    <row r="685" spans="1:25" s="140" customFormat="1" ht="25.5" hidden="1" outlineLevel="4">
      <c r="B685" s="301" t="s">
        <v>871</v>
      </c>
      <c r="C685" s="251"/>
      <c r="D685" s="236" t="s">
        <v>133</v>
      </c>
      <c r="E685" s="242"/>
      <c r="F685" s="232">
        <f t="shared" si="186"/>
        <v>0.15364965195292599</v>
      </c>
      <c r="G685" s="232">
        <f>+F685*G672</f>
        <v>5.4590813207240517E-5</v>
      </c>
      <c r="H685" s="321"/>
      <c r="I685" s="321"/>
      <c r="J685" s="321"/>
      <c r="K685" s="321"/>
      <c r="L685" s="321"/>
      <c r="M685" s="321"/>
      <c r="N685" s="233">
        <f t="shared" ref="N685:S685" si="187">+SUMPRODUCT($F686:$F692,N686:N692)</f>
        <v>0.89076914477748093</v>
      </c>
      <c r="O685" s="233">
        <f t="shared" si="187"/>
        <v>0.89076914477748093</v>
      </c>
      <c r="P685" s="233">
        <f t="shared" si="187"/>
        <v>0.89076914477748093</v>
      </c>
      <c r="Q685" s="274">
        <f t="shared" si="187"/>
        <v>0</v>
      </c>
      <c r="R685" s="274">
        <f t="shared" si="187"/>
        <v>0</v>
      </c>
      <c r="S685" s="274">
        <f t="shared" si="187"/>
        <v>0</v>
      </c>
      <c r="T685" s="260">
        <f t="shared" si="181"/>
        <v>0</v>
      </c>
      <c r="U685" s="260">
        <f t="shared" si="182"/>
        <v>0</v>
      </c>
      <c r="V685" s="260">
        <f t="shared" si="183"/>
        <v>0</v>
      </c>
      <c r="W685" s="260">
        <f t="shared" si="178"/>
        <v>0</v>
      </c>
    </row>
    <row r="686" spans="1:25" s="140" customFormat="1" ht="25.5" hidden="1" outlineLevel="5">
      <c r="A686" s="216"/>
      <c r="B686" s="255" t="s">
        <v>872</v>
      </c>
      <c r="C686" s="245" t="s">
        <v>135</v>
      </c>
      <c r="D686" s="227" t="s">
        <v>136</v>
      </c>
      <c r="E686" s="241"/>
      <c r="F686" s="228">
        <f t="shared" si="186"/>
        <v>7.1676986389805894E-2</v>
      </c>
      <c r="G686" s="269">
        <f>+F686*G685</f>
        <v>3.9129049752638145E-6</v>
      </c>
      <c r="H686" s="299"/>
      <c r="I686" s="299"/>
      <c r="J686" s="299"/>
      <c r="K686" s="299"/>
      <c r="L686" s="299"/>
      <c r="M686" s="299"/>
      <c r="N686" s="229">
        <v>1</v>
      </c>
      <c r="O686" s="229">
        <v>1</v>
      </c>
      <c r="P686" s="229">
        <v>1</v>
      </c>
      <c r="Q686" s="272">
        <v>0</v>
      </c>
      <c r="R686" s="272">
        <v>0</v>
      </c>
      <c r="S686" s="272">
        <v>0</v>
      </c>
      <c r="T686" s="256">
        <f t="shared" si="181"/>
        <v>0</v>
      </c>
      <c r="U686" s="256">
        <f t="shared" si="182"/>
        <v>0</v>
      </c>
      <c r="V686" s="256">
        <f t="shared" si="183"/>
        <v>0</v>
      </c>
      <c r="W686" s="256">
        <f t="shared" si="178"/>
        <v>0</v>
      </c>
      <c r="X686" s="216"/>
      <c r="Y686" s="216"/>
    </row>
    <row r="687" spans="1:25" s="140" customFormat="1" ht="25.5" hidden="1" outlineLevel="5">
      <c r="A687" s="216"/>
      <c r="B687" s="255" t="s">
        <v>873</v>
      </c>
      <c r="C687" s="245" t="s">
        <v>138</v>
      </c>
      <c r="D687" s="227" t="s">
        <v>139</v>
      </c>
      <c r="E687" s="241"/>
      <c r="F687" s="228">
        <f t="shared" si="186"/>
        <v>0.15362856123913068</v>
      </c>
      <c r="G687" s="269">
        <f>+F687*G685</f>
        <v>8.3867080899024938E-6</v>
      </c>
      <c r="H687" s="299"/>
      <c r="I687" s="299"/>
      <c r="J687" s="299"/>
      <c r="K687" s="299"/>
      <c r="L687" s="299"/>
      <c r="M687" s="299"/>
      <c r="N687" s="229">
        <v>1</v>
      </c>
      <c r="O687" s="229">
        <v>1</v>
      </c>
      <c r="P687" s="229">
        <v>1</v>
      </c>
      <c r="Q687" s="272">
        <v>0</v>
      </c>
      <c r="R687" s="272">
        <v>0</v>
      </c>
      <c r="S687" s="272">
        <v>0</v>
      </c>
      <c r="T687" s="256">
        <f t="shared" si="181"/>
        <v>0</v>
      </c>
      <c r="U687" s="256">
        <f t="shared" si="182"/>
        <v>0</v>
      </c>
      <c r="V687" s="256">
        <f t="shared" si="183"/>
        <v>0</v>
      </c>
      <c r="W687" s="256">
        <f t="shared" si="178"/>
        <v>0</v>
      </c>
      <c r="X687" s="216"/>
      <c r="Y687" s="216"/>
    </row>
    <row r="688" spans="1:25" s="140" customFormat="1" ht="25.5" hidden="1" outlineLevel="5">
      <c r="A688" s="216"/>
      <c r="B688" s="255" t="s">
        <v>874</v>
      </c>
      <c r="C688" s="245" t="s">
        <v>141</v>
      </c>
      <c r="D688" s="227" t="s">
        <v>142</v>
      </c>
      <c r="E688" s="241"/>
      <c r="F688" s="228">
        <f t="shared" si="186"/>
        <v>0.20080921506999638</v>
      </c>
      <c r="G688" s="269">
        <f>+F688*G685</f>
        <v>1.0962338350178759E-5</v>
      </c>
      <c r="H688" s="299"/>
      <c r="I688" s="299"/>
      <c r="J688" s="299"/>
      <c r="K688" s="299"/>
      <c r="L688" s="299"/>
      <c r="M688" s="299"/>
      <c r="N688" s="229">
        <v>1</v>
      </c>
      <c r="O688" s="229">
        <v>1</v>
      </c>
      <c r="P688" s="229">
        <v>1</v>
      </c>
      <c r="Q688" s="272">
        <v>0</v>
      </c>
      <c r="R688" s="272">
        <v>0</v>
      </c>
      <c r="S688" s="272">
        <v>0</v>
      </c>
      <c r="T688" s="256">
        <f t="shared" si="181"/>
        <v>0</v>
      </c>
      <c r="U688" s="256">
        <f t="shared" si="182"/>
        <v>0</v>
      </c>
      <c r="V688" s="256">
        <f t="shared" si="183"/>
        <v>0</v>
      </c>
      <c r="W688" s="256">
        <f t="shared" si="178"/>
        <v>0</v>
      </c>
      <c r="X688" s="216"/>
      <c r="Y688" s="216"/>
    </row>
    <row r="689" spans="1:25" s="140" customFormat="1" ht="25.5" hidden="1" outlineLevel="5">
      <c r="A689" s="216"/>
      <c r="B689" s="255" t="s">
        <v>875</v>
      </c>
      <c r="C689" s="245" t="s">
        <v>144</v>
      </c>
      <c r="D689" s="227" t="s">
        <v>145</v>
      </c>
      <c r="E689" s="241"/>
      <c r="F689" s="228">
        <f t="shared" si="186"/>
        <v>0.2365874770023029</v>
      </c>
      <c r="G689" s="269">
        <f>+F689*G685</f>
        <v>1.291550276420503E-5</v>
      </c>
      <c r="H689" s="299"/>
      <c r="I689" s="299"/>
      <c r="J689" s="299"/>
      <c r="K689" s="299"/>
      <c r="L689" s="299"/>
      <c r="M689" s="299"/>
      <c r="N689" s="229">
        <v>1</v>
      </c>
      <c r="O689" s="229">
        <v>1</v>
      </c>
      <c r="P689" s="229">
        <v>1</v>
      </c>
      <c r="Q689" s="272">
        <v>0</v>
      </c>
      <c r="R689" s="272">
        <v>0</v>
      </c>
      <c r="S689" s="272">
        <v>0</v>
      </c>
      <c r="T689" s="256">
        <f t="shared" si="181"/>
        <v>0</v>
      </c>
      <c r="U689" s="256">
        <f t="shared" si="182"/>
        <v>0</v>
      </c>
      <c r="V689" s="256">
        <f t="shared" si="183"/>
        <v>0</v>
      </c>
      <c r="W689" s="256">
        <f t="shared" si="178"/>
        <v>0</v>
      </c>
      <c r="X689" s="216"/>
      <c r="Y689" s="216"/>
    </row>
    <row r="690" spans="1:25" s="140" customFormat="1" ht="12.75" hidden="1" outlineLevel="5">
      <c r="A690" s="216"/>
      <c r="B690" s="255" t="s">
        <v>876</v>
      </c>
      <c r="C690" s="245" t="s">
        <v>147</v>
      </c>
      <c r="D690" s="227" t="s">
        <v>148</v>
      </c>
      <c r="E690" s="241"/>
      <c r="F690" s="228">
        <f t="shared" si="186"/>
        <v>0.13605594911200233</v>
      </c>
      <c r="G690" s="269">
        <f>+F690*G685</f>
        <v>7.4274049037071403E-6</v>
      </c>
      <c r="H690" s="299"/>
      <c r="I690" s="299"/>
      <c r="J690" s="299"/>
      <c r="K690" s="299"/>
      <c r="L690" s="299"/>
      <c r="M690" s="299"/>
      <c r="N690" s="229">
        <v>1</v>
      </c>
      <c r="O690" s="229">
        <v>1</v>
      </c>
      <c r="P690" s="229">
        <v>1</v>
      </c>
      <c r="Q690" s="272">
        <v>0</v>
      </c>
      <c r="R690" s="272">
        <v>0</v>
      </c>
      <c r="S690" s="272">
        <v>0</v>
      </c>
      <c r="T690" s="256">
        <f t="shared" si="181"/>
        <v>0</v>
      </c>
      <c r="U690" s="256">
        <f t="shared" si="182"/>
        <v>0</v>
      </c>
      <c r="V690" s="256">
        <f t="shared" si="183"/>
        <v>0</v>
      </c>
      <c r="W690" s="256">
        <f t="shared" si="178"/>
        <v>0</v>
      </c>
      <c r="X690" s="216"/>
      <c r="Y690" s="216"/>
    </row>
    <row r="691" spans="1:25" s="140" customFormat="1" ht="25.5" hidden="1" outlineLevel="5">
      <c r="A691" s="216"/>
      <c r="B691" s="255" t="s">
        <v>877</v>
      </c>
      <c r="C691" s="245" t="s">
        <v>150</v>
      </c>
      <c r="D691" s="227" t="s">
        <v>151</v>
      </c>
      <c r="E691" s="241"/>
      <c r="F691" s="228">
        <f t="shared" si="186"/>
        <v>0.10923085522251913</v>
      </c>
      <c r="G691" s="269">
        <f>+F691*G685</f>
        <v>5.963001213919674E-6</v>
      </c>
      <c r="H691" s="299"/>
      <c r="I691" s="299"/>
      <c r="J691" s="299"/>
      <c r="K691" s="299"/>
      <c r="L691" s="299"/>
      <c r="M691" s="299"/>
      <c r="N691" s="229"/>
      <c r="O691" s="229"/>
      <c r="P691" s="229"/>
      <c r="Q691" s="272"/>
      <c r="R691" s="272"/>
      <c r="S691" s="272"/>
      <c r="T691" s="256">
        <f t="shared" si="181"/>
        <v>0</v>
      </c>
      <c r="U691" s="256">
        <f t="shared" si="182"/>
        <v>0</v>
      </c>
      <c r="V691" s="256">
        <f t="shared" si="183"/>
        <v>0</v>
      </c>
      <c r="W691" s="256">
        <f t="shared" si="178"/>
        <v>0</v>
      </c>
      <c r="X691" s="216"/>
      <c r="Y691" s="216"/>
    </row>
    <row r="692" spans="1:25" s="140" customFormat="1" ht="25.5" hidden="1" outlineLevel="5">
      <c r="A692" s="216"/>
      <c r="B692" s="255" t="s">
        <v>878</v>
      </c>
      <c r="C692" s="245" t="s">
        <v>153</v>
      </c>
      <c r="D692" s="227" t="s">
        <v>154</v>
      </c>
      <c r="E692" s="241"/>
      <c r="F692" s="228">
        <f t="shared" si="186"/>
        <v>9.2010955964242705E-2</v>
      </c>
      <c r="G692" s="269">
        <f>+F692*G685</f>
        <v>5.0229529100636059E-6</v>
      </c>
      <c r="H692" s="299"/>
      <c r="I692" s="299"/>
      <c r="J692" s="299"/>
      <c r="K692" s="299"/>
      <c r="L692" s="299"/>
      <c r="M692" s="299"/>
      <c r="N692" s="229">
        <v>1</v>
      </c>
      <c r="O692" s="229">
        <v>1</v>
      </c>
      <c r="P692" s="229">
        <v>1</v>
      </c>
      <c r="Q692" s="272">
        <v>0</v>
      </c>
      <c r="R692" s="272">
        <v>0</v>
      </c>
      <c r="S692" s="272">
        <v>0</v>
      </c>
      <c r="T692" s="256">
        <f t="shared" si="181"/>
        <v>0</v>
      </c>
      <c r="U692" s="256">
        <f t="shared" si="182"/>
        <v>0</v>
      </c>
      <c r="V692" s="256">
        <f t="shared" si="183"/>
        <v>0</v>
      </c>
      <c r="W692" s="256">
        <f t="shared" si="178"/>
        <v>0</v>
      </c>
      <c r="X692" s="216"/>
      <c r="Y692" s="216"/>
    </row>
    <row r="693" spans="1:25" s="140" customFormat="1" ht="25.5" hidden="1" outlineLevel="3">
      <c r="B693" s="301" t="s">
        <v>879</v>
      </c>
      <c r="C693" s="251"/>
      <c r="D693" s="236" t="s">
        <v>157</v>
      </c>
      <c r="E693" s="242"/>
      <c r="F693" s="232">
        <f t="shared" ref="F693:F717" si="188">F879</f>
        <v>0.15245155571846505</v>
      </c>
      <c r="G693" s="232">
        <f>+F693*G672</f>
        <v>5.4165136696370234E-5</v>
      </c>
      <c r="H693" s="321"/>
      <c r="I693" s="321"/>
      <c r="J693" s="321"/>
      <c r="K693" s="321"/>
      <c r="L693" s="321"/>
      <c r="M693" s="321"/>
      <c r="N693" s="233">
        <f t="shared" ref="N693:S693" si="189">+SUMPRODUCT($F694:$F698,N694:N698)</f>
        <v>1</v>
      </c>
      <c r="O693" s="233">
        <f t="shared" si="189"/>
        <v>1</v>
      </c>
      <c r="P693" s="233">
        <f t="shared" si="189"/>
        <v>1</v>
      </c>
      <c r="Q693" s="274">
        <f t="shared" si="189"/>
        <v>0</v>
      </c>
      <c r="R693" s="274">
        <f t="shared" si="189"/>
        <v>0</v>
      </c>
      <c r="S693" s="274">
        <f t="shared" si="189"/>
        <v>0</v>
      </c>
      <c r="T693" s="254">
        <f t="shared" ref="T693:T717" si="190">+IF(N693=0,0,$S693/N693)</f>
        <v>0</v>
      </c>
      <c r="U693" s="254">
        <f t="shared" ref="U693:U717" si="191">+IF(O693=0,0,$S693/O693)</f>
        <v>0</v>
      </c>
      <c r="V693" s="254">
        <f t="shared" ref="V693:V717" si="192">+IF(P693=0,0,$S693/P693)</f>
        <v>0</v>
      </c>
      <c r="W693" s="254">
        <f t="shared" si="178"/>
        <v>0</v>
      </c>
    </row>
    <row r="694" spans="1:25" s="140" customFormat="1" ht="12.75" hidden="1" outlineLevel="4">
      <c r="A694" s="216"/>
      <c r="B694" s="255" t="s">
        <v>880</v>
      </c>
      <c r="C694" s="245" t="s">
        <v>181</v>
      </c>
      <c r="D694" s="227" t="s">
        <v>182</v>
      </c>
      <c r="E694" s="241"/>
      <c r="F694" s="228">
        <f t="shared" si="188"/>
        <v>0.81307686435397697</v>
      </c>
      <c r="G694" s="269">
        <f>+F694*G693</f>
        <v>4.4040419502389239E-5</v>
      </c>
      <c r="H694" s="299"/>
      <c r="I694" s="299"/>
      <c r="J694" s="299"/>
      <c r="K694" s="299"/>
      <c r="L694" s="299"/>
      <c r="M694" s="299"/>
      <c r="N694" s="229">
        <v>1</v>
      </c>
      <c r="O694" s="229">
        <v>1</v>
      </c>
      <c r="P694" s="229">
        <v>1</v>
      </c>
      <c r="Q694" s="272">
        <v>0</v>
      </c>
      <c r="R694" s="272">
        <v>0</v>
      </c>
      <c r="S694" s="272">
        <v>0</v>
      </c>
      <c r="T694" s="256">
        <f t="shared" si="190"/>
        <v>0</v>
      </c>
      <c r="U694" s="256">
        <f t="shared" si="191"/>
        <v>0</v>
      </c>
      <c r="V694" s="256">
        <f t="shared" si="192"/>
        <v>0</v>
      </c>
      <c r="W694" s="256">
        <f t="shared" si="178"/>
        <v>0</v>
      </c>
      <c r="X694" s="216"/>
      <c r="Y694" s="216"/>
    </row>
    <row r="695" spans="1:25" s="140" customFormat="1" ht="25.5" hidden="1" outlineLevel="4">
      <c r="A695" s="216"/>
      <c r="B695" s="255" t="s">
        <v>881</v>
      </c>
      <c r="C695" s="245" t="s">
        <v>159</v>
      </c>
      <c r="D695" s="227" t="s">
        <v>160</v>
      </c>
      <c r="E695" s="241"/>
      <c r="F695" s="228">
        <f t="shared" si="188"/>
        <v>9.3460693266385869E-2</v>
      </c>
      <c r="G695" s="269">
        <f>+F695*G693</f>
        <v>5.0623112265113196E-6</v>
      </c>
      <c r="H695" s="299"/>
      <c r="I695" s="299"/>
      <c r="J695" s="299"/>
      <c r="K695" s="299"/>
      <c r="L695" s="299"/>
      <c r="M695" s="299"/>
      <c r="N695" s="229">
        <v>1</v>
      </c>
      <c r="O695" s="229">
        <v>1</v>
      </c>
      <c r="P695" s="229">
        <v>1</v>
      </c>
      <c r="Q695" s="272">
        <v>0</v>
      </c>
      <c r="R695" s="272">
        <v>0</v>
      </c>
      <c r="S695" s="272">
        <v>0</v>
      </c>
      <c r="T695" s="256">
        <f t="shared" si="190"/>
        <v>0</v>
      </c>
      <c r="U695" s="256">
        <f t="shared" si="191"/>
        <v>0</v>
      </c>
      <c r="V695" s="256">
        <f t="shared" si="192"/>
        <v>0</v>
      </c>
      <c r="W695" s="256">
        <f t="shared" si="178"/>
        <v>0</v>
      </c>
      <c r="X695" s="216"/>
      <c r="Y695" s="216"/>
    </row>
    <row r="696" spans="1:25" s="140" customFormat="1" ht="25.5" hidden="1" outlineLevel="4">
      <c r="A696" s="216"/>
      <c r="B696" s="255" t="s">
        <v>882</v>
      </c>
      <c r="C696" s="245" t="s">
        <v>162</v>
      </c>
      <c r="D696" s="227" t="s">
        <v>163</v>
      </c>
      <c r="E696" s="241"/>
      <c r="F696" s="228">
        <f t="shared" si="188"/>
        <v>3.036845712708507E-2</v>
      </c>
      <c r="G696" s="269">
        <f>+F696*G693</f>
        <v>1.6449116315464217E-6</v>
      </c>
      <c r="H696" s="299"/>
      <c r="I696" s="299"/>
      <c r="J696" s="299"/>
      <c r="K696" s="299"/>
      <c r="L696" s="299"/>
      <c r="M696" s="299"/>
      <c r="N696" s="229">
        <v>1</v>
      </c>
      <c r="O696" s="229">
        <v>1</v>
      </c>
      <c r="P696" s="229">
        <v>1</v>
      </c>
      <c r="Q696" s="272">
        <v>0</v>
      </c>
      <c r="R696" s="272">
        <v>0</v>
      </c>
      <c r="S696" s="272">
        <v>0</v>
      </c>
      <c r="T696" s="256">
        <f t="shared" si="190"/>
        <v>0</v>
      </c>
      <c r="U696" s="256">
        <f t="shared" si="191"/>
        <v>0</v>
      </c>
      <c r="V696" s="256">
        <f t="shared" si="192"/>
        <v>0</v>
      </c>
      <c r="W696" s="256">
        <f t="shared" si="178"/>
        <v>0</v>
      </c>
      <c r="X696" s="216"/>
      <c r="Y696" s="216"/>
    </row>
    <row r="697" spans="1:25" s="140" customFormat="1" ht="12.75" hidden="1" outlineLevel="4">
      <c r="A697" s="216"/>
      <c r="B697" s="255" t="s">
        <v>883</v>
      </c>
      <c r="C697" s="245" t="s">
        <v>165</v>
      </c>
      <c r="D697" s="227" t="s">
        <v>166</v>
      </c>
      <c r="E697" s="241"/>
      <c r="F697" s="228">
        <f t="shared" si="188"/>
        <v>3.6002086533741685E-2</v>
      </c>
      <c r="G697" s="269">
        <f>+F697*G693</f>
        <v>1.9500579384546685E-6</v>
      </c>
      <c r="H697" s="299"/>
      <c r="I697" s="299"/>
      <c r="J697" s="299"/>
      <c r="K697" s="299"/>
      <c r="L697" s="299"/>
      <c r="M697" s="299"/>
      <c r="N697" s="229">
        <v>1</v>
      </c>
      <c r="O697" s="229">
        <v>1</v>
      </c>
      <c r="P697" s="229">
        <v>1</v>
      </c>
      <c r="Q697" s="272">
        <v>0</v>
      </c>
      <c r="R697" s="272">
        <v>0</v>
      </c>
      <c r="S697" s="272">
        <v>0</v>
      </c>
      <c r="T697" s="256">
        <f t="shared" si="190"/>
        <v>0</v>
      </c>
      <c r="U697" s="256">
        <f t="shared" si="191"/>
        <v>0</v>
      </c>
      <c r="V697" s="256">
        <f t="shared" si="192"/>
        <v>0</v>
      </c>
      <c r="W697" s="256">
        <f t="shared" si="178"/>
        <v>0</v>
      </c>
      <c r="X697" s="216"/>
      <c r="Y697" s="216"/>
    </row>
    <row r="698" spans="1:25" s="140" customFormat="1" ht="12.75" hidden="1" outlineLevel="4">
      <c r="A698" s="216"/>
      <c r="B698" s="255" t="s">
        <v>884</v>
      </c>
      <c r="C698" s="245" t="s">
        <v>168</v>
      </c>
      <c r="D698" s="227" t="s">
        <v>169</v>
      </c>
      <c r="E698" s="241"/>
      <c r="F698" s="228">
        <f t="shared" si="188"/>
        <v>2.7091898718810414E-2</v>
      </c>
      <c r="G698" s="269">
        <f>+F698*G693</f>
        <v>1.4674363974685836E-6</v>
      </c>
      <c r="H698" s="299"/>
      <c r="I698" s="299"/>
      <c r="J698" s="299"/>
      <c r="K698" s="299"/>
      <c r="L698" s="299"/>
      <c r="M698" s="299"/>
      <c r="N698" s="229">
        <v>1</v>
      </c>
      <c r="O698" s="229">
        <v>1</v>
      </c>
      <c r="P698" s="229">
        <v>1</v>
      </c>
      <c r="Q698" s="272">
        <v>0</v>
      </c>
      <c r="R698" s="272">
        <v>0</v>
      </c>
      <c r="S698" s="272">
        <v>0</v>
      </c>
      <c r="T698" s="256">
        <f t="shared" si="190"/>
        <v>0</v>
      </c>
      <c r="U698" s="256">
        <f t="shared" si="191"/>
        <v>0</v>
      </c>
      <c r="V698" s="256">
        <f t="shared" si="192"/>
        <v>0</v>
      </c>
      <c r="W698" s="256">
        <f t="shared" si="178"/>
        <v>0</v>
      </c>
      <c r="X698" s="216"/>
      <c r="Y698" s="216"/>
    </row>
    <row r="699" spans="1:25" s="140" customFormat="1" ht="25.5" hidden="1" outlineLevel="3">
      <c r="B699" s="301" t="s">
        <v>885</v>
      </c>
      <c r="C699" s="251"/>
      <c r="D699" s="236" t="s">
        <v>173</v>
      </c>
      <c r="E699" s="242"/>
      <c r="F699" s="232">
        <f t="shared" si="188"/>
        <v>0.30792579068332282</v>
      </c>
      <c r="G699" s="232">
        <f>+F699*G672</f>
        <v>1.09404213463726E-4</v>
      </c>
      <c r="H699" s="321"/>
      <c r="I699" s="321"/>
      <c r="J699" s="321"/>
      <c r="K699" s="321"/>
      <c r="L699" s="321"/>
      <c r="M699" s="321"/>
      <c r="N699" s="233">
        <f t="shared" ref="N699:S699" si="193">+SUMPRODUCT($F700:$F702,N700:N702)</f>
        <v>0.67915996785530353</v>
      </c>
      <c r="O699" s="233">
        <f t="shared" si="193"/>
        <v>0.67915996785530353</v>
      </c>
      <c r="P699" s="233">
        <f t="shared" si="193"/>
        <v>0.67915996785530353</v>
      </c>
      <c r="Q699" s="274">
        <f t="shared" si="193"/>
        <v>0</v>
      </c>
      <c r="R699" s="274">
        <f t="shared" si="193"/>
        <v>0</v>
      </c>
      <c r="S699" s="274">
        <f t="shared" si="193"/>
        <v>0</v>
      </c>
      <c r="T699" s="254">
        <f t="shared" si="190"/>
        <v>0</v>
      </c>
      <c r="U699" s="254">
        <f t="shared" si="191"/>
        <v>0</v>
      </c>
      <c r="V699" s="254">
        <f t="shared" si="192"/>
        <v>0</v>
      </c>
      <c r="W699" s="254">
        <f t="shared" si="178"/>
        <v>0</v>
      </c>
    </row>
    <row r="700" spans="1:25" s="140" customFormat="1" ht="25.5" hidden="1" outlineLevel="4">
      <c r="A700" s="216"/>
      <c r="B700" s="255" t="s">
        <v>886</v>
      </c>
      <c r="C700" s="245" t="s">
        <v>175</v>
      </c>
      <c r="D700" s="227" t="s">
        <v>176</v>
      </c>
      <c r="E700" s="241"/>
      <c r="F700" s="228">
        <f t="shared" si="188"/>
        <v>0.16618782649623062</v>
      </c>
      <c r="G700" s="269">
        <f>+F700*G699</f>
        <v>1.8181648445066273E-5</v>
      </c>
      <c r="H700" s="299"/>
      <c r="I700" s="299"/>
      <c r="J700" s="299"/>
      <c r="K700" s="299"/>
      <c r="L700" s="299"/>
      <c r="M700" s="299"/>
      <c r="N700" s="229">
        <v>0.67915996785530353</v>
      </c>
      <c r="O700" s="229">
        <v>0.67915996785530353</v>
      </c>
      <c r="P700" s="229">
        <v>0.67915996785530353</v>
      </c>
      <c r="Q700" s="272">
        <v>0</v>
      </c>
      <c r="R700" s="272">
        <v>0</v>
      </c>
      <c r="S700" s="272">
        <v>0</v>
      </c>
      <c r="T700" s="256">
        <f t="shared" si="190"/>
        <v>0</v>
      </c>
      <c r="U700" s="256">
        <f t="shared" si="191"/>
        <v>0</v>
      </c>
      <c r="V700" s="256">
        <f t="shared" si="192"/>
        <v>0</v>
      </c>
      <c r="W700" s="256">
        <f t="shared" si="178"/>
        <v>0</v>
      </c>
      <c r="X700" s="216"/>
      <c r="Y700" s="216"/>
    </row>
    <row r="701" spans="1:25" s="140" customFormat="1" ht="25.5" hidden="1" outlineLevel="4">
      <c r="A701" s="216"/>
      <c r="B701" s="255" t="s">
        <v>887</v>
      </c>
      <c r="C701" s="245" t="s">
        <v>178</v>
      </c>
      <c r="D701" s="227" t="s">
        <v>179</v>
      </c>
      <c r="E701" s="241"/>
      <c r="F701" s="228">
        <f t="shared" si="188"/>
        <v>0.36085232777611836</v>
      </c>
      <c r="G701" s="269">
        <f>+F701*G699</f>
        <v>3.9478765096900877E-5</v>
      </c>
      <c r="H701" s="299"/>
      <c r="I701" s="299"/>
      <c r="J701" s="299"/>
      <c r="K701" s="299"/>
      <c r="L701" s="299"/>
      <c r="M701" s="299"/>
      <c r="N701" s="229">
        <v>0.67915996785530353</v>
      </c>
      <c r="O701" s="229">
        <v>0.67915996785530353</v>
      </c>
      <c r="P701" s="229">
        <v>0.67915996785530353</v>
      </c>
      <c r="Q701" s="272">
        <v>0</v>
      </c>
      <c r="R701" s="272">
        <v>0</v>
      </c>
      <c r="S701" s="272">
        <v>0</v>
      </c>
      <c r="T701" s="256">
        <f t="shared" si="190"/>
        <v>0</v>
      </c>
      <c r="U701" s="256">
        <f t="shared" si="191"/>
        <v>0</v>
      </c>
      <c r="V701" s="256">
        <f t="shared" si="192"/>
        <v>0</v>
      </c>
      <c r="W701" s="256">
        <f t="shared" si="178"/>
        <v>0</v>
      </c>
      <c r="X701" s="216"/>
      <c r="Y701" s="216"/>
    </row>
    <row r="702" spans="1:25" s="140" customFormat="1" ht="25.5" hidden="1" outlineLevel="4">
      <c r="A702" s="216"/>
      <c r="B702" s="255" t="s">
        <v>888</v>
      </c>
      <c r="C702" s="245"/>
      <c r="D702" s="227" t="s">
        <v>439</v>
      </c>
      <c r="E702" s="241"/>
      <c r="F702" s="228">
        <f t="shared" si="188"/>
        <v>0.47295984572765098</v>
      </c>
      <c r="G702" s="269">
        <f>+F702*G699</f>
        <v>5.1743799921758846E-5</v>
      </c>
      <c r="H702" s="299"/>
      <c r="I702" s="299"/>
      <c r="J702" s="299"/>
      <c r="K702" s="299"/>
      <c r="L702" s="299"/>
      <c r="M702" s="299"/>
      <c r="N702" s="229">
        <v>0.67915996785530353</v>
      </c>
      <c r="O702" s="229">
        <v>0.67915996785530353</v>
      </c>
      <c r="P702" s="229">
        <v>0.67915996785530353</v>
      </c>
      <c r="Q702" s="272">
        <v>0</v>
      </c>
      <c r="R702" s="272">
        <v>0</v>
      </c>
      <c r="S702" s="272">
        <v>0</v>
      </c>
      <c r="T702" s="256">
        <f t="shared" si="190"/>
        <v>0</v>
      </c>
      <c r="U702" s="256">
        <f t="shared" si="191"/>
        <v>0</v>
      </c>
      <c r="V702" s="256">
        <f t="shared" si="192"/>
        <v>0</v>
      </c>
      <c r="W702" s="256">
        <f t="shared" si="178"/>
        <v>0</v>
      </c>
      <c r="X702" s="216"/>
      <c r="Y702" s="216"/>
    </row>
    <row r="703" spans="1:25" s="140" customFormat="1" ht="12.75" hidden="1" outlineLevel="3">
      <c r="B703" s="301" t="s">
        <v>889</v>
      </c>
      <c r="C703" s="251"/>
      <c r="D703" s="236" t="s">
        <v>441</v>
      </c>
      <c r="E703" s="242"/>
      <c r="F703" s="232">
        <f t="shared" si="188"/>
        <v>0.17950266086228694</v>
      </c>
      <c r="G703" s="232">
        <f>+F703*G672</f>
        <v>6.3776234470989588E-5</v>
      </c>
      <c r="H703" s="321"/>
      <c r="I703" s="321"/>
      <c r="J703" s="321"/>
      <c r="K703" s="321"/>
      <c r="L703" s="321"/>
      <c r="M703" s="321"/>
      <c r="N703" s="233">
        <f t="shared" ref="N703:S703" si="194">+SUMPRODUCT($F704:$F704,N704:N704)</f>
        <v>0</v>
      </c>
      <c r="O703" s="233">
        <f t="shared" si="194"/>
        <v>0</v>
      </c>
      <c r="P703" s="233">
        <f t="shared" si="194"/>
        <v>0</v>
      </c>
      <c r="Q703" s="274">
        <f t="shared" si="194"/>
        <v>0</v>
      </c>
      <c r="R703" s="274">
        <f t="shared" si="194"/>
        <v>0</v>
      </c>
      <c r="S703" s="274">
        <f t="shared" si="194"/>
        <v>0</v>
      </c>
      <c r="T703" s="254">
        <f t="shared" si="190"/>
        <v>0</v>
      </c>
      <c r="U703" s="254">
        <f t="shared" si="191"/>
        <v>0</v>
      </c>
      <c r="V703" s="254">
        <f t="shared" si="192"/>
        <v>0</v>
      </c>
      <c r="W703" s="254">
        <f t="shared" si="178"/>
        <v>0</v>
      </c>
    </row>
    <row r="704" spans="1:25" s="140" customFormat="1" ht="12.75" hidden="1" outlineLevel="4">
      <c r="A704" s="216"/>
      <c r="B704" s="255" t="s">
        <v>890</v>
      </c>
      <c r="C704" s="245" t="s">
        <v>187</v>
      </c>
      <c r="D704" s="227" t="s">
        <v>443</v>
      </c>
      <c r="E704" s="241"/>
      <c r="F704" s="228">
        <f t="shared" si="188"/>
        <v>1</v>
      </c>
      <c r="G704" s="269">
        <f>+F704*G703</f>
        <v>6.3776234470989588E-5</v>
      </c>
      <c r="H704" s="299"/>
      <c r="I704" s="299"/>
      <c r="J704" s="299"/>
      <c r="K704" s="299"/>
      <c r="L704" s="299"/>
      <c r="M704" s="299"/>
      <c r="N704" s="229">
        <v>0</v>
      </c>
      <c r="O704" s="229">
        <v>0</v>
      </c>
      <c r="P704" s="229">
        <v>0</v>
      </c>
      <c r="Q704" s="272">
        <v>0</v>
      </c>
      <c r="R704" s="272">
        <v>0</v>
      </c>
      <c r="S704" s="272">
        <v>0</v>
      </c>
      <c r="T704" s="256">
        <f t="shared" si="190"/>
        <v>0</v>
      </c>
      <c r="U704" s="256">
        <f t="shared" si="191"/>
        <v>0</v>
      </c>
      <c r="V704" s="256">
        <f t="shared" si="192"/>
        <v>0</v>
      </c>
      <c r="W704" s="256">
        <f t="shared" si="178"/>
        <v>0</v>
      </c>
      <c r="X704" s="216"/>
      <c r="Y704" s="216"/>
    </row>
    <row r="705" spans="1:25" s="140" customFormat="1" ht="12.75" hidden="1" outlineLevel="3">
      <c r="B705" s="300" t="s">
        <v>891</v>
      </c>
      <c r="C705" s="294"/>
      <c r="D705" s="294" t="s">
        <v>193</v>
      </c>
      <c r="E705" s="295"/>
      <c r="F705" s="296">
        <f t="shared" si="188"/>
        <v>7.0876940001895719E-2</v>
      </c>
      <c r="G705" s="296">
        <f>+F705*G532</f>
        <v>1.3998195650374409E-4</v>
      </c>
      <c r="H705" s="297"/>
      <c r="I705" s="297"/>
      <c r="J705" s="297"/>
      <c r="K705" s="297"/>
      <c r="L705" s="297"/>
      <c r="M705" s="297"/>
      <c r="N705" s="296">
        <f t="shared" ref="N705:S705" si="195">+SUMPRODUCT($F706:$F717,N706:N717)</f>
        <v>0</v>
      </c>
      <c r="O705" s="296">
        <f t="shared" si="195"/>
        <v>0</v>
      </c>
      <c r="P705" s="296">
        <f t="shared" si="195"/>
        <v>0</v>
      </c>
      <c r="Q705" s="296">
        <f t="shared" si="195"/>
        <v>0</v>
      </c>
      <c r="R705" s="296">
        <f t="shared" si="195"/>
        <v>0</v>
      </c>
      <c r="S705" s="296">
        <f t="shared" si="195"/>
        <v>0</v>
      </c>
      <c r="T705" s="296">
        <f t="shared" si="190"/>
        <v>0</v>
      </c>
      <c r="U705" s="296">
        <f t="shared" si="191"/>
        <v>0</v>
      </c>
      <c r="V705" s="296">
        <f t="shared" si="192"/>
        <v>0</v>
      </c>
      <c r="W705" s="296">
        <f t="shared" si="178"/>
        <v>0</v>
      </c>
    </row>
    <row r="706" spans="1:25" s="140" customFormat="1" ht="12.75" hidden="1" outlineLevel="3">
      <c r="A706" s="216"/>
      <c r="B706" s="255" t="s">
        <v>892</v>
      </c>
      <c r="C706" s="245" t="s">
        <v>195</v>
      </c>
      <c r="D706" s="227" t="s">
        <v>196</v>
      </c>
      <c r="E706" s="241"/>
      <c r="F706" s="228">
        <f t="shared" si="188"/>
        <v>0.11462043390407546</v>
      </c>
      <c r="G706" s="269">
        <f>+F706*G705</f>
        <v>1.6044792593200565E-5</v>
      </c>
      <c r="H706" s="299"/>
      <c r="I706" s="299"/>
      <c r="J706" s="299"/>
      <c r="K706" s="299"/>
      <c r="L706" s="299"/>
      <c r="M706" s="299"/>
      <c r="N706" s="229">
        <v>0</v>
      </c>
      <c r="O706" s="229">
        <v>0</v>
      </c>
      <c r="P706" s="229">
        <v>0</v>
      </c>
      <c r="Q706" s="272">
        <v>0</v>
      </c>
      <c r="R706" s="272">
        <v>0</v>
      </c>
      <c r="S706" s="272">
        <v>0</v>
      </c>
      <c r="T706" s="256">
        <f t="shared" si="190"/>
        <v>0</v>
      </c>
      <c r="U706" s="256">
        <f t="shared" si="191"/>
        <v>0</v>
      </c>
      <c r="V706" s="256">
        <f t="shared" si="192"/>
        <v>0</v>
      </c>
      <c r="W706" s="256">
        <f t="shared" si="178"/>
        <v>0</v>
      </c>
      <c r="X706" s="216"/>
      <c r="Y706" s="216"/>
    </row>
    <row r="707" spans="1:25" s="140" customFormat="1" ht="12.75" hidden="1" outlineLevel="3">
      <c r="A707" s="216"/>
      <c r="B707" s="255" t="s">
        <v>893</v>
      </c>
      <c r="C707" s="245" t="s">
        <v>198</v>
      </c>
      <c r="D707" s="227" t="s">
        <v>199</v>
      </c>
      <c r="E707" s="241"/>
      <c r="F707" s="228">
        <f t="shared" si="188"/>
        <v>0.16914444012256166</v>
      </c>
      <c r="G707" s="269">
        <f>+F707*G705</f>
        <v>2.3677169660086572E-5</v>
      </c>
      <c r="H707" s="299"/>
      <c r="I707" s="299"/>
      <c r="J707" s="299"/>
      <c r="K707" s="299"/>
      <c r="L707" s="299"/>
      <c r="M707" s="299"/>
      <c r="N707" s="229">
        <v>0</v>
      </c>
      <c r="O707" s="229">
        <v>0</v>
      </c>
      <c r="P707" s="229">
        <v>0</v>
      </c>
      <c r="Q707" s="272">
        <v>0</v>
      </c>
      <c r="R707" s="272">
        <v>0</v>
      </c>
      <c r="S707" s="272">
        <v>0</v>
      </c>
      <c r="T707" s="256">
        <f t="shared" si="190"/>
        <v>0</v>
      </c>
      <c r="U707" s="256">
        <f t="shared" si="191"/>
        <v>0</v>
      </c>
      <c r="V707" s="256">
        <f t="shared" si="192"/>
        <v>0</v>
      </c>
      <c r="W707" s="256">
        <f t="shared" si="178"/>
        <v>0</v>
      </c>
      <c r="X707" s="216"/>
      <c r="Y707" s="216"/>
    </row>
    <row r="708" spans="1:25" s="140" customFormat="1" ht="12.75" hidden="1" outlineLevel="3">
      <c r="A708" s="216"/>
      <c r="B708" s="255" t="s">
        <v>894</v>
      </c>
      <c r="C708" s="245" t="s">
        <v>201</v>
      </c>
      <c r="D708" s="227" t="s">
        <v>202</v>
      </c>
      <c r="E708" s="241"/>
      <c r="F708" s="228">
        <f t="shared" si="188"/>
        <v>0.15393682703771108</v>
      </c>
      <c r="G708" s="269">
        <f>+F708*G705</f>
        <v>2.154837822671725E-5</v>
      </c>
      <c r="H708" s="299"/>
      <c r="I708" s="299"/>
      <c r="J708" s="299"/>
      <c r="K708" s="299"/>
      <c r="L708" s="299"/>
      <c r="M708" s="299"/>
      <c r="N708" s="229">
        <v>0</v>
      </c>
      <c r="O708" s="229">
        <v>0</v>
      </c>
      <c r="P708" s="229">
        <v>0</v>
      </c>
      <c r="Q708" s="272">
        <v>0</v>
      </c>
      <c r="R708" s="272">
        <v>0</v>
      </c>
      <c r="S708" s="272">
        <v>0</v>
      </c>
      <c r="T708" s="256">
        <f t="shared" si="190"/>
        <v>0</v>
      </c>
      <c r="U708" s="256">
        <f t="shared" si="191"/>
        <v>0</v>
      </c>
      <c r="V708" s="256">
        <f t="shared" si="192"/>
        <v>0</v>
      </c>
      <c r="W708" s="256">
        <f t="shared" si="178"/>
        <v>0</v>
      </c>
      <c r="X708" s="216"/>
      <c r="Y708" s="216"/>
    </row>
    <row r="709" spans="1:25" s="140" customFormat="1" ht="12.75" hidden="1" outlineLevel="3">
      <c r="A709" s="216"/>
      <c r="B709" s="255" t="s">
        <v>895</v>
      </c>
      <c r="C709" s="245" t="s">
        <v>204</v>
      </c>
      <c r="D709" s="227" t="s">
        <v>205</v>
      </c>
      <c r="E709" s="241"/>
      <c r="F709" s="228">
        <f t="shared" si="188"/>
        <v>3.9190487501575728E-2</v>
      </c>
      <c r="G709" s="269">
        <f>+F709*G705</f>
        <v>5.4859611168060997E-6</v>
      </c>
      <c r="H709" s="299"/>
      <c r="I709" s="299"/>
      <c r="J709" s="299"/>
      <c r="K709" s="299"/>
      <c r="L709" s="299"/>
      <c r="M709" s="299"/>
      <c r="N709" s="229">
        <v>0</v>
      </c>
      <c r="O709" s="229">
        <v>0</v>
      </c>
      <c r="P709" s="229">
        <v>0</v>
      </c>
      <c r="Q709" s="272">
        <v>0</v>
      </c>
      <c r="R709" s="272">
        <v>0</v>
      </c>
      <c r="S709" s="272">
        <v>0</v>
      </c>
      <c r="T709" s="256">
        <f t="shared" si="190"/>
        <v>0</v>
      </c>
      <c r="U709" s="256">
        <f t="shared" si="191"/>
        <v>0</v>
      </c>
      <c r="V709" s="256">
        <f t="shared" si="192"/>
        <v>0</v>
      </c>
      <c r="W709" s="256">
        <f t="shared" si="178"/>
        <v>0</v>
      </c>
      <c r="X709" s="216"/>
      <c r="Y709" s="216"/>
    </row>
    <row r="710" spans="1:25" s="140" customFormat="1" ht="12.75" hidden="1" outlineLevel="3">
      <c r="A710" s="216"/>
      <c r="B710" s="255" t="s">
        <v>896</v>
      </c>
      <c r="C710" s="245" t="s">
        <v>207</v>
      </c>
      <c r="D710" s="227" t="s">
        <v>205</v>
      </c>
      <c r="E710" s="241"/>
      <c r="F710" s="228">
        <f t="shared" si="188"/>
        <v>3.9190487501575728E-2</v>
      </c>
      <c r="G710" s="269">
        <f>+F710*G705</f>
        <v>5.4859611168060997E-6</v>
      </c>
      <c r="H710" s="299"/>
      <c r="I710" s="299"/>
      <c r="J710" s="299"/>
      <c r="K710" s="299"/>
      <c r="L710" s="299"/>
      <c r="M710" s="299"/>
      <c r="N710" s="229">
        <v>0</v>
      </c>
      <c r="O710" s="229">
        <v>0</v>
      </c>
      <c r="P710" s="229">
        <v>0</v>
      </c>
      <c r="Q710" s="272">
        <v>0</v>
      </c>
      <c r="R710" s="272">
        <v>0</v>
      </c>
      <c r="S710" s="272">
        <v>0</v>
      </c>
      <c r="T710" s="256">
        <f t="shared" si="190"/>
        <v>0</v>
      </c>
      <c r="U710" s="256">
        <f t="shared" si="191"/>
        <v>0</v>
      </c>
      <c r="V710" s="256">
        <f t="shared" si="192"/>
        <v>0</v>
      </c>
      <c r="W710" s="256">
        <f t="shared" ref="W710:W773" si="196">+IF(R710=0,0,$S710/R710)</f>
        <v>0</v>
      </c>
      <c r="X710" s="216"/>
      <c r="Y710" s="216"/>
    </row>
    <row r="711" spans="1:25" s="140" customFormat="1" ht="12.75" hidden="1" outlineLevel="3">
      <c r="A711" s="216"/>
      <c r="B711" s="255" t="s">
        <v>897</v>
      </c>
      <c r="C711" s="245" t="s">
        <v>209</v>
      </c>
      <c r="D711" s="227" t="s">
        <v>205</v>
      </c>
      <c r="E711" s="241"/>
      <c r="F711" s="228">
        <f t="shared" si="188"/>
        <v>3.9190487501575728E-2</v>
      </c>
      <c r="G711" s="269">
        <f>+F711*G705</f>
        <v>5.4859611168060997E-6</v>
      </c>
      <c r="H711" s="299"/>
      <c r="I711" s="299"/>
      <c r="J711" s="299"/>
      <c r="K711" s="299"/>
      <c r="L711" s="299"/>
      <c r="M711" s="299"/>
      <c r="N711" s="229">
        <v>0</v>
      </c>
      <c r="O711" s="229">
        <v>0</v>
      </c>
      <c r="P711" s="229">
        <v>0</v>
      </c>
      <c r="Q711" s="272">
        <v>0</v>
      </c>
      <c r="R711" s="272">
        <v>0</v>
      </c>
      <c r="S711" s="272">
        <v>0</v>
      </c>
      <c r="T711" s="256">
        <f t="shared" si="190"/>
        <v>0</v>
      </c>
      <c r="U711" s="256">
        <f t="shared" si="191"/>
        <v>0</v>
      </c>
      <c r="V711" s="256">
        <f t="shared" si="192"/>
        <v>0</v>
      </c>
      <c r="W711" s="256">
        <f t="shared" si="196"/>
        <v>0</v>
      </c>
      <c r="X711" s="216"/>
      <c r="Y711" s="216"/>
    </row>
    <row r="712" spans="1:25" s="140" customFormat="1" ht="12.75" hidden="1" outlineLevel="3">
      <c r="A712" s="216"/>
      <c r="B712" s="255" t="s">
        <v>898</v>
      </c>
      <c r="C712" s="245" t="s">
        <v>211</v>
      </c>
      <c r="D712" s="227" t="s">
        <v>205</v>
      </c>
      <c r="E712" s="241"/>
      <c r="F712" s="228">
        <f t="shared" si="188"/>
        <v>3.9190487501575728E-2</v>
      </c>
      <c r="G712" s="269">
        <f>+F712*G705</f>
        <v>5.4859611168060997E-6</v>
      </c>
      <c r="H712" s="299"/>
      <c r="I712" s="299"/>
      <c r="J712" s="299"/>
      <c r="K712" s="299"/>
      <c r="L712" s="299"/>
      <c r="M712" s="299"/>
      <c r="N712" s="229">
        <v>0</v>
      </c>
      <c r="O712" s="229">
        <v>0</v>
      </c>
      <c r="P712" s="229">
        <v>0</v>
      </c>
      <c r="Q712" s="272">
        <v>0</v>
      </c>
      <c r="R712" s="272">
        <v>0</v>
      </c>
      <c r="S712" s="272">
        <v>0</v>
      </c>
      <c r="T712" s="256">
        <f t="shared" si="190"/>
        <v>0</v>
      </c>
      <c r="U712" s="256">
        <f t="shared" si="191"/>
        <v>0</v>
      </c>
      <c r="V712" s="256">
        <f t="shared" si="192"/>
        <v>0</v>
      </c>
      <c r="W712" s="256">
        <f t="shared" si="196"/>
        <v>0</v>
      </c>
      <c r="X712" s="216"/>
      <c r="Y712" s="216"/>
    </row>
    <row r="713" spans="1:25" s="140" customFormat="1" ht="12.75" hidden="1" outlineLevel="3">
      <c r="A713" s="216"/>
      <c r="B713" s="255" t="s">
        <v>899</v>
      </c>
      <c r="C713" s="245" t="s">
        <v>213</v>
      </c>
      <c r="D713" s="227" t="s">
        <v>205</v>
      </c>
      <c r="E713" s="241"/>
      <c r="F713" s="228">
        <f t="shared" si="188"/>
        <v>3.9190487501575728E-2</v>
      </c>
      <c r="G713" s="269">
        <f>+F713*G705</f>
        <v>5.4859611168060997E-6</v>
      </c>
      <c r="H713" s="299"/>
      <c r="I713" s="299"/>
      <c r="J713" s="299"/>
      <c r="K713" s="299"/>
      <c r="L713" s="299"/>
      <c r="M713" s="299"/>
      <c r="N713" s="229">
        <v>0</v>
      </c>
      <c r="O713" s="229">
        <v>0</v>
      </c>
      <c r="P713" s="229">
        <v>0</v>
      </c>
      <c r="Q713" s="272">
        <v>0</v>
      </c>
      <c r="R713" s="272">
        <v>0</v>
      </c>
      <c r="S713" s="272">
        <v>0</v>
      </c>
      <c r="T713" s="256">
        <f t="shared" si="190"/>
        <v>0</v>
      </c>
      <c r="U713" s="256">
        <f t="shared" si="191"/>
        <v>0</v>
      </c>
      <c r="V713" s="256">
        <f t="shared" si="192"/>
        <v>0</v>
      </c>
      <c r="W713" s="256">
        <f t="shared" si="196"/>
        <v>0</v>
      </c>
      <c r="X713" s="216"/>
      <c r="Y713" s="216"/>
    </row>
    <row r="714" spans="1:25" s="140" customFormat="1" ht="12.75" hidden="1" outlineLevel="3">
      <c r="A714" s="216"/>
      <c r="B714" s="255" t="s">
        <v>900</v>
      </c>
      <c r="C714" s="281" t="s">
        <v>215</v>
      </c>
      <c r="D714" s="282" t="s">
        <v>216</v>
      </c>
      <c r="E714" s="283"/>
      <c r="F714" s="284">
        <f t="shared" si="188"/>
        <v>4.0894421740774678E-2</v>
      </c>
      <c r="G714" s="285">
        <f>+F714*G705</f>
        <v>5.7244811653628877E-6</v>
      </c>
      <c r="H714" s="322"/>
      <c r="I714" s="322"/>
      <c r="J714" s="322"/>
      <c r="K714" s="322"/>
      <c r="L714" s="322"/>
      <c r="M714" s="322"/>
      <c r="N714" s="286">
        <v>0</v>
      </c>
      <c r="O714" s="286">
        <v>0</v>
      </c>
      <c r="P714" s="286">
        <v>0</v>
      </c>
      <c r="Q714" s="287">
        <v>0</v>
      </c>
      <c r="R714" s="287">
        <v>0</v>
      </c>
      <c r="S714" s="287">
        <v>0</v>
      </c>
      <c r="T714" s="288">
        <f t="shared" si="190"/>
        <v>0</v>
      </c>
      <c r="U714" s="288">
        <f t="shared" si="191"/>
        <v>0</v>
      </c>
      <c r="V714" s="288">
        <f t="shared" si="192"/>
        <v>0</v>
      </c>
      <c r="W714" s="288">
        <f t="shared" si="196"/>
        <v>0</v>
      </c>
      <c r="X714" s="216"/>
      <c r="Y714" s="216"/>
    </row>
    <row r="715" spans="1:25" s="140" customFormat="1" ht="12.75" hidden="1" outlineLevel="3">
      <c r="A715" s="216"/>
      <c r="B715" s="255" t="s">
        <v>901</v>
      </c>
      <c r="C715" s="281" t="s">
        <v>218</v>
      </c>
      <c r="D715" s="282" t="s">
        <v>219</v>
      </c>
      <c r="E715" s="283"/>
      <c r="F715" s="284">
        <f t="shared" si="188"/>
        <v>0.13120293641831876</v>
      </c>
      <c r="G715" s="285">
        <f>+F715*G705</f>
        <v>1.8366043738872597E-5</v>
      </c>
      <c r="H715" s="322"/>
      <c r="I715" s="322"/>
      <c r="J715" s="322"/>
      <c r="K715" s="322"/>
      <c r="L715" s="322"/>
      <c r="M715" s="322"/>
      <c r="N715" s="286">
        <v>0</v>
      </c>
      <c r="O715" s="286">
        <v>0</v>
      </c>
      <c r="P715" s="286">
        <v>0</v>
      </c>
      <c r="Q715" s="287">
        <v>0</v>
      </c>
      <c r="R715" s="287">
        <v>0</v>
      </c>
      <c r="S715" s="287">
        <v>0</v>
      </c>
      <c r="T715" s="288">
        <f t="shared" si="190"/>
        <v>0</v>
      </c>
      <c r="U715" s="288">
        <f t="shared" si="191"/>
        <v>0</v>
      </c>
      <c r="V715" s="288">
        <f t="shared" si="192"/>
        <v>0</v>
      </c>
      <c r="W715" s="288">
        <f t="shared" si="196"/>
        <v>0</v>
      </c>
      <c r="X715" s="216"/>
      <c r="Y715" s="216"/>
    </row>
    <row r="716" spans="1:25" s="140" customFormat="1" ht="12.75" hidden="1" outlineLevel="3">
      <c r="A716" s="216"/>
      <c r="B716" s="255" t="s">
        <v>902</v>
      </c>
      <c r="C716" s="281" t="s">
        <v>221</v>
      </c>
      <c r="D716" s="282" t="s">
        <v>222</v>
      </c>
      <c r="E716" s="283"/>
      <c r="F716" s="284">
        <f t="shared" si="188"/>
        <v>0.17039342391989448</v>
      </c>
      <c r="G716" s="285">
        <f>+F716*G705</f>
        <v>2.3852004855678696E-5</v>
      </c>
      <c r="H716" s="322"/>
      <c r="I716" s="322"/>
      <c r="J716" s="322"/>
      <c r="K716" s="322"/>
      <c r="L716" s="322"/>
      <c r="M716" s="322"/>
      <c r="N716" s="286">
        <v>0</v>
      </c>
      <c r="O716" s="286">
        <v>0</v>
      </c>
      <c r="P716" s="286">
        <v>0</v>
      </c>
      <c r="Q716" s="287">
        <v>0</v>
      </c>
      <c r="R716" s="287">
        <v>0</v>
      </c>
      <c r="S716" s="287">
        <v>0</v>
      </c>
      <c r="T716" s="288">
        <f t="shared" si="190"/>
        <v>0</v>
      </c>
      <c r="U716" s="288">
        <f t="shared" si="191"/>
        <v>0</v>
      </c>
      <c r="V716" s="288">
        <f t="shared" si="192"/>
        <v>0</v>
      </c>
      <c r="W716" s="288">
        <f t="shared" si="196"/>
        <v>0</v>
      </c>
      <c r="X716" s="216"/>
      <c r="Y716" s="216"/>
    </row>
    <row r="717" spans="1:25" s="140" customFormat="1" ht="12.75" hidden="1" outlineLevel="3">
      <c r="A717" s="216"/>
      <c r="B717" s="255" t="s">
        <v>903</v>
      </c>
      <c r="C717" s="281" t="s">
        <v>224</v>
      </c>
      <c r="D717" s="282" t="s">
        <v>225</v>
      </c>
      <c r="E717" s="283"/>
      <c r="F717" s="284">
        <f t="shared" si="188"/>
        <v>2.3855079348785228E-2</v>
      </c>
      <c r="G717" s="285">
        <f>+F717*G705</f>
        <v>3.3392806797950178E-6</v>
      </c>
      <c r="H717" s="322"/>
      <c r="I717" s="322"/>
      <c r="J717" s="322"/>
      <c r="K717" s="322"/>
      <c r="L717" s="322"/>
      <c r="M717" s="322"/>
      <c r="N717" s="286">
        <v>0</v>
      </c>
      <c r="O717" s="286">
        <v>0</v>
      </c>
      <c r="P717" s="286">
        <v>0</v>
      </c>
      <c r="Q717" s="287">
        <v>0</v>
      </c>
      <c r="R717" s="287">
        <v>0</v>
      </c>
      <c r="S717" s="287">
        <v>0</v>
      </c>
      <c r="T717" s="288">
        <f t="shared" si="190"/>
        <v>0</v>
      </c>
      <c r="U717" s="288">
        <f t="shared" si="191"/>
        <v>0</v>
      </c>
      <c r="V717" s="288">
        <f t="shared" si="192"/>
        <v>0</v>
      </c>
      <c r="W717" s="288">
        <f t="shared" si="196"/>
        <v>0</v>
      </c>
      <c r="X717" s="216"/>
      <c r="Y717" s="216"/>
    </row>
    <row r="718" spans="1:25" s="140" customFormat="1" ht="12.75" outlineLevel="1" collapsed="1">
      <c r="B718" s="279">
        <v>5.2</v>
      </c>
      <c r="C718" s="279"/>
      <c r="D718" s="279" t="s">
        <v>904</v>
      </c>
      <c r="E718" s="278">
        <f>+SUM(E719,E842,E858)</f>
        <v>2484067916240.3301</v>
      </c>
      <c r="F718" s="280">
        <v>0.95</v>
      </c>
      <c r="G718" s="280">
        <f>+F718*$G$528</f>
        <v>0.75049999999999994</v>
      </c>
      <c r="H718" s="354">
        <v>45884</v>
      </c>
      <c r="I718" s="354">
        <v>46552</v>
      </c>
      <c r="J718" s="354">
        <v>45885</v>
      </c>
      <c r="K718" s="354">
        <v>46758</v>
      </c>
      <c r="L718" s="354">
        <v>45885</v>
      </c>
      <c r="M718" s="354">
        <v>46758</v>
      </c>
      <c r="N718" s="280">
        <f t="shared" ref="N718:S718" si="197">+($F719*N719+$F842*N842+$F858*N858)</f>
        <v>0.64069145345430967</v>
      </c>
      <c r="O718" s="280">
        <f t="shared" si="197"/>
        <v>0.53246832418413248</v>
      </c>
      <c r="P718" s="280">
        <f t="shared" si="197"/>
        <v>0.47470622140795671</v>
      </c>
      <c r="Q718" s="280">
        <f t="shared" si="197"/>
        <v>0.23056686243323068</v>
      </c>
      <c r="R718" s="280">
        <f t="shared" si="197"/>
        <v>0.2247461283704684</v>
      </c>
      <c r="S718" s="280">
        <f>+($F719*S719+$F842*S842+$F858*S858)</f>
        <v>0.22607182139592644</v>
      </c>
      <c r="T718" s="280">
        <f t="shared" ref="T718:T879" si="198">+IF(N718=0,0,$S718/N718)</f>
        <v>0.3528559967158178</v>
      </c>
      <c r="U718" s="280">
        <f t="shared" ref="U718:U879" si="199">+IF(O718=0,0,$S718/O718)</f>
        <v>0.42457327718474519</v>
      </c>
      <c r="V718" s="280">
        <f t="shared" ref="V718:V879" si="200">+IF(P718=0,0,$S718/P718)</f>
        <v>0.47623521917494122</v>
      </c>
      <c r="W718" s="280">
        <f t="shared" si="196"/>
        <v>1.0058986245283514</v>
      </c>
    </row>
    <row r="719" spans="1:25" s="140" customFormat="1" ht="12.75" outlineLevel="1">
      <c r="B719" s="294" t="s">
        <v>905</v>
      </c>
      <c r="C719" s="294"/>
      <c r="D719" s="294" t="s">
        <v>31</v>
      </c>
      <c r="E719" s="295">
        <f>SUM(E720,E741,E768,E780,E793,E808,E826,E841)</f>
        <v>1940235189986.96</v>
      </c>
      <c r="F719" s="296">
        <f>+E719/$E$718</f>
        <v>0.78107171599540315</v>
      </c>
      <c r="G719" s="296">
        <f>+E719*$G$718/$E$718</f>
        <v>0.58619432285454998</v>
      </c>
      <c r="H719" s="297">
        <v>45884</v>
      </c>
      <c r="I719" s="297">
        <v>46552</v>
      </c>
      <c r="J719" s="297">
        <v>45885</v>
      </c>
      <c r="K719" s="297">
        <v>46758</v>
      </c>
      <c r="L719" s="297">
        <v>45885</v>
      </c>
      <c r="M719" s="297">
        <v>46758</v>
      </c>
      <c r="N719" s="296">
        <f>$F720*N720+$F741*N741+$F768*N768+$F780*N780+$F793*N793+$F808*N808+$F826*N826+$F841*N841</f>
        <v>0.82027224944102362</v>
      </c>
      <c r="O719" s="296">
        <f t="shared" ref="O719:P719" si="201">$F720*O720+$F741*O741+$F768*O768+$F780*O780+$F793*O793+$F808*O808+$F826*O826+$F841*O841</f>
        <v>0.68171502472798062</v>
      </c>
      <c r="P719" s="296">
        <f t="shared" si="201"/>
        <v>0.60776265698340881</v>
      </c>
      <c r="Q719" s="296">
        <f>$F720*Q720+$F741*Q741+$F768*Q768+$F780*Q780+$F793*Q793+$F808*Q808+$F826*Q826+$F841*Q841</f>
        <v>0.28345150181244494</v>
      </c>
      <c r="R719" s="296">
        <f>$F720*R720+$F741*R741+$F768*R768+$F780*R780+$F793*R793+$F808*R808+$F826*R826+$F841*R841</f>
        <v>0.27813625003461462</v>
      </c>
      <c r="S719" s="296">
        <f>($F720*S720+$F741*S741+$F768*S768+$F780*S780+$F793*S793+$F808*S808+$F826*S826+$F841*S841)</f>
        <v>0.27769653598120148</v>
      </c>
      <c r="T719" s="296">
        <f t="shared" si="198"/>
        <v>0.33854191235951042</v>
      </c>
      <c r="U719" s="296">
        <f t="shared" si="199"/>
        <v>0.4073498836145038</v>
      </c>
      <c r="V719" s="296">
        <f t="shared" si="200"/>
        <v>0.45691608852628512</v>
      </c>
      <c r="W719" s="296">
        <f t="shared" si="196"/>
        <v>0.99841906959859272</v>
      </c>
    </row>
    <row r="720" spans="1:25" s="216" customFormat="1" ht="25.5" outlineLevel="2">
      <c r="B720" s="291" t="s">
        <v>906</v>
      </c>
      <c r="C720" s="292" t="s">
        <v>32</v>
      </c>
      <c r="D720" s="234" t="s">
        <v>33</v>
      </c>
      <c r="E720" s="240">
        <f>SUM(E721:E740)</f>
        <v>373298048361</v>
      </c>
      <c r="F720" s="223">
        <f t="shared" ref="F720:F841" si="202">E720/$E$719</f>
        <v>0.19239834958539684</v>
      </c>
      <c r="G720" s="293">
        <f t="shared" ref="G719:G864" si="203">+E720*$G$718/$E$718</f>
        <v>0.1127828202535447</v>
      </c>
      <c r="H720" s="298">
        <v>45884</v>
      </c>
      <c r="I720" s="298">
        <v>46501</v>
      </c>
      <c r="J720" s="298">
        <v>45885</v>
      </c>
      <c r="K720" s="298">
        <v>46758</v>
      </c>
      <c r="L720" s="298">
        <f>MIN(L721:L740)</f>
        <v>45885</v>
      </c>
      <c r="M720" s="298">
        <f>MAX(M721:M740)</f>
        <v>46783</v>
      </c>
      <c r="N720" s="224">
        <f t="shared" ref="N720:P720" si="204">SUMPRODUCT($F721:$F740,N721:N740)</f>
        <v>0.97250733594245253</v>
      </c>
      <c r="O720" s="224">
        <f t="shared" si="204"/>
        <v>0.93342948945437354</v>
      </c>
      <c r="P720" s="224">
        <f t="shared" si="204"/>
        <v>0.7170438013704229</v>
      </c>
      <c r="Q720" s="270">
        <f>+S720+0.45%</f>
        <v>0.2868</v>
      </c>
      <c r="R720" s="270">
        <v>0.26650000000000001</v>
      </c>
      <c r="S720" s="270">
        <v>0.2823</v>
      </c>
      <c r="T720" s="254">
        <f t="shared" si="198"/>
        <v>0.29028058665123008</v>
      </c>
      <c r="U720" s="254">
        <f t="shared" si="199"/>
        <v>0.30243312771810488</v>
      </c>
      <c r="V720" s="254">
        <f t="shared" si="200"/>
        <v>0.39369979833932706</v>
      </c>
      <c r="W720" s="254">
        <f t="shared" si="196"/>
        <v>1.0592870544090056</v>
      </c>
    </row>
    <row r="721" spans="2:23" s="216" customFormat="1" ht="25.5" hidden="1" outlineLevel="3">
      <c r="B721" s="255" t="s">
        <v>907</v>
      </c>
      <c r="C721" s="290" t="s">
        <v>230</v>
      </c>
      <c r="D721" s="227" t="s">
        <v>231</v>
      </c>
      <c r="E721" s="241">
        <v>16642305388</v>
      </c>
      <c r="F721" s="228">
        <f>E721/$E$720</f>
        <v>4.4581817293365446E-2</v>
      </c>
      <c r="G721" s="269">
        <f>+E721*$G$718/$E$718</f>
        <v>5.0280630863740053E-3</v>
      </c>
      <c r="H721" s="299">
        <v>45884</v>
      </c>
      <c r="I721" s="299">
        <v>46334</v>
      </c>
      <c r="J721" s="299">
        <v>45885</v>
      </c>
      <c r="K721" s="299">
        <v>46578</v>
      </c>
      <c r="L721" s="299">
        <v>45885</v>
      </c>
      <c r="M721" s="299">
        <v>46599</v>
      </c>
      <c r="N721" s="229">
        <f>[1]Нэгтгэл!$E$10</f>
        <v>1.0000000000000004</v>
      </c>
      <c r="O721" s="229">
        <f>[1]Нэгтгэл!$G$10</f>
        <v>1.0000000000000004</v>
      </c>
      <c r="P721" s="229">
        <f>[1]Нэгтгэл!$I$10</f>
        <v>0.71919351890725702</v>
      </c>
      <c r="Q721" s="336">
        <v>0.25717591519605598</v>
      </c>
      <c r="R721" s="336">
        <v>0.25717591519605598</v>
      </c>
      <c r="S721" s="336">
        <v>0.25717591519605554</v>
      </c>
      <c r="T721" s="256">
        <f t="shared" ref="T721:T740" si="205">+IF(N721=0,0,$S721/N721)</f>
        <v>0.25717591519605543</v>
      </c>
      <c r="U721" s="256">
        <f t="shared" ref="U721:U740" si="206">+IF(O721=0,0,$S721/O721)</f>
        <v>0.25717591519605543</v>
      </c>
      <c r="V721" s="256">
        <f t="shared" ref="V721:V740" si="207">+IF(P721=0,0,$S721/P721)</f>
        <v>0.35758931140926958</v>
      </c>
      <c r="W721" s="256">
        <f t="shared" si="196"/>
        <v>0.99999999999999822</v>
      </c>
    </row>
    <row r="722" spans="2:23" s="216" customFormat="1" ht="25.5" hidden="1" outlineLevel="3">
      <c r="B722" s="255" t="s">
        <v>908</v>
      </c>
      <c r="C722" s="290" t="s">
        <v>233</v>
      </c>
      <c r="D722" s="227" t="s">
        <v>231</v>
      </c>
      <c r="E722" s="241">
        <v>16642305388</v>
      </c>
      <c r="F722" s="228">
        <f t="shared" ref="F722:F740" si="208">E722/$E$720</f>
        <v>4.4581817293365446E-2</v>
      </c>
      <c r="G722" s="269">
        <f t="shared" si="203"/>
        <v>5.0280630863740053E-3</v>
      </c>
      <c r="H722" s="299">
        <v>45884</v>
      </c>
      <c r="I722" s="299">
        <v>46334</v>
      </c>
      <c r="J722" s="299">
        <v>45885</v>
      </c>
      <c r="K722" s="299">
        <v>46578</v>
      </c>
      <c r="L722" s="299">
        <v>45885</v>
      </c>
      <c r="M722" s="299">
        <v>46599</v>
      </c>
      <c r="N722" s="229">
        <f>[1]Нэгтгэл!$E$32</f>
        <v>1</v>
      </c>
      <c r="O722" s="229">
        <f>[1]Нэгтгэл!$G$32</f>
        <v>1</v>
      </c>
      <c r="P722" s="229">
        <f>[1]Нэгтгэл!$I$32</f>
        <v>0.72317710212433761</v>
      </c>
      <c r="Q722" s="336">
        <v>0.25717591519605598</v>
      </c>
      <c r="R722" s="336">
        <v>0.25717591519605598</v>
      </c>
      <c r="S722" s="336">
        <v>0.25717591519605554</v>
      </c>
      <c r="T722" s="256">
        <f t="shared" si="205"/>
        <v>0.25717591519605554</v>
      </c>
      <c r="U722" s="256">
        <f t="shared" si="206"/>
        <v>0.25717591519605554</v>
      </c>
      <c r="V722" s="256">
        <f t="shared" si="207"/>
        <v>0.35561954940304324</v>
      </c>
      <c r="W722" s="256">
        <f t="shared" si="196"/>
        <v>0.99999999999999822</v>
      </c>
    </row>
    <row r="723" spans="2:23" s="216" customFormat="1" ht="25.5" hidden="1" outlineLevel="3">
      <c r="B723" s="255" t="s">
        <v>909</v>
      </c>
      <c r="C723" s="290" t="s">
        <v>235</v>
      </c>
      <c r="D723" s="227" t="s">
        <v>231</v>
      </c>
      <c r="E723" s="241">
        <v>16642305388</v>
      </c>
      <c r="F723" s="228">
        <f t="shared" si="208"/>
        <v>4.4581817293365446E-2</v>
      </c>
      <c r="G723" s="269">
        <f t="shared" si="203"/>
        <v>5.0280630863740053E-3</v>
      </c>
      <c r="H723" s="299">
        <v>45901</v>
      </c>
      <c r="I723" s="299">
        <v>46497</v>
      </c>
      <c r="J723" s="299">
        <v>45885</v>
      </c>
      <c r="K723" s="299">
        <v>46578</v>
      </c>
      <c r="L723" s="299">
        <v>45885</v>
      </c>
      <c r="M723" s="299">
        <v>46599</v>
      </c>
      <c r="N723" s="229">
        <f>[1]Нэгтгэл!$E$54</f>
        <v>0.9799389525213027</v>
      </c>
      <c r="O723" s="229">
        <f>[1]Нэгтгэл!$G$54</f>
        <v>0.9799389525213027</v>
      </c>
      <c r="P723" s="229">
        <f>[1]Нэгтгэл!$I$54</f>
        <v>0.72317710212433761</v>
      </c>
      <c r="Q723" s="336">
        <v>0.25717591519605598</v>
      </c>
      <c r="R723" s="336">
        <v>0.25717591519605598</v>
      </c>
      <c r="S723" s="336">
        <v>0.25717591519605554</v>
      </c>
      <c r="T723" s="256">
        <f t="shared" si="205"/>
        <v>0.26244075157372093</v>
      </c>
      <c r="U723" s="256">
        <f t="shared" si="206"/>
        <v>0.26244075157372093</v>
      </c>
      <c r="V723" s="256">
        <f t="shared" si="207"/>
        <v>0.35561954940304324</v>
      </c>
      <c r="W723" s="256">
        <f t="shared" si="196"/>
        <v>0.99999999999999822</v>
      </c>
    </row>
    <row r="724" spans="2:23" s="216" customFormat="1" ht="25.5" hidden="1" outlineLevel="3">
      <c r="B724" s="255" t="s">
        <v>910</v>
      </c>
      <c r="C724" s="290" t="s">
        <v>237</v>
      </c>
      <c r="D724" s="227" t="s">
        <v>231</v>
      </c>
      <c r="E724" s="241">
        <v>16642305388</v>
      </c>
      <c r="F724" s="228">
        <f t="shared" si="208"/>
        <v>4.4581817293365446E-2</v>
      </c>
      <c r="G724" s="269">
        <f t="shared" si="203"/>
        <v>5.0280630863740053E-3</v>
      </c>
      <c r="H724" s="299">
        <v>45901</v>
      </c>
      <c r="I724" s="299">
        <v>46497</v>
      </c>
      <c r="J724" s="299">
        <v>45885</v>
      </c>
      <c r="K724" s="299">
        <v>46578</v>
      </c>
      <c r="L724" s="299">
        <v>45885</v>
      </c>
      <c r="M724" s="299">
        <v>46599</v>
      </c>
      <c r="N724" s="229">
        <f>[1]Нэгтгэл!$E$76</f>
        <v>0.9799389525213027</v>
      </c>
      <c r="O724" s="229">
        <f>[1]Нэгтгэл!$G$76</f>
        <v>0.9799389525213027</v>
      </c>
      <c r="P724" s="229">
        <f>[1]Нэгтгэл!$I$76</f>
        <v>0.71919351890725669</v>
      </c>
      <c r="Q724" s="336">
        <v>0.25717591519605598</v>
      </c>
      <c r="R724" s="336">
        <v>0.25717591519605598</v>
      </c>
      <c r="S724" s="336">
        <v>0.25717591519605554</v>
      </c>
      <c r="T724" s="256">
        <f t="shared" si="205"/>
        <v>0.26244075157372093</v>
      </c>
      <c r="U724" s="256">
        <f t="shared" si="206"/>
        <v>0.26244075157372093</v>
      </c>
      <c r="V724" s="256">
        <f t="shared" si="207"/>
        <v>0.35758931140926975</v>
      </c>
      <c r="W724" s="256">
        <f t="shared" si="196"/>
        <v>0.99999999999999822</v>
      </c>
    </row>
    <row r="725" spans="2:23" s="216" customFormat="1" ht="25.5" hidden="1" outlineLevel="3">
      <c r="B725" s="255" t="s">
        <v>911</v>
      </c>
      <c r="C725" s="290" t="s">
        <v>239</v>
      </c>
      <c r="D725" s="227" t="s">
        <v>231</v>
      </c>
      <c r="E725" s="241">
        <v>16642305388</v>
      </c>
      <c r="F725" s="228">
        <f t="shared" si="208"/>
        <v>4.4581817293365446E-2</v>
      </c>
      <c r="G725" s="269">
        <f t="shared" si="203"/>
        <v>5.0280630863740053E-3</v>
      </c>
      <c r="H725" s="299">
        <v>45901</v>
      </c>
      <c r="I725" s="299">
        <v>46497</v>
      </c>
      <c r="J725" s="299">
        <v>45885</v>
      </c>
      <c r="K725" s="299">
        <v>46622</v>
      </c>
      <c r="L725" s="299">
        <v>45885</v>
      </c>
      <c r="M725" s="299">
        <v>46599</v>
      </c>
      <c r="N725" s="229">
        <f>[1]Нэгтгэл!$E$98</f>
        <v>0.9799389525213027</v>
      </c>
      <c r="O725" s="229">
        <f>[1]Нэгтгэл!$G$98</f>
        <v>0.9799389525213027</v>
      </c>
      <c r="P725" s="229">
        <f>[1]Нэгтгэл!$I$98</f>
        <v>0.70698145107753552</v>
      </c>
      <c r="Q725" s="336">
        <v>0.25717591519605598</v>
      </c>
      <c r="R725" s="336">
        <v>0.25717591519605598</v>
      </c>
      <c r="S725" s="336">
        <v>0.25717591519605554</v>
      </c>
      <c r="T725" s="256">
        <f t="shared" si="205"/>
        <v>0.26244075157372093</v>
      </c>
      <c r="U725" s="256">
        <f t="shared" si="206"/>
        <v>0.26244075157372093</v>
      </c>
      <c r="V725" s="256">
        <f t="shared" si="207"/>
        <v>0.36376614238476074</v>
      </c>
      <c r="W725" s="256">
        <f t="shared" si="196"/>
        <v>0.99999999999999822</v>
      </c>
    </row>
    <row r="726" spans="2:23" s="216" customFormat="1" ht="25.5" hidden="1" outlineLevel="3">
      <c r="B726" s="255" t="s">
        <v>912</v>
      </c>
      <c r="C726" s="290" t="s">
        <v>241</v>
      </c>
      <c r="D726" s="227" t="s">
        <v>231</v>
      </c>
      <c r="E726" s="241">
        <v>16642305388</v>
      </c>
      <c r="F726" s="228">
        <f t="shared" si="208"/>
        <v>4.4581817293365446E-2</v>
      </c>
      <c r="G726" s="269">
        <f t="shared" si="203"/>
        <v>5.0280630863740053E-3</v>
      </c>
      <c r="H726" s="299">
        <v>45884</v>
      </c>
      <c r="I726" s="299">
        <v>46334</v>
      </c>
      <c r="J726" s="299">
        <v>45885</v>
      </c>
      <c r="K726" s="299">
        <v>46622</v>
      </c>
      <c r="L726" s="299">
        <v>45885</v>
      </c>
      <c r="M726" s="299">
        <v>46599</v>
      </c>
      <c r="N726" s="229">
        <f>[1]Нэгтгэл!$E$120</f>
        <v>1</v>
      </c>
      <c r="O726" s="229">
        <f>[1]Нэгтгэл!$G$120</f>
        <v>1</v>
      </c>
      <c r="P726" s="229">
        <f>[1]Нэгтгэл!$I$120</f>
        <v>0.70339578983058637</v>
      </c>
      <c r="Q726" s="336">
        <v>0.25717591519605598</v>
      </c>
      <c r="R726" s="336">
        <v>0.25717591519605598</v>
      </c>
      <c r="S726" s="336">
        <v>0.25717591519605554</v>
      </c>
      <c r="T726" s="256">
        <f t="shared" si="205"/>
        <v>0.25717591519605554</v>
      </c>
      <c r="U726" s="256">
        <f t="shared" si="206"/>
        <v>0.25717591519605554</v>
      </c>
      <c r="V726" s="256">
        <f t="shared" si="207"/>
        <v>0.36562049263615387</v>
      </c>
      <c r="W726" s="256">
        <f t="shared" si="196"/>
        <v>0.99999999999999822</v>
      </c>
    </row>
    <row r="727" spans="2:23" s="216" customFormat="1" ht="25.5" hidden="1" outlineLevel="3">
      <c r="B727" s="255" t="s">
        <v>913</v>
      </c>
      <c r="C727" s="290" t="s">
        <v>243</v>
      </c>
      <c r="D727" s="227" t="s">
        <v>231</v>
      </c>
      <c r="E727" s="241">
        <v>16642305388</v>
      </c>
      <c r="F727" s="228">
        <f t="shared" si="208"/>
        <v>4.4581817293365446E-2</v>
      </c>
      <c r="G727" s="269">
        <f t="shared" si="203"/>
        <v>5.0280630863740053E-3</v>
      </c>
      <c r="H727" s="299">
        <v>45911</v>
      </c>
      <c r="I727" s="299">
        <v>46497</v>
      </c>
      <c r="J727" s="299">
        <v>46228</v>
      </c>
      <c r="K727" s="299">
        <v>46758</v>
      </c>
      <c r="L727" s="299">
        <v>46228</v>
      </c>
      <c r="M727" s="299">
        <v>46783</v>
      </c>
      <c r="N727" s="229">
        <f>[1]Нэгтгэл!$E$142</f>
        <v>0.9799389525213027</v>
      </c>
      <c r="O727" s="229">
        <f>[1]Нэгтгэл!$G$142</f>
        <v>0.75769016709376713</v>
      </c>
      <c r="P727" s="229">
        <f>[1]Нэгтгэл!$I$142</f>
        <v>0.41526732548115008</v>
      </c>
      <c r="Q727" s="336">
        <v>0.25717591519605598</v>
      </c>
      <c r="R727" s="336">
        <v>0.25717591519605598</v>
      </c>
      <c r="S727" s="336">
        <v>0.25717591519605554</v>
      </c>
      <c r="T727" s="256">
        <f t="shared" si="205"/>
        <v>0.26244075157372093</v>
      </c>
      <c r="U727" s="256">
        <f t="shared" si="206"/>
        <v>0.33942094851579224</v>
      </c>
      <c r="V727" s="256">
        <f t="shared" si="207"/>
        <v>0.6193020722207756</v>
      </c>
      <c r="W727" s="256">
        <f t="shared" si="196"/>
        <v>0.99999999999999822</v>
      </c>
    </row>
    <row r="728" spans="2:23" s="216" customFormat="1" ht="25.5" hidden="1" outlineLevel="3">
      <c r="B728" s="255" t="s">
        <v>914</v>
      </c>
      <c r="C728" s="290" t="s">
        <v>245</v>
      </c>
      <c r="D728" s="227" t="s">
        <v>231</v>
      </c>
      <c r="E728" s="241">
        <v>16642305388</v>
      </c>
      <c r="F728" s="228">
        <f t="shared" si="208"/>
        <v>4.4581817293365446E-2</v>
      </c>
      <c r="G728" s="269">
        <f t="shared" si="203"/>
        <v>5.0280630863740053E-3</v>
      </c>
      <c r="H728" s="299">
        <v>45890</v>
      </c>
      <c r="I728" s="299">
        <v>46334</v>
      </c>
      <c r="J728" s="299">
        <v>46228</v>
      </c>
      <c r="K728" s="299">
        <v>46758</v>
      </c>
      <c r="L728" s="299">
        <v>46228</v>
      </c>
      <c r="M728" s="299">
        <v>46783</v>
      </c>
      <c r="N728" s="229">
        <f>[1]Нэгтгэл!$E$164</f>
        <v>1</v>
      </c>
      <c r="O728" s="229">
        <f>[1]Нэгтгэл!$G$164</f>
        <v>0.5269310503553809</v>
      </c>
      <c r="P728" s="229">
        <f>[1]Нэгтгэл!$I$164</f>
        <v>0.41526732548115008</v>
      </c>
      <c r="Q728" s="336">
        <v>0.25717591519605598</v>
      </c>
      <c r="R728" s="336">
        <v>0.25717591519605598</v>
      </c>
      <c r="S728" s="336">
        <v>0.25717591519605554</v>
      </c>
      <c r="T728" s="256">
        <f t="shared" si="205"/>
        <v>0.25717591519605554</v>
      </c>
      <c r="U728" s="256">
        <f t="shared" si="206"/>
        <v>0.48806369452437282</v>
      </c>
      <c r="V728" s="256">
        <f t="shared" si="207"/>
        <v>0.6193020722207756</v>
      </c>
      <c r="W728" s="256">
        <f t="shared" si="196"/>
        <v>0.99999999999999822</v>
      </c>
    </row>
    <row r="729" spans="2:23" s="216" customFormat="1" ht="25.5" hidden="1" outlineLevel="3">
      <c r="B729" s="255" t="s">
        <v>915</v>
      </c>
      <c r="C729" s="290" t="s">
        <v>247</v>
      </c>
      <c r="D729" s="227" t="s">
        <v>231</v>
      </c>
      <c r="E729" s="241">
        <v>16642305388</v>
      </c>
      <c r="F729" s="228">
        <f t="shared" si="208"/>
        <v>4.4581817293365446E-2</v>
      </c>
      <c r="G729" s="269">
        <f t="shared" si="203"/>
        <v>5.0280630863740053E-3</v>
      </c>
      <c r="H729" s="299">
        <v>45890</v>
      </c>
      <c r="I729" s="299">
        <v>46334</v>
      </c>
      <c r="J729" s="299">
        <v>45885</v>
      </c>
      <c r="K729" s="299">
        <v>46577</v>
      </c>
      <c r="L729" s="299">
        <v>45885</v>
      </c>
      <c r="M729" s="299">
        <v>46599</v>
      </c>
      <c r="N729" s="229">
        <f>[1]Нэгтгэл!$E$186</f>
        <v>1</v>
      </c>
      <c r="O729" s="229">
        <f>[1]Нэгтгэл!$G$186</f>
        <v>1</v>
      </c>
      <c r="P729" s="229">
        <f>[1]Нэгтгэл!$I$186</f>
        <v>0.74180660496582518</v>
      </c>
      <c r="Q729" s="336">
        <v>0.25717591519605598</v>
      </c>
      <c r="R729" s="336">
        <v>0.25717591519605598</v>
      </c>
      <c r="S729" s="336">
        <v>0.25717591519605554</v>
      </c>
      <c r="T729" s="256">
        <f t="shared" si="205"/>
        <v>0.25717591519605554</v>
      </c>
      <c r="U729" s="256">
        <f t="shared" si="206"/>
        <v>0.25717591519605554</v>
      </c>
      <c r="V729" s="256">
        <f t="shared" si="207"/>
        <v>0.34668862945471285</v>
      </c>
      <c r="W729" s="256">
        <f t="shared" si="196"/>
        <v>0.99999999999999822</v>
      </c>
    </row>
    <row r="730" spans="2:23" s="216" customFormat="1" ht="25.5" hidden="1" outlineLevel="3">
      <c r="B730" s="255" t="s">
        <v>916</v>
      </c>
      <c r="C730" s="290" t="s">
        <v>249</v>
      </c>
      <c r="D730" s="227" t="s">
        <v>231</v>
      </c>
      <c r="E730" s="241">
        <v>16642305388</v>
      </c>
      <c r="F730" s="228">
        <f t="shared" si="208"/>
        <v>4.4581817293365446E-2</v>
      </c>
      <c r="G730" s="269">
        <f t="shared" si="203"/>
        <v>5.0280630863740053E-3</v>
      </c>
      <c r="H730" s="299">
        <v>45911</v>
      </c>
      <c r="I730" s="299">
        <v>46497</v>
      </c>
      <c r="J730" s="299">
        <v>45885</v>
      </c>
      <c r="K730" s="299">
        <v>46577</v>
      </c>
      <c r="L730" s="299">
        <v>45885</v>
      </c>
      <c r="M730" s="299">
        <v>46599</v>
      </c>
      <c r="N730" s="229">
        <f>[1]Нэгтгэл!$E$208</f>
        <v>0.9799389525213027</v>
      </c>
      <c r="O730" s="229">
        <f>[1]Нэгтгэл!$G$208</f>
        <v>0.9799389525213027</v>
      </c>
      <c r="P730" s="229">
        <f>[1]Нэгтгэл!$I$208</f>
        <v>0.74180660496582518</v>
      </c>
      <c r="Q730" s="336">
        <v>0.25717591519605598</v>
      </c>
      <c r="R730" s="336">
        <v>0.25717591519605598</v>
      </c>
      <c r="S730" s="336">
        <v>0.25717591519605554</v>
      </c>
      <c r="T730" s="256">
        <f t="shared" si="205"/>
        <v>0.26244075157372093</v>
      </c>
      <c r="U730" s="256">
        <f t="shared" si="206"/>
        <v>0.26244075157372093</v>
      </c>
      <c r="V730" s="256">
        <f t="shared" si="207"/>
        <v>0.34668862945471285</v>
      </c>
      <c r="W730" s="256">
        <f t="shared" si="196"/>
        <v>0.99999999999999822</v>
      </c>
    </row>
    <row r="731" spans="2:23" s="216" customFormat="1" ht="25.5" hidden="1" outlineLevel="3">
      <c r="B731" s="255" t="s">
        <v>917</v>
      </c>
      <c r="C731" s="290" t="s">
        <v>251</v>
      </c>
      <c r="D731" s="227" t="s">
        <v>231</v>
      </c>
      <c r="E731" s="241">
        <v>16642305388</v>
      </c>
      <c r="F731" s="228">
        <f t="shared" si="208"/>
        <v>4.4581817293365446E-2</v>
      </c>
      <c r="G731" s="269">
        <f t="shared" si="203"/>
        <v>5.0280630863740053E-3</v>
      </c>
      <c r="H731" s="299">
        <v>45890</v>
      </c>
      <c r="I731" s="299">
        <v>46334</v>
      </c>
      <c r="J731" s="299">
        <v>45885</v>
      </c>
      <c r="K731" s="299">
        <v>46587</v>
      </c>
      <c r="L731" s="299">
        <v>45885</v>
      </c>
      <c r="M731" s="299">
        <v>46599</v>
      </c>
      <c r="N731" s="229">
        <f>[1]Нэгтгэл!$E$230</f>
        <v>1</v>
      </c>
      <c r="O731" s="229">
        <f>[1]Нэгтгэл!$G$230</f>
        <v>1</v>
      </c>
      <c r="P731" s="229">
        <f>[1]Нэгтгэл!$I$230</f>
        <v>0.73021669436171366</v>
      </c>
      <c r="Q731" s="336">
        <v>0.25717591519605598</v>
      </c>
      <c r="R731" s="336">
        <v>0.25717591519605598</v>
      </c>
      <c r="S731" s="336">
        <v>0.25717591519605554</v>
      </c>
      <c r="T731" s="256">
        <f t="shared" si="205"/>
        <v>0.25717591519605554</v>
      </c>
      <c r="U731" s="256">
        <f t="shared" si="206"/>
        <v>0.25717591519605554</v>
      </c>
      <c r="V731" s="256">
        <f t="shared" si="207"/>
        <v>0.35219122923621238</v>
      </c>
      <c r="W731" s="256">
        <f t="shared" si="196"/>
        <v>0.99999999999999822</v>
      </c>
    </row>
    <row r="732" spans="2:23" s="216" customFormat="1" ht="25.5" hidden="1" outlineLevel="3">
      <c r="B732" s="255" t="s">
        <v>918</v>
      </c>
      <c r="C732" s="290" t="s">
        <v>253</v>
      </c>
      <c r="D732" s="227" t="s">
        <v>231</v>
      </c>
      <c r="E732" s="241">
        <v>16642305388</v>
      </c>
      <c r="F732" s="228">
        <f t="shared" si="208"/>
        <v>4.4581817293365446E-2</v>
      </c>
      <c r="G732" s="269">
        <f t="shared" si="203"/>
        <v>5.0280630863740053E-3</v>
      </c>
      <c r="H732" s="299">
        <v>45911</v>
      </c>
      <c r="I732" s="299">
        <v>46497</v>
      </c>
      <c r="J732" s="299">
        <v>45885</v>
      </c>
      <c r="K732" s="299">
        <v>46587</v>
      </c>
      <c r="L732" s="299">
        <v>45885</v>
      </c>
      <c r="M732" s="299">
        <v>46599</v>
      </c>
      <c r="N732" s="229">
        <f>[1]Нэгтгэл!$E$252</f>
        <v>0.9799389525213027</v>
      </c>
      <c r="O732" s="229">
        <f>[1]Нэгтгэл!$G$252</f>
        <v>0.9799389525213027</v>
      </c>
      <c r="P732" s="229">
        <f>[1]Нэгтгэл!$I$252</f>
        <v>0.73021669436171366</v>
      </c>
      <c r="Q732" s="336">
        <v>0.25717591519605598</v>
      </c>
      <c r="R732" s="336">
        <v>0.25717591519605598</v>
      </c>
      <c r="S732" s="336">
        <v>0.25717591519605554</v>
      </c>
      <c r="T732" s="256">
        <f t="shared" si="205"/>
        <v>0.26244075157372093</v>
      </c>
      <c r="U732" s="256">
        <f t="shared" si="206"/>
        <v>0.26244075157372093</v>
      </c>
      <c r="V732" s="256">
        <f t="shared" si="207"/>
        <v>0.35219122923621238</v>
      </c>
      <c r="W732" s="256">
        <f t="shared" si="196"/>
        <v>0.99999999999999822</v>
      </c>
    </row>
    <row r="733" spans="2:23" s="216" customFormat="1" ht="25.5" hidden="1" outlineLevel="3">
      <c r="B733" s="255" t="s">
        <v>919</v>
      </c>
      <c r="C733" s="290" t="s">
        <v>255</v>
      </c>
      <c r="D733" s="227" t="s">
        <v>256</v>
      </c>
      <c r="E733" s="241">
        <v>21698797963</v>
      </c>
      <c r="F733" s="228">
        <f t="shared" si="208"/>
        <v>5.8127274059616978E-2</v>
      </c>
      <c r="G733" s="269">
        <f t="shared" si="203"/>
        <v>6.555757902094313E-3</v>
      </c>
      <c r="H733" s="299">
        <v>45911</v>
      </c>
      <c r="I733" s="299">
        <v>46501</v>
      </c>
      <c r="J733" s="299">
        <v>45885</v>
      </c>
      <c r="K733" s="299">
        <v>46548</v>
      </c>
      <c r="L733" s="299">
        <v>45885</v>
      </c>
      <c r="M733" s="299">
        <v>46599</v>
      </c>
      <c r="N733" s="229">
        <f>[1]Нэгтгэл!$E$274</f>
        <v>0.91344568825923989</v>
      </c>
      <c r="O733" s="229">
        <f>[1]Нэгтгэл!$G$274</f>
        <v>0.91344568825923989</v>
      </c>
      <c r="P733" s="229">
        <f>[1]Нэгтгэл!$I$274</f>
        <v>0.86426124578348662</v>
      </c>
      <c r="Q733" s="336">
        <v>0.25717591519605598</v>
      </c>
      <c r="R733" s="336">
        <v>0.25717591519605598</v>
      </c>
      <c r="S733" s="336">
        <v>0.25717591519605554</v>
      </c>
      <c r="T733" s="256">
        <f t="shared" si="205"/>
        <v>0.28154483457703716</v>
      </c>
      <c r="U733" s="256">
        <f t="shared" si="206"/>
        <v>0.28154483457703716</v>
      </c>
      <c r="V733" s="256">
        <f t="shared" si="207"/>
        <v>0.29756733447294115</v>
      </c>
      <c r="W733" s="256">
        <f t="shared" si="196"/>
        <v>0.99999999999999822</v>
      </c>
    </row>
    <row r="734" spans="2:23" s="216" customFormat="1" ht="25.5" hidden="1" outlineLevel="3">
      <c r="B734" s="255" t="s">
        <v>920</v>
      </c>
      <c r="C734" s="290" t="s">
        <v>258</v>
      </c>
      <c r="D734" s="227" t="s">
        <v>256</v>
      </c>
      <c r="E734" s="241">
        <v>21698797963</v>
      </c>
      <c r="F734" s="228">
        <f t="shared" si="208"/>
        <v>5.8127274059616978E-2</v>
      </c>
      <c r="G734" s="269">
        <f t="shared" si="203"/>
        <v>6.555757902094313E-3</v>
      </c>
      <c r="H734" s="299">
        <v>45890</v>
      </c>
      <c r="I734" s="299">
        <v>46365</v>
      </c>
      <c r="J734" s="299">
        <v>45885</v>
      </c>
      <c r="K734" s="299">
        <v>46548</v>
      </c>
      <c r="L734" s="299">
        <v>45885</v>
      </c>
      <c r="M734" s="299">
        <v>46599</v>
      </c>
      <c r="N734" s="229">
        <f>[1]Нэгтгэл!$E$296</f>
        <v>1</v>
      </c>
      <c r="O734" s="229">
        <f>[1]Нэгтгэл!$G$296</f>
        <v>1</v>
      </c>
      <c r="P734" s="229">
        <f>[1]Нэгтгэл!$I$296</f>
        <v>0.90227270762404965</v>
      </c>
      <c r="Q734" s="336">
        <v>0.25717591519605598</v>
      </c>
      <c r="R734" s="336">
        <v>0.25717591519605598</v>
      </c>
      <c r="S734" s="336">
        <v>0.25717591519605554</v>
      </c>
      <c r="T734" s="256">
        <f t="shared" si="205"/>
        <v>0.25717591519605554</v>
      </c>
      <c r="U734" s="256">
        <f t="shared" si="206"/>
        <v>0.25717591519605554</v>
      </c>
      <c r="V734" s="256">
        <f t="shared" si="207"/>
        <v>0.28503124723042506</v>
      </c>
      <c r="W734" s="256">
        <f t="shared" si="196"/>
        <v>0.99999999999999822</v>
      </c>
    </row>
    <row r="735" spans="2:23" s="216" customFormat="1" ht="25.5" hidden="1" outlineLevel="3">
      <c r="B735" s="255" t="s">
        <v>921</v>
      </c>
      <c r="C735" s="290" t="s">
        <v>260</v>
      </c>
      <c r="D735" s="227" t="s">
        <v>256</v>
      </c>
      <c r="E735" s="241">
        <v>21698797963</v>
      </c>
      <c r="F735" s="228">
        <f t="shared" si="208"/>
        <v>5.8127274059616978E-2</v>
      </c>
      <c r="G735" s="269">
        <f t="shared" si="203"/>
        <v>6.555757902094313E-3</v>
      </c>
      <c r="H735" s="299">
        <v>45911</v>
      </c>
      <c r="I735" s="299">
        <v>46501</v>
      </c>
      <c r="J735" s="299">
        <v>46174</v>
      </c>
      <c r="K735" s="299">
        <v>46758</v>
      </c>
      <c r="L735" s="299">
        <v>46174</v>
      </c>
      <c r="M735" s="299">
        <v>46783</v>
      </c>
      <c r="N735" s="229">
        <f>[1]Нэгтгэл!$E$318</f>
        <v>0.91344568825923989</v>
      </c>
      <c r="O735" s="229">
        <f>[1]Нэгтгэл!$G$318</f>
        <v>0.77445210232281558</v>
      </c>
      <c r="P735" s="229">
        <f>[1]Нэгтгэл!$I$318</f>
        <v>0.41267318560972394</v>
      </c>
      <c r="Q735" s="336">
        <v>0.25717591519605598</v>
      </c>
      <c r="R735" s="336">
        <v>0.25717591519605598</v>
      </c>
      <c r="S735" s="336">
        <v>0.25717591519605554</v>
      </c>
      <c r="T735" s="256">
        <f t="shared" si="205"/>
        <v>0.28154483457703716</v>
      </c>
      <c r="U735" s="256">
        <f t="shared" si="206"/>
        <v>0.33207465564972627</v>
      </c>
      <c r="V735" s="256">
        <f t="shared" si="207"/>
        <v>0.62319511944077144</v>
      </c>
      <c r="W735" s="256">
        <f t="shared" si="196"/>
        <v>0.99999999999999822</v>
      </c>
    </row>
    <row r="736" spans="2:23" s="216" customFormat="1" ht="25.5" hidden="1" outlineLevel="3">
      <c r="B736" s="255" t="s">
        <v>922</v>
      </c>
      <c r="C736" s="290" t="s">
        <v>262</v>
      </c>
      <c r="D736" s="227" t="s">
        <v>256</v>
      </c>
      <c r="E736" s="241">
        <v>21698797963</v>
      </c>
      <c r="F736" s="228">
        <f t="shared" si="208"/>
        <v>5.8127274059616978E-2</v>
      </c>
      <c r="G736" s="269">
        <f t="shared" si="203"/>
        <v>6.555757902094313E-3</v>
      </c>
      <c r="H736" s="299">
        <v>45890</v>
      </c>
      <c r="I736" s="299">
        <v>46365</v>
      </c>
      <c r="J736" s="299">
        <v>45885</v>
      </c>
      <c r="K736" s="299">
        <v>46548</v>
      </c>
      <c r="L736" s="299">
        <v>45885</v>
      </c>
      <c r="M736" s="299">
        <v>46599</v>
      </c>
      <c r="N736" s="229">
        <f>[1]Нэгтгэл!$E$340</f>
        <v>1</v>
      </c>
      <c r="O736" s="229">
        <f>[1]Нэгтгэл!$G$340</f>
        <v>1</v>
      </c>
      <c r="P736" s="229">
        <f>[1]Нэгтгэл!$I$340</f>
        <v>0.90227270762404965</v>
      </c>
      <c r="Q736" s="336">
        <v>0.25717591519605598</v>
      </c>
      <c r="R736" s="336">
        <v>0.25717591519605598</v>
      </c>
      <c r="S736" s="336">
        <v>0.25717591519605554</v>
      </c>
      <c r="T736" s="256">
        <f t="shared" si="205"/>
        <v>0.25717591519605554</v>
      </c>
      <c r="U736" s="256">
        <f t="shared" si="206"/>
        <v>0.25717591519605554</v>
      </c>
      <c r="V736" s="256">
        <f t="shared" si="207"/>
        <v>0.28503124723042506</v>
      </c>
      <c r="W736" s="256">
        <f t="shared" si="196"/>
        <v>0.99999999999999822</v>
      </c>
    </row>
    <row r="737" spans="2:23" s="216" customFormat="1" ht="25.5" hidden="1" outlineLevel="3">
      <c r="B737" s="255" t="s">
        <v>923</v>
      </c>
      <c r="C737" s="290" t="s">
        <v>264</v>
      </c>
      <c r="D737" s="227" t="s">
        <v>256</v>
      </c>
      <c r="E737" s="241">
        <v>21698797963</v>
      </c>
      <c r="F737" s="228">
        <f t="shared" si="208"/>
        <v>5.8127274059616978E-2</v>
      </c>
      <c r="G737" s="269">
        <f t="shared" si="203"/>
        <v>6.555757902094313E-3</v>
      </c>
      <c r="H737" s="299">
        <v>45890</v>
      </c>
      <c r="I737" s="299">
        <v>46365</v>
      </c>
      <c r="J737" s="299">
        <v>45885</v>
      </c>
      <c r="K737" s="299">
        <v>46587</v>
      </c>
      <c r="L737" s="299">
        <v>45885</v>
      </c>
      <c r="M737" s="299">
        <v>46599</v>
      </c>
      <c r="N737" s="229">
        <f>[1]Нэгтгэл!$E$362</f>
        <v>1</v>
      </c>
      <c r="O737" s="229">
        <f>[1]Нэгтгэл!$G$362</f>
        <v>1</v>
      </c>
      <c r="P737" s="229">
        <f>[1]Нэгтгэл!$I$362</f>
        <v>0.76399372369137475</v>
      </c>
      <c r="Q737" s="336">
        <v>0.25717591519605598</v>
      </c>
      <c r="R737" s="336">
        <v>0.25717591519605598</v>
      </c>
      <c r="S737" s="336">
        <v>0.25717591519605554</v>
      </c>
      <c r="T737" s="256">
        <f t="shared" si="205"/>
        <v>0.25717591519605554</v>
      </c>
      <c r="U737" s="256">
        <f t="shared" si="206"/>
        <v>0.25717591519605554</v>
      </c>
      <c r="V737" s="256">
        <f t="shared" si="207"/>
        <v>0.33662045540565871</v>
      </c>
      <c r="W737" s="256">
        <f t="shared" si="196"/>
        <v>0.99999999999999822</v>
      </c>
    </row>
    <row r="738" spans="2:23" s="216" customFormat="1" ht="25.5" hidden="1" outlineLevel="3">
      <c r="B738" s="255" t="s">
        <v>924</v>
      </c>
      <c r="C738" s="290" t="s">
        <v>266</v>
      </c>
      <c r="D738" s="227" t="s">
        <v>256</v>
      </c>
      <c r="E738" s="241">
        <v>21698797963</v>
      </c>
      <c r="F738" s="228">
        <f t="shared" si="208"/>
        <v>5.8127274059616978E-2</v>
      </c>
      <c r="G738" s="269">
        <f t="shared" si="203"/>
        <v>6.555757902094313E-3</v>
      </c>
      <c r="H738" s="299">
        <v>45911</v>
      </c>
      <c r="I738" s="299">
        <v>46501</v>
      </c>
      <c r="J738" s="299">
        <v>45885</v>
      </c>
      <c r="K738" s="299">
        <v>46587</v>
      </c>
      <c r="L738" s="299">
        <v>45885</v>
      </c>
      <c r="M738" s="299">
        <v>46599</v>
      </c>
      <c r="N738" s="229">
        <f>[1]Нэгтгэл!$E$384</f>
        <v>0.91344568825923989</v>
      </c>
      <c r="O738" s="229">
        <f>[1]Нэгтгэл!$G$384</f>
        <v>0.91344568825923989</v>
      </c>
      <c r="P738" s="229">
        <f>[1]Нэгтгэл!$I$384</f>
        <v>0.76399372369137475</v>
      </c>
      <c r="Q738" s="336">
        <v>0.25717591519605598</v>
      </c>
      <c r="R738" s="336">
        <v>0.25717591519605598</v>
      </c>
      <c r="S738" s="336">
        <v>0.25717591519605554</v>
      </c>
      <c r="T738" s="256">
        <f t="shared" si="205"/>
        <v>0.28154483457703716</v>
      </c>
      <c r="U738" s="256">
        <f t="shared" si="206"/>
        <v>0.28154483457703716</v>
      </c>
      <c r="V738" s="256">
        <f t="shared" si="207"/>
        <v>0.33662045540565871</v>
      </c>
      <c r="W738" s="256">
        <f t="shared" si="196"/>
        <v>0.99999999999999822</v>
      </c>
    </row>
    <row r="739" spans="2:23" s="216" customFormat="1" ht="25.5" hidden="1" outlineLevel="3">
      <c r="B739" s="255" t="s">
        <v>925</v>
      </c>
      <c r="C739" s="290" t="s">
        <v>268</v>
      </c>
      <c r="D739" s="227" t="s">
        <v>256</v>
      </c>
      <c r="E739" s="241">
        <v>21698797963</v>
      </c>
      <c r="F739" s="228">
        <f t="shared" si="208"/>
        <v>5.8127274059616978E-2</v>
      </c>
      <c r="G739" s="269">
        <f t="shared" si="203"/>
        <v>6.555757902094313E-3</v>
      </c>
      <c r="H739" s="299">
        <v>45890</v>
      </c>
      <c r="I739" s="299">
        <v>46365</v>
      </c>
      <c r="J739" s="299">
        <v>45885</v>
      </c>
      <c r="K739" s="299">
        <v>46599</v>
      </c>
      <c r="L739" s="299">
        <v>45885</v>
      </c>
      <c r="M739" s="299">
        <v>46599</v>
      </c>
      <c r="N739" s="229">
        <f>[1]Нэгтгэл!$E$406</f>
        <v>1</v>
      </c>
      <c r="O739" s="229">
        <f>[1]Нэгтгэл!$G$406</f>
        <v>1</v>
      </c>
      <c r="P739" s="229">
        <f>[1]Нэгтгэл!$I$406</f>
        <v>0.76853899528783909</v>
      </c>
      <c r="Q739" s="336">
        <v>0.25717591519605598</v>
      </c>
      <c r="R739" s="336">
        <v>0.25717591519605598</v>
      </c>
      <c r="S739" s="336">
        <v>0.25717591519605554</v>
      </c>
      <c r="T739" s="256">
        <f t="shared" si="205"/>
        <v>0.25717591519605554</v>
      </c>
      <c r="U739" s="256">
        <f t="shared" si="206"/>
        <v>0.25717591519605554</v>
      </c>
      <c r="V739" s="256">
        <f t="shared" si="207"/>
        <v>0.33462962422581571</v>
      </c>
      <c r="W739" s="256">
        <f t="shared" si="196"/>
        <v>0.99999999999999822</v>
      </c>
    </row>
    <row r="740" spans="2:23" s="216" customFormat="1" ht="25.5" hidden="1" outlineLevel="3">
      <c r="B740" s="255" t="s">
        <v>926</v>
      </c>
      <c r="C740" s="290" t="s">
        <v>270</v>
      </c>
      <c r="D740" s="227" t="s">
        <v>256</v>
      </c>
      <c r="E740" s="241">
        <v>21698797964</v>
      </c>
      <c r="F740" s="228">
        <f t="shared" si="208"/>
        <v>5.8127274062295807E-2</v>
      </c>
      <c r="G740" s="269">
        <f t="shared" si="203"/>
        <v>6.5557579023964386E-3</v>
      </c>
      <c r="H740" s="299">
        <v>45911</v>
      </c>
      <c r="I740" s="299">
        <v>46501</v>
      </c>
      <c r="J740" s="299">
        <v>45885</v>
      </c>
      <c r="K740" s="299">
        <v>46599</v>
      </c>
      <c r="L740" s="299">
        <v>45885</v>
      </c>
      <c r="M740" s="299">
        <v>46599</v>
      </c>
      <c r="N740" s="229">
        <f>[1]Нэгтгэл!$E$428</f>
        <v>0.8790065790670496</v>
      </c>
      <c r="O740" s="229">
        <f>[1]Нэгтгэл!$G$428</f>
        <v>0.8790065790670496</v>
      </c>
      <c r="P740" s="229">
        <f>[1]Нэгтгэл!$I$428</f>
        <v>0.76853899528783909</v>
      </c>
      <c r="Q740" s="336">
        <v>0.25717591519605598</v>
      </c>
      <c r="R740" s="336">
        <v>0.25717591519605598</v>
      </c>
      <c r="S740" s="336">
        <v>0.25717591519605554</v>
      </c>
      <c r="T740" s="256">
        <f t="shared" si="205"/>
        <v>0.29257564314139051</v>
      </c>
      <c r="U740" s="256">
        <f t="shared" si="206"/>
        <v>0.29257564314139051</v>
      </c>
      <c r="V740" s="256">
        <f t="shared" si="207"/>
        <v>0.33462962422581571</v>
      </c>
      <c r="W740" s="256">
        <f t="shared" si="196"/>
        <v>0.99999999999999822</v>
      </c>
    </row>
    <row r="741" spans="2:23" s="216" customFormat="1" ht="25.5" outlineLevel="2" collapsed="1">
      <c r="B741" s="291" t="s">
        <v>927</v>
      </c>
      <c r="C741" s="292" t="s">
        <v>35</v>
      </c>
      <c r="D741" s="234" t="s">
        <v>33</v>
      </c>
      <c r="E741" s="240">
        <f>SUM(E742:E767)</f>
        <v>448685799322</v>
      </c>
      <c r="F741" s="223">
        <f t="shared" si="202"/>
        <v>0.23125330456717236</v>
      </c>
      <c r="G741" s="293">
        <f t="shared" si="203"/>
        <v>0.1355593742786306</v>
      </c>
      <c r="H741" s="298">
        <v>45901</v>
      </c>
      <c r="I741" s="298">
        <v>46507</v>
      </c>
      <c r="J741" s="298">
        <v>45926</v>
      </c>
      <c r="K741" s="298">
        <v>46731</v>
      </c>
      <c r="L741" s="298">
        <f>MIN(L742:L767)</f>
        <v>45926</v>
      </c>
      <c r="M741" s="298">
        <f>MAX(M742:M767)</f>
        <v>46660</v>
      </c>
      <c r="N741" s="224">
        <f>SUMPRODUCT($F742:$F767,N742:N767)</f>
        <v>0.84892168642795285</v>
      </c>
      <c r="O741" s="224">
        <f t="shared" ref="O741:P741" si="209">SUMPRODUCT($F742:$F767,O742:O767)</f>
        <v>0.83670001626156831</v>
      </c>
      <c r="P741" s="224">
        <f t="shared" si="209"/>
        <v>0.75199689723271845</v>
      </c>
      <c r="Q741" s="270">
        <f>+S741+0.17%</f>
        <v>0.317</v>
      </c>
      <c r="R741" s="270">
        <v>0.30909999999999999</v>
      </c>
      <c r="S741" s="270">
        <v>0.31530000000000002</v>
      </c>
      <c r="T741" s="254">
        <f t="shared" si="198"/>
        <v>0.37141235174083309</v>
      </c>
      <c r="U741" s="254">
        <f t="shared" si="199"/>
        <v>0.37683756886820863</v>
      </c>
      <c r="V741" s="254">
        <f t="shared" si="200"/>
        <v>0.41928364486645614</v>
      </c>
      <c r="W741" s="254">
        <f t="shared" si="196"/>
        <v>1.0200582335813653</v>
      </c>
    </row>
    <row r="742" spans="2:23" s="216" customFormat="1" ht="25.5" hidden="1" outlineLevel="3">
      <c r="B742" s="255" t="s">
        <v>907</v>
      </c>
      <c r="C742" s="290" t="s">
        <v>230</v>
      </c>
      <c r="D742" s="227" t="s">
        <v>231</v>
      </c>
      <c r="E742" s="241">
        <v>16512532797</v>
      </c>
      <c r="F742" s="228">
        <f>E742/$E$741</f>
        <v>3.6801995565609057E-2</v>
      </c>
      <c r="G742" s="269">
        <f t="shared" si="203"/>
        <v>4.9888554910789027E-3</v>
      </c>
      <c r="H742" s="299">
        <v>45910</v>
      </c>
      <c r="I742" s="299">
        <v>46477</v>
      </c>
      <c r="J742" s="299">
        <v>45926</v>
      </c>
      <c r="K742" s="299">
        <v>46554</v>
      </c>
      <c r="L742" s="299">
        <v>45926</v>
      </c>
      <c r="M742" s="299">
        <v>46599</v>
      </c>
      <c r="N742" s="229">
        <f>[1]Нэгтгэл!$E$457</f>
        <v>0.86255037657827538</v>
      </c>
      <c r="O742" s="229">
        <f>[1]Нэгтгэл!$G$457</f>
        <v>0.86255037657827538</v>
      </c>
      <c r="P742" s="229">
        <f>[1]Нэгтгэл!$I$457</f>
        <v>0.86176698489690284</v>
      </c>
      <c r="Q742" s="272">
        <v>0.35429462011298402</v>
      </c>
      <c r="R742" s="272">
        <v>0.35429462011298402</v>
      </c>
      <c r="S742" s="272">
        <v>0.35429462011298424</v>
      </c>
      <c r="T742" s="256">
        <f t="shared" si="198"/>
        <v>0.41075238007369003</v>
      </c>
      <c r="U742" s="256">
        <f t="shared" si="199"/>
        <v>0.41075238007369003</v>
      </c>
      <c r="V742" s="256">
        <f t="shared" si="200"/>
        <v>0.41112577567051972</v>
      </c>
      <c r="W742" s="256">
        <f t="shared" si="196"/>
        <v>1.0000000000000007</v>
      </c>
    </row>
    <row r="743" spans="2:23" s="216" customFormat="1" ht="25.5" hidden="1" outlineLevel="3">
      <c r="B743" s="255" t="s">
        <v>908</v>
      </c>
      <c r="C743" s="290" t="s">
        <v>233</v>
      </c>
      <c r="D743" s="227" t="s">
        <v>231</v>
      </c>
      <c r="E743" s="241">
        <v>16512532797</v>
      </c>
      <c r="F743" s="228">
        <f t="shared" ref="F743:F767" si="210">E743/$E$741</f>
        <v>3.6801995565609057E-2</v>
      </c>
      <c r="G743" s="269">
        <f t="shared" si="203"/>
        <v>4.9888554910789027E-3</v>
      </c>
      <c r="H743" s="299">
        <v>45901</v>
      </c>
      <c r="I743" s="299">
        <v>46483</v>
      </c>
      <c r="J743" s="299">
        <v>45926</v>
      </c>
      <c r="K743" s="299">
        <v>46585</v>
      </c>
      <c r="L743" s="299">
        <v>45926</v>
      </c>
      <c r="M743" s="299">
        <v>46660</v>
      </c>
      <c r="N743" s="229">
        <f>[1]Нэгтгэл!$E$479</f>
        <v>0.85338706835016032</v>
      </c>
      <c r="O743" s="229">
        <f>[1]Нэгтгэл!$G$479</f>
        <v>0.85338706835016032</v>
      </c>
      <c r="P743" s="229">
        <f>[1]Нэгтгэл!$I$479</f>
        <v>0.81074289968853719</v>
      </c>
      <c r="Q743" s="272">
        <v>0.35429462011298402</v>
      </c>
      <c r="R743" s="272">
        <v>0.35429462011298402</v>
      </c>
      <c r="S743" s="272">
        <v>0.35429462011298424</v>
      </c>
      <c r="T743" s="256">
        <f t="shared" si="198"/>
        <v>0.41516286483920645</v>
      </c>
      <c r="U743" s="256">
        <f t="shared" si="199"/>
        <v>0.41516286483920645</v>
      </c>
      <c r="V743" s="256">
        <f t="shared" si="200"/>
        <v>0.4369999666344207</v>
      </c>
      <c r="W743" s="256">
        <f t="shared" si="196"/>
        <v>1.0000000000000007</v>
      </c>
    </row>
    <row r="744" spans="2:23" s="216" customFormat="1" ht="25.5" hidden="1" outlineLevel="3">
      <c r="B744" s="255" t="s">
        <v>909</v>
      </c>
      <c r="C744" s="290" t="s">
        <v>235</v>
      </c>
      <c r="D744" s="227" t="s">
        <v>231</v>
      </c>
      <c r="E744" s="241">
        <v>16512532797</v>
      </c>
      <c r="F744" s="228">
        <f t="shared" si="210"/>
        <v>3.6801995565609057E-2</v>
      </c>
      <c r="G744" s="269">
        <f t="shared" si="203"/>
        <v>4.9888554910789027E-3</v>
      </c>
      <c r="H744" s="299">
        <v>45905</v>
      </c>
      <c r="I744" s="299">
        <v>46477</v>
      </c>
      <c r="J744" s="299">
        <v>45926</v>
      </c>
      <c r="K744" s="299">
        <v>46546</v>
      </c>
      <c r="L744" s="299">
        <v>45926</v>
      </c>
      <c r="M744" s="299">
        <v>46599</v>
      </c>
      <c r="N744" s="229">
        <f>[1]Нэгтгэл!$E$501</f>
        <v>0.86742550960118725</v>
      </c>
      <c r="O744" s="229">
        <f>[1]Нэгтгэл!$G$501</f>
        <v>0.86742550960118725</v>
      </c>
      <c r="P744" s="229">
        <f>[1]Нэгтгэл!$I$501</f>
        <v>0.80199604067331809</v>
      </c>
      <c r="Q744" s="272">
        <v>0.35429462011298402</v>
      </c>
      <c r="R744" s="272">
        <v>0.35429462011298402</v>
      </c>
      <c r="S744" s="272">
        <v>0.35429462011298424</v>
      </c>
      <c r="T744" s="256">
        <f t="shared" si="198"/>
        <v>0.4084438562060238</v>
      </c>
      <c r="U744" s="256">
        <f t="shared" si="199"/>
        <v>0.4084438562060238</v>
      </c>
      <c r="V744" s="256">
        <f t="shared" si="200"/>
        <v>0.44176604639536021</v>
      </c>
      <c r="W744" s="256">
        <f t="shared" si="196"/>
        <v>1.0000000000000007</v>
      </c>
    </row>
    <row r="745" spans="2:23" s="216" customFormat="1" ht="25.5" hidden="1" outlineLevel="3">
      <c r="B745" s="255" t="s">
        <v>910</v>
      </c>
      <c r="C745" s="290" t="s">
        <v>237</v>
      </c>
      <c r="D745" s="227" t="s">
        <v>231</v>
      </c>
      <c r="E745" s="241">
        <v>16512532797</v>
      </c>
      <c r="F745" s="228">
        <f t="shared" si="210"/>
        <v>3.6801995565609057E-2</v>
      </c>
      <c r="G745" s="269">
        <f t="shared" si="203"/>
        <v>4.9888554910789027E-3</v>
      </c>
      <c r="H745" s="299">
        <v>45925</v>
      </c>
      <c r="I745" s="299">
        <v>46507</v>
      </c>
      <c r="J745" s="299">
        <v>45926</v>
      </c>
      <c r="K745" s="299">
        <v>46585</v>
      </c>
      <c r="L745" s="299">
        <v>45926</v>
      </c>
      <c r="M745" s="299">
        <v>46599</v>
      </c>
      <c r="N745" s="229">
        <f>[1]Нэгтгэл!$E$523</f>
        <v>0.83023654316206608</v>
      </c>
      <c r="O745" s="229">
        <f>[1]Нэгтгэл!$G$523</f>
        <v>0.83023654316206608</v>
      </c>
      <c r="P745" s="229">
        <f>[1]Нэгтгэл!$I$523</f>
        <v>0.79125870344867799</v>
      </c>
      <c r="Q745" s="272">
        <v>0.35429462011298402</v>
      </c>
      <c r="R745" s="272">
        <v>0.35429462011298402</v>
      </c>
      <c r="S745" s="272">
        <v>0.35429462011298424</v>
      </c>
      <c r="T745" s="256">
        <f t="shared" si="198"/>
        <v>0.42673937088291264</v>
      </c>
      <c r="U745" s="256">
        <f t="shared" si="199"/>
        <v>0.42673937088291264</v>
      </c>
      <c r="V745" s="256">
        <f t="shared" si="200"/>
        <v>0.44776078742489839</v>
      </c>
      <c r="W745" s="256">
        <f t="shared" si="196"/>
        <v>1.0000000000000007</v>
      </c>
    </row>
    <row r="746" spans="2:23" s="216" customFormat="1" ht="25.5" hidden="1" outlineLevel="3">
      <c r="B746" s="255" t="s">
        <v>911</v>
      </c>
      <c r="C746" s="290" t="s">
        <v>239</v>
      </c>
      <c r="D746" s="227" t="s">
        <v>231</v>
      </c>
      <c r="E746" s="241">
        <v>16512532797</v>
      </c>
      <c r="F746" s="228">
        <f t="shared" si="210"/>
        <v>3.6801995565609057E-2</v>
      </c>
      <c r="G746" s="269">
        <f t="shared" si="203"/>
        <v>4.9888554910789027E-3</v>
      </c>
      <c r="H746" s="299">
        <v>45925</v>
      </c>
      <c r="I746" s="299">
        <v>46507</v>
      </c>
      <c r="J746" s="299">
        <v>45926</v>
      </c>
      <c r="K746" s="299">
        <v>46585</v>
      </c>
      <c r="L746" s="299">
        <v>45926</v>
      </c>
      <c r="M746" s="299">
        <v>46599</v>
      </c>
      <c r="N746" s="229">
        <f>[1]Нэгтгэл!$E$545</f>
        <v>0.83023654316206608</v>
      </c>
      <c r="O746" s="229">
        <f>[1]Нэгтгэл!$G$545</f>
        <v>0.83023654316206608</v>
      </c>
      <c r="P746" s="229">
        <f>[1]Нэгтгэл!$I$545</f>
        <v>0.79125870344867799</v>
      </c>
      <c r="Q746" s="272">
        <v>0.35429462011298402</v>
      </c>
      <c r="R746" s="272">
        <v>0.35429462011298402</v>
      </c>
      <c r="S746" s="272">
        <v>0.35429462011298424</v>
      </c>
      <c r="T746" s="256">
        <f t="shared" si="198"/>
        <v>0.42673937088291264</v>
      </c>
      <c r="U746" s="256">
        <f t="shared" si="199"/>
        <v>0.42673937088291264</v>
      </c>
      <c r="V746" s="256">
        <f t="shared" si="200"/>
        <v>0.44776078742489839</v>
      </c>
      <c r="W746" s="256">
        <f t="shared" si="196"/>
        <v>1.0000000000000007</v>
      </c>
    </row>
    <row r="747" spans="2:23" s="216" customFormat="1" ht="25.5" hidden="1" outlineLevel="3">
      <c r="B747" s="255" t="s">
        <v>912</v>
      </c>
      <c r="C747" s="290" t="s">
        <v>241</v>
      </c>
      <c r="D747" s="227" t="s">
        <v>231</v>
      </c>
      <c r="E747" s="241">
        <v>16512532797</v>
      </c>
      <c r="F747" s="228">
        <f t="shared" si="210"/>
        <v>3.6801995565609057E-2</v>
      </c>
      <c r="G747" s="269">
        <f t="shared" si="203"/>
        <v>4.9888554910789027E-3</v>
      </c>
      <c r="H747" s="299">
        <v>45908</v>
      </c>
      <c r="I747" s="299">
        <v>46483</v>
      </c>
      <c r="J747" s="299">
        <v>45926</v>
      </c>
      <c r="K747" s="299">
        <v>46554</v>
      </c>
      <c r="L747" s="299">
        <v>45926</v>
      </c>
      <c r="M747" s="299">
        <v>46599</v>
      </c>
      <c r="N747" s="229">
        <f>[1]Нэгтгэл!$E$567</f>
        <v>0.85338706835016032</v>
      </c>
      <c r="O747" s="229">
        <f>[1]Нэгтгэл!$G$567</f>
        <v>0.85338706835016032</v>
      </c>
      <c r="P747" s="229">
        <f>[1]Нэгтгэл!$I$567</f>
        <v>0.87799067293113597</v>
      </c>
      <c r="Q747" s="272">
        <v>0.35429462011298402</v>
      </c>
      <c r="R747" s="272">
        <v>0.35429462011298402</v>
      </c>
      <c r="S747" s="272">
        <v>0.35429462011298424</v>
      </c>
      <c r="T747" s="256">
        <f t="shared" si="198"/>
        <v>0.41516286483920645</v>
      </c>
      <c r="U747" s="256">
        <f t="shared" si="199"/>
        <v>0.41516286483920645</v>
      </c>
      <c r="V747" s="256">
        <f t="shared" si="200"/>
        <v>0.40352891099649857</v>
      </c>
      <c r="W747" s="256">
        <f t="shared" si="196"/>
        <v>1.0000000000000007</v>
      </c>
    </row>
    <row r="748" spans="2:23" s="216" customFormat="1" ht="25.5" hidden="1" outlineLevel="3">
      <c r="B748" s="255" t="s">
        <v>913</v>
      </c>
      <c r="C748" s="290" t="s">
        <v>243</v>
      </c>
      <c r="D748" s="227" t="s">
        <v>231</v>
      </c>
      <c r="E748" s="241">
        <v>16512532797</v>
      </c>
      <c r="F748" s="228">
        <f t="shared" si="210"/>
        <v>3.6801995565609057E-2</v>
      </c>
      <c r="G748" s="269">
        <f t="shared" si="203"/>
        <v>4.9888554910789027E-3</v>
      </c>
      <c r="H748" s="299">
        <v>45901</v>
      </c>
      <c r="I748" s="299">
        <v>46483</v>
      </c>
      <c r="J748" s="299">
        <v>45926</v>
      </c>
      <c r="K748" s="299">
        <v>46552</v>
      </c>
      <c r="L748" s="299">
        <v>45926</v>
      </c>
      <c r="M748" s="299">
        <v>46660</v>
      </c>
      <c r="N748" s="229">
        <f>[1]Нэгтгэл!$E$589</f>
        <v>0.85338706835016032</v>
      </c>
      <c r="O748" s="229">
        <f>[1]Нэгтгэл!$G$589</f>
        <v>0.85338706835016032</v>
      </c>
      <c r="P748" s="229">
        <f>[1]Нэгтгэл!$I$589</f>
        <v>0.83360821497836379</v>
      </c>
      <c r="Q748" s="272">
        <v>0.35429462011298402</v>
      </c>
      <c r="R748" s="272">
        <v>0.35429462011298402</v>
      </c>
      <c r="S748" s="272">
        <v>0.35429462011298424</v>
      </c>
      <c r="T748" s="256">
        <f t="shared" si="198"/>
        <v>0.41516286483920645</v>
      </c>
      <c r="U748" s="256">
        <f t="shared" si="199"/>
        <v>0.41516286483920645</v>
      </c>
      <c r="V748" s="256">
        <f t="shared" si="200"/>
        <v>0.42501335009298091</v>
      </c>
      <c r="W748" s="256">
        <f t="shared" si="196"/>
        <v>1.0000000000000007</v>
      </c>
    </row>
    <row r="749" spans="2:23" s="216" customFormat="1" ht="25.5" hidden="1" outlineLevel="3">
      <c r="B749" s="255" t="s">
        <v>914</v>
      </c>
      <c r="C749" s="290" t="s">
        <v>245</v>
      </c>
      <c r="D749" s="227" t="s">
        <v>231</v>
      </c>
      <c r="E749" s="241">
        <v>16512532797</v>
      </c>
      <c r="F749" s="228">
        <f t="shared" si="210"/>
        <v>3.6801995565609057E-2</v>
      </c>
      <c r="G749" s="269">
        <f t="shared" si="203"/>
        <v>4.9888554910789027E-3</v>
      </c>
      <c r="H749" s="299">
        <v>45901</v>
      </c>
      <c r="I749" s="299">
        <v>46483</v>
      </c>
      <c r="J749" s="299">
        <v>45926</v>
      </c>
      <c r="K749" s="299">
        <v>46605</v>
      </c>
      <c r="L749" s="299">
        <v>45926</v>
      </c>
      <c r="M749" s="299">
        <v>46660</v>
      </c>
      <c r="N749" s="229">
        <f>[1]Нэгтгэл!$E$611</f>
        <v>0.85338706835016032</v>
      </c>
      <c r="O749" s="229">
        <f>[1]Нэгтгэл!$G$611</f>
        <v>0.85338706835016032</v>
      </c>
      <c r="P749" s="229">
        <f>[1]Нэгтгэл!$I$611</f>
        <v>0.78316929402737478</v>
      </c>
      <c r="Q749" s="272">
        <v>0.35429462011298402</v>
      </c>
      <c r="R749" s="272">
        <v>0.35429462011298402</v>
      </c>
      <c r="S749" s="272">
        <v>0.35429462011298424</v>
      </c>
      <c r="T749" s="256">
        <f t="shared" si="198"/>
        <v>0.41516286483920645</v>
      </c>
      <c r="U749" s="256">
        <f t="shared" si="199"/>
        <v>0.41516286483920645</v>
      </c>
      <c r="V749" s="256">
        <f t="shared" si="200"/>
        <v>0.45238573934769238</v>
      </c>
      <c r="W749" s="256">
        <f t="shared" si="196"/>
        <v>1.0000000000000007</v>
      </c>
    </row>
    <row r="750" spans="2:23" s="216" customFormat="1" ht="25.5" hidden="1" outlineLevel="3">
      <c r="B750" s="255" t="s">
        <v>915</v>
      </c>
      <c r="C750" s="290" t="s">
        <v>247</v>
      </c>
      <c r="D750" s="227" t="s">
        <v>231</v>
      </c>
      <c r="E750" s="241">
        <v>16512532797</v>
      </c>
      <c r="F750" s="228">
        <f t="shared" si="210"/>
        <v>3.6801995565609057E-2</v>
      </c>
      <c r="G750" s="269">
        <f t="shared" si="203"/>
        <v>4.9888554910789027E-3</v>
      </c>
      <c r="H750" s="299">
        <v>45901</v>
      </c>
      <c r="I750" s="299">
        <v>46483</v>
      </c>
      <c r="J750" s="299">
        <v>45926</v>
      </c>
      <c r="K750" s="299">
        <v>46552</v>
      </c>
      <c r="L750" s="299">
        <v>45926</v>
      </c>
      <c r="M750" s="299">
        <v>46660</v>
      </c>
      <c r="N750" s="229">
        <f>[1]Нэгтгэл!$E$633</f>
        <v>0.85338706835016032</v>
      </c>
      <c r="O750" s="229">
        <f>[1]Нэгтгэл!$G$633</f>
        <v>0.85338706835016032</v>
      </c>
      <c r="P750" s="229">
        <f>[1]Нэгтгэл!$I$633</f>
        <v>0.83360821497836379</v>
      </c>
      <c r="Q750" s="272">
        <v>0.35429462011298402</v>
      </c>
      <c r="R750" s="272">
        <v>0.35429462011298402</v>
      </c>
      <c r="S750" s="272">
        <v>0.35429462011298424</v>
      </c>
      <c r="T750" s="256">
        <f t="shared" si="198"/>
        <v>0.41516286483920645</v>
      </c>
      <c r="U750" s="256">
        <f t="shared" si="199"/>
        <v>0.41516286483920645</v>
      </c>
      <c r="V750" s="256">
        <f t="shared" si="200"/>
        <v>0.42501335009298091</v>
      </c>
      <c r="W750" s="256">
        <f t="shared" si="196"/>
        <v>1.0000000000000007</v>
      </c>
    </row>
    <row r="751" spans="2:23" s="216" customFormat="1" ht="25.5" hidden="1" outlineLevel="3">
      <c r="B751" s="255" t="s">
        <v>916</v>
      </c>
      <c r="C751" s="290" t="s">
        <v>249</v>
      </c>
      <c r="D751" s="227" t="s">
        <v>231</v>
      </c>
      <c r="E751" s="241">
        <v>16512532797</v>
      </c>
      <c r="F751" s="228">
        <f t="shared" si="210"/>
        <v>3.6801995565609057E-2</v>
      </c>
      <c r="G751" s="269">
        <f t="shared" si="203"/>
        <v>4.9888554910789027E-3</v>
      </c>
      <c r="H751" s="299">
        <v>45931</v>
      </c>
      <c r="I751" s="299">
        <v>46503</v>
      </c>
      <c r="J751" s="299">
        <v>45926</v>
      </c>
      <c r="K751" s="299">
        <v>46605</v>
      </c>
      <c r="L751" s="299">
        <v>45926</v>
      </c>
      <c r="M751" s="299">
        <v>46660</v>
      </c>
      <c r="N751" s="229">
        <f>[1]Нэгтгэл!$E$655</f>
        <v>0.85337899870350209</v>
      </c>
      <c r="O751" s="229">
        <f>[1]Нэгтгэл!$G$655</f>
        <v>0.85337899870350209</v>
      </c>
      <c r="P751" s="229">
        <f>[1]Нэгтгэл!$I$655</f>
        <v>0.78316929402737478</v>
      </c>
      <c r="Q751" s="272">
        <v>0.35429462011298402</v>
      </c>
      <c r="R751" s="272">
        <v>0.35429462011298402</v>
      </c>
      <c r="S751" s="272">
        <v>0.35429462011298424</v>
      </c>
      <c r="T751" s="256">
        <f t="shared" si="198"/>
        <v>0.41516679066539852</v>
      </c>
      <c r="U751" s="256">
        <f t="shared" si="199"/>
        <v>0.41516679066539852</v>
      </c>
      <c r="V751" s="256">
        <f t="shared" si="200"/>
        <v>0.45238573934769238</v>
      </c>
      <c r="W751" s="256">
        <f t="shared" si="196"/>
        <v>1.0000000000000007</v>
      </c>
    </row>
    <row r="752" spans="2:23" s="216" customFormat="1" ht="25.5" hidden="1" outlineLevel="3">
      <c r="B752" s="255" t="s">
        <v>917</v>
      </c>
      <c r="C752" s="290" t="s">
        <v>251</v>
      </c>
      <c r="D752" s="227" t="s">
        <v>231</v>
      </c>
      <c r="E752" s="241">
        <v>16512532797</v>
      </c>
      <c r="F752" s="228">
        <f t="shared" si="210"/>
        <v>3.6801995565609057E-2</v>
      </c>
      <c r="G752" s="269">
        <f t="shared" si="203"/>
        <v>4.9888554910789027E-3</v>
      </c>
      <c r="H752" s="299">
        <v>45931</v>
      </c>
      <c r="I752" s="299">
        <v>46503</v>
      </c>
      <c r="J752" s="299">
        <v>45926</v>
      </c>
      <c r="K752" s="299">
        <v>46605</v>
      </c>
      <c r="L752" s="299">
        <v>45926</v>
      </c>
      <c r="M752" s="299">
        <v>46660</v>
      </c>
      <c r="N752" s="229">
        <f>[1]Нэгтгэл!$E$677</f>
        <v>0.85337899870350209</v>
      </c>
      <c r="O752" s="229">
        <f>[1]Нэгтгэл!$G$677</f>
        <v>0.85337899870350209</v>
      </c>
      <c r="P752" s="229">
        <f>[1]Нэгтгэл!$I$677</f>
        <v>0.80847075231264365</v>
      </c>
      <c r="Q752" s="272">
        <v>0.35429462011298402</v>
      </c>
      <c r="R752" s="272">
        <v>0.35429462011298402</v>
      </c>
      <c r="S752" s="272">
        <v>0.35429462011298424</v>
      </c>
      <c r="T752" s="256">
        <f t="shared" si="198"/>
        <v>0.41516679066539852</v>
      </c>
      <c r="U752" s="256">
        <f t="shared" si="199"/>
        <v>0.41516679066539852</v>
      </c>
      <c r="V752" s="256">
        <f t="shared" si="200"/>
        <v>0.43822812278554141</v>
      </c>
      <c r="W752" s="256">
        <f t="shared" si="196"/>
        <v>1.0000000000000007</v>
      </c>
    </row>
    <row r="753" spans="2:23" s="216" customFormat="1" ht="25.5" hidden="1" outlineLevel="3">
      <c r="B753" s="255" t="s">
        <v>918</v>
      </c>
      <c r="C753" s="290" t="s">
        <v>253</v>
      </c>
      <c r="D753" s="227" t="s">
        <v>231</v>
      </c>
      <c r="E753" s="241">
        <v>16512532797</v>
      </c>
      <c r="F753" s="228">
        <f t="shared" si="210"/>
        <v>3.6801995565609057E-2</v>
      </c>
      <c r="G753" s="269">
        <f t="shared" si="203"/>
        <v>4.9888554910789027E-3</v>
      </c>
      <c r="H753" s="299">
        <v>45915</v>
      </c>
      <c r="I753" s="299">
        <v>46483</v>
      </c>
      <c r="J753" s="299">
        <v>45926</v>
      </c>
      <c r="K753" s="299">
        <v>46617</v>
      </c>
      <c r="L753" s="299">
        <v>45926</v>
      </c>
      <c r="M753" s="299">
        <v>46660</v>
      </c>
      <c r="N753" s="229">
        <f>[1]Нэгтгэл!$E$699</f>
        <v>0.85338706835016032</v>
      </c>
      <c r="O753" s="229">
        <f>[1]Нэгтгэл!$G$699</f>
        <v>0.85338706835016032</v>
      </c>
      <c r="P753" s="229">
        <f>[1]Нэгтгэл!$I$699</f>
        <v>0.74972435760844935</v>
      </c>
      <c r="Q753" s="272">
        <v>0.35429462011298402</v>
      </c>
      <c r="R753" s="272">
        <v>0.35429462011298402</v>
      </c>
      <c r="S753" s="272">
        <v>0.35429462011298424</v>
      </c>
      <c r="T753" s="256">
        <f t="shared" si="198"/>
        <v>0.41516286483920645</v>
      </c>
      <c r="U753" s="256">
        <f t="shared" si="199"/>
        <v>0.41516286483920645</v>
      </c>
      <c r="V753" s="256">
        <f t="shared" si="200"/>
        <v>0.47256650596647409</v>
      </c>
      <c r="W753" s="256">
        <f t="shared" si="196"/>
        <v>1.0000000000000007</v>
      </c>
    </row>
    <row r="754" spans="2:23" s="216" customFormat="1" ht="25.5" hidden="1" outlineLevel="3">
      <c r="B754" s="255" t="s">
        <v>919</v>
      </c>
      <c r="C754" s="290" t="s">
        <v>285</v>
      </c>
      <c r="D754" s="227" t="s">
        <v>231</v>
      </c>
      <c r="E754" s="241">
        <v>16512532797</v>
      </c>
      <c r="F754" s="228">
        <f t="shared" si="210"/>
        <v>3.6801995565609057E-2</v>
      </c>
      <c r="G754" s="269">
        <f t="shared" si="203"/>
        <v>4.9888554910789027E-3</v>
      </c>
      <c r="H754" s="299">
        <v>45931</v>
      </c>
      <c r="I754" s="299">
        <v>46504</v>
      </c>
      <c r="J754" s="299">
        <v>45926</v>
      </c>
      <c r="K754" s="299">
        <v>46731</v>
      </c>
      <c r="L754" s="299">
        <v>45926</v>
      </c>
      <c r="M754" s="299">
        <v>46660</v>
      </c>
      <c r="N754" s="229">
        <f>[1]Нэгтгэл!$E$721</f>
        <v>0.82131548955175782</v>
      </c>
      <c r="O754" s="229">
        <f>[1]Нэгтгэл!$G$721</f>
        <v>0.82131548955175782</v>
      </c>
      <c r="P754" s="229">
        <f>[1]Нэгтгэл!$I$721</f>
        <v>0.51776815256306497</v>
      </c>
      <c r="Q754" s="272">
        <v>0.35429462011298402</v>
      </c>
      <c r="R754" s="272">
        <v>0.35429462011298402</v>
      </c>
      <c r="S754" s="272">
        <v>0.35429462011298424</v>
      </c>
      <c r="T754" s="256">
        <f t="shared" si="198"/>
        <v>0.43137457483767233</v>
      </c>
      <c r="U754" s="256">
        <f t="shared" si="199"/>
        <v>0.43137457483767233</v>
      </c>
      <c r="V754" s="256">
        <f t="shared" si="200"/>
        <v>0.68427271619381924</v>
      </c>
      <c r="W754" s="256">
        <f t="shared" si="196"/>
        <v>1.0000000000000007</v>
      </c>
    </row>
    <row r="755" spans="2:23" s="216" customFormat="1" ht="25.5" hidden="1" outlineLevel="3">
      <c r="B755" s="255" t="s">
        <v>920</v>
      </c>
      <c r="C755" s="290" t="s">
        <v>287</v>
      </c>
      <c r="D755" s="227" t="s">
        <v>231</v>
      </c>
      <c r="E755" s="241">
        <v>16512532797</v>
      </c>
      <c r="F755" s="228">
        <f t="shared" si="210"/>
        <v>3.6801995565609057E-2</v>
      </c>
      <c r="G755" s="269">
        <f t="shared" si="203"/>
        <v>4.9888554910789027E-3</v>
      </c>
      <c r="H755" s="299">
        <v>45931</v>
      </c>
      <c r="I755" s="299">
        <v>46504</v>
      </c>
      <c r="J755" s="299">
        <v>45926</v>
      </c>
      <c r="K755" s="299">
        <v>46731</v>
      </c>
      <c r="L755" s="299">
        <v>45926</v>
      </c>
      <c r="M755" s="299">
        <v>46660</v>
      </c>
      <c r="N755" s="229">
        <f>[1]Нэгтгэл!$E$743</f>
        <v>0.82131548955175782</v>
      </c>
      <c r="O755" s="229">
        <f>[1]Нэгтгэл!$G$743</f>
        <v>0.82131548955175782</v>
      </c>
      <c r="P755" s="229">
        <f>[1]Нэгтгэл!$I$743</f>
        <v>0.51776815256306497</v>
      </c>
      <c r="Q755" s="272">
        <v>0.35429462011298402</v>
      </c>
      <c r="R755" s="272">
        <v>0.35429462011298402</v>
      </c>
      <c r="S755" s="272">
        <v>0.35429462011298424</v>
      </c>
      <c r="T755" s="256">
        <f t="shared" si="198"/>
        <v>0.43137457483767233</v>
      </c>
      <c r="U755" s="256">
        <f t="shared" si="199"/>
        <v>0.43137457483767233</v>
      </c>
      <c r="V755" s="256">
        <f t="shared" si="200"/>
        <v>0.68427271619381924</v>
      </c>
      <c r="W755" s="256">
        <f t="shared" si="196"/>
        <v>1.0000000000000007</v>
      </c>
    </row>
    <row r="756" spans="2:23" s="216" customFormat="1" ht="25.5" hidden="1" outlineLevel="3">
      <c r="B756" s="255" t="s">
        <v>921</v>
      </c>
      <c r="C756" s="290" t="s">
        <v>289</v>
      </c>
      <c r="D756" s="227" t="s">
        <v>231</v>
      </c>
      <c r="E756" s="241">
        <v>16512532797</v>
      </c>
      <c r="F756" s="228">
        <f t="shared" si="210"/>
        <v>3.6801995565609057E-2</v>
      </c>
      <c r="G756" s="269">
        <f t="shared" si="203"/>
        <v>4.9888554910789027E-3</v>
      </c>
      <c r="H756" s="299">
        <v>45931</v>
      </c>
      <c r="I756" s="299">
        <v>46504</v>
      </c>
      <c r="J756" s="299">
        <v>45926</v>
      </c>
      <c r="K756" s="299">
        <v>46617</v>
      </c>
      <c r="L756" s="299">
        <v>45926</v>
      </c>
      <c r="M756" s="299">
        <v>46660</v>
      </c>
      <c r="N756" s="229">
        <f>[1]Нэгтгэл!$E$765</f>
        <v>0.82131548955175782</v>
      </c>
      <c r="O756" s="229">
        <f>[1]Нэгтгэл!$G$765</f>
        <v>0.82131548955175782</v>
      </c>
      <c r="P756" s="229">
        <f>[1]Нэгтгэл!$I$765</f>
        <v>0.74980773891765873</v>
      </c>
      <c r="Q756" s="272">
        <v>0.35429462011298402</v>
      </c>
      <c r="R756" s="272">
        <v>0.35429462011298402</v>
      </c>
      <c r="S756" s="272">
        <v>0.35429462011298424</v>
      </c>
      <c r="T756" s="256">
        <f t="shared" si="198"/>
        <v>0.43137457483767233</v>
      </c>
      <c r="U756" s="256">
        <f t="shared" si="199"/>
        <v>0.43137457483767233</v>
      </c>
      <c r="V756" s="256">
        <f t="shared" si="200"/>
        <v>0.4725139548764935</v>
      </c>
      <c r="W756" s="256">
        <f t="shared" si="196"/>
        <v>1.0000000000000007</v>
      </c>
    </row>
    <row r="757" spans="2:23" s="216" customFormat="1" ht="25.5" hidden="1" outlineLevel="3">
      <c r="B757" s="255" t="s">
        <v>922</v>
      </c>
      <c r="C757" s="290" t="s">
        <v>291</v>
      </c>
      <c r="D757" s="227" t="s">
        <v>231</v>
      </c>
      <c r="E757" s="241">
        <v>16512532797</v>
      </c>
      <c r="F757" s="228">
        <f t="shared" si="210"/>
        <v>3.6801995565609057E-2</v>
      </c>
      <c r="G757" s="269">
        <f t="shared" si="203"/>
        <v>4.9888554910789027E-3</v>
      </c>
      <c r="H757" s="299">
        <v>45931</v>
      </c>
      <c r="I757" s="299">
        <v>46504</v>
      </c>
      <c r="J757" s="299">
        <v>45926</v>
      </c>
      <c r="K757" s="299">
        <v>46617</v>
      </c>
      <c r="L757" s="299">
        <v>45926</v>
      </c>
      <c r="M757" s="299">
        <v>46660</v>
      </c>
      <c r="N757" s="229">
        <f>[1]Нэгтгэл!$E$787</f>
        <v>0.82131548955175782</v>
      </c>
      <c r="O757" s="229">
        <f>[1]Нэгтгэл!$G$787</f>
        <v>0.82131548955175782</v>
      </c>
      <c r="P757" s="229">
        <f>[1]Нэгтгэл!$I$787</f>
        <v>0.74980773891765873</v>
      </c>
      <c r="Q757" s="272">
        <v>0.35429462011298402</v>
      </c>
      <c r="R757" s="272">
        <v>0.35429462011298402</v>
      </c>
      <c r="S757" s="272">
        <v>0.35429462011298424</v>
      </c>
      <c r="T757" s="256">
        <f t="shared" si="198"/>
        <v>0.43137457483767233</v>
      </c>
      <c r="U757" s="256">
        <f t="shared" si="199"/>
        <v>0.43137457483767233</v>
      </c>
      <c r="V757" s="256">
        <f t="shared" si="200"/>
        <v>0.4725139548764935</v>
      </c>
      <c r="W757" s="256">
        <f t="shared" si="196"/>
        <v>1.0000000000000007</v>
      </c>
    </row>
    <row r="758" spans="2:23" s="216" customFormat="1" ht="25.5" hidden="1" outlineLevel="3">
      <c r="B758" s="255" t="s">
        <v>923</v>
      </c>
      <c r="C758" s="290" t="s">
        <v>293</v>
      </c>
      <c r="D758" s="227" t="s">
        <v>231</v>
      </c>
      <c r="E758" s="241">
        <v>16512532797</v>
      </c>
      <c r="F758" s="228">
        <f t="shared" si="210"/>
        <v>3.6801995565609057E-2</v>
      </c>
      <c r="G758" s="269">
        <f t="shared" si="203"/>
        <v>4.9888554910789027E-3</v>
      </c>
      <c r="H758" s="299">
        <v>45931</v>
      </c>
      <c r="I758" s="299">
        <v>46484</v>
      </c>
      <c r="J758" s="299">
        <v>45926</v>
      </c>
      <c r="K758" s="299">
        <v>46731</v>
      </c>
      <c r="L758" s="299">
        <v>45926</v>
      </c>
      <c r="M758" s="299">
        <v>46660</v>
      </c>
      <c r="N758" s="229">
        <f>[1]Нэгтгэл!$E$809</f>
        <v>0.85185985031214118</v>
      </c>
      <c r="O758" s="229">
        <f>[1]Нэгтгэл!$G$809</f>
        <v>0.51976725645819233</v>
      </c>
      <c r="P758" s="229">
        <f>[1]Нэгтгэл!$I$809</f>
        <v>0.51776815256306497</v>
      </c>
      <c r="Q758" s="272">
        <v>0.35429462011298402</v>
      </c>
      <c r="R758" s="272">
        <v>0.35429462011298402</v>
      </c>
      <c r="S758" s="272">
        <v>0.35429462011298424</v>
      </c>
      <c r="T758" s="256">
        <f t="shared" si="198"/>
        <v>0.41590717062573435</v>
      </c>
      <c r="U758" s="256">
        <f t="shared" si="199"/>
        <v>0.68164089928870319</v>
      </c>
      <c r="V758" s="256">
        <f t="shared" si="200"/>
        <v>0.68427271619381924</v>
      </c>
      <c r="W758" s="256">
        <f t="shared" si="196"/>
        <v>1.0000000000000007</v>
      </c>
    </row>
    <row r="759" spans="2:23" s="216" customFormat="1" ht="25.5" hidden="1" outlineLevel="3">
      <c r="B759" s="255" t="s">
        <v>924</v>
      </c>
      <c r="C759" s="290" t="s">
        <v>295</v>
      </c>
      <c r="D759" s="227" t="s">
        <v>231</v>
      </c>
      <c r="E759" s="241">
        <v>16512532797</v>
      </c>
      <c r="F759" s="228">
        <f t="shared" si="210"/>
        <v>3.6801995565609057E-2</v>
      </c>
      <c r="G759" s="269">
        <f t="shared" si="203"/>
        <v>4.9888554910789027E-3</v>
      </c>
      <c r="H759" s="299">
        <v>45931</v>
      </c>
      <c r="I759" s="299">
        <v>46484</v>
      </c>
      <c r="J759" s="299">
        <v>45926</v>
      </c>
      <c r="K759" s="299">
        <v>46731</v>
      </c>
      <c r="L759" s="299">
        <v>45926</v>
      </c>
      <c r="M759" s="299">
        <v>46660</v>
      </c>
      <c r="N759" s="229">
        <f>[1]Нэгтгэл!$E$831</f>
        <v>0.85185985031214118</v>
      </c>
      <c r="O759" s="229">
        <f>[1]Нэгтгэл!$G$831</f>
        <v>0.85185985031214118</v>
      </c>
      <c r="P759" s="229">
        <f>[1]Нэгтгэл!$I$831</f>
        <v>0.51776815256306497</v>
      </c>
      <c r="Q759" s="272">
        <v>0.35429462011298402</v>
      </c>
      <c r="R759" s="272">
        <v>0.35429462011298402</v>
      </c>
      <c r="S759" s="272">
        <v>0.35429462011298424</v>
      </c>
      <c r="T759" s="256">
        <f t="shared" si="198"/>
        <v>0.41590717062573435</v>
      </c>
      <c r="U759" s="256">
        <f t="shared" si="199"/>
        <v>0.41590717062573435</v>
      </c>
      <c r="V759" s="256">
        <f t="shared" si="200"/>
        <v>0.68427271619381924</v>
      </c>
      <c r="W759" s="256">
        <f t="shared" si="196"/>
        <v>1.0000000000000007</v>
      </c>
    </row>
    <row r="760" spans="2:23" s="216" customFormat="1" ht="25.5" hidden="1" outlineLevel="3">
      <c r="B760" s="255" t="s">
        <v>925</v>
      </c>
      <c r="C760" s="290" t="s">
        <v>297</v>
      </c>
      <c r="D760" s="227" t="s">
        <v>231</v>
      </c>
      <c r="E760" s="241">
        <v>16512532797</v>
      </c>
      <c r="F760" s="228">
        <f t="shared" si="210"/>
        <v>3.6801995565609057E-2</v>
      </c>
      <c r="G760" s="269">
        <f t="shared" si="203"/>
        <v>4.9888554910789027E-3</v>
      </c>
      <c r="H760" s="299">
        <v>45931</v>
      </c>
      <c r="I760" s="299">
        <v>46484</v>
      </c>
      <c r="J760" s="299">
        <v>45926</v>
      </c>
      <c r="K760" s="299">
        <v>46731</v>
      </c>
      <c r="L760" s="299">
        <v>45926</v>
      </c>
      <c r="M760" s="299">
        <v>46660</v>
      </c>
      <c r="N760" s="229">
        <f>[1]Нэгтгэл!$E$853</f>
        <v>0.85185985031214118</v>
      </c>
      <c r="O760" s="229">
        <f>[1]Нэгтгэл!$G$853</f>
        <v>0.85185985031214118</v>
      </c>
      <c r="P760" s="229">
        <f>[1]Нэгтгэл!$I$853</f>
        <v>0.51776815256306497</v>
      </c>
      <c r="Q760" s="272">
        <v>0.35429462011298402</v>
      </c>
      <c r="R760" s="272">
        <v>0.35429462011298402</v>
      </c>
      <c r="S760" s="272">
        <v>0.35429462011298424</v>
      </c>
      <c r="T760" s="256">
        <f t="shared" si="198"/>
        <v>0.41590717062573435</v>
      </c>
      <c r="U760" s="256">
        <f t="shared" si="199"/>
        <v>0.41590717062573435</v>
      </c>
      <c r="V760" s="256">
        <f t="shared" si="200"/>
        <v>0.68427271619381924</v>
      </c>
      <c r="W760" s="256">
        <f t="shared" si="196"/>
        <v>1.0000000000000007</v>
      </c>
    </row>
    <row r="761" spans="2:23" s="216" customFormat="1" ht="25.5" hidden="1" outlineLevel="3">
      <c r="B761" s="255" t="s">
        <v>926</v>
      </c>
      <c r="C761" s="290" t="s">
        <v>299</v>
      </c>
      <c r="D761" s="227" t="s">
        <v>231</v>
      </c>
      <c r="E761" s="241">
        <v>16512532797</v>
      </c>
      <c r="F761" s="228">
        <f t="shared" si="210"/>
        <v>3.6801995565609057E-2</v>
      </c>
      <c r="G761" s="269">
        <f t="shared" si="203"/>
        <v>4.9888554910789027E-3</v>
      </c>
      <c r="H761" s="299">
        <v>45905</v>
      </c>
      <c r="I761" s="299">
        <v>46477</v>
      </c>
      <c r="J761" s="299">
        <v>45926</v>
      </c>
      <c r="K761" s="299">
        <v>46546</v>
      </c>
      <c r="L761" s="299">
        <v>45926</v>
      </c>
      <c r="M761" s="299">
        <v>46599</v>
      </c>
      <c r="N761" s="229">
        <f>[1]Нэгтгэл!$E$875</f>
        <v>0.86742550960118725</v>
      </c>
      <c r="O761" s="229">
        <f>[1]Нэгтгэл!$G$875</f>
        <v>0.86742550960118725</v>
      </c>
      <c r="P761" s="229">
        <f>[1]Нэгтгэл!$I$875</f>
        <v>0.80199604067331809</v>
      </c>
      <c r="Q761" s="272">
        <v>0.35429462011298402</v>
      </c>
      <c r="R761" s="272">
        <v>0.35429462011298402</v>
      </c>
      <c r="S761" s="272">
        <v>0.35429462011298424</v>
      </c>
      <c r="T761" s="256">
        <f t="shared" si="198"/>
        <v>0.4084438562060238</v>
      </c>
      <c r="U761" s="256">
        <f t="shared" si="199"/>
        <v>0.4084438562060238</v>
      </c>
      <c r="V761" s="256">
        <f t="shared" si="200"/>
        <v>0.44176604639536021</v>
      </c>
      <c r="W761" s="256">
        <f t="shared" si="196"/>
        <v>1.0000000000000007</v>
      </c>
    </row>
    <row r="762" spans="2:23" s="216" customFormat="1" ht="25.5" hidden="1" outlineLevel="3">
      <c r="B762" s="255" t="s">
        <v>928</v>
      </c>
      <c r="C762" s="290" t="s">
        <v>301</v>
      </c>
      <c r="D762" s="227" t="s">
        <v>231</v>
      </c>
      <c r="E762" s="241">
        <v>16512532797</v>
      </c>
      <c r="F762" s="228">
        <f t="shared" si="210"/>
        <v>3.6801995565609057E-2</v>
      </c>
      <c r="G762" s="269">
        <f t="shared" si="203"/>
        <v>4.9888554910789027E-3</v>
      </c>
      <c r="H762" s="299">
        <v>45905</v>
      </c>
      <c r="I762" s="299">
        <v>46477</v>
      </c>
      <c r="J762" s="299">
        <v>45926</v>
      </c>
      <c r="K762" s="299">
        <v>46527</v>
      </c>
      <c r="L762" s="299">
        <v>45926</v>
      </c>
      <c r="M762" s="299">
        <v>46660</v>
      </c>
      <c r="N762" s="229">
        <f>[1]Нэгтгэл!$E$897</f>
        <v>0.8685683041132779</v>
      </c>
      <c r="O762" s="229">
        <f>[1]Нэгтгэл!$G$897</f>
        <v>0.8685683041132779</v>
      </c>
      <c r="P762" s="229">
        <f>[1]Нэгтгэл!$I$897</f>
        <v>0.8124422676194677</v>
      </c>
      <c r="Q762" s="272">
        <v>0.35429462011298402</v>
      </c>
      <c r="R762" s="272">
        <v>0.35429462011298402</v>
      </c>
      <c r="S762" s="272">
        <v>0.35429462011298424</v>
      </c>
      <c r="T762" s="256">
        <f t="shared" si="198"/>
        <v>0.40790645759827021</v>
      </c>
      <c r="U762" s="256">
        <f t="shared" si="199"/>
        <v>0.40790645759827021</v>
      </c>
      <c r="V762" s="256">
        <f t="shared" si="200"/>
        <v>0.43608590324959434</v>
      </c>
      <c r="W762" s="256">
        <f t="shared" si="196"/>
        <v>1.0000000000000007</v>
      </c>
    </row>
    <row r="763" spans="2:23" s="216" customFormat="1" ht="25.5" hidden="1" outlineLevel="3">
      <c r="B763" s="255" t="s">
        <v>929</v>
      </c>
      <c r="C763" s="290" t="s">
        <v>303</v>
      </c>
      <c r="D763" s="227" t="s">
        <v>231</v>
      </c>
      <c r="E763" s="241">
        <v>16512532797</v>
      </c>
      <c r="F763" s="228">
        <f t="shared" si="210"/>
        <v>3.6801995565609057E-2</v>
      </c>
      <c r="G763" s="269">
        <f t="shared" si="203"/>
        <v>4.9888554910789027E-3</v>
      </c>
      <c r="H763" s="299">
        <v>45905</v>
      </c>
      <c r="I763" s="299">
        <v>46477</v>
      </c>
      <c r="J763" s="299">
        <v>45926</v>
      </c>
      <c r="K763" s="299">
        <v>46538</v>
      </c>
      <c r="L763" s="299">
        <v>45926</v>
      </c>
      <c r="M763" s="299">
        <v>46660</v>
      </c>
      <c r="N763" s="229">
        <f>[1]Нэгтгэл!$E$919</f>
        <v>0.8685683041132779</v>
      </c>
      <c r="O763" s="229">
        <f>[1]Нэгтгэл!$G$919</f>
        <v>0.8685683041132779</v>
      </c>
      <c r="P763" s="229">
        <f>[1]Нэгтгэл!$I$919</f>
        <v>0.79704727158879818</v>
      </c>
      <c r="Q763" s="272">
        <v>0.35429462011298402</v>
      </c>
      <c r="R763" s="272">
        <v>0.35429462011298402</v>
      </c>
      <c r="S763" s="272">
        <v>0.35429462011298424</v>
      </c>
      <c r="T763" s="256">
        <f t="shared" si="198"/>
        <v>0.40790645759827021</v>
      </c>
      <c r="U763" s="256">
        <f t="shared" si="199"/>
        <v>0.40790645759827021</v>
      </c>
      <c r="V763" s="256">
        <f t="shared" si="200"/>
        <v>0.44450891777943019</v>
      </c>
      <c r="W763" s="256">
        <f t="shared" si="196"/>
        <v>1.0000000000000007</v>
      </c>
    </row>
    <row r="764" spans="2:23" s="216" customFormat="1" ht="25.5" hidden="1" outlineLevel="3">
      <c r="B764" s="255" t="s">
        <v>930</v>
      </c>
      <c r="C764" s="290" t="s">
        <v>255</v>
      </c>
      <c r="D764" s="227" t="s">
        <v>256</v>
      </c>
      <c r="E764" s="241">
        <v>21352519447</v>
      </c>
      <c r="F764" s="228">
        <f t="shared" si="210"/>
        <v>4.7589024389150178E-2</v>
      </c>
      <c r="G764" s="269">
        <f t="shared" si="203"/>
        <v>6.45113836872369E-3</v>
      </c>
      <c r="H764" s="299">
        <v>45901</v>
      </c>
      <c r="I764" s="299">
        <v>46501</v>
      </c>
      <c r="J764" s="299">
        <v>45926</v>
      </c>
      <c r="K764" s="299">
        <v>46565</v>
      </c>
      <c r="L764" s="299">
        <v>45926</v>
      </c>
      <c r="M764" s="299">
        <v>46660</v>
      </c>
      <c r="N764" s="229">
        <f>[1]Нэгтгэл!$E$941</f>
        <v>0.83155099873406546</v>
      </c>
      <c r="O764" s="229">
        <f>[1]Нэгтгэл!$G$941</f>
        <v>0.83155099873406546</v>
      </c>
      <c r="P764" s="229">
        <f>[1]Нэгтгэл!$I$941</f>
        <v>0.82077449559573556</v>
      </c>
      <c r="Q764" s="272">
        <v>0.35429462011298402</v>
      </c>
      <c r="R764" s="272">
        <v>0.35429462011298402</v>
      </c>
      <c r="S764" s="272">
        <v>0.35429462011298424</v>
      </c>
      <c r="T764" s="256">
        <f t="shared" si="198"/>
        <v>0.42606481220316539</v>
      </c>
      <c r="U764" s="256">
        <f t="shared" si="199"/>
        <v>0.42606481220316539</v>
      </c>
      <c r="V764" s="256">
        <f t="shared" si="200"/>
        <v>0.43165890511233501</v>
      </c>
      <c r="W764" s="256">
        <f t="shared" si="196"/>
        <v>1.0000000000000007</v>
      </c>
    </row>
    <row r="765" spans="2:23" s="216" customFormat="1" ht="25.5" hidden="1" outlineLevel="3">
      <c r="B765" s="255" t="s">
        <v>931</v>
      </c>
      <c r="C765" s="290" t="s">
        <v>258</v>
      </c>
      <c r="D765" s="227" t="s">
        <v>256</v>
      </c>
      <c r="E765" s="241">
        <v>21352519447</v>
      </c>
      <c r="F765" s="228">
        <f t="shared" si="210"/>
        <v>4.7589024389150178E-2</v>
      </c>
      <c r="G765" s="269">
        <f t="shared" si="203"/>
        <v>6.45113836872369E-3</v>
      </c>
      <c r="H765" s="299">
        <v>45901</v>
      </c>
      <c r="I765" s="299">
        <v>46501</v>
      </c>
      <c r="J765" s="299">
        <v>45926</v>
      </c>
      <c r="K765" s="299">
        <v>46565</v>
      </c>
      <c r="L765" s="299">
        <v>45926</v>
      </c>
      <c r="M765" s="299">
        <v>46660</v>
      </c>
      <c r="N765" s="229">
        <f>[1]Нэгтгэл!$E$963</f>
        <v>0.8315551550743161</v>
      </c>
      <c r="O765" s="229">
        <f>[1]Нэгтгэл!$G$963</f>
        <v>0.8315551550743161</v>
      </c>
      <c r="P765" s="229">
        <f>[1]Нэгтгэл!$I$963</f>
        <v>0.82077119969379608</v>
      </c>
      <c r="Q765" s="272">
        <v>0.35429462011298402</v>
      </c>
      <c r="R765" s="272">
        <v>0.35429462011298402</v>
      </c>
      <c r="S765" s="272">
        <v>0.35429462011298424</v>
      </c>
      <c r="T765" s="256">
        <f t="shared" si="198"/>
        <v>0.42606268261462577</v>
      </c>
      <c r="U765" s="256">
        <f t="shared" si="199"/>
        <v>0.42606268261462577</v>
      </c>
      <c r="V765" s="256">
        <f t="shared" si="200"/>
        <v>0.43166063848872915</v>
      </c>
      <c r="W765" s="256">
        <f t="shared" si="196"/>
        <v>1.0000000000000007</v>
      </c>
    </row>
    <row r="766" spans="2:23" s="216" customFormat="1" ht="25.5" hidden="1" outlineLevel="3">
      <c r="B766" s="255" t="s">
        <v>932</v>
      </c>
      <c r="C766" s="290" t="s">
        <v>260</v>
      </c>
      <c r="D766" s="227" t="s">
        <v>256</v>
      </c>
      <c r="E766" s="241">
        <v>21352519447</v>
      </c>
      <c r="F766" s="228">
        <f t="shared" si="210"/>
        <v>4.7589024389150178E-2</v>
      </c>
      <c r="G766" s="269">
        <f t="shared" si="203"/>
        <v>6.45113836872369E-3</v>
      </c>
      <c r="H766" s="299">
        <v>45901</v>
      </c>
      <c r="I766" s="299">
        <v>46474</v>
      </c>
      <c r="J766" s="299">
        <v>45926</v>
      </c>
      <c r="K766" s="299">
        <v>46611</v>
      </c>
      <c r="L766" s="299">
        <v>45926</v>
      </c>
      <c r="M766" s="299">
        <v>46660</v>
      </c>
      <c r="N766" s="229">
        <f>[1]Нэгтгэл!$E$985</f>
        <v>0.8714499867672415</v>
      </c>
      <c r="O766" s="229">
        <f>[1]Нэгтгэл!$G$985</f>
        <v>0.8714499867672415</v>
      </c>
      <c r="P766" s="229">
        <f>[1]Нэгтгэл!$I$985</f>
        <v>0.80588097298862904</v>
      </c>
      <c r="Q766" s="272">
        <v>0.35429462011298402</v>
      </c>
      <c r="R766" s="272">
        <v>0.35429462011298402</v>
      </c>
      <c r="S766" s="272">
        <v>0.35429462011298424</v>
      </c>
      <c r="T766" s="256">
        <f t="shared" si="198"/>
        <v>0.40655760570642363</v>
      </c>
      <c r="U766" s="256">
        <f t="shared" si="199"/>
        <v>0.40655760570642363</v>
      </c>
      <c r="V766" s="256">
        <f t="shared" si="200"/>
        <v>0.43963641280557114</v>
      </c>
      <c r="W766" s="256">
        <f t="shared" si="196"/>
        <v>1.0000000000000007</v>
      </c>
    </row>
    <row r="767" spans="2:23" s="216" customFormat="1" ht="25.5" hidden="1" outlineLevel="3">
      <c r="B767" s="255" t="s">
        <v>933</v>
      </c>
      <c r="C767" s="290" t="s">
        <v>262</v>
      </c>
      <c r="D767" s="227" t="s">
        <v>256</v>
      </c>
      <c r="E767" s="241">
        <v>21352519447</v>
      </c>
      <c r="F767" s="228">
        <f t="shared" si="210"/>
        <v>4.7589024389150178E-2</v>
      </c>
      <c r="G767" s="269">
        <f t="shared" si="203"/>
        <v>6.45113836872369E-3</v>
      </c>
      <c r="H767" s="299">
        <v>45901</v>
      </c>
      <c r="I767" s="299">
        <v>46474</v>
      </c>
      <c r="J767" s="299">
        <v>45926</v>
      </c>
      <c r="K767" s="299">
        <v>46611</v>
      </c>
      <c r="L767" s="299">
        <v>45926</v>
      </c>
      <c r="M767" s="299">
        <v>46660</v>
      </c>
      <c r="N767" s="229">
        <f>[1]Нэгтгэл!$E$1007</f>
        <v>0.8714499867672415</v>
      </c>
      <c r="O767" s="229">
        <f>[1]Нэгтгэл!$G$1007</f>
        <v>0.8714499867672415</v>
      </c>
      <c r="P767" s="229">
        <f>[1]Нэгтгэл!$I$1007</f>
        <v>0.80588097298862904</v>
      </c>
      <c r="Q767" s="272">
        <v>0.35429462011298402</v>
      </c>
      <c r="R767" s="272">
        <v>0.35429462011298402</v>
      </c>
      <c r="S767" s="272">
        <v>0.35429462011298424</v>
      </c>
      <c r="T767" s="256">
        <f t="shared" si="198"/>
        <v>0.40655760570642363</v>
      </c>
      <c r="U767" s="256">
        <f t="shared" si="199"/>
        <v>0.40655760570642363</v>
      </c>
      <c r="V767" s="256">
        <f t="shared" si="200"/>
        <v>0.43963641280557114</v>
      </c>
      <c r="W767" s="256">
        <f t="shared" si="196"/>
        <v>1.0000000000000007</v>
      </c>
    </row>
    <row r="768" spans="2:23" s="216" customFormat="1" ht="25.5" outlineLevel="2" collapsed="1">
      <c r="B768" s="291" t="s">
        <v>934</v>
      </c>
      <c r="C768" s="292" t="s">
        <v>37</v>
      </c>
      <c r="D768" s="234" t="s">
        <v>33</v>
      </c>
      <c r="E768" s="240">
        <f>SUM(E769:E779)</f>
        <v>175877564456</v>
      </c>
      <c r="F768" s="223">
        <f t="shared" si="202"/>
        <v>9.0647549000068411E-2</v>
      </c>
      <c r="G768" s="293">
        <f t="shared" si="203"/>
        <v>5.3137078604519751E-2</v>
      </c>
      <c r="H768" s="298">
        <v>46113</v>
      </c>
      <c r="I768" s="298">
        <v>46517</v>
      </c>
      <c r="J768" s="298"/>
      <c r="K768" s="298"/>
      <c r="L768" s="298"/>
      <c r="M768" s="298"/>
      <c r="N768" s="224">
        <f>SUMPRODUCT($F769:$F779,N769:N779)</f>
        <v>0.79087695396860169</v>
      </c>
      <c r="O768" s="224">
        <f t="shared" ref="O768:P768" si="211">SUMPRODUCT($F769:$F779,O769:O779)</f>
        <v>4.4772454389235321E-2</v>
      </c>
      <c r="P768" s="224">
        <f t="shared" si="211"/>
        <v>0.37446413803091927</v>
      </c>
      <c r="Q768" s="270">
        <v>7.0000000000000001E-3</v>
      </c>
      <c r="R768" s="270">
        <v>7.0000000000000001E-3</v>
      </c>
      <c r="S768" s="270">
        <v>7.0000000000000001E-3</v>
      </c>
      <c r="T768" s="254">
        <f t="shared" si="198"/>
        <v>8.8509343518914877E-3</v>
      </c>
      <c r="U768" s="254">
        <f t="shared" si="199"/>
        <v>0.15634613057270802</v>
      </c>
      <c r="V768" s="254">
        <f t="shared" si="200"/>
        <v>1.869337885547271E-2</v>
      </c>
      <c r="W768" s="254">
        <f t="shared" si="196"/>
        <v>1</v>
      </c>
    </row>
    <row r="769" spans="2:23" s="216" customFormat="1" ht="25.5" hidden="1" outlineLevel="3">
      <c r="B769" s="255" t="s">
        <v>907</v>
      </c>
      <c r="C769" s="290" t="s">
        <v>230</v>
      </c>
      <c r="D769" s="227" t="s">
        <v>231</v>
      </c>
      <c r="E769" s="241">
        <v>15988869496</v>
      </c>
      <c r="F769" s="228">
        <f>E769/$E$768</f>
        <v>9.0909090909090912E-2</v>
      </c>
      <c r="G769" s="269">
        <f t="shared" ref="G769:G779" si="212">+E769*$G$718/$E$718</f>
        <v>4.8306435095017948E-3</v>
      </c>
      <c r="H769" s="299">
        <v>46113</v>
      </c>
      <c r="I769" s="299">
        <v>46517</v>
      </c>
      <c r="J769" s="299"/>
      <c r="K769" s="299"/>
      <c r="L769" s="299"/>
      <c r="M769" s="299"/>
      <c r="N769" s="229">
        <f>[1]Нэгтгэл!$E$1036</f>
        <v>0.85019708914102221</v>
      </c>
      <c r="O769" s="229">
        <f>[1]Нэгтгэл!$G$1036</f>
        <v>6.1206304809320849E-2</v>
      </c>
      <c r="P769" s="229">
        <f>[1]Нэгтгэл!$I$1036</f>
        <v>0.7857721850067797</v>
      </c>
      <c r="Q769" s="272">
        <v>7.0000000000000001E-3</v>
      </c>
      <c r="R769" s="272">
        <v>7.0000000000000001E-3</v>
      </c>
      <c r="S769" s="272">
        <v>7.0000000000000001E-3</v>
      </c>
      <c r="T769" s="256">
        <f t="shared" ref="T769:T779" si="213">+IF(N769=0,0,$S769/N769)</f>
        <v>8.2333850461335911E-3</v>
      </c>
      <c r="U769" s="256">
        <f t="shared" ref="U769:U779" si="214">+IF(O769=0,0,$S769/O769)</f>
        <v>0.11436730287520967</v>
      </c>
      <c r="V769" s="256">
        <f t="shared" ref="V769:V779" si="215">+IF(P769=0,0,$S769/P769)</f>
        <v>8.9084344464796794E-3</v>
      </c>
      <c r="W769" s="256">
        <f t="shared" si="196"/>
        <v>1</v>
      </c>
    </row>
    <row r="770" spans="2:23" s="216" customFormat="1" ht="25.5" hidden="1" outlineLevel="3">
      <c r="B770" s="255" t="s">
        <v>908</v>
      </c>
      <c r="C770" s="290" t="s">
        <v>233</v>
      </c>
      <c r="D770" s="227" t="s">
        <v>231</v>
      </c>
      <c r="E770" s="241">
        <v>15988869496</v>
      </c>
      <c r="F770" s="228">
        <f t="shared" ref="F770:F779" si="216">E770/$E$768</f>
        <v>9.0909090909090912E-2</v>
      </c>
      <c r="G770" s="269">
        <f t="shared" si="212"/>
        <v>4.8306435095017948E-3</v>
      </c>
      <c r="H770" s="299">
        <v>46113</v>
      </c>
      <c r="I770" s="299">
        <v>46517</v>
      </c>
      <c r="J770" s="299"/>
      <c r="K770" s="299"/>
      <c r="L770" s="299"/>
      <c r="M770" s="299"/>
      <c r="N770" s="229">
        <f>[1]Нэгтгэл!$E$1058</f>
        <v>0.85019708914102221</v>
      </c>
      <c r="O770" s="229">
        <f>[1]Нэгтгэл!$G$1058</f>
        <v>6.1206304809320849E-2</v>
      </c>
      <c r="P770" s="229">
        <f>[1]Нэгтгэл!$I$1058</f>
        <v>0.33333333333333331</v>
      </c>
      <c r="Q770" s="272">
        <v>7.0000000000000001E-3</v>
      </c>
      <c r="R770" s="272">
        <v>7.0000000000000001E-3</v>
      </c>
      <c r="S770" s="272">
        <v>7.0000000000000001E-3</v>
      </c>
      <c r="T770" s="256">
        <f t="shared" si="213"/>
        <v>8.2333850461335911E-3</v>
      </c>
      <c r="U770" s="256">
        <f t="shared" si="214"/>
        <v>0.11436730287520967</v>
      </c>
      <c r="V770" s="256">
        <f t="shared" si="215"/>
        <v>2.1000000000000001E-2</v>
      </c>
      <c r="W770" s="256">
        <f t="shared" si="196"/>
        <v>1</v>
      </c>
    </row>
    <row r="771" spans="2:23" s="216" customFormat="1" ht="25.5" hidden="1" outlineLevel="3">
      <c r="B771" s="255" t="s">
        <v>909</v>
      </c>
      <c r="C771" s="290" t="s">
        <v>235</v>
      </c>
      <c r="D771" s="227" t="s">
        <v>231</v>
      </c>
      <c r="E771" s="241">
        <v>15988869496</v>
      </c>
      <c r="F771" s="228">
        <f t="shared" si="216"/>
        <v>9.0909090909090912E-2</v>
      </c>
      <c r="G771" s="269">
        <f t="shared" si="212"/>
        <v>4.8306435095017948E-3</v>
      </c>
      <c r="H771" s="299">
        <v>46113</v>
      </c>
      <c r="I771" s="299">
        <v>46517</v>
      </c>
      <c r="J771" s="299"/>
      <c r="K771" s="299"/>
      <c r="L771" s="299"/>
      <c r="M771" s="299"/>
      <c r="N771" s="229">
        <f>[1]Нэгтгэл!$E$1080</f>
        <v>0.85019708914102221</v>
      </c>
      <c r="O771" s="229">
        <f>[1]Нэгтгэл!$G$1080</f>
        <v>6.1206304809320849E-2</v>
      </c>
      <c r="P771" s="229">
        <f>[1]Нэгтгэл!$I$1080</f>
        <v>0.33333333333333331</v>
      </c>
      <c r="Q771" s="272">
        <v>7.0000000000000001E-3</v>
      </c>
      <c r="R771" s="272">
        <v>7.0000000000000001E-3</v>
      </c>
      <c r="S771" s="272">
        <v>7.0000000000000001E-3</v>
      </c>
      <c r="T771" s="256">
        <f t="shared" si="213"/>
        <v>8.2333850461335911E-3</v>
      </c>
      <c r="U771" s="256">
        <f t="shared" si="214"/>
        <v>0.11436730287520967</v>
      </c>
      <c r="V771" s="256">
        <f t="shared" si="215"/>
        <v>2.1000000000000001E-2</v>
      </c>
      <c r="W771" s="256">
        <f t="shared" si="196"/>
        <v>1</v>
      </c>
    </row>
    <row r="772" spans="2:23" s="216" customFormat="1" ht="25.5" hidden="1" outlineLevel="3">
      <c r="B772" s="255" t="s">
        <v>910</v>
      </c>
      <c r="C772" s="290" t="s">
        <v>237</v>
      </c>
      <c r="D772" s="227" t="s">
        <v>231</v>
      </c>
      <c r="E772" s="241">
        <v>15988869496</v>
      </c>
      <c r="F772" s="228">
        <f t="shared" si="216"/>
        <v>9.0909090909090912E-2</v>
      </c>
      <c r="G772" s="269">
        <f t="shared" si="212"/>
        <v>4.8306435095017948E-3</v>
      </c>
      <c r="H772" s="299">
        <v>46113</v>
      </c>
      <c r="I772" s="299">
        <v>46517</v>
      </c>
      <c r="J772" s="299"/>
      <c r="K772" s="299"/>
      <c r="L772" s="299"/>
      <c r="M772" s="299"/>
      <c r="N772" s="229">
        <f>[1]Нэгтгэл!$E$1102</f>
        <v>0.85019708914102221</v>
      </c>
      <c r="O772" s="229">
        <f>[1]Нэгтгэл!$G$1102</f>
        <v>6.1206304809320849E-2</v>
      </c>
      <c r="P772" s="229">
        <f>[1]Нэгтгэл!$I$1102</f>
        <v>0.33333333333333331</v>
      </c>
      <c r="Q772" s="272">
        <v>7.0000000000000001E-3</v>
      </c>
      <c r="R772" s="272">
        <v>7.0000000000000001E-3</v>
      </c>
      <c r="S772" s="272">
        <v>7.0000000000000001E-3</v>
      </c>
      <c r="T772" s="256">
        <f t="shared" si="213"/>
        <v>8.2333850461335911E-3</v>
      </c>
      <c r="U772" s="256">
        <f t="shared" si="214"/>
        <v>0.11436730287520967</v>
      </c>
      <c r="V772" s="256">
        <f t="shared" si="215"/>
        <v>2.1000000000000001E-2</v>
      </c>
      <c r="W772" s="256">
        <f t="shared" si="196"/>
        <v>1</v>
      </c>
    </row>
    <row r="773" spans="2:23" s="216" customFormat="1" ht="25.5" hidden="1" outlineLevel="3">
      <c r="B773" s="255" t="s">
        <v>911</v>
      </c>
      <c r="C773" s="290" t="s">
        <v>239</v>
      </c>
      <c r="D773" s="227" t="s">
        <v>231</v>
      </c>
      <c r="E773" s="241">
        <v>15988869496</v>
      </c>
      <c r="F773" s="228">
        <f t="shared" si="216"/>
        <v>9.0909090909090912E-2</v>
      </c>
      <c r="G773" s="269">
        <f t="shared" si="212"/>
        <v>4.8306435095017948E-3</v>
      </c>
      <c r="H773" s="299">
        <v>46113</v>
      </c>
      <c r="I773" s="299">
        <v>46517</v>
      </c>
      <c r="J773" s="299"/>
      <c r="K773" s="299"/>
      <c r="L773" s="299"/>
      <c r="M773" s="299"/>
      <c r="N773" s="229">
        <f>[1]Нэгтгэл!$E$1124</f>
        <v>0.68706671741686576</v>
      </c>
      <c r="O773" s="229">
        <f>[1]Нэгтгэл!$G$1124</f>
        <v>1.2772497049112947E-2</v>
      </c>
      <c r="P773" s="229">
        <f>[1]Нэгтгэл!$I$1124</f>
        <v>0.33333333333333331</v>
      </c>
      <c r="Q773" s="272">
        <v>7.0000000000000001E-3</v>
      </c>
      <c r="R773" s="272">
        <v>7.0000000000000001E-3</v>
      </c>
      <c r="S773" s="272">
        <v>7.0000000000000001E-3</v>
      </c>
      <c r="T773" s="256">
        <f t="shared" si="213"/>
        <v>1.0188239107720994E-2</v>
      </c>
      <c r="U773" s="256">
        <f t="shared" si="214"/>
        <v>0.54805258306841043</v>
      </c>
      <c r="V773" s="256">
        <f t="shared" si="215"/>
        <v>2.1000000000000001E-2</v>
      </c>
      <c r="W773" s="256">
        <f t="shared" si="196"/>
        <v>1</v>
      </c>
    </row>
    <row r="774" spans="2:23" s="216" customFormat="1" ht="25.5" hidden="1" outlineLevel="3">
      <c r="B774" s="255" t="s">
        <v>912</v>
      </c>
      <c r="C774" s="290" t="s">
        <v>241</v>
      </c>
      <c r="D774" s="227" t="s">
        <v>231</v>
      </c>
      <c r="E774" s="241">
        <v>15988869496</v>
      </c>
      <c r="F774" s="228">
        <f t="shared" si="216"/>
        <v>9.0909090909090912E-2</v>
      </c>
      <c r="G774" s="269">
        <f t="shared" si="212"/>
        <v>4.8306435095017948E-3</v>
      </c>
      <c r="H774" s="299">
        <v>46113</v>
      </c>
      <c r="I774" s="299">
        <v>46517</v>
      </c>
      <c r="J774" s="299"/>
      <c r="K774" s="299"/>
      <c r="L774" s="299"/>
      <c r="M774" s="299"/>
      <c r="N774" s="229">
        <f>[1]Нэгтгэл!$E$1146</f>
        <v>0.68706671741686576</v>
      </c>
      <c r="O774" s="229">
        <f>[1]Нэгтгэл!$G$1146</f>
        <v>1.2772497049112947E-2</v>
      </c>
      <c r="P774" s="229">
        <f>[1]Нэгтгэл!$I$1146</f>
        <v>0.33333333333333331</v>
      </c>
      <c r="Q774" s="272">
        <v>7.0000000000000001E-3</v>
      </c>
      <c r="R774" s="272">
        <v>7.0000000000000001E-3</v>
      </c>
      <c r="S774" s="272">
        <v>7.0000000000000001E-3</v>
      </c>
      <c r="T774" s="256">
        <f t="shared" si="213"/>
        <v>1.0188239107720994E-2</v>
      </c>
      <c r="U774" s="256">
        <f t="shared" si="214"/>
        <v>0.54805258306841043</v>
      </c>
      <c r="V774" s="256">
        <f t="shared" si="215"/>
        <v>2.1000000000000001E-2</v>
      </c>
      <c r="W774" s="256">
        <f t="shared" ref="W774:W837" si="217">+IF(R774=0,0,$S774/R774)</f>
        <v>1</v>
      </c>
    </row>
    <row r="775" spans="2:23" s="216" customFormat="1" ht="25.5" hidden="1" outlineLevel="3">
      <c r="B775" s="255" t="s">
        <v>913</v>
      </c>
      <c r="C775" s="290" t="s">
        <v>243</v>
      </c>
      <c r="D775" s="227" t="s">
        <v>231</v>
      </c>
      <c r="E775" s="241">
        <v>15988869496</v>
      </c>
      <c r="F775" s="228">
        <f t="shared" si="216"/>
        <v>9.0909090909090912E-2</v>
      </c>
      <c r="G775" s="269">
        <f t="shared" si="212"/>
        <v>4.8306435095017948E-3</v>
      </c>
      <c r="H775" s="299">
        <v>46113</v>
      </c>
      <c r="I775" s="299">
        <v>46517</v>
      </c>
      <c r="J775" s="299"/>
      <c r="K775" s="299"/>
      <c r="L775" s="299"/>
      <c r="M775" s="299"/>
      <c r="N775" s="229">
        <f>[1]Нэгтгэл!$E$1168</f>
        <v>0.68706671741686576</v>
      </c>
      <c r="O775" s="229">
        <f>[1]Нэгтгэл!$G$1168</f>
        <v>1.2772497049112947E-2</v>
      </c>
      <c r="P775" s="229">
        <f>[1]Нэгтгэл!$I$1168</f>
        <v>0.33333333333333331</v>
      </c>
      <c r="Q775" s="272">
        <v>7.0000000000000001E-3</v>
      </c>
      <c r="R775" s="272">
        <v>7.0000000000000001E-3</v>
      </c>
      <c r="S775" s="272">
        <v>7.0000000000000001E-3</v>
      </c>
      <c r="T775" s="256">
        <f t="shared" si="213"/>
        <v>1.0188239107720994E-2</v>
      </c>
      <c r="U775" s="256">
        <f t="shared" si="214"/>
        <v>0.54805258306841043</v>
      </c>
      <c r="V775" s="256">
        <f t="shared" si="215"/>
        <v>2.1000000000000001E-2</v>
      </c>
      <c r="W775" s="256">
        <f t="shared" si="217"/>
        <v>1</v>
      </c>
    </row>
    <row r="776" spans="2:23" s="216" customFormat="1" ht="25.5" hidden="1" outlineLevel="3">
      <c r="B776" s="255" t="s">
        <v>914</v>
      </c>
      <c r="C776" s="290" t="s">
        <v>245</v>
      </c>
      <c r="D776" s="227" t="s">
        <v>231</v>
      </c>
      <c r="E776" s="241">
        <v>15988869496</v>
      </c>
      <c r="F776" s="228">
        <f t="shared" si="216"/>
        <v>9.0909090909090912E-2</v>
      </c>
      <c r="G776" s="269">
        <f t="shared" si="212"/>
        <v>4.8306435095017948E-3</v>
      </c>
      <c r="H776" s="299">
        <v>46113</v>
      </c>
      <c r="I776" s="299">
        <v>46517</v>
      </c>
      <c r="J776" s="299"/>
      <c r="K776" s="299"/>
      <c r="L776" s="299"/>
      <c r="M776" s="299"/>
      <c r="N776" s="229">
        <f>[1]Нэгтгэл!$E$1190</f>
        <v>0.68706671741686576</v>
      </c>
      <c r="O776" s="229">
        <f>[1]Нэгтгэл!$G$1190</f>
        <v>1.2772497049112947E-2</v>
      </c>
      <c r="P776" s="229">
        <f>[1]Нэгтгэл!$I$1190</f>
        <v>0.33333333333333331</v>
      </c>
      <c r="Q776" s="272">
        <v>7.0000000000000001E-3</v>
      </c>
      <c r="R776" s="272">
        <v>7.0000000000000001E-3</v>
      </c>
      <c r="S776" s="272">
        <v>7.0000000000000001E-3</v>
      </c>
      <c r="T776" s="256">
        <f t="shared" si="213"/>
        <v>1.0188239107720994E-2</v>
      </c>
      <c r="U776" s="256">
        <f t="shared" si="214"/>
        <v>0.54805258306841043</v>
      </c>
      <c r="V776" s="256">
        <f t="shared" si="215"/>
        <v>2.1000000000000001E-2</v>
      </c>
      <c r="W776" s="256">
        <f t="shared" si="217"/>
        <v>1</v>
      </c>
    </row>
    <row r="777" spans="2:23" s="216" customFormat="1" ht="25.5" hidden="1" outlineLevel="3">
      <c r="B777" s="255" t="s">
        <v>915</v>
      </c>
      <c r="C777" s="290" t="s">
        <v>247</v>
      </c>
      <c r="D777" s="227" t="s">
        <v>231</v>
      </c>
      <c r="E777" s="241">
        <v>15988869496</v>
      </c>
      <c r="F777" s="228">
        <f t="shared" si="216"/>
        <v>9.0909090909090912E-2</v>
      </c>
      <c r="G777" s="269">
        <f t="shared" si="212"/>
        <v>4.8306435095017948E-3</v>
      </c>
      <c r="H777" s="299">
        <v>46113</v>
      </c>
      <c r="I777" s="299">
        <v>46517</v>
      </c>
      <c r="J777" s="299"/>
      <c r="K777" s="299"/>
      <c r="L777" s="299"/>
      <c r="M777" s="299"/>
      <c r="N777" s="229">
        <f>[1]Нэгтгэл!$E$1212</f>
        <v>0.85019708914102221</v>
      </c>
      <c r="O777" s="229">
        <f>[1]Нэгтгэл!$G$1212</f>
        <v>6.1206304809320849E-2</v>
      </c>
      <c r="P777" s="229">
        <f>[1]Нэгтгэл!$I$1212</f>
        <v>0.33333333333333331</v>
      </c>
      <c r="Q777" s="272">
        <v>7.0000000000000001E-3</v>
      </c>
      <c r="R777" s="272">
        <v>7.0000000000000001E-3</v>
      </c>
      <c r="S777" s="272">
        <v>7.0000000000000001E-3</v>
      </c>
      <c r="T777" s="256">
        <f t="shared" si="213"/>
        <v>8.2333850461335911E-3</v>
      </c>
      <c r="U777" s="256">
        <f t="shared" si="214"/>
        <v>0.11436730287520967</v>
      </c>
      <c r="V777" s="256">
        <f t="shared" si="215"/>
        <v>2.1000000000000001E-2</v>
      </c>
      <c r="W777" s="256">
        <f t="shared" si="217"/>
        <v>1</v>
      </c>
    </row>
    <row r="778" spans="2:23" s="216" customFormat="1" ht="25.5" hidden="1" outlineLevel="3">
      <c r="B778" s="255" t="s">
        <v>916</v>
      </c>
      <c r="C778" s="290" t="s">
        <v>249</v>
      </c>
      <c r="D778" s="227" t="s">
        <v>231</v>
      </c>
      <c r="E778" s="241">
        <v>15988869496</v>
      </c>
      <c r="F778" s="228">
        <f t="shared" si="216"/>
        <v>9.0909090909090912E-2</v>
      </c>
      <c r="G778" s="269">
        <f t="shared" si="212"/>
        <v>4.8306435095017948E-3</v>
      </c>
      <c r="H778" s="299">
        <v>46113</v>
      </c>
      <c r="I778" s="299">
        <v>46517</v>
      </c>
      <c r="J778" s="299"/>
      <c r="K778" s="299"/>
      <c r="L778" s="299"/>
      <c r="M778" s="299"/>
      <c r="N778" s="229">
        <f>[1]Нэгтгэл!$E$1234</f>
        <v>0.85019708914102221</v>
      </c>
      <c r="O778" s="229">
        <f>[1]Нэгтгэл!$G$1234</f>
        <v>6.768774301926625E-2</v>
      </c>
      <c r="P778" s="229">
        <f>[1]Нэгтгэл!$I$1234</f>
        <v>0.33333333333333331</v>
      </c>
      <c r="Q778" s="272">
        <v>7.0000000000000001E-3</v>
      </c>
      <c r="R778" s="272">
        <v>7.0000000000000001E-3</v>
      </c>
      <c r="S778" s="272">
        <v>7.0000000000000001E-3</v>
      </c>
      <c r="T778" s="256">
        <f t="shared" si="213"/>
        <v>8.2333850461335911E-3</v>
      </c>
      <c r="U778" s="256">
        <f t="shared" si="214"/>
        <v>0.10341606453043589</v>
      </c>
      <c r="V778" s="256">
        <f t="shared" si="215"/>
        <v>2.1000000000000001E-2</v>
      </c>
      <c r="W778" s="256">
        <f t="shared" si="217"/>
        <v>1</v>
      </c>
    </row>
    <row r="779" spans="2:23" s="216" customFormat="1" ht="25.5" hidden="1" outlineLevel="3">
      <c r="B779" s="255" t="s">
        <v>917</v>
      </c>
      <c r="C779" s="290" t="s">
        <v>251</v>
      </c>
      <c r="D779" s="227" t="s">
        <v>231</v>
      </c>
      <c r="E779" s="241">
        <v>15988869496</v>
      </c>
      <c r="F779" s="228">
        <f t="shared" si="216"/>
        <v>9.0909090909090912E-2</v>
      </c>
      <c r="G779" s="269">
        <f t="shared" si="212"/>
        <v>4.8306435095017948E-3</v>
      </c>
      <c r="H779" s="299">
        <v>46113</v>
      </c>
      <c r="I779" s="299">
        <v>46517</v>
      </c>
      <c r="J779" s="299"/>
      <c r="K779" s="299"/>
      <c r="L779" s="299"/>
      <c r="M779" s="299"/>
      <c r="N779" s="229">
        <f>[1]Нэгтгэл!$E$1256</f>
        <v>0.85019708914102221</v>
      </c>
      <c r="O779" s="229">
        <f>[1]Нэгтгэл!$G$1256</f>
        <v>6.768774301926625E-2</v>
      </c>
      <c r="P779" s="229">
        <f>[1]Нэгтгэл!$I$1256</f>
        <v>0.33333333333333331</v>
      </c>
      <c r="Q779" s="272">
        <v>7.0000000000000001E-3</v>
      </c>
      <c r="R779" s="272">
        <v>7.0000000000000001E-3</v>
      </c>
      <c r="S779" s="272">
        <v>7.0000000000000001E-3</v>
      </c>
      <c r="T779" s="256">
        <f t="shared" si="213"/>
        <v>8.2333850461335911E-3</v>
      </c>
      <c r="U779" s="256">
        <f t="shared" si="214"/>
        <v>0.10341606453043589</v>
      </c>
      <c r="V779" s="256">
        <f t="shared" si="215"/>
        <v>2.1000000000000001E-2</v>
      </c>
      <c r="W779" s="256">
        <f t="shared" si="217"/>
        <v>1</v>
      </c>
    </row>
    <row r="780" spans="2:23" s="216" customFormat="1" ht="25.5" outlineLevel="2" collapsed="1">
      <c r="B780" s="291" t="s">
        <v>935</v>
      </c>
      <c r="C780" s="292" t="s">
        <v>39</v>
      </c>
      <c r="D780" s="234" t="s">
        <v>33</v>
      </c>
      <c r="E780" s="240">
        <f>SUM(E781:E792)</f>
        <v>187910444274</v>
      </c>
      <c r="F780" s="223">
        <f t="shared" si="202"/>
        <v>9.6849312518274097E-2</v>
      </c>
      <c r="G780" s="293">
        <f t="shared" si="203"/>
        <v>5.6772517170578379E-2</v>
      </c>
      <c r="H780" s="298">
        <v>45931</v>
      </c>
      <c r="I780" s="298">
        <v>46528</v>
      </c>
      <c r="J780" s="298">
        <v>45931</v>
      </c>
      <c r="K780" s="298">
        <v>46751</v>
      </c>
      <c r="L780" s="298">
        <f>MIN(L781:L792)</f>
        <v>45931</v>
      </c>
      <c r="M780" s="298">
        <f>MAX(M781:M792)</f>
        <v>46752</v>
      </c>
      <c r="N780" s="224">
        <f>SUMPRODUCT($F781:$F792,N781:N792)</f>
        <v>0.78039000563607075</v>
      </c>
      <c r="O780" s="224">
        <f t="shared" ref="O780:P780" si="218">SUMPRODUCT($F781:$F792,O781:O792)</f>
        <v>0.65032500469672561</v>
      </c>
      <c r="P780" s="224">
        <f t="shared" si="218"/>
        <v>0.69934505587879425</v>
      </c>
      <c r="Q780" s="270">
        <f>+S780+0.64%</f>
        <v>0.30960000000000004</v>
      </c>
      <c r="R780" s="270">
        <v>0.29909999999999998</v>
      </c>
      <c r="S780" s="270">
        <v>0.30320000000000003</v>
      </c>
      <c r="T780" s="254">
        <f t="shared" si="198"/>
        <v>0.38852368406854654</v>
      </c>
      <c r="U780" s="254">
        <f t="shared" si="199"/>
        <v>0.46622842088225591</v>
      </c>
      <c r="V780" s="254">
        <f t="shared" si="200"/>
        <v>0.43354850005910184</v>
      </c>
      <c r="W780" s="254">
        <f t="shared" si="217"/>
        <v>1.0137077900367772</v>
      </c>
    </row>
    <row r="781" spans="2:23" s="216" customFormat="1" ht="25.5" hidden="1" outlineLevel="3">
      <c r="B781" s="255" t="s">
        <v>907</v>
      </c>
      <c r="C781" s="290" t="s">
        <v>230</v>
      </c>
      <c r="D781" s="227" t="s">
        <v>231</v>
      </c>
      <c r="E781" s="241">
        <v>15659203689.5</v>
      </c>
      <c r="F781" s="228">
        <f>E781/$E$780</f>
        <v>8.3333333333333329E-2</v>
      </c>
      <c r="G781" s="269">
        <f t="shared" ref="G781:G792" si="219">+E781*$G$718/$E$718</f>
        <v>4.7310430975481986E-3</v>
      </c>
      <c r="H781" s="299">
        <v>45931</v>
      </c>
      <c r="I781" s="299">
        <v>46528</v>
      </c>
      <c r="J781" s="299">
        <v>46201</v>
      </c>
      <c r="K781" s="299">
        <v>46751</v>
      </c>
      <c r="L781" s="299">
        <v>46201</v>
      </c>
      <c r="M781" s="299">
        <v>46752</v>
      </c>
      <c r="N781" s="229">
        <f>[1]Нэгтгэл!$E$1285</f>
        <v>0.78039000563607053</v>
      </c>
      <c r="O781" s="229">
        <f>[1]Нэгтгэл!$G$1285</f>
        <v>0</v>
      </c>
      <c r="P781" s="229">
        <f>[1]Нэгтгэл!$I$1285</f>
        <v>0.2572732719068917</v>
      </c>
      <c r="Q781" s="272">
        <v>0.167239038536449</v>
      </c>
      <c r="R781" s="272">
        <v>0.167239038536449</v>
      </c>
      <c r="S781" s="272">
        <v>3.6067062380368456E-2</v>
      </c>
      <c r="T781" s="256">
        <f t="shared" ref="T781:T792" si="220">+IF(N781=0,0,$S781/N781)</f>
        <v>4.6216714873188777E-2</v>
      </c>
      <c r="U781" s="256">
        <f t="shared" ref="U781:U792" si="221">+IF(O781=0,0,$S781/O781)</f>
        <v>0</v>
      </c>
      <c r="V781" s="256">
        <f t="shared" ref="V781:V792" si="222">+IF(P781=0,0,$S781/P781)</f>
        <v>0.14018969834309597</v>
      </c>
      <c r="W781" s="256">
        <f t="shared" si="217"/>
        <v>0.21566174199517299</v>
      </c>
    </row>
    <row r="782" spans="2:23" s="216" customFormat="1" ht="25.5" hidden="1" outlineLevel="3">
      <c r="B782" s="255" t="s">
        <v>908</v>
      </c>
      <c r="C782" s="290" t="s">
        <v>233</v>
      </c>
      <c r="D782" s="227" t="s">
        <v>231</v>
      </c>
      <c r="E782" s="241">
        <v>15659203689.5</v>
      </c>
      <c r="F782" s="228">
        <f t="shared" ref="F782:F792" si="223">E782/$E$780</f>
        <v>8.3333333333333329E-2</v>
      </c>
      <c r="G782" s="269">
        <f t="shared" si="219"/>
        <v>4.7310430975481986E-3</v>
      </c>
      <c r="H782" s="299">
        <v>45931</v>
      </c>
      <c r="I782" s="299">
        <v>46528</v>
      </c>
      <c r="J782" s="299">
        <v>45931</v>
      </c>
      <c r="K782" s="299">
        <v>46681</v>
      </c>
      <c r="L782" s="299">
        <v>45931</v>
      </c>
      <c r="M782" s="299">
        <v>46660</v>
      </c>
      <c r="N782" s="229">
        <f>[1]Нэгтгэл!$E$1307</f>
        <v>0.78039000563607053</v>
      </c>
      <c r="O782" s="229">
        <f>[1]Нэгтгэл!$G$1307</f>
        <v>0.78039000563607053</v>
      </c>
      <c r="P782" s="229">
        <f>[1]Нэгтгэл!$I$1307</f>
        <v>0.66727498818498221</v>
      </c>
      <c r="Q782" s="272">
        <v>0.167239038536449</v>
      </c>
      <c r="R782" s="272">
        <v>0.167239038536449</v>
      </c>
      <c r="S782" s="272">
        <v>0.33976370916979459</v>
      </c>
      <c r="T782" s="256">
        <f t="shared" si="220"/>
        <v>0.43537680738602519</v>
      </c>
      <c r="U782" s="256">
        <f t="shared" si="221"/>
        <v>0.43537680738602519</v>
      </c>
      <c r="V782" s="256">
        <f t="shared" si="222"/>
        <v>0.5091809451662006</v>
      </c>
      <c r="W782" s="256">
        <f t="shared" si="217"/>
        <v>2.0316052528354174</v>
      </c>
    </row>
    <row r="783" spans="2:23" s="216" customFormat="1" ht="25.5" hidden="1" outlineLevel="3">
      <c r="B783" s="255" t="s">
        <v>909</v>
      </c>
      <c r="C783" s="290" t="s">
        <v>235</v>
      </c>
      <c r="D783" s="227" t="s">
        <v>231</v>
      </c>
      <c r="E783" s="241">
        <v>15659203689.5</v>
      </c>
      <c r="F783" s="228">
        <f t="shared" si="223"/>
        <v>8.3333333333333329E-2</v>
      </c>
      <c r="G783" s="269">
        <f t="shared" si="219"/>
        <v>4.7310430975481986E-3</v>
      </c>
      <c r="H783" s="299">
        <v>45931</v>
      </c>
      <c r="I783" s="299">
        <v>46528</v>
      </c>
      <c r="J783" s="299">
        <v>46136</v>
      </c>
      <c r="K783" s="299">
        <v>46749</v>
      </c>
      <c r="L783" s="299">
        <v>46136</v>
      </c>
      <c r="M783" s="299">
        <v>46752</v>
      </c>
      <c r="N783" s="229">
        <f>[1]Нэгтгэл!$E$1329</f>
        <v>0.78039000563607053</v>
      </c>
      <c r="O783" s="229">
        <f>[1]Нэгтгэл!$G$1329</f>
        <v>0</v>
      </c>
      <c r="P783" s="229">
        <f>[1]Нэгтгэл!$I$1329</f>
        <v>0.45123826076692553</v>
      </c>
      <c r="Q783" s="272">
        <v>0.167239038536449</v>
      </c>
      <c r="R783" s="272">
        <v>0.167239038536449</v>
      </c>
      <c r="S783" s="272">
        <v>0.18482719346909288</v>
      </c>
      <c r="T783" s="256">
        <f t="shared" si="220"/>
        <v>0.236839518874215</v>
      </c>
      <c r="U783" s="256">
        <f t="shared" si="221"/>
        <v>0</v>
      </c>
      <c r="V783" s="256">
        <f t="shared" si="222"/>
        <v>0.4096000041196865</v>
      </c>
      <c r="W783" s="256">
        <f t="shared" si="217"/>
        <v>1.105167759194039</v>
      </c>
    </row>
    <row r="784" spans="2:23" s="216" customFormat="1" ht="25.5" hidden="1" outlineLevel="3">
      <c r="B784" s="255" t="s">
        <v>910</v>
      </c>
      <c r="C784" s="290" t="s">
        <v>237</v>
      </c>
      <c r="D784" s="227" t="s">
        <v>231</v>
      </c>
      <c r="E784" s="241">
        <v>15659203689.5</v>
      </c>
      <c r="F784" s="228">
        <f t="shared" si="223"/>
        <v>8.3333333333333329E-2</v>
      </c>
      <c r="G784" s="269">
        <f t="shared" si="219"/>
        <v>4.7310430975481986E-3</v>
      </c>
      <c r="H784" s="299">
        <v>45931</v>
      </c>
      <c r="I784" s="299">
        <v>46528</v>
      </c>
      <c r="J784" s="299">
        <v>45931</v>
      </c>
      <c r="K784" s="299">
        <v>46690</v>
      </c>
      <c r="L784" s="299">
        <v>45931</v>
      </c>
      <c r="M784" s="299">
        <v>46660</v>
      </c>
      <c r="N784" s="229">
        <f>[1]Нэгтгэл!$E$1351</f>
        <v>0.78039000563607053</v>
      </c>
      <c r="O784" s="229">
        <f>[1]Нэгтгэл!$G$1351</f>
        <v>0.78039000563607053</v>
      </c>
      <c r="P784" s="229">
        <f>[1]Нэгтгэл!$I$1351</f>
        <v>0.7615459288189852</v>
      </c>
      <c r="Q784" s="272">
        <v>0.167239038536449</v>
      </c>
      <c r="R784" s="272">
        <v>0.167239038536449</v>
      </c>
      <c r="S784" s="272">
        <v>0.31852578949727106</v>
      </c>
      <c r="T784" s="256">
        <f t="shared" si="220"/>
        <v>0.40816231268575903</v>
      </c>
      <c r="U784" s="256">
        <f t="shared" si="221"/>
        <v>0.40816231268575903</v>
      </c>
      <c r="V784" s="256">
        <f t="shared" si="222"/>
        <v>0.41826208695153133</v>
      </c>
      <c r="W784" s="256">
        <f t="shared" si="217"/>
        <v>1.9046138526313627</v>
      </c>
    </row>
    <row r="785" spans="2:23" s="216" customFormat="1" ht="25.5" hidden="1" outlineLevel="3">
      <c r="B785" s="255" t="s">
        <v>911</v>
      </c>
      <c r="C785" s="290" t="s">
        <v>239</v>
      </c>
      <c r="D785" s="227" t="s">
        <v>231</v>
      </c>
      <c r="E785" s="241">
        <v>15659203689.5</v>
      </c>
      <c r="F785" s="228">
        <f t="shared" si="223"/>
        <v>8.3333333333333329E-2</v>
      </c>
      <c r="G785" s="269">
        <f t="shared" si="219"/>
        <v>4.7310430975481986E-3</v>
      </c>
      <c r="H785" s="299">
        <v>45931</v>
      </c>
      <c r="I785" s="299">
        <v>46528</v>
      </c>
      <c r="J785" s="299">
        <v>45931</v>
      </c>
      <c r="K785" s="299">
        <v>46690</v>
      </c>
      <c r="L785" s="299">
        <v>45931</v>
      </c>
      <c r="M785" s="299">
        <v>46660</v>
      </c>
      <c r="N785" s="229">
        <f>[1]Нэгтгэл!$E$1373</f>
        <v>0.78039000563607053</v>
      </c>
      <c r="O785" s="229">
        <f>[1]Нэгтгэл!$G$1373</f>
        <v>0.78039000563607053</v>
      </c>
      <c r="P785" s="229">
        <f>[1]Нэгтгэл!$I$1373</f>
        <v>0.76216450794848145</v>
      </c>
      <c r="Q785" s="272">
        <v>0.167239038536449</v>
      </c>
      <c r="R785" s="272">
        <v>0.167239038536449</v>
      </c>
      <c r="S785" s="272">
        <v>0.34954216836433261</v>
      </c>
      <c r="T785" s="256">
        <f t="shared" si="220"/>
        <v>0.44790702833185586</v>
      </c>
      <c r="U785" s="256">
        <f t="shared" si="221"/>
        <v>0.44790702833185586</v>
      </c>
      <c r="V785" s="256">
        <f t="shared" si="222"/>
        <v>0.4586177455378963</v>
      </c>
      <c r="W785" s="256">
        <f t="shared" si="217"/>
        <v>2.0900752086550143</v>
      </c>
    </row>
    <row r="786" spans="2:23" s="216" customFormat="1" ht="25.5" hidden="1" outlineLevel="3">
      <c r="B786" s="255" t="s">
        <v>912</v>
      </c>
      <c r="C786" s="290" t="s">
        <v>241</v>
      </c>
      <c r="D786" s="227" t="s">
        <v>231</v>
      </c>
      <c r="E786" s="241">
        <v>15659203689.5</v>
      </c>
      <c r="F786" s="228">
        <f t="shared" si="223"/>
        <v>8.3333333333333329E-2</v>
      </c>
      <c r="G786" s="269">
        <f t="shared" si="219"/>
        <v>4.7310430975481986E-3</v>
      </c>
      <c r="H786" s="299">
        <v>45931</v>
      </c>
      <c r="I786" s="299">
        <v>46528</v>
      </c>
      <c r="J786" s="299">
        <v>45931</v>
      </c>
      <c r="K786" s="299">
        <v>46690</v>
      </c>
      <c r="L786" s="299">
        <v>45931</v>
      </c>
      <c r="M786" s="299">
        <v>46660</v>
      </c>
      <c r="N786" s="229">
        <f>[1]Нэгтгэл!$E$1395</f>
        <v>0.78039000563607053</v>
      </c>
      <c r="O786" s="229">
        <f>[1]Нэгтгэл!$G$1395</f>
        <v>0.78039000563607053</v>
      </c>
      <c r="P786" s="229">
        <f>[1]Нэгтгэл!$I$1395</f>
        <v>0.76211519502089631</v>
      </c>
      <c r="Q786" s="272">
        <v>0.167239038536449</v>
      </c>
      <c r="R786" s="272">
        <v>0.167239038536449</v>
      </c>
      <c r="S786" s="272">
        <v>0.35154048094976453</v>
      </c>
      <c r="T786" s="256">
        <f t="shared" si="220"/>
        <v>0.45046768719601338</v>
      </c>
      <c r="U786" s="256">
        <f t="shared" si="221"/>
        <v>0.45046768719601338</v>
      </c>
      <c r="V786" s="256">
        <f t="shared" si="222"/>
        <v>0.46126948163016973</v>
      </c>
      <c r="W786" s="256">
        <f t="shared" si="217"/>
        <v>2.1020240490867677</v>
      </c>
    </row>
    <row r="787" spans="2:23" s="216" customFormat="1" ht="25.5" hidden="1" outlineLevel="3">
      <c r="B787" s="255" t="s">
        <v>913</v>
      </c>
      <c r="C787" s="290" t="s">
        <v>243</v>
      </c>
      <c r="D787" s="227" t="s">
        <v>231</v>
      </c>
      <c r="E787" s="241">
        <v>15659203689.5</v>
      </c>
      <c r="F787" s="228">
        <f t="shared" si="223"/>
        <v>8.3333333333333329E-2</v>
      </c>
      <c r="G787" s="269">
        <f t="shared" si="219"/>
        <v>4.7310430975481986E-3</v>
      </c>
      <c r="H787" s="299">
        <v>45931</v>
      </c>
      <c r="I787" s="299">
        <v>46528</v>
      </c>
      <c r="J787" s="299">
        <v>45931</v>
      </c>
      <c r="K787" s="299">
        <v>46568</v>
      </c>
      <c r="L787" s="299">
        <v>45931</v>
      </c>
      <c r="M787" s="299">
        <v>46752</v>
      </c>
      <c r="N787" s="229">
        <f>[1]Нэгтгэл!$E$1417</f>
        <v>0.78039000563607053</v>
      </c>
      <c r="O787" s="229">
        <f>[1]Нэгтгэл!$G$1417</f>
        <v>0.78039000563607053</v>
      </c>
      <c r="P787" s="229">
        <f>[1]Нэгтгэл!$I$1417</f>
        <v>0.76241454265120501</v>
      </c>
      <c r="Q787" s="272">
        <v>0.167239038536449</v>
      </c>
      <c r="R787" s="272">
        <v>0.167239038536449</v>
      </c>
      <c r="S787" s="272">
        <v>0.34554554319346864</v>
      </c>
      <c r="T787" s="256">
        <f t="shared" si="220"/>
        <v>0.44278571060354072</v>
      </c>
      <c r="U787" s="256">
        <f t="shared" si="221"/>
        <v>0.44278571060354072</v>
      </c>
      <c r="V787" s="256">
        <f t="shared" si="222"/>
        <v>0.45322527819560671</v>
      </c>
      <c r="W787" s="256">
        <f t="shared" si="217"/>
        <v>2.0661775277915062</v>
      </c>
    </row>
    <row r="788" spans="2:23" s="216" customFormat="1" ht="25.5" hidden="1" outlineLevel="3">
      <c r="B788" s="255" t="s">
        <v>914</v>
      </c>
      <c r="C788" s="290" t="s">
        <v>245</v>
      </c>
      <c r="D788" s="227" t="s">
        <v>231</v>
      </c>
      <c r="E788" s="241">
        <v>15659203689.5</v>
      </c>
      <c r="F788" s="228">
        <f t="shared" si="223"/>
        <v>8.3333333333333329E-2</v>
      </c>
      <c r="G788" s="269">
        <f t="shared" si="219"/>
        <v>4.7310430975481986E-3</v>
      </c>
      <c r="H788" s="299">
        <v>45931</v>
      </c>
      <c r="I788" s="299">
        <v>46528</v>
      </c>
      <c r="J788" s="299">
        <v>45931</v>
      </c>
      <c r="K788" s="299">
        <v>46664</v>
      </c>
      <c r="L788" s="299">
        <v>45931</v>
      </c>
      <c r="M788" s="299">
        <v>46660</v>
      </c>
      <c r="N788" s="229">
        <f>[1]Нэгтгэл!$E$1439</f>
        <v>0.78039000563607053</v>
      </c>
      <c r="O788" s="229">
        <f>[1]Нэгтгэл!$G$1439</f>
        <v>0.78039000563607053</v>
      </c>
      <c r="P788" s="229">
        <f>[1]Нэгтгэл!$I$1439</f>
        <v>0.81409112294012331</v>
      </c>
      <c r="Q788" s="272">
        <v>0.167239038536449</v>
      </c>
      <c r="R788" s="272">
        <v>0.167239038536449</v>
      </c>
      <c r="S788" s="272">
        <v>0.34945797560954062</v>
      </c>
      <c r="T788" s="256">
        <f t="shared" si="220"/>
        <v>0.44779914284615779</v>
      </c>
      <c r="U788" s="256">
        <f t="shared" si="221"/>
        <v>0.44779914284615779</v>
      </c>
      <c r="V788" s="256">
        <f t="shared" si="222"/>
        <v>0.42926149882025355</v>
      </c>
      <c r="W788" s="256">
        <f t="shared" si="217"/>
        <v>2.089571781013186</v>
      </c>
    </row>
    <row r="789" spans="2:23" s="216" customFormat="1" ht="25.5" hidden="1" outlineLevel="3">
      <c r="B789" s="255" t="s">
        <v>915</v>
      </c>
      <c r="C789" s="290" t="s">
        <v>247</v>
      </c>
      <c r="D789" s="227" t="s">
        <v>231</v>
      </c>
      <c r="E789" s="241">
        <v>15659203689.5</v>
      </c>
      <c r="F789" s="228">
        <f t="shared" si="223"/>
        <v>8.3333333333333329E-2</v>
      </c>
      <c r="G789" s="269">
        <f t="shared" si="219"/>
        <v>4.7310430975481986E-3</v>
      </c>
      <c r="H789" s="299">
        <v>45931</v>
      </c>
      <c r="I789" s="299">
        <v>46528</v>
      </c>
      <c r="J789" s="299">
        <v>45931</v>
      </c>
      <c r="K789" s="299">
        <v>46537</v>
      </c>
      <c r="L789" s="299">
        <v>45931</v>
      </c>
      <c r="M789" s="299">
        <v>46660</v>
      </c>
      <c r="N789" s="229">
        <f>[1]Нэгтгэл!$E$1461</f>
        <v>0.78039000563607053</v>
      </c>
      <c r="O789" s="229">
        <f>[1]Нэгтгэл!$G$1461</f>
        <v>0.78039000563607053</v>
      </c>
      <c r="P789" s="229">
        <f>[1]Нэгтгэл!$I$1461</f>
        <v>0.80231308373092125</v>
      </c>
      <c r="Q789" s="272">
        <v>0.167239038536449</v>
      </c>
      <c r="R789" s="272">
        <v>0.167239038536449</v>
      </c>
      <c r="S789" s="272">
        <v>0.38698280632868209</v>
      </c>
      <c r="T789" s="256">
        <f t="shared" si="220"/>
        <v>0.49588385747362945</v>
      </c>
      <c r="U789" s="256">
        <f t="shared" si="221"/>
        <v>0.49588385747362945</v>
      </c>
      <c r="V789" s="256">
        <f t="shared" si="222"/>
        <v>0.48233390951214739</v>
      </c>
      <c r="W789" s="256">
        <f t="shared" si="217"/>
        <v>2.3139501979637425</v>
      </c>
    </row>
    <row r="790" spans="2:23" s="216" customFormat="1" ht="25.5" hidden="1" outlineLevel="3">
      <c r="B790" s="255" t="s">
        <v>916</v>
      </c>
      <c r="C790" s="290" t="s">
        <v>249</v>
      </c>
      <c r="D790" s="227" t="s">
        <v>231</v>
      </c>
      <c r="E790" s="241">
        <v>15659203689.5</v>
      </c>
      <c r="F790" s="228">
        <f t="shared" si="223"/>
        <v>8.3333333333333329E-2</v>
      </c>
      <c r="G790" s="269">
        <f t="shared" si="219"/>
        <v>4.7310430975481986E-3</v>
      </c>
      <c r="H790" s="299">
        <v>45931</v>
      </c>
      <c r="I790" s="299">
        <v>46528</v>
      </c>
      <c r="J790" s="299">
        <v>45931</v>
      </c>
      <c r="K790" s="299">
        <v>46537</v>
      </c>
      <c r="L790" s="299">
        <v>45931</v>
      </c>
      <c r="M790" s="299">
        <v>46660</v>
      </c>
      <c r="N790" s="229">
        <f>[1]Нэгтгэл!$E$1483</f>
        <v>0.78039000563607053</v>
      </c>
      <c r="O790" s="229">
        <f>[1]Нэгтгэл!$G$1483</f>
        <v>0.78039000563607053</v>
      </c>
      <c r="P790" s="229">
        <f>[1]Нэгтгэл!$I$1483</f>
        <v>0.80317961808731286</v>
      </c>
      <c r="Q790" s="272">
        <v>0.167239038536449</v>
      </c>
      <c r="R790" s="272">
        <v>0.167239038536449</v>
      </c>
      <c r="S790" s="272">
        <v>0.3575354187060602</v>
      </c>
      <c r="T790" s="256">
        <f t="shared" si="220"/>
        <v>0.45814966378848576</v>
      </c>
      <c r="U790" s="256">
        <f t="shared" si="221"/>
        <v>0.45814966378848576</v>
      </c>
      <c r="V790" s="256">
        <f t="shared" si="222"/>
        <v>0.44515001458514708</v>
      </c>
      <c r="W790" s="256">
        <f t="shared" si="217"/>
        <v>2.1378705703820282</v>
      </c>
    </row>
    <row r="791" spans="2:23" s="216" customFormat="1" ht="25.5" hidden="1" outlineLevel="3">
      <c r="B791" s="255" t="s">
        <v>917</v>
      </c>
      <c r="C791" s="290" t="s">
        <v>251</v>
      </c>
      <c r="D791" s="227" t="s">
        <v>231</v>
      </c>
      <c r="E791" s="241">
        <v>15659203689.5</v>
      </c>
      <c r="F791" s="228">
        <f t="shared" si="223"/>
        <v>8.3333333333333329E-2</v>
      </c>
      <c r="G791" s="269">
        <f t="shared" si="219"/>
        <v>4.7310430975481986E-3</v>
      </c>
      <c r="H791" s="299">
        <v>45931</v>
      </c>
      <c r="I791" s="299">
        <v>46528</v>
      </c>
      <c r="J791" s="299">
        <v>45931</v>
      </c>
      <c r="K791" s="299">
        <v>46568</v>
      </c>
      <c r="L791" s="299">
        <v>45931</v>
      </c>
      <c r="M791" s="299">
        <v>46660</v>
      </c>
      <c r="N791" s="229">
        <f>[1]Нэгтгэл!$E$1505</f>
        <v>0.78039000563607053</v>
      </c>
      <c r="O791" s="229">
        <f>[1]Нэгтгэл!$G$1505</f>
        <v>0.78039000563607053</v>
      </c>
      <c r="P791" s="229">
        <f>[1]Нэгтгэл!$I$1505</f>
        <v>0.77426507524440391</v>
      </c>
      <c r="Q791" s="272">
        <v>0.167239038536449</v>
      </c>
      <c r="R791" s="272">
        <v>0.167239038536449</v>
      </c>
      <c r="S791" s="272">
        <v>0.34548943662952314</v>
      </c>
      <c r="T791" s="256">
        <f t="shared" si="220"/>
        <v>0.4427138150595944</v>
      </c>
      <c r="U791" s="256">
        <f t="shared" si="221"/>
        <v>0.4427138150595944</v>
      </c>
      <c r="V791" s="256">
        <f t="shared" si="222"/>
        <v>0.44621596359679044</v>
      </c>
      <c r="W791" s="256">
        <f t="shared" si="217"/>
        <v>2.0658420405485964</v>
      </c>
    </row>
    <row r="792" spans="2:23" s="216" customFormat="1" ht="25.5" hidden="1" outlineLevel="3">
      <c r="B792" s="255" t="s">
        <v>918</v>
      </c>
      <c r="C792" s="290" t="s">
        <v>253</v>
      </c>
      <c r="D792" s="227" t="s">
        <v>231</v>
      </c>
      <c r="E792" s="241">
        <v>15659203689.5</v>
      </c>
      <c r="F792" s="228">
        <f t="shared" si="223"/>
        <v>8.3333333333333329E-2</v>
      </c>
      <c r="G792" s="269">
        <f t="shared" si="219"/>
        <v>4.7310430975481986E-3</v>
      </c>
      <c r="H792" s="299">
        <v>45931</v>
      </c>
      <c r="I792" s="299">
        <v>46528</v>
      </c>
      <c r="J792" s="299">
        <v>45931</v>
      </c>
      <c r="K792" s="299">
        <v>46568</v>
      </c>
      <c r="L792" s="299">
        <v>45931</v>
      </c>
      <c r="M792" s="299">
        <v>46660</v>
      </c>
      <c r="N792" s="229">
        <f>[1]Нэгтгэл!$E$1527</f>
        <v>0.78039000563607053</v>
      </c>
      <c r="O792" s="229">
        <f>[1]Нэгтгэл!$G$1527</f>
        <v>0.78039000563607053</v>
      </c>
      <c r="P792" s="229">
        <f>[1]Нэгтгэл!$I$1527</f>
        <v>0.77426507524440391</v>
      </c>
      <c r="Q792" s="272">
        <v>0.167239038536449</v>
      </c>
      <c r="R792" s="272">
        <v>0.167239038536449</v>
      </c>
      <c r="S792" s="272">
        <v>0.34548943662952314</v>
      </c>
      <c r="T792" s="256">
        <f t="shared" si="220"/>
        <v>0.4427138150595944</v>
      </c>
      <c r="U792" s="256">
        <f t="shared" si="221"/>
        <v>0.4427138150595944</v>
      </c>
      <c r="V792" s="256">
        <f t="shared" si="222"/>
        <v>0.44621596359679044</v>
      </c>
      <c r="W792" s="256">
        <f t="shared" si="217"/>
        <v>2.0658420405485964</v>
      </c>
    </row>
    <row r="793" spans="2:23" s="216" customFormat="1" ht="25.5" outlineLevel="2" collapsed="1">
      <c r="B793" s="291" t="s">
        <v>936</v>
      </c>
      <c r="C793" s="292" t="s">
        <v>41</v>
      </c>
      <c r="D793" s="234" t="s">
        <v>33</v>
      </c>
      <c r="E793" s="240">
        <f>SUM(E794:E807)</f>
        <v>214391581132.00006</v>
      </c>
      <c r="F793" s="223">
        <f t="shared" si="202"/>
        <v>0.11049772843953055</v>
      </c>
      <c r="G793" s="293">
        <f t="shared" si="203"/>
        <v>6.4773141099576562E-2</v>
      </c>
      <c r="H793" s="298">
        <v>45931</v>
      </c>
      <c r="I793" s="298">
        <v>46453</v>
      </c>
      <c r="J793" s="298">
        <v>45919</v>
      </c>
      <c r="K793" s="298">
        <v>46542</v>
      </c>
      <c r="L793" s="298">
        <v>45919</v>
      </c>
      <c r="M793" s="298">
        <f>MAX(M794:M807)</f>
        <v>46752</v>
      </c>
      <c r="N793" s="224">
        <f>SUMPRODUCT($F794:$F807,N794:N807)</f>
        <v>0.90153715638538179</v>
      </c>
      <c r="O793" s="224">
        <f t="shared" ref="O793:P793" si="224">SUMPRODUCT($F794:$F807,O794:O807)</f>
        <v>0.72888307807495956</v>
      </c>
      <c r="P793" s="224">
        <f t="shared" si="224"/>
        <v>0.79452960529400551</v>
      </c>
      <c r="Q793" s="270">
        <f>+S793+1.09%</f>
        <v>0.31240000000000001</v>
      </c>
      <c r="R793" s="270">
        <v>0.30259999999999998</v>
      </c>
      <c r="S793" s="270">
        <v>0.30149999999999999</v>
      </c>
      <c r="T793" s="254">
        <f t="shared" si="198"/>
        <v>0.33442881179610218</v>
      </c>
      <c r="U793" s="254">
        <f t="shared" si="199"/>
        <v>0.41364659033693907</v>
      </c>
      <c r="V793" s="254">
        <f t="shared" si="200"/>
        <v>0.3794698120637478</v>
      </c>
      <c r="W793" s="254">
        <f t="shared" si="217"/>
        <v>0.99636483807005949</v>
      </c>
    </row>
    <row r="794" spans="2:23" s="216" customFormat="1" ht="25.5" hidden="1" outlineLevel="3">
      <c r="B794" s="255" t="s">
        <v>907</v>
      </c>
      <c r="C794" s="290" t="s">
        <v>230</v>
      </c>
      <c r="D794" s="227" t="s">
        <v>231</v>
      </c>
      <c r="E794" s="241">
        <v>15313684366.571428</v>
      </c>
      <c r="F794" s="228">
        <f>E794/$E$793</f>
        <v>7.1428571428571411E-2</v>
      </c>
      <c r="G794" s="269">
        <f t="shared" ref="G794:G807" si="225">+E794*$G$718/$E$718</f>
        <v>4.6266529356840391E-3</v>
      </c>
      <c r="H794" s="299">
        <v>45931</v>
      </c>
      <c r="I794" s="299">
        <v>46453</v>
      </c>
      <c r="J794" s="299">
        <v>45919</v>
      </c>
      <c r="K794" s="299">
        <v>46542</v>
      </c>
      <c r="L794" s="299">
        <v>45919</v>
      </c>
      <c r="M794" s="299">
        <v>46721</v>
      </c>
      <c r="N794" s="229">
        <f>[1]Нэгтгэл!$E$1556</f>
        <v>0.90153715638538168</v>
      </c>
      <c r="O794" s="229">
        <f>[1]Нэгтгэл!$G$1556</f>
        <v>0.90153715638538168</v>
      </c>
      <c r="P794" s="229">
        <f>[1]Нэгтгэл!$I$1556</f>
        <v>0.7945296052940054</v>
      </c>
      <c r="Q794" s="272">
        <v>0.26923323492690199</v>
      </c>
      <c r="R794" s="272">
        <v>0.26923323492690199</v>
      </c>
      <c r="S794" s="272">
        <v>0.26923323492690204</v>
      </c>
      <c r="T794" s="256">
        <f t="shared" ref="T794:T807" si="226">+IF(N794=0,0,$S794/N794)</f>
        <v>0.29863797961069555</v>
      </c>
      <c r="U794" s="256">
        <f t="shared" ref="U794:U807" si="227">+IF(O794=0,0,$S794/O794)</f>
        <v>0.29863797961069555</v>
      </c>
      <c r="V794" s="256">
        <f t="shared" ref="V794:V807" si="228">+IF(P794=0,0,$S794/P794)</f>
        <v>0.33885865691219369</v>
      </c>
      <c r="W794" s="256">
        <f t="shared" si="217"/>
        <v>1.0000000000000002</v>
      </c>
    </row>
    <row r="795" spans="2:23" s="216" customFormat="1" ht="25.5" hidden="1" outlineLevel="3">
      <c r="B795" s="255" t="s">
        <v>908</v>
      </c>
      <c r="C795" s="290" t="s">
        <v>233</v>
      </c>
      <c r="D795" s="227" t="s">
        <v>231</v>
      </c>
      <c r="E795" s="241">
        <v>15313684366.571428</v>
      </c>
      <c r="F795" s="228">
        <f t="shared" ref="F795:F807" si="229">E795/$E$793</f>
        <v>7.1428571428571411E-2</v>
      </c>
      <c r="G795" s="269">
        <f t="shared" si="225"/>
        <v>4.6266529356840391E-3</v>
      </c>
      <c r="H795" s="299">
        <v>45931</v>
      </c>
      <c r="I795" s="299">
        <v>46453</v>
      </c>
      <c r="J795" s="299">
        <v>45919</v>
      </c>
      <c r="K795" s="299">
        <v>46542</v>
      </c>
      <c r="L795" s="299">
        <v>45919</v>
      </c>
      <c r="M795" s="299">
        <v>46721</v>
      </c>
      <c r="N795" s="229">
        <f>[1]Нэгтгэл!$E$1578</f>
        <v>0.90153715638538168</v>
      </c>
      <c r="O795" s="229">
        <f>[1]Нэгтгэл!$G$1578</f>
        <v>0.90153715638538168</v>
      </c>
      <c r="P795" s="229">
        <f>[1]Нэгтгэл!$I$1578</f>
        <v>0.7945296052940054</v>
      </c>
      <c r="Q795" s="272">
        <v>0.26923323492690199</v>
      </c>
      <c r="R795" s="272">
        <v>0.26923323492690199</v>
      </c>
      <c r="S795" s="272">
        <v>0.26923323492690204</v>
      </c>
      <c r="T795" s="256">
        <f t="shared" si="226"/>
        <v>0.29863797961069555</v>
      </c>
      <c r="U795" s="256">
        <f t="shared" si="227"/>
        <v>0.29863797961069555</v>
      </c>
      <c r="V795" s="256">
        <f t="shared" si="228"/>
        <v>0.33885865691219369</v>
      </c>
      <c r="W795" s="256">
        <f t="shared" si="217"/>
        <v>1.0000000000000002</v>
      </c>
    </row>
    <row r="796" spans="2:23" s="216" customFormat="1" ht="25.5" hidden="1" outlineLevel="3">
      <c r="B796" s="255" t="s">
        <v>909</v>
      </c>
      <c r="C796" s="290" t="s">
        <v>235</v>
      </c>
      <c r="D796" s="227" t="s">
        <v>231</v>
      </c>
      <c r="E796" s="241">
        <v>15313684366.571428</v>
      </c>
      <c r="F796" s="228">
        <f t="shared" si="229"/>
        <v>7.1428571428571411E-2</v>
      </c>
      <c r="G796" s="269">
        <f t="shared" si="225"/>
        <v>4.6266529356840391E-3</v>
      </c>
      <c r="H796" s="299">
        <v>45931</v>
      </c>
      <c r="I796" s="299">
        <v>46453</v>
      </c>
      <c r="J796" s="299">
        <v>45919</v>
      </c>
      <c r="K796" s="299">
        <v>46542</v>
      </c>
      <c r="L796" s="299">
        <v>45919</v>
      </c>
      <c r="M796" s="299">
        <v>46721</v>
      </c>
      <c r="N796" s="229">
        <f>[1]Нэгтгэл!$E$1600</f>
        <v>0.90153715638538168</v>
      </c>
      <c r="O796" s="229">
        <f>[1]Нэгтгэл!$G$1600</f>
        <v>0.90153715638538168</v>
      </c>
      <c r="P796" s="229">
        <f>[1]Нэгтгэл!$I$1600</f>
        <v>0.7945296052940054</v>
      </c>
      <c r="Q796" s="272">
        <v>0.26923323492690199</v>
      </c>
      <c r="R796" s="272">
        <v>0.26923323492690199</v>
      </c>
      <c r="S796" s="272">
        <v>0.26923323492690204</v>
      </c>
      <c r="T796" s="256">
        <f t="shared" si="226"/>
        <v>0.29863797961069555</v>
      </c>
      <c r="U796" s="256">
        <f t="shared" si="227"/>
        <v>0.29863797961069555</v>
      </c>
      <c r="V796" s="256">
        <f t="shared" si="228"/>
        <v>0.33885865691219369</v>
      </c>
      <c r="W796" s="256">
        <f t="shared" si="217"/>
        <v>1.0000000000000002</v>
      </c>
    </row>
    <row r="797" spans="2:23" s="216" customFormat="1" ht="25.5" hidden="1" outlineLevel="3">
      <c r="B797" s="255" t="s">
        <v>910</v>
      </c>
      <c r="C797" s="290" t="s">
        <v>237</v>
      </c>
      <c r="D797" s="227" t="s">
        <v>231</v>
      </c>
      <c r="E797" s="241">
        <v>15313684366.571428</v>
      </c>
      <c r="F797" s="228">
        <f t="shared" si="229"/>
        <v>7.1428571428571411E-2</v>
      </c>
      <c r="G797" s="269">
        <f t="shared" si="225"/>
        <v>4.6266529356840391E-3</v>
      </c>
      <c r="H797" s="299">
        <v>45931</v>
      </c>
      <c r="I797" s="299">
        <v>46453</v>
      </c>
      <c r="J797" s="299">
        <v>45919</v>
      </c>
      <c r="K797" s="299">
        <v>46542</v>
      </c>
      <c r="L797" s="299">
        <v>45919</v>
      </c>
      <c r="M797" s="299">
        <v>46542</v>
      </c>
      <c r="N797" s="229">
        <f>[1]Нэгтгэл!$E$1622</f>
        <v>0.90153715638538168</v>
      </c>
      <c r="O797" s="229">
        <f>[1]Нэгтгэл!$G$1622</f>
        <v>0.90153715638538168</v>
      </c>
      <c r="P797" s="229">
        <f>[1]Нэгтгэл!$I$1622</f>
        <v>0.7945296052940054</v>
      </c>
      <c r="Q797" s="272">
        <v>0.26923323492690199</v>
      </c>
      <c r="R797" s="272">
        <v>0.26923323492690199</v>
      </c>
      <c r="S797" s="272">
        <v>0.26923323492690204</v>
      </c>
      <c r="T797" s="256">
        <f t="shared" si="226"/>
        <v>0.29863797961069555</v>
      </c>
      <c r="U797" s="256">
        <f t="shared" si="227"/>
        <v>0.29863797961069555</v>
      </c>
      <c r="V797" s="256">
        <f t="shared" si="228"/>
        <v>0.33885865691219369</v>
      </c>
      <c r="W797" s="256">
        <f t="shared" si="217"/>
        <v>1.0000000000000002</v>
      </c>
    </row>
    <row r="798" spans="2:23" s="216" customFormat="1" ht="25.5" hidden="1" outlineLevel="3">
      <c r="B798" s="255" t="s">
        <v>911</v>
      </c>
      <c r="C798" s="290" t="s">
        <v>239</v>
      </c>
      <c r="D798" s="227" t="s">
        <v>231</v>
      </c>
      <c r="E798" s="241">
        <v>15313684366.571428</v>
      </c>
      <c r="F798" s="228">
        <f t="shared" si="229"/>
        <v>7.1428571428571411E-2</v>
      </c>
      <c r="G798" s="269">
        <f t="shared" si="225"/>
        <v>4.6266529356840391E-3</v>
      </c>
      <c r="H798" s="299">
        <v>45931</v>
      </c>
      <c r="I798" s="299">
        <v>46453</v>
      </c>
      <c r="J798" s="299">
        <v>45919</v>
      </c>
      <c r="K798" s="299">
        <v>46542</v>
      </c>
      <c r="L798" s="299">
        <v>45919</v>
      </c>
      <c r="M798" s="299">
        <v>46542</v>
      </c>
      <c r="N798" s="229">
        <f>[1]Нэгтгэл!$E$1644</f>
        <v>0.90153715638538168</v>
      </c>
      <c r="O798" s="229">
        <f>[1]Нэгтгэл!$G$1644</f>
        <v>0.90153715638538168</v>
      </c>
      <c r="P798" s="229">
        <f>[1]Нэгтгэл!$I$1644</f>
        <v>0.7945296052940054</v>
      </c>
      <c r="Q798" s="272">
        <v>0.26923323492690199</v>
      </c>
      <c r="R798" s="272">
        <v>0.26923323492690199</v>
      </c>
      <c r="S798" s="272">
        <v>0.26923323492690204</v>
      </c>
      <c r="T798" s="256">
        <f t="shared" si="226"/>
        <v>0.29863797961069555</v>
      </c>
      <c r="U798" s="256">
        <f t="shared" si="227"/>
        <v>0.29863797961069555</v>
      </c>
      <c r="V798" s="256">
        <f t="shared" si="228"/>
        <v>0.33885865691219369</v>
      </c>
      <c r="W798" s="256">
        <f t="shared" si="217"/>
        <v>1.0000000000000002</v>
      </c>
    </row>
    <row r="799" spans="2:23" s="216" customFormat="1" ht="25.5" hidden="1" outlineLevel="3">
      <c r="B799" s="255" t="s">
        <v>912</v>
      </c>
      <c r="C799" s="290" t="s">
        <v>241</v>
      </c>
      <c r="D799" s="227" t="s">
        <v>231</v>
      </c>
      <c r="E799" s="241">
        <v>15313684366.571428</v>
      </c>
      <c r="F799" s="228">
        <f t="shared" si="229"/>
        <v>7.1428571428571411E-2</v>
      </c>
      <c r="G799" s="269">
        <f t="shared" si="225"/>
        <v>4.6266529356840391E-3</v>
      </c>
      <c r="H799" s="299">
        <v>45931</v>
      </c>
      <c r="I799" s="299">
        <v>46453</v>
      </c>
      <c r="J799" s="299">
        <v>45919</v>
      </c>
      <c r="K799" s="299">
        <v>46542</v>
      </c>
      <c r="L799" s="299">
        <v>45919</v>
      </c>
      <c r="M799" s="299">
        <v>46752</v>
      </c>
      <c r="N799" s="229">
        <f>[1]Нэгтгэл!$E$1666</f>
        <v>0.90153715638538168</v>
      </c>
      <c r="O799" s="229">
        <f>[1]Нэгтгэл!$G$1666</f>
        <v>0.28745437281023661</v>
      </c>
      <c r="P799" s="229">
        <f>[1]Нэгтгэл!$I$1666</f>
        <v>0.7945296052940054</v>
      </c>
      <c r="Q799" s="272">
        <v>0.26923323492690199</v>
      </c>
      <c r="R799" s="272">
        <v>0.26923323492690199</v>
      </c>
      <c r="S799" s="272">
        <v>0.26923323492690204</v>
      </c>
      <c r="T799" s="256">
        <f t="shared" si="226"/>
        <v>0.29863797961069555</v>
      </c>
      <c r="U799" s="256">
        <f t="shared" si="227"/>
        <v>0.93661206922963292</v>
      </c>
      <c r="V799" s="256">
        <f t="shared" si="228"/>
        <v>0.33885865691219369</v>
      </c>
      <c r="W799" s="256">
        <f t="shared" si="217"/>
        <v>1.0000000000000002</v>
      </c>
    </row>
    <row r="800" spans="2:23" s="216" customFormat="1" ht="25.5" hidden="1" outlineLevel="3">
      <c r="B800" s="255" t="s">
        <v>913</v>
      </c>
      <c r="C800" s="290" t="s">
        <v>243</v>
      </c>
      <c r="D800" s="227" t="s">
        <v>231</v>
      </c>
      <c r="E800" s="241">
        <v>15313684366.571428</v>
      </c>
      <c r="F800" s="228">
        <f t="shared" si="229"/>
        <v>7.1428571428571411E-2</v>
      </c>
      <c r="G800" s="269">
        <f t="shared" si="225"/>
        <v>4.6266529356840391E-3</v>
      </c>
      <c r="H800" s="299">
        <v>45931</v>
      </c>
      <c r="I800" s="299">
        <v>46453</v>
      </c>
      <c r="J800" s="299">
        <v>45919</v>
      </c>
      <c r="K800" s="299">
        <v>46542</v>
      </c>
      <c r="L800" s="299">
        <v>45919</v>
      </c>
      <c r="M800" s="299">
        <v>46542</v>
      </c>
      <c r="N800" s="229">
        <f>[1]Нэгтгэл!$E$1688</f>
        <v>0.90153715638538168</v>
      </c>
      <c r="O800" s="229">
        <f>[1]Нэгтгэл!$G$1688</f>
        <v>0.90153715638538168</v>
      </c>
      <c r="P800" s="229">
        <f>[1]Нэгтгэл!$I$1688</f>
        <v>0.7945296052940054</v>
      </c>
      <c r="Q800" s="272">
        <v>0.26923323492690199</v>
      </c>
      <c r="R800" s="272">
        <v>0.26923323492690199</v>
      </c>
      <c r="S800" s="272">
        <v>0.26923323492690204</v>
      </c>
      <c r="T800" s="256">
        <f t="shared" si="226"/>
        <v>0.29863797961069555</v>
      </c>
      <c r="U800" s="256">
        <f t="shared" si="227"/>
        <v>0.29863797961069555</v>
      </c>
      <c r="V800" s="256">
        <f t="shared" si="228"/>
        <v>0.33885865691219369</v>
      </c>
      <c r="W800" s="256">
        <f t="shared" si="217"/>
        <v>1.0000000000000002</v>
      </c>
    </row>
    <row r="801" spans="2:23" s="216" customFormat="1" ht="25.5" hidden="1" outlineLevel="3">
      <c r="B801" s="255" t="s">
        <v>914</v>
      </c>
      <c r="C801" s="290" t="s">
        <v>245</v>
      </c>
      <c r="D801" s="227" t="s">
        <v>231</v>
      </c>
      <c r="E801" s="241">
        <v>15313684366.571428</v>
      </c>
      <c r="F801" s="228">
        <f t="shared" si="229"/>
        <v>7.1428571428571411E-2</v>
      </c>
      <c r="G801" s="269">
        <f t="shared" si="225"/>
        <v>4.6266529356840391E-3</v>
      </c>
      <c r="H801" s="299">
        <v>45931</v>
      </c>
      <c r="I801" s="299">
        <v>46453</v>
      </c>
      <c r="J801" s="299">
        <v>45919</v>
      </c>
      <c r="K801" s="299">
        <v>46542</v>
      </c>
      <c r="L801" s="299">
        <v>45919</v>
      </c>
      <c r="M801" s="299">
        <v>46542</v>
      </c>
      <c r="N801" s="229">
        <f>[1]Нэгтгэл!$E$1710</f>
        <v>0.90153715638538168</v>
      </c>
      <c r="O801" s="229">
        <f>[1]Нэгтгэл!$G$1710</f>
        <v>0.90153715638538168</v>
      </c>
      <c r="P801" s="229">
        <f>[1]Нэгтгэл!$I$1710</f>
        <v>0.7945296052940054</v>
      </c>
      <c r="Q801" s="272">
        <v>0.26923323492690199</v>
      </c>
      <c r="R801" s="272">
        <v>0.26923323492690199</v>
      </c>
      <c r="S801" s="272">
        <v>0.26923323492690204</v>
      </c>
      <c r="T801" s="256">
        <f t="shared" si="226"/>
        <v>0.29863797961069555</v>
      </c>
      <c r="U801" s="256">
        <f t="shared" si="227"/>
        <v>0.29863797961069555</v>
      </c>
      <c r="V801" s="256">
        <f t="shared" si="228"/>
        <v>0.33885865691219369</v>
      </c>
      <c r="W801" s="256">
        <f t="shared" si="217"/>
        <v>1.0000000000000002</v>
      </c>
    </row>
    <row r="802" spans="2:23" s="216" customFormat="1" ht="25.5" hidden="1" outlineLevel="3">
      <c r="B802" s="255" t="s">
        <v>915</v>
      </c>
      <c r="C802" s="290" t="s">
        <v>247</v>
      </c>
      <c r="D802" s="227" t="s">
        <v>231</v>
      </c>
      <c r="E802" s="241">
        <v>15313684366.571428</v>
      </c>
      <c r="F802" s="228">
        <f t="shared" si="229"/>
        <v>7.1428571428571411E-2</v>
      </c>
      <c r="G802" s="269">
        <f t="shared" si="225"/>
        <v>4.6266529356840391E-3</v>
      </c>
      <c r="H802" s="299">
        <v>45931</v>
      </c>
      <c r="I802" s="299">
        <v>46453</v>
      </c>
      <c r="J802" s="299">
        <v>45919</v>
      </c>
      <c r="K802" s="299">
        <v>46542</v>
      </c>
      <c r="L802" s="299">
        <v>45919</v>
      </c>
      <c r="M802" s="299">
        <v>46752</v>
      </c>
      <c r="N802" s="229">
        <f>[1]Нэгтгэл!$E$1732</f>
        <v>0.90153715638538168</v>
      </c>
      <c r="O802" s="229">
        <f>[1]Нэгтгэл!$G$1732</f>
        <v>0</v>
      </c>
      <c r="P802" s="229">
        <f>[1]Нэгтгэл!$I$1732</f>
        <v>0.7945296052940054</v>
      </c>
      <c r="Q802" s="272">
        <v>0.26923323492690199</v>
      </c>
      <c r="R802" s="272">
        <v>0.26923323492690199</v>
      </c>
      <c r="S802" s="272">
        <v>0.26923323492690204</v>
      </c>
      <c r="T802" s="256">
        <f t="shared" si="226"/>
        <v>0.29863797961069555</v>
      </c>
      <c r="U802" s="256">
        <f t="shared" si="227"/>
        <v>0</v>
      </c>
      <c r="V802" s="256">
        <f t="shared" si="228"/>
        <v>0.33885865691219369</v>
      </c>
      <c r="W802" s="256">
        <f t="shared" si="217"/>
        <v>1.0000000000000002</v>
      </c>
    </row>
    <row r="803" spans="2:23" s="216" customFormat="1" ht="25.5" hidden="1" outlineLevel="3">
      <c r="B803" s="255" t="s">
        <v>916</v>
      </c>
      <c r="C803" s="290" t="s">
        <v>249</v>
      </c>
      <c r="D803" s="227" t="s">
        <v>231</v>
      </c>
      <c r="E803" s="241">
        <v>15313684366.571428</v>
      </c>
      <c r="F803" s="228">
        <f t="shared" si="229"/>
        <v>7.1428571428571411E-2</v>
      </c>
      <c r="G803" s="269">
        <f t="shared" si="225"/>
        <v>4.6266529356840391E-3</v>
      </c>
      <c r="H803" s="299">
        <v>45931</v>
      </c>
      <c r="I803" s="299">
        <v>46453</v>
      </c>
      <c r="J803" s="299">
        <v>45919</v>
      </c>
      <c r="K803" s="299">
        <v>46542</v>
      </c>
      <c r="L803" s="299">
        <v>45919</v>
      </c>
      <c r="M803" s="299">
        <v>46752</v>
      </c>
      <c r="N803" s="229">
        <f>[1]Нэгтгэл!$E$1754</f>
        <v>0.90153715638538168</v>
      </c>
      <c r="O803" s="229">
        <f>[1]Нэгтгэл!$G$1754</f>
        <v>0</v>
      </c>
      <c r="P803" s="229">
        <f>[1]Нэгтгэл!$I$1754</f>
        <v>0.7945296052940054</v>
      </c>
      <c r="Q803" s="272">
        <v>0.26923323492690199</v>
      </c>
      <c r="R803" s="272">
        <v>0.26923323492690199</v>
      </c>
      <c r="S803" s="272">
        <v>0.26923323492690204</v>
      </c>
      <c r="T803" s="256">
        <f t="shared" si="226"/>
        <v>0.29863797961069555</v>
      </c>
      <c r="U803" s="256">
        <f t="shared" si="227"/>
        <v>0</v>
      </c>
      <c r="V803" s="256">
        <f t="shared" si="228"/>
        <v>0.33885865691219369</v>
      </c>
      <c r="W803" s="256">
        <f t="shared" si="217"/>
        <v>1.0000000000000002</v>
      </c>
    </row>
    <row r="804" spans="2:23" s="216" customFormat="1" ht="25.5" hidden="1" outlineLevel="3">
      <c r="B804" s="255" t="s">
        <v>917</v>
      </c>
      <c r="C804" s="290" t="s">
        <v>251</v>
      </c>
      <c r="D804" s="227" t="s">
        <v>231</v>
      </c>
      <c r="E804" s="241">
        <v>15313684366.571428</v>
      </c>
      <c r="F804" s="228">
        <f t="shared" si="229"/>
        <v>7.1428571428571411E-2</v>
      </c>
      <c r="G804" s="269">
        <f t="shared" si="225"/>
        <v>4.6266529356840391E-3</v>
      </c>
      <c r="H804" s="299">
        <v>45931</v>
      </c>
      <c r="I804" s="299">
        <v>46453</v>
      </c>
      <c r="J804" s="299">
        <v>45919</v>
      </c>
      <c r="K804" s="299">
        <v>46542</v>
      </c>
      <c r="L804" s="299">
        <v>45919</v>
      </c>
      <c r="M804" s="299">
        <v>46752</v>
      </c>
      <c r="N804" s="229">
        <f>[1]Нэгтгэл!$E$1776</f>
        <v>0.90153715638538168</v>
      </c>
      <c r="O804" s="229">
        <f>[1]Нэгтгэл!$G$1776</f>
        <v>0.90153715638538168</v>
      </c>
      <c r="P804" s="229">
        <f>[1]Нэгтгэл!$I$1776</f>
        <v>0.7945296052940054</v>
      </c>
      <c r="Q804" s="272">
        <v>0.26923323492690199</v>
      </c>
      <c r="R804" s="272">
        <v>0.26923323492690199</v>
      </c>
      <c r="S804" s="272">
        <v>0.26923323492690204</v>
      </c>
      <c r="T804" s="256">
        <f t="shared" si="226"/>
        <v>0.29863797961069555</v>
      </c>
      <c r="U804" s="256">
        <f t="shared" si="227"/>
        <v>0.29863797961069555</v>
      </c>
      <c r="V804" s="256">
        <f t="shared" si="228"/>
        <v>0.33885865691219369</v>
      </c>
      <c r="W804" s="256">
        <f t="shared" si="217"/>
        <v>1.0000000000000002</v>
      </c>
    </row>
    <row r="805" spans="2:23" s="216" customFormat="1" ht="25.5" hidden="1" outlineLevel="3">
      <c r="B805" s="255" t="s">
        <v>918</v>
      </c>
      <c r="C805" s="290" t="s">
        <v>253</v>
      </c>
      <c r="D805" s="227" t="s">
        <v>231</v>
      </c>
      <c r="E805" s="241">
        <v>15313684366.571428</v>
      </c>
      <c r="F805" s="228">
        <f t="shared" si="229"/>
        <v>7.1428571428571411E-2</v>
      </c>
      <c r="G805" s="269">
        <f t="shared" si="225"/>
        <v>4.6266529356840391E-3</v>
      </c>
      <c r="H805" s="299">
        <v>45931</v>
      </c>
      <c r="I805" s="299">
        <v>46453</v>
      </c>
      <c r="J805" s="299">
        <v>45919</v>
      </c>
      <c r="K805" s="299">
        <v>46542</v>
      </c>
      <c r="L805" s="299">
        <v>45919</v>
      </c>
      <c r="M805" s="299">
        <v>46542</v>
      </c>
      <c r="N805" s="229">
        <f>[1]Нэгтгэл!$E$1798</f>
        <v>0.90153715638538168</v>
      </c>
      <c r="O805" s="229">
        <f>[1]Нэгтгэл!$G$1798</f>
        <v>0.90153715638538168</v>
      </c>
      <c r="P805" s="229">
        <f>[1]Нэгтгэл!$I$1798</f>
        <v>0.7945296052940054</v>
      </c>
      <c r="Q805" s="272">
        <v>0.26923323492690199</v>
      </c>
      <c r="R805" s="272">
        <v>0.26923323492690199</v>
      </c>
      <c r="S805" s="272">
        <v>0.26923323492690204</v>
      </c>
      <c r="T805" s="256">
        <f t="shared" si="226"/>
        <v>0.29863797961069555</v>
      </c>
      <c r="U805" s="256">
        <f t="shared" si="227"/>
        <v>0.29863797961069555</v>
      </c>
      <c r="V805" s="256">
        <f t="shared" si="228"/>
        <v>0.33885865691219369</v>
      </c>
      <c r="W805" s="256">
        <f t="shared" si="217"/>
        <v>1.0000000000000002</v>
      </c>
    </row>
    <row r="806" spans="2:23" s="216" customFormat="1" ht="25.5" hidden="1" outlineLevel="3">
      <c r="B806" s="255" t="s">
        <v>919</v>
      </c>
      <c r="C806" s="290" t="s">
        <v>285</v>
      </c>
      <c r="D806" s="227" t="s">
        <v>231</v>
      </c>
      <c r="E806" s="241">
        <v>15313684366.571428</v>
      </c>
      <c r="F806" s="228">
        <f t="shared" si="229"/>
        <v>7.1428571428571411E-2</v>
      </c>
      <c r="G806" s="269">
        <f t="shared" si="225"/>
        <v>4.6266529356840391E-3</v>
      </c>
      <c r="H806" s="299">
        <v>45931</v>
      </c>
      <c r="I806" s="299">
        <v>46453</v>
      </c>
      <c r="J806" s="299">
        <v>45919</v>
      </c>
      <c r="K806" s="299">
        <v>46542</v>
      </c>
      <c r="L806" s="299">
        <v>45919</v>
      </c>
      <c r="M806" s="299">
        <v>46542</v>
      </c>
      <c r="N806" s="229">
        <f>[1]Нэгтгэл!$E$1820</f>
        <v>0.90153715638538168</v>
      </c>
      <c r="O806" s="229">
        <f>[1]Нэгтгэл!$G$1820</f>
        <v>0.90153715638538168</v>
      </c>
      <c r="P806" s="229">
        <f>[1]Нэгтгэл!$I$1820</f>
        <v>0.7945296052940054</v>
      </c>
      <c r="Q806" s="272">
        <v>0.26923323492690199</v>
      </c>
      <c r="R806" s="272">
        <v>0.26923323492690199</v>
      </c>
      <c r="S806" s="272">
        <v>0.26923323492690204</v>
      </c>
      <c r="T806" s="256">
        <f t="shared" si="226"/>
        <v>0.29863797961069555</v>
      </c>
      <c r="U806" s="256">
        <f t="shared" si="227"/>
        <v>0.29863797961069555</v>
      </c>
      <c r="V806" s="256">
        <f t="shared" si="228"/>
        <v>0.33885865691219369</v>
      </c>
      <c r="W806" s="256">
        <f t="shared" si="217"/>
        <v>1.0000000000000002</v>
      </c>
    </row>
    <row r="807" spans="2:23" s="216" customFormat="1" ht="25.5" hidden="1" outlineLevel="3">
      <c r="B807" s="255" t="s">
        <v>920</v>
      </c>
      <c r="C807" s="290" t="s">
        <v>287</v>
      </c>
      <c r="D807" s="227" t="s">
        <v>231</v>
      </c>
      <c r="E807" s="241">
        <v>15313684366.571428</v>
      </c>
      <c r="F807" s="228">
        <f t="shared" si="229"/>
        <v>7.1428571428571411E-2</v>
      </c>
      <c r="G807" s="269">
        <f t="shared" si="225"/>
        <v>4.6266529356840391E-3</v>
      </c>
      <c r="H807" s="299">
        <v>45931</v>
      </c>
      <c r="I807" s="299">
        <v>46453</v>
      </c>
      <c r="J807" s="299">
        <v>45919</v>
      </c>
      <c r="K807" s="299">
        <v>46542</v>
      </c>
      <c r="L807" s="299">
        <v>45919</v>
      </c>
      <c r="M807" s="299">
        <v>46542</v>
      </c>
      <c r="N807" s="229">
        <f>[1]Нэгтгэл!$E$1842</f>
        <v>0.90153715638538168</v>
      </c>
      <c r="O807" s="229">
        <f>[1]Нэгтгэл!$G$1842</f>
        <v>0.90153715638538168</v>
      </c>
      <c r="P807" s="229">
        <f>[1]Нэгтгэл!$I$1842</f>
        <v>0.7945296052940054</v>
      </c>
      <c r="Q807" s="272">
        <v>0.26923323492690199</v>
      </c>
      <c r="R807" s="272">
        <v>0.26923323492690199</v>
      </c>
      <c r="S807" s="272">
        <v>0.26923323492690204</v>
      </c>
      <c r="T807" s="256">
        <f t="shared" si="226"/>
        <v>0.29863797961069555</v>
      </c>
      <c r="U807" s="256">
        <f t="shared" si="227"/>
        <v>0.29863797961069555</v>
      </c>
      <c r="V807" s="256">
        <f t="shared" si="228"/>
        <v>0.33885865691219369</v>
      </c>
      <c r="W807" s="256">
        <f t="shared" si="217"/>
        <v>1.0000000000000002</v>
      </c>
    </row>
    <row r="808" spans="2:23" s="216" customFormat="1" ht="25.5" outlineLevel="2" collapsed="1">
      <c r="B808" s="291" t="s">
        <v>937</v>
      </c>
      <c r="C808" s="292" t="s">
        <v>43</v>
      </c>
      <c r="D808" s="234" t="s">
        <v>33</v>
      </c>
      <c r="E808" s="240">
        <f>SUM(E809:E825)</f>
        <v>259778021987</v>
      </c>
      <c r="F808" s="223">
        <f t="shared" si="202"/>
        <v>0.13388996515868054</v>
      </c>
      <c r="G808" s="293">
        <f t="shared" si="203"/>
        <v>7.8485537463212046E-2</v>
      </c>
      <c r="H808" s="298">
        <v>45934</v>
      </c>
      <c r="I808" s="298">
        <v>46552</v>
      </c>
      <c r="J808" s="298">
        <v>45926</v>
      </c>
      <c r="K808" s="298">
        <v>46679</v>
      </c>
      <c r="L808" s="298">
        <v>45926</v>
      </c>
      <c r="M808" s="298">
        <v>46679</v>
      </c>
      <c r="N808" s="224">
        <f>SUMPRODUCT($F809:$F825,N809:N825)</f>
        <v>0.72617050539913719</v>
      </c>
      <c r="O808" s="224">
        <f t="shared" ref="O808:P808" si="230">SUMPRODUCT($F809:$F825,O809:O825)</f>
        <v>0.66142340848536996</v>
      </c>
      <c r="P808" s="224">
        <f t="shared" si="230"/>
        <v>0.72598591806960422</v>
      </c>
      <c r="Q808" s="270">
        <f>+S808+0.58%</f>
        <v>0.32620000000000005</v>
      </c>
      <c r="R808" s="270">
        <v>0.34499999999999997</v>
      </c>
      <c r="S808" s="270">
        <v>0.32040000000000002</v>
      </c>
      <c r="T808" s="254">
        <f t="shared" si="198"/>
        <v>0.4412186912271977</v>
      </c>
      <c r="U808" s="254">
        <f t="shared" si="199"/>
        <v>0.48440982869611721</v>
      </c>
      <c r="V808" s="254">
        <f t="shared" si="200"/>
        <v>0.44133087436729251</v>
      </c>
      <c r="W808" s="254">
        <f t="shared" si="217"/>
        <v>0.92869565217391314</v>
      </c>
    </row>
    <row r="809" spans="2:23" s="216" customFormat="1" ht="25.5" hidden="1" outlineLevel="3">
      <c r="B809" s="255" t="s">
        <v>907</v>
      </c>
      <c r="C809" s="290" t="s">
        <v>230</v>
      </c>
      <c r="D809" s="227" t="s">
        <v>231</v>
      </c>
      <c r="E809" s="241">
        <v>16171446768</v>
      </c>
      <c r="F809" s="228">
        <f>E809/$E$808</f>
        <v>6.2251019714089834E-2</v>
      </c>
      <c r="G809" s="269">
        <f t="shared" ref="G809:G825" si="231">+E809*$G$718/$E$718</f>
        <v>4.8858047398933485E-3</v>
      </c>
      <c r="H809" s="299">
        <v>45934</v>
      </c>
      <c r="I809" s="299">
        <v>46528</v>
      </c>
      <c r="J809" s="299">
        <v>45926</v>
      </c>
      <c r="K809" s="299">
        <v>46628</v>
      </c>
      <c r="L809" s="299">
        <v>45926</v>
      </c>
      <c r="M809" s="299">
        <v>46628</v>
      </c>
      <c r="N809" s="229">
        <f>[1]Нэгтгэл!$E$1871</f>
        <v>0.72426442335586627</v>
      </c>
      <c r="O809" s="229">
        <f>[1]Нэгтгэл!$G$1871</f>
        <v>0.72426442335586627</v>
      </c>
      <c r="P809" s="229">
        <f>[1]Нэгтгэл!$I$1871</f>
        <v>0.82238642910257798</v>
      </c>
      <c r="Q809" s="272">
        <v>0.312878671787364</v>
      </c>
      <c r="R809" s="272">
        <v>0.312878671787364</v>
      </c>
      <c r="S809" s="272">
        <v>0.31287867178736428</v>
      </c>
      <c r="T809" s="256">
        <f t="shared" ref="T809:T824" si="232">+IF(N809=0,0,$S809/N809)</f>
        <v>0.43199508590750124</v>
      </c>
      <c r="U809" s="256">
        <f t="shared" ref="U809:U824" si="233">+IF(O809=0,0,$S809/O809)</f>
        <v>0.43199508590750124</v>
      </c>
      <c r="V809" s="256">
        <f t="shared" ref="V809:V824" si="234">+IF(P809=0,0,$S809/P809)</f>
        <v>0.3804521338329846</v>
      </c>
      <c r="W809" s="256">
        <f t="shared" si="217"/>
        <v>1.0000000000000009</v>
      </c>
    </row>
    <row r="810" spans="2:23" s="216" customFormat="1" ht="25.5" hidden="1" outlineLevel="3">
      <c r="B810" s="255" t="s">
        <v>908</v>
      </c>
      <c r="C810" s="290" t="s">
        <v>233</v>
      </c>
      <c r="D810" s="227" t="s">
        <v>231</v>
      </c>
      <c r="E810" s="241">
        <v>16171446768</v>
      </c>
      <c r="F810" s="228">
        <f t="shared" ref="F810:F825" si="235">E810/$E$808</f>
        <v>6.2251019714089834E-2</v>
      </c>
      <c r="G810" s="269">
        <f t="shared" si="231"/>
        <v>4.8858047398933485E-3</v>
      </c>
      <c r="H810" s="299">
        <v>45934</v>
      </c>
      <c r="I810" s="299">
        <v>46528</v>
      </c>
      <c r="J810" s="299">
        <v>45926</v>
      </c>
      <c r="K810" s="299">
        <v>46628</v>
      </c>
      <c r="L810" s="299">
        <v>45926</v>
      </c>
      <c r="M810" s="299">
        <v>46628</v>
      </c>
      <c r="N810" s="229">
        <f>[1]Нэгтгэл!$E$1893</f>
        <v>0.72426442335586627</v>
      </c>
      <c r="O810" s="229">
        <f>[1]Нэгтгэл!$G$1893</f>
        <v>0.72426442335586627</v>
      </c>
      <c r="P810" s="229">
        <f>[1]Нэгтгэл!$I$1893</f>
        <v>0.82238642910257798</v>
      </c>
      <c r="Q810" s="272">
        <v>0.312878671787364</v>
      </c>
      <c r="R810" s="272">
        <v>0.312878671787364</v>
      </c>
      <c r="S810" s="272">
        <v>0.31287867178736428</v>
      </c>
      <c r="T810" s="256">
        <f t="shared" si="232"/>
        <v>0.43199508590750124</v>
      </c>
      <c r="U810" s="256">
        <f t="shared" si="233"/>
        <v>0.43199508590750124</v>
      </c>
      <c r="V810" s="256">
        <f t="shared" si="234"/>
        <v>0.3804521338329846</v>
      </c>
      <c r="W810" s="256">
        <f t="shared" si="217"/>
        <v>1.0000000000000009</v>
      </c>
    </row>
    <row r="811" spans="2:23" s="216" customFormat="1" ht="25.5" hidden="1" outlineLevel="3">
      <c r="B811" s="255" t="s">
        <v>909</v>
      </c>
      <c r="C811" s="290" t="s">
        <v>235</v>
      </c>
      <c r="D811" s="227" t="s">
        <v>231</v>
      </c>
      <c r="E811" s="241">
        <v>16171446768</v>
      </c>
      <c r="F811" s="228">
        <f t="shared" si="235"/>
        <v>6.2251019714089834E-2</v>
      </c>
      <c r="G811" s="269">
        <f t="shared" si="231"/>
        <v>4.8858047398933485E-3</v>
      </c>
      <c r="H811" s="299">
        <v>45934</v>
      </c>
      <c r="I811" s="299">
        <v>46528</v>
      </c>
      <c r="J811" s="299">
        <v>45926</v>
      </c>
      <c r="K811" s="299">
        <v>46597</v>
      </c>
      <c r="L811" s="299">
        <v>45926</v>
      </c>
      <c r="M811" s="299">
        <v>46597</v>
      </c>
      <c r="N811" s="229">
        <f>[1]Нэгтгэл!$E$1915</f>
        <v>0.72426442335586627</v>
      </c>
      <c r="O811" s="229">
        <f>[1]Нэгтгэл!$G$1915</f>
        <v>0.72426442335586627</v>
      </c>
      <c r="P811" s="229">
        <f>[1]Нэгтгэл!$I$1915</f>
        <v>0.82302676994207868</v>
      </c>
      <c r="Q811" s="272">
        <v>0.312878671787364</v>
      </c>
      <c r="R811" s="272">
        <v>0.312878671787364</v>
      </c>
      <c r="S811" s="272">
        <v>0.31287867178736428</v>
      </c>
      <c r="T811" s="256">
        <f t="shared" si="232"/>
        <v>0.43199508590750124</v>
      </c>
      <c r="U811" s="256">
        <f t="shared" si="233"/>
        <v>0.43199508590750124</v>
      </c>
      <c r="V811" s="256">
        <f t="shared" si="234"/>
        <v>0.38015613004833781</v>
      </c>
      <c r="W811" s="256">
        <f t="shared" si="217"/>
        <v>1.0000000000000009</v>
      </c>
    </row>
    <row r="812" spans="2:23" s="216" customFormat="1" ht="25.5" hidden="1" outlineLevel="3">
      <c r="B812" s="255" t="s">
        <v>910</v>
      </c>
      <c r="C812" s="290" t="s">
        <v>237</v>
      </c>
      <c r="D812" s="227" t="s">
        <v>231</v>
      </c>
      <c r="E812" s="241">
        <v>16171446768</v>
      </c>
      <c r="F812" s="228">
        <f t="shared" si="235"/>
        <v>6.2251019714089834E-2</v>
      </c>
      <c r="G812" s="269">
        <f t="shared" si="231"/>
        <v>4.8858047398933485E-3</v>
      </c>
      <c r="H812" s="299">
        <v>45934</v>
      </c>
      <c r="I812" s="299">
        <v>46528</v>
      </c>
      <c r="J812" s="299">
        <v>46084</v>
      </c>
      <c r="K812" s="299">
        <v>46679</v>
      </c>
      <c r="L812" s="299">
        <v>46084</v>
      </c>
      <c r="M812" s="299">
        <v>46679</v>
      </c>
      <c r="N812" s="229">
        <f>[1]Нэгтгэл!$E$1937</f>
        <v>0.72426442335586627</v>
      </c>
      <c r="O812" s="229">
        <f>[1]Нэгтгэл!$G$1937</f>
        <v>0.72426442335586627</v>
      </c>
      <c r="P812" s="229">
        <f>[1]Нэгтгэл!$I$1937</f>
        <v>0.51339252112546185</v>
      </c>
      <c r="Q812" s="272">
        <v>0.312878671787364</v>
      </c>
      <c r="R812" s="272">
        <v>0.312878671787364</v>
      </c>
      <c r="S812" s="272">
        <v>0.31287867178736428</v>
      </c>
      <c r="T812" s="256">
        <f t="shared" si="232"/>
        <v>0.43199508590750124</v>
      </c>
      <c r="U812" s="256">
        <f t="shared" si="233"/>
        <v>0.43199508590750124</v>
      </c>
      <c r="V812" s="256">
        <f t="shared" si="234"/>
        <v>0.60943363783615312</v>
      </c>
      <c r="W812" s="256">
        <f t="shared" si="217"/>
        <v>1.0000000000000009</v>
      </c>
    </row>
    <row r="813" spans="2:23" s="216" customFormat="1" ht="25.5" hidden="1" outlineLevel="3">
      <c r="B813" s="255" t="s">
        <v>911</v>
      </c>
      <c r="C813" s="290" t="s">
        <v>239</v>
      </c>
      <c r="D813" s="227" t="s">
        <v>231</v>
      </c>
      <c r="E813" s="241">
        <v>16171446768</v>
      </c>
      <c r="F813" s="228">
        <f t="shared" si="235"/>
        <v>6.2251019714089834E-2</v>
      </c>
      <c r="G813" s="269">
        <f t="shared" si="231"/>
        <v>4.8858047398933485E-3</v>
      </c>
      <c r="H813" s="299">
        <v>45934</v>
      </c>
      <c r="I813" s="299">
        <v>46528</v>
      </c>
      <c r="J813" s="299">
        <v>46084</v>
      </c>
      <c r="K813" s="299">
        <v>46679</v>
      </c>
      <c r="L813" s="299">
        <v>46084</v>
      </c>
      <c r="M813" s="299">
        <v>46679</v>
      </c>
      <c r="N813" s="229">
        <f>[1]Нэгтгэл!$E$1959</f>
        <v>0.72426442335586627</v>
      </c>
      <c r="O813" s="229">
        <f>[1]Нэгтгэл!$G$1959</f>
        <v>0.72426442335586627</v>
      </c>
      <c r="P813" s="229">
        <f>[1]Нэгтгэл!$I$1959</f>
        <v>0.51339252112546185</v>
      </c>
      <c r="Q813" s="272">
        <v>0.312878671787364</v>
      </c>
      <c r="R813" s="272">
        <v>0.312878671787364</v>
      </c>
      <c r="S813" s="272">
        <v>0.31287867178736428</v>
      </c>
      <c r="T813" s="256">
        <f t="shared" si="232"/>
        <v>0.43199508590750124</v>
      </c>
      <c r="U813" s="256">
        <f t="shared" si="233"/>
        <v>0.43199508590750124</v>
      </c>
      <c r="V813" s="256">
        <f t="shared" si="234"/>
        <v>0.60943363783615312</v>
      </c>
      <c r="W813" s="256">
        <f t="shared" si="217"/>
        <v>1.0000000000000009</v>
      </c>
    </row>
    <row r="814" spans="2:23" s="216" customFormat="1" ht="25.5" hidden="1" outlineLevel="3">
      <c r="B814" s="255" t="s">
        <v>912</v>
      </c>
      <c r="C814" s="290" t="s">
        <v>241</v>
      </c>
      <c r="D814" s="227" t="s">
        <v>231</v>
      </c>
      <c r="E814" s="241">
        <v>16171446768</v>
      </c>
      <c r="F814" s="228">
        <f t="shared" si="235"/>
        <v>6.2251019714089834E-2</v>
      </c>
      <c r="G814" s="269">
        <f t="shared" si="231"/>
        <v>4.8858047398933485E-3</v>
      </c>
      <c r="H814" s="299">
        <v>45934</v>
      </c>
      <c r="I814" s="299">
        <v>46528</v>
      </c>
      <c r="J814" s="299">
        <v>46084</v>
      </c>
      <c r="K814" s="299">
        <v>46679</v>
      </c>
      <c r="L814" s="299">
        <v>46084</v>
      </c>
      <c r="M814" s="299">
        <v>46679</v>
      </c>
      <c r="N814" s="229">
        <f>[1]Нэгтгэл!$E$1981</f>
        <v>0.72426442335586627</v>
      </c>
      <c r="O814" s="229">
        <f>[1]Нэгтгэл!$G$1981</f>
        <v>0.3791557677659933</v>
      </c>
      <c r="P814" s="229">
        <f>[1]Нэгтгэл!$I$1981</f>
        <v>0.51339252112546185</v>
      </c>
      <c r="Q814" s="272">
        <v>0.312878671787364</v>
      </c>
      <c r="R814" s="272">
        <v>0.312878671787364</v>
      </c>
      <c r="S814" s="272">
        <v>0.31287867178736428</v>
      </c>
      <c r="T814" s="256">
        <f t="shared" si="232"/>
        <v>0.43199508590750124</v>
      </c>
      <c r="U814" s="256">
        <f t="shared" si="233"/>
        <v>0.82519823878946286</v>
      </c>
      <c r="V814" s="256">
        <f t="shared" si="234"/>
        <v>0.60943363783615312</v>
      </c>
      <c r="W814" s="256">
        <f t="shared" si="217"/>
        <v>1.0000000000000009</v>
      </c>
    </row>
    <row r="815" spans="2:23" s="216" customFormat="1" ht="25.5" hidden="1" outlineLevel="3">
      <c r="B815" s="255" t="s">
        <v>913</v>
      </c>
      <c r="C815" s="290" t="s">
        <v>243</v>
      </c>
      <c r="D815" s="227" t="s">
        <v>231</v>
      </c>
      <c r="E815" s="241">
        <v>16171446768</v>
      </c>
      <c r="F815" s="228">
        <f t="shared" si="235"/>
        <v>6.2251019714089834E-2</v>
      </c>
      <c r="G815" s="269">
        <f t="shared" si="231"/>
        <v>4.8858047398933485E-3</v>
      </c>
      <c r="H815" s="299">
        <v>45934</v>
      </c>
      <c r="I815" s="299">
        <v>46528</v>
      </c>
      <c r="J815" s="299">
        <v>45926</v>
      </c>
      <c r="K815" s="299">
        <v>46597</v>
      </c>
      <c r="L815" s="299">
        <v>45926</v>
      </c>
      <c r="M815" s="299">
        <v>46597</v>
      </c>
      <c r="N815" s="229">
        <f>[1]Нэгтгэл!$E$2003</f>
        <v>0.72426442335586627</v>
      </c>
      <c r="O815" s="229">
        <f>[1]Нэгтгэл!$G$2003</f>
        <v>0.72426442335586627</v>
      </c>
      <c r="P815" s="229">
        <f>[1]Нэгтгэл!$I$2003</f>
        <v>0.82302676994207868</v>
      </c>
      <c r="Q815" s="272">
        <v>0.312878671787364</v>
      </c>
      <c r="R815" s="272">
        <v>0.312878671787364</v>
      </c>
      <c r="S815" s="272">
        <v>0.31287867178736428</v>
      </c>
      <c r="T815" s="256">
        <f t="shared" si="232"/>
        <v>0.43199508590750124</v>
      </c>
      <c r="U815" s="256">
        <f t="shared" si="233"/>
        <v>0.43199508590750124</v>
      </c>
      <c r="V815" s="256">
        <f t="shared" si="234"/>
        <v>0.38015613004833781</v>
      </c>
      <c r="W815" s="256">
        <f t="shared" si="217"/>
        <v>1.0000000000000009</v>
      </c>
    </row>
    <row r="816" spans="2:23" s="216" customFormat="1" ht="25.5" hidden="1" outlineLevel="3">
      <c r="B816" s="255" t="s">
        <v>914</v>
      </c>
      <c r="C816" s="290" t="s">
        <v>245</v>
      </c>
      <c r="D816" s="227" t="s">
        <v>231</v>
      </c>
      <c r="E816" s="241">
        <v>16171446768</v>
      </c>
      <c r="F816" s="228">
        <f t="shared" si="235"/>
        <v>6.2251019714089834E-2</v>
      </c>
      <c r="G816" s="269">
        <f t="shared" si="231"/>
        <v>4.8858047398933485E-3</v>
      </c>
      <c r="H816" s="299">
        <v>45934</v>
      </c>
      <c r="I816" s="299">
        <v>46528</v>
      </c>
      <c r="J816" s="299">
        <v>45926</v>
      </c>
      <c r="K816" s="299">
        <v>46597</v>
      </c>
      <c r="L816" s="299">
        <v>45926</v>
      </c>
      <c r="M816" s="299">
        <v>46597</v>
      </c>
      <c r="N816" s="229">
        <f>[1]Нэгтгэл!$E$2025</f>
        <v>0.72426442335586627</v>
      </c>
      <c r="O816" s="229">
        <f>[1]Нэгтгэл!$G$2025</f>
        <v>0.72426442335586627</v>
      </c>
      <c r="P816" s="229">
        <f>[1]Нэгтгэл!$I$2025</f>
        <v>0.82302676994207868</v>
      </c>
      <c r="Q816" s="272">
        <v>0.312878671787364</v>
      </c>
      <c r="R816" s="272">
        <v>0.312878671787364</v>
      </c>
      <c r="S816" s="272">
        <v>0.31287867178736428</v>
      </c>
      <c r="T816" s="256">
        <f t="shared" si="232"/>
        <v>0.43199508590750124</v>
      </c>
      <c r="U816" s="256">
        <f t="shared" si="233"/>
        <v>0.43199508590750124</v>
      </c>
      <c r="V816" s="256">
        <f t="shared" si="234"/>
        <v>0.38015613004833781</v>
      </c>
      <c r="W816" s="256">
        <f t="shared" si="217"/>
        <v>1.0000000000000009</v>
      </c>
    </row>
    <row r="817" spans="2:23" s="216" customFormat="1" ht="25.5" hidden="1" outlineLevel="3">
      <c r="B817" s="255" t="s">
        <v>915</v>
      </c>
      <c r="C817" s="290" t="s">
        <v>247</v>
      </c>
      <c r="D817" s="227" t="s">
        <v>231</v>
      </c>
      <c r="E817" s="241">
        <v>16171446768</v>
      </c>
      <c r="F817" s="228">
        <f t="shared" si="235"/>
        <v>6.2251019714089834E-2</v>
      </c>
      <c r="G817" s="269">
        <f t="shared" si="231"/>
        <v>4.8858047398933485E-3</v>
      </c>
      <c r="H817" s="299">
        <v>45934</v>
      </c>
      <c r="I817" s="299">
        <v>46528</v>
      </c>
      <c r="J817" s="299">
        <v>46084</v>
      </c>
      <c r="K817" s="299">
        <v>46679</v>
      </c>
      <c r="L817" s="299">
        <v>46084</v>
      </c>
      <c r="M817" s="299">
        <v>46679</v>
      </c>
      <c r="N817" s="229">
        <f>[1]Нэгтгэл!$E$2047</f>
        <v>0.72426442335586627</v>
      </c>
      <c r="O817" s="229">
        <f>[1]Нэгтгэл!$G$2047</f>
        <v>0.37852818391533599</v>
      </c>
      <c r="P817" s="229">
        <f>[1]Нэгтгэл!$I$2047</f>
        <v>0.51339252112546185</v>
      </c>
      <c r="Q817" s="272">
        <v>0.312878671787364</v>
      </c>
      <c r="R817" s="272">
        <v>0.312878671787364</v>
      </c>
      <c r="S817" s="272">
        <v>0.31287867178736428</v>
      </c>
      <c r="T817" s="256">
        <f t="shared" si="232"/>
        <v>0.43199508590750124</v>
      </c>
      <c r="U817" s="256">
        <f t="shared" si="233"/>
        <v>0.82656638285445272</v>
      </c>
      <c r="V817" s="256">
        <f t="shared" si="234"/>
        <v>0.60943363783615312</v>
      </c>
      <c r="W817" s="256">
        <f t="shared" si="217"/>
        <v>1.0000000000000009</v>
      </c>
    </row>
    <row r="818" spans="2:23" s="216" customFormat="1" ht="25.5" hidden="1" outlineLevel="3">
      <c r="B818" s="255" t="s">
        <v>916</v>
      </c>
      <c r="C818" s="290" t="s">
        <v>249</v>
      </c>
      <c r="D818" s="227" t="s">
        <v>231</v>
      </c>
      <c r="E818" s="241">
        <v>16171446768</v>
      </c>
      <c r="F818" s="228">
        <f t="shared" si="235"/>
        <v>6.2251019714089834E-2</v>
      </c>
      <c r="G818" s="269">
        <f t="shared" si="231"/>
        <v>4.8858047398933485E-3</v>
      </c>
      <c r="H818" s="299">
        <v>45934</v>
      </c>
      <c r="I818" s="299">
        <v>46552</v>
      </c>
      <c r="J818" s="299">
        <v>45926</v>
      </c>
      <c r="K818" s="299">
        <v>46628</v>
      </c>
      <c r="L818" s="299">
        <v>45926</v>
      </c>
      <c r="M818" s="299">
        <v>46628</v>
      </c>
      <c r="N818" s="229">
        <f>[1]Нэгтгэл!$E$2069</f>
        <v>0.73188875152895061</v>
      </c>
      <c r="O818" s="229">
        <f>[1]Нэгтгэл!$G$2069</f>
        <v>0.73188875152895061</v>
      </c>
      <c r="P818" s="229">
        <f>[1]Нэгтгэл!$I$2069</f>
        <v>0.82238642910257798</v>
      </c>
      <c r="Q818" s="272">
        <v>0.312878671787364</v>
      </c>
      <c r="R818" s="272">
        <v>0.312878671787364</v>
      </c>
      <c r="S818" s="272">
        <v>0.31287867178736428</v>
      </c>
      <c r="T818" s="256">
        <f t="shared" si="232"/>
        <v>0.42749484963902745</v>
      </c>
      <c r="U818" s="256">
        <f t="shared" si="233"/>
        <v>0.42749484963902745</v>
      </c>
      <c r="V818" s="256">
        <f t="shared" si="234"/>
        <v>0.3804521338329846</v>
      </c>
      <c r="W818" s="256">
        <f t="shared" si="217"/>
        <v>1.0000000000000009</v>
      </c>
    </row>
    <row r="819" spans="2:23" s="216" customFormat="1" ht="25.5" hidden="1" outlineLevel="3">
      <c r="B819" s="255" t="s">
        <v>917</v>
      </c>
      <c r="C819" s="290" t="s">
        <v>251</v>
      </c>
      <c r="D819" s="227" t="s">
        <v>231</v>
      </c>
      <c r="E819" s="241">
        <v>16171446768</v>
      </c>
      <c r="F819" s="228">
        <f t="shared" si="235"/>
        <v>6.2251019714089834E-2</v>
      </c>
      <c r="G819" s="269">
        <f t="shared" si="231"/>
        <v>4.8858047398933485E-3</v>
      </c>
      <c r="H819" s="299">
        <v>45934</v>
      </c>
      <c r="I819" s="299">
        <v>46528</v>
      </c>
      <c r="J819" s="299">
        <v>45926</v>
      </c>
      <c r="K819" s="299">
        <v>46628</v>
      </c>
      <c r="L819" s="299">
        <v>45926</v>
      </c>
      <c r="M819" s="299">
        <v>46628</v>
      </c>
      <c r="N819" s="229">
        <f>[1]Нэгтгэл!$E$2091</f>
        <v>0.72426442335586627</v>
      </c>
      <c r="O819" s="229">
        <f>[1]Нэгтгэл!$G$2091</f>
        <v>0.72426442335586627</v>
      </c>
      <c r="P819" s="229">
        <f>[1]Нэгтгэл!$I$2091</f>
        <v>0.82238642910257798</v>
      </c>
      <c r="Q819" s="272">
        <v>0.312878671787364</v>
      </c>
      <c r="R819" s="272">
        <v>0.312878671787364</v>
      </c>
      <c r="S819" s="272">
        <v>0.31287867178736428</v>
      </c>
      <c r="T819" s="256">
        <f t="shared" si="232"/>
        <v>0.43199508590750124</v>
      </c>
      <c r="U819" s="256">
        <f t="shared" si="233"/>
        <v>0.43199508590750124</v>
      </c>
      <c r="V819" s="256">
        <f t="shared" si="234"/>
        <v>0.3804521338329846</v>
      </c>
      <c r="W819" s="256">
        <f t="shared" si="217"/>
        <v>1.0000000000000009</v>
      </c>
    </row>
    <row r="820" spans="2:23" s="216" customFormat="1" ht="25.5" hidden="1" outlineLevel="3">
      <c r="B820" s="255" t="s">
        <v>918</v>
      </c>
      <c r="C820" s="290" t="s">
        <v>253</v>
      </c>
      <c r="D820" s="227" t="s">
        <v>231</v>
      </c>
      <c r="E820" s="241">
        <v>16171446768</v>
      </c>
      <c r="F820" s="228">
        <f t="shared" si="235"/>
        <v>6.2251019714089834E-2</v>
      </c>
      <c r="G820" s="269">
        <f t="shared" si="231"/>
        <v>4.8858047398933485E-3</v>
      </c>
      <c r="H820" s="299">
        <v>45934</v>
      </c>
      <c r="I820" s="299">
        <v>46528</v>
      </c>
      <c r="J820" s="299">
        <v>45926</v>
      </c>
      <c r="K820" s="299">
        <v>46628</v>
      </c>
      <c r="L820" s="299">
        <v>45926</v>
      </c>
      <c r="M820" s="299">
        <v>46628</v>
      </c>
      <c r="N820" s="229">
        <f>[1]Нэгтгэл!$E$2113</f>
        <v>0.72426442335586627</v>
      </c>
      <c r="O820" s="229">
        <f>[1]Нэгтгэл!$G$2113</f>
        <v>0.72426442335586627</v>
      </c>
      <c r="P820" s="229">
        <f>[1]Нэгтгэл!$I$2113</f>
        <v>0.82238642910257798</v>
      </c>
      <c r="Q820" s="272">
        <v>0.312878671787364</v>
      </c>
      <c r="R820" s="272">
        <v>0.312878671787364</v>
      </c>
      <c r="S820" s="272">
        <v>0.31287867178736428</v>
      </c>
      <c r="T820" s="256">
        <f t="shared" si="232"/>
        <v>0.43199508590750124</v>
      </c>
      <c r="U820" s="256">
        <f t="shared" si="233"/>
        <v>0.43199508590750124</v>
      </c>
      <c r="V820" s="256">
        <f t="shared" si="234"/>
        <v>0.3804521338329846</v>
      </c>
      <c r="W820" s="256">
        <f t="shared" si="217"/>
        <v>1.0000000000000009</v>
      </c>
    </row>
    <row r="821" spans="2:23" s="216" customFormat="1" ht="25.5" hidden="1" outlineLevel="3">
      <c r="B821" s="255" t="s">
        <v>919</v>
      </c>
      <c r="C821" s="290" t="s">
        <v>285</v>
      </c>
      <c r="D821" s="227" t="s">
        <v>231</v>
      </c>
      <c r="E821" s="241">
        <v>16171446768</v>
      </c>
      <c r="F821" s="228">
        <f t="shared" si="235"/>
        <v>6.2251019714089834E-2</v>
      </c>
      <c r="G821" s="269">
        <f t="shared" si="231"/>
        <v>4.8858047398933485E-3</v>
      </c>
      <c r="H821" s="299">
        <v>45934</v>
      </c>
      <c r="I821" s="299">
        <v>46552</v>
      </c>
      <c r="J821" s="299">
        <v>45926</v>
      </c>
      <c r="K821" s="299">
        <v>46628</v>
      </c>
      <c r="L821" s="299">
        <v>45926</v>
      </c>
      <c r="M821" s="299">
        <v>46628</v>
      </c>
      <c r="N821" s="229">
        <f>[1]Нэгтгэл!$E$2135</f>
        <v>0.73188875152895061</v>
      </c>
      <c r="O821" s="229">
        <f>[1]Нэгтгэл!$G$2135</f>
        <v>0.73188875152895061</v>
      </c>
      <c r="P821" s="229">
        <f>[1]Нэгтгэл!$I$2135</f>
        <v>0.82238642910257798</v>
      </c>
      <c r="Q821" s="272">
        <v>0.312878671787364</v>
      </c>
      <c r="R821" s="272">
        <v>0.312878671787364</v>
      </c>
      <c r="S821" s="272">
        <v>0.31287867178736428</v>
      </c>
      <c r="T821" s="256">
        <f t="shared" si="232"/>
        <v>0.42749484963902745</v>
      </c>
      <c r="U821" s="256">
        <f t="shared" si="233"/>
        <v>0.42749484963902745</v>
      </c>
      <c r="V821" s="256">
        <f t="shared" si="234"/>
        <v>0.3804521338329846</v>
      </c>
      <c r="W821" s="256">
        <f t="shared" si="217"/>
        <v>1.0000000000000009</v>
      </c>
    </row>
    <row r="822" spans="2:23" s="216" customFormat="1" ht="25.5" hidden="1" outlineLevel="3">
      <c r="B822" s="255" t="s">
        <v>920</v>
      </c>
      <c r="C822" s="290" t="s">
        <v>287</v>
      </c>
      <c r="D822" s="227" t="s">
        <v>231</v>
      </c>
      <c r="E822" s="241">
        <v>16171446768</v>
      </c>
      <c r="F822" s="228">
        <f t="shared" si="235"/>
        <v>6.2251019714089834E-2</v>
      </c>
      <c r="G822" s="269">
        <f t="shared" si="231"/>
        <v>4.8858047398933485E-3</v>
      </c>
      <c r="H822" s="299">
        <v>45934</v>
      </c>
      <c r="I822" s="299">
        <v>46552</v>
      </c>
      <c r="J822" s="299">
        <v>45926</v>
      </c>
      <c r="K822" s="299">
        <v>46628</v>
      </c>
      <c r="L822" s="299">
        <v>45926</v>
      </c>
      <c r="M822" s="299">
        <v>46628</v>
      </c>
      <c r="N822" s="229">
        <f>[1]Нэгтгэл!$E$2157</f>
        <v>0.73188875152895061</v>
      </c>
      <c r="O822" s="229">
        <f>[1]Нэгтгэл!$G$2157</f>
        <v>0.73188875152895061</v>
      </c>
      <c r="P822" s="229">
        <f>[1]Нэгтгэл!$I$2157</f>
        <v>0.82238642910257798</v>
      </c>
      <c r="Q822" s="272">
        <v>0.312878671787364</v>
      </c>
      <c r="R822" s="272">
        <v>0.312878671787364</v>
      </c>
      <c r="S822" s="272">
        <v>0.31287867178736428</v>
      </c>
      <c r="T822" s="256">
        <f t="shared" si="232"/>
        <v>0.42749484963902745</v>
      </c>
      <c r="U822" s="256">
        <f t="shared" si="233"/>
        <v>0.42749484963902745</v>
      </c>
      <c r="V822" s="256">
        <f t="shared" si="234"/>
        <v>0.3804521338329846</v>
      </c>
      <c r="W822" s="256">
        <f t="shared" si="217"/>
        <v>1.0000000000000009</v>
      </c>
    </row>
    <row r="823" spans="2:23" s="216" customFormat="1" ht="25.5" hidden="1" outlineLevel="3">
      <c r="B823" s="255" t="s">
        <v>921</v>
      </c>
      <c r="C823" s="290" t="s">
        <v>289</v>
      </c>
      <c r="D823" s="227" t="s">
        <v>231</v>
      </c>
      <c r="E823" s="241">
        <v>16171446768</v>
      </c>
      <c r="F823" s="228">
        <f t="shared" si="235"/>
        <v>6.2251019714089834E-2</v>
      </c>
      <c r="G823" s="269">
        <f t="shared" si="231"/>
        <v>4.8858047398933485E-3</v>
      </c>
      <c r="H823" s="299">
        <v>45934</v>
      </c>
      <c r="I823" s="299">
        <v>46528</v>
      </c>
      <c r="J823" s="299">
        <v>46084</v>
      </c>
      <c r="K823" s="299">
        <v>46679</v>
      </c>
      <c r="L823" s="299">
        <v>46084</v>
      </c>
      <c r="M823" s="299">
        <v>46679</v>
      </c>
      <c r="N823" s="229">
        <f>[1]Нэгтгэл!$E$2179</f>
        <v>0.72426442335586627</v>
      </c>
      <c r="O823" s="229">
        <f>[1]Нэгтгэл!$G$2179</f>
        <v>0.3791557677659933</v>
      </c>
      <c r="P823" s="229">
        <f>[1]Нэгтгэл!$I$2179</f>
        <v>0.51339252112546185</v>
      </c>
      <c r="Q823" s="272">
        <v>0.312878671787364</v>
      </c>
      <c r="R823" s="272">
        <v>0.312878671787364</v>
      </c>
      <c r="S823" s="272">
        <v>0.31287867178736428</v>
      </c>
      <c r="T823" s="256">
        <f t="shared" si="232"/>
        <v>0.43199508590750124</v>
      </c>
      <c r="U823" s="256">
        <f t="shared" si="233"/>
        <v>0.82519823878946286</v>
      </c>
      <c r="V823" s="256">
        <f t="shared" si="234"/>
        <v>0.60943363783615312</v>
      </c>
      <c r="W823" s="256">
        <f t="shared" si="217"/>
        <v>1.0000000000000009</v>
      </c>
    </row>
    <row r="824" spans="2:23" s="216" customFormat="1" ht="25.5" hidden="1" outlineLevel="3">
      <c r="B824" s="255" t="s">
        <v>922</v>
      </c>
      <c r="C824" s="290" t="s">
        <v>291</v>
      </c>
      <c r="D824" s="227" t="s">
        <v>231</v>
      </c>
      <c r="E824" s="241">
        <v>16171446768</v>
      </c>
      <c r="F824" s="228">
        <f t="shared" si="235"/>
        <v>6.2251019714089834E-2</v>
      </c>
      <c r="G824" s="269">
        <f t="shared" si="231"/>
        <v>4.8858047398933485E-3</v>
      </c>
      <c r="H824" s="299">
        <v>45934</v>
      </c>
      <c r="I824" s="299">
        <v>46552</v>
      </c>
      <c r="J824" s="299">
        <v>45926</v>
      </c>
      <c r="K824" s="299">
        <v>46597</v>
      </c>
      <c r="L824" s="299">
        <v>45926</v>
      </c>
      <c r="M824" s="299">
        <v>46597</v>
      </c>
      <c r="N824" s="229">
        <f>[1]Нэгтгэл!$E$2201</f>
        <v>0.73188875152895061</v>
      </c>
      <c r="O824" s="229">
        <f>[1]Нэгтгэл!$G$2201</f>
        <v>0.73188875152895061</v>
      </c>
      <c r="P824" s="229">
        <f>[1]Нэгтгэл!$I$2201</f>
        <v>0.82302676994207868</v>
      </c>
      <c r="Q824" s="272">
        <v>0.312878671787364</v>
      </c>
      <c r="R824" s="272">
        <v>0.312878671787364</v>
      </c>
      <c r="S824" s="272">
        <v>0.31287867178736428</v>
      </c>
      <c r="T824" s="256">
        <f t="shared" si="232"/>
        <v>0.42749484963902745</v>
      </c>
      <c r="U824" s="256">
        <f t="shared" si="233"/>
        <v>0.42749484963902745</v>
      </c>
      <c r="V824" s="256">
        <f t="shared" si="234"/>
        <v>0.38015613004833781</v>
      </c>
      <c r="W824" s="256">
        <f t="shared" si="217"/>
        <v>1.0000000000000009</v>
      </c>
    </row>
    <row r="825" spans="2:23" s="216" customFormat="1" ht="25.5" hidden="1" outlineLevel="3">
      <c r="B825" s="255" t="s">
        <v>923</v>
      </c>
      <c r="C825" s="290" t="s">
        <v>366</v>
      </c>
      <c r="D825" s="227" t="s">
        <v>367</v>
      </c>
      <c r="E825" s="241">
        <v>1034873699</v>
      </c>
      <c r="F825" s="228">
        <f t="shared" si="235"/>
        <v>3.9836845745626157E-3</v>
      </c>
      <c r="G825" s="269">
        <f t="shared" si="231"/>
        <v>3.1266162491845411E-4</v>
      </c>
      <c r="H825" s="299"/>
      <c r="I825" s="299"/>
      <c r="J825" s="299"/>
      <c r="K825" s="299"/>
      <c r="L825" s="299"/>
      <c r="M825" s="299"/>
      <c r="N825" s="229">
        <f>[1]Нэгтгэл!$E$1864</f>
        <v>0.7261705053991373</v>
      </c>
      <c r="O825" s="229">
        <f>[1]Нэгтгэл!$G$1864</f>
        <v>0.66142340848537018</v>
      </c>
      <c r="P825" s="229">
        <f>[1]Нэгтгэл!$I$1864</f>
        <v>0.72598591806960422</v>
      </c>
      <c r="Q825" s="272">
        <v>0.312878671787364</v>
      </c>
      <c r="R825" s="272">
        <v>0.312878671787364</v>
      </c>
      <c r="S825" s="272">
        <v>0.31287867178736428</v>
      </c>
      <c r="T825" s="256">
        <f t="shared" ref="T825" si="236">+IF(N825=0,0,$S825/N825)</f>
        <v>0.43086116753721843</v>
      </c>
      <c r="U825" s="256">
        <f t="shared" ref="U825" si="237">+IF(O825=0,0,$S825/O825)</f>
        <v>0.47303840138322645</v>
      </c>
      <c r="V825" s="256">
        <f t="shared" ref="V825" si="238">+IF(P825=0,0,$S825/P825)</f>
        <v>0.43097071719973346</v>
      </c>
      <c r="W825" s="256">
        <f t="shared" si="217"/>
        <v>1.0000000000000009</v>
      </c>
    </row>
    <row r="826" spans="2:23" s="216" customFormat="1" ht="25.5" outlineLevel="2" collapsed="1">
      <c r="B826" s="291" t="s">
        <v>938</v>
      </c>
      <c r="C826" s="292" t="s">
        <v>45</v>
      </c>
      <c r="D826" s="234" t="s">
        <v>33</v>
      </c>
      <c r="E826" s="240">
        <f>SUM(E827:E840)</f>
        <v>197697448454.96002</v>
      </c>
      <c r="F826" s="223">
        <f t="shared" si="202"/>
        <v>0.10189354851165684</v>
      </c>
      <c r="G826" s="293">
        <f t="shared" si="203"/>
        <v>5.9729419673037916E-2</v>
      </c>
      <c r="H826" s="298">
        <v>45931</v>
      </c>
      <c r="I826" s="298">
        <v>46485</v>
      </c>
      <c r="J826" s="298">
        <v>45938</v>
      </c>
      <c r="K826" s="298">
        <v>46735</v>
      </c>
      <c r="L826" s="298">
        <v>45938</v>
      </c>
      <c r="M826" s="298">
        <v>46735</v>
      </c>
      <c r="N826" s="224">
        <f>SUMPRODUCT($F827:$F840,N827:N840)</f>
        <v>0.91008169372710968</v>
      </c>
      <c r="O826" s="224">
        <f t="shared" ref="O826" si="239">SUMPRODUCT($F827:$F840,O827:O840)</f>
        <v>0.71147942588799629</v>
      </c>
      <c r="P826" s="270">
        <v>9.06E-2</v>
      </c>
      <c r="Q826" s="270">
        <v>9.06E-2</v>
      </c>
      <c r="R826" s="270">
        <v>9.06E-2</v>
      </c>
      <c r="S826" s="270">
        <v>7.1999999999999995E-2</v>
      </c>
      <c r="T826" s="254">
        <f t="shared" si="198"/>
        <v>7.9113776813963005E-2</v>
      </c>
      <c r="U826" s="254">
        <f t="shared" si="199"/>
        <v>0.10119758545391093</v>
      </c>
      <c r="V826" s="254">
        <f t="shared" si="200"/>
        <v>0.79470198675496684</v>
      </c>
      <c r="W826" s="254">
        <f t="shared" si="217"/>
        <v>0.79470198675496684</v>
      </c>
    </row>
    <row r="827" spans="2:23" s="216" customFormat="1" ht="25.5" hidden="1" outlineLevel="3">
      <c r="B827" s="255" t="s">
        <v>907</v>
      </c>
      <c r="C827" s="290" t="s">
        <v>230</v>
      </c>
      <c r="D827" s="227" t="s">
        <v>231</v>
      </c>
      <c r="E827" s="241">
        <v>14722338669.16</v>
      </c>
      <c r="F827" s="228">
        <f>E827/$E$826</f>
        <v>7.4469037330616245E-2</v>
      </c>
      <c r="G827" s="269">
        <f t="shared" ref="G827:G840" si="240">+E827*$G$718/$E$718</f>
        <v>4.4479923833675057E-3</v>
      </c>
      <c r="H827" s="299">
        <v>45931</v>
      </c>
      <c r="I827" s="299">
        <v>46334</v>
      </c>
      <c r="J827" s="299">
        <v>45931</v>
      </c>
      <c r="K827" s="299">
        <v>46334</v>
      </c>
      <c r="L827" s="299">
        <v>45938</v>
      </c>
      <c r="M827" s="299">
        <v>46726</v>
      </c>
      <c r="N827" s="229">
        <f>[1]Нэгтгэл!$E$2230</f>
        <v>1</v>
      </c>
      <c r="O827" s="229">
        <f>[1]Нэгтгэл!$G$2230</f>
        <v>1</v>
      </c>
      <c r="P827" s="229">
        <f>[1]Нэгтгэл!$I$2230</f>
        <v>0.21003498172398571</v>
      </c>
      <c r="Q827" s="272">
        <v>9.3002620689545096E-2</v>
      </c>
      <c r="R827" s="272">
        <v>9.3002620689545096E-2</v>
      </c>
      <c r="S827" s="272">
        <v>9.3002620689545137E-2</v>
      </c>
      <c r="T827" s="256">
        <f t="shared" ref="T827:T840" si="241">+IF(N827=0,0,$S827/N827)</f>
        <v>9.3002620689545137E-2</v>
      </c>
      <c r="U827" s="256">
        <f t="shared" ref="U827:U840" si="242">+IF(O827=0,0,$S827/O827)</f>
        <v>9.3002620689545137E-2</v>
      </c>
      <c r="V827" s="256">
        <f t="shared" ref="V827:V840" si="243">+IF(P827=0,0,$S827/P827)</f>
        <v>0.44279586155682926</v>
      </c>
      <c r="W827" s="256">
        <f t="shared" si="217"/>
        <v>1.0000000000000004</v>
      </c>
    </row>
    <row r="828" spans="2:23" s="216" customFormat="1" ht="25.5" hidden="1" outlineLevel="3">
      <c r="B828" s="255" t="s">
        <v>908</v>
      </c>
      <c r="C828" s="290" t="s">
        <v>233</v>
      </c>
      <c r="D828" s="227" t="s">
        <v>231</v>
      </c>
      <c r="E828" s="241">
        <v>14722338669.16</v>
      </c>
      <c r="F828" s="228">
        <f t="shared" ref="F828:F840" si="244">E828/$E$826</f>
        <v>7.4469037330616245E-2</v>
      </c>
      <c r="G828" s="269">
        <f t="shared" si="240"/>
        <v>4.4479923833675057E-3</v>
      </c>
      <c r="H828" s="299">
        <v>45938</v>
      </c>
      <c r="I828" s="299">
        <v>46341</v>
      </c>
      <c r="J828" s="299">
        <v>45938</v>
      </c>
      <c r="K828" s="299">
        <v>46341</v>
      </c>
      <c r="L828" s="299">
        <v>45938</v>
      </c>
      <c r="M828" s="299">
        <v>46726</v>
      </c>
      <c r="N828" s="229">
        <f>[1]Нэгтгэл!$E$2252</f>
        <v>1</v>
      </c>
      <c r="O828" s="229">
        <f>[1]Нэгтгэл!$G$2252</f>
        <v>1</v>
      </c>
      <c r="P828" s="229">
        <f>[1]Нэгтгэл!$I$2252</f>
        <v>0.11664312523615973</v>
      </c>
      <c r="Q828" s="272">
        <v>9.3002620689545096E-2</v>
      </c>
      <c r="R828" s="272">
        <v>9.3002620689545096E-2</v>
      </c>
      <c r="S828" s="272">
        <v>9.3002620689545137E-2</v>
      </c>
      <c r="T828" s="256">
        <f t="shared" si="241"/>
        <v>9.3002620689545137E-2</v>
      </c>
      <c r="U828" s="256">
        <f t="shared" si="242"/>
        <v>9.3002620689545137E-2</v>
      </c>
      <c r="V828" s="256">
        <f t="shared" si="243"/>
        <v>0.79732620762045592</v>
      </c>
      <c r="W828" s="256">
        <f t="shared" si="217"/>
        <v>1.0000000000000004</v>
      </c>
    </row>
    <row r="829" spans="2:23" s="216" customFormat="1" ht="25.5" hidden="1" outlineLevel="3">
      <c r="B829" s="255" t="s">
        <v>909</v>
      </c>
      <c r="C829" s="290" t="s">
        <v>235</v>
      </c>
      <c r="D829" s="227" t="s">
        <v>231</v>
      </c>
      <c r="E829" s="241">
        <v>14722338669.16</v>
      </c>
      <c r="F829" s="228">
        <f t="shared" si="244"/>
        <v>7.4469037330616245E-2</v>
      </c>
      <c r="G829" s="269">
        <f t="shared" si="240"/>
        <v>4.4479923833675057E-3</v>
      </c>
      <c r="H829" s="299">
        <v>45945</v>
      </c>
      <c r="I829" s="299">
        <v>46348</v>
      </c>
      <c r="J829" s="299">
        <v>45945</v>
      </c>
      <c r="K829" s="299">
        <v>46348</v>
      </c>
      <c r="L829" s="299">
        <v>45938</v>
      </c>
      <c r="M829" s="299">
        <v>46726</v>
      </c>
      <c r="N829" s="229">
        <f>[1]Нэгтгэл!$E$2274</f>
        <v>1</v>
      </c>
      <c r="O829" s="229">
        <f>[1]Нэгтгэл!$G$2274</f>
        <v>1</v>
      </c>
      <c r="P829" s="229">
        <f>[1]Нэгтгэл!$I$2274</f>
        <v>0.21028133762253459</v>
      </c>
      <c r="Q829" s="272">
        <v>9.3002620689545096E-2</v>
      </c>
      <c r="R829" s="272">
        <v>9.3002620689545096E-2</v>
      </c>
      <c r="S829" s="272">
        <v>9.3002620689545137E-2</v>
      </c>
      <c r="T829" s="256">
        <f t="shared" si="241"/>
        <v>9.3002620689545137E-2</v>
      </c>
      <c r="U829" s="256">
        <f t="shared" si="242"/>
        <v>9.3002620689545137E-2</v>
      </c>
      <c r="V829" s="256">
        <f t="shared" si="243"/>
        <v>0.44227710238599227</v>
      </c>
      <c r="W829" s="256">
        <f t="shared" si="217"/>
        <v>1.0000000000000004</v>
      </c>
    </row>
    <row r="830" spans="2:23" s="216" customFormat="1" ht="25.5" hidden="1" outlineLevel="3">
      <c r="B830" s="255" t="s">
        <v>910</v>
      </c>
      <c r="C830" s="290" t="s">
        <v>237</v>
      </c>
      <c r="D830" s="227" t="s">
        <v>231</v>
      </c>
      <c r="E830" s="241">
        <v>14722338669.16</v>
      </c>
      <c r="F830" s="228">
        <f t="shared" si="244"/>
        <v>7.4469037330616245E-2</v>
      </c>
      <c r="G830" s="269">
        <f t="shared" si="240"/>
        <v>4.4479923833675057E-3</v>
      </c>
      <c r="H830" s="299">
        <v>45952</v>
      </c>
      <c r="I830" s="299">
        <v>46355</v>
      </c>
      <c r="J830" s="299">
        <v>45952</v>
      </c>
      <c r="K830" s="299">
        <v>46355</v>
      </c>
      <c r="L830" s="299">
        <v>45938</v>
      </c>
      <c r="M830" s="299">
        <v>46726</v>
      </c>
      <c r="N830" s="229">
        <f>[1]Нэгтгэл!$E$2296</f>
        <v>1</v>
      </c>
      <c r="O830" s="229">
        <f>[1]Нэгтгэл!$G$2296</f>
        <v>1</v>
      </c>
      <c r="P830" s="229">
        <f>[1]Нэгтгэл!$I$2296</f>
        <v>0.42568943562856304</v>
      </c>
      <c r="Q830" s="272">
        <v>9.3002620689545096E-2</v>
      </c>
      <c r="R830" s="272">
        <v>9.3002620689545096E-2</v>
      </c>
      <c r="S830" s="272">
        <v>9.3002620689545137E-2</v>
      </c>
      <c r="T830" s="256">
        <f t="shared" si="241"/>
        <v>9.3002620689545137E-2</v>
      </c>
      <c r="U830" s="256">
        <f t="shared" si="242"/>
        <v>9.3002620689545137E-2</v>
      </c>
      <c r="V830" s="256">
        <f t="shared" si="243"/>
        <v>0.21847528480996867</v>
      </c>
      <c r="W830" s="256">
        <f t="shared" si="217"/>
        <v>1.0000000000000004</v>
      </c>
    </row>
    <row r="831" spans="2:23" s="216" customFormat="1" ht="25.5" hidden="1" outlineLevel="3">
      <c r="B831" s="255" t="s">
        <v>911</v>
      </c>
      <c r="C831" s="290" t="s">
        <v>239</v>
      </c>
      <c r="D831" s="227" t="s">
        <v>231</v>
      </c>
      <c r="E831" s="241">
        <v>14722338669.16</v>
      </c>
      <c r="F831" s="228">
        <f t="shared" si="244"/>
        <v>7.4469037330616245E-2</v>
      </c>
      <c r="G831" s="269">
        <f t="shared" si="240"/>
        <v>4.4479923833675057E-3</v>
      </c>
      <c r="H831" s="299">
        <v>45959</v>
      </c>
      <c r="I831" s="299">
        <v>46362</v>
      </c>
      <c r="J831" s="299">
        <v>45959</v>
      </c>
      <c r="K831" s="299">
        <v>46362</v>
      </c>
      <c r="L831" s="299">
        <v>45938</v>
      </c>
      <c r="M831" s="299">
        <v>46726</v>
      </c>
      <c r="N831" s="229">
        <f>[1]Нэгтгэл!$E$2318</f>
        <v>1</v>
      </c>
      <c r="O831" s="229">
        <f>[1]Нэгтгэл!$G$2318</f>
        <v>1</v>
      </c>
      <c r="P831" s="229">
        <f>[1]Нэгтгэл!$I$2318</f>
        <v>0.16328793297564154</v>
      </c>
      <c r="Q831" s="272">
        <v>9.3002620689545096E-2</v>
      </c>
      <c r="R831" s="272">
        <v>9.3002620689545096E-2</v>
      </c>
      <c r="S831" s="272">
        <v>9.3002620689545137E-2</v>
      </c>
      <c r="T831" s="256">
        <f t="shared" si="241"/>
        <v>9.3002620689545137E-2</v>
      </c>
      <c r="U831" s="256">
        <f t="shared" si="242"/>
        <v>9.3002620689545137E-2</v>
      </c>
      <c r="V831" s="256">
        <f t="shared" si="243"/>
        <v>0.56956211640831289</v>
      </c>
      <c r="W831" s="256">
        <f t="shared" si="217"/>
        <v>1.0000000000000004</v>
      </c>
    </row>
    <row r="832" spans="2:23" s="216" customFormat="1" ht="25.5" hidden="1" outlineLevel="3">
      <c r="B832" s="255" t="s">
        <v>912</v>
      </c>
      <c r="C832" s="290" t="s">
        <v>241</v>
      </c>
      <c r="D832" s="227" t="s">
        <v>231</v>
      </c>
      <c r="E832" s="241">
        <v>14722338669.16</v>
      </c>
      <c r="F832" s="228">
        <f t="shared" si="244"/>
        <v>7.4469037330616245E-2</v>
      </c>
      <c r="G832" s="269">
        <f t="shared" si="240"/>
        <v>4.4479923833675057E-3</v>
      </c>
      <c r="H832" s="299">
        <v>45966</v>
      </c>
      <c r="I832" s="299">
        <v>46369</v>
      </c>
      <c r="J832" s="299">
        <v>45966</v>
      </c>
      <c r="K832" s="299">
        <v>46369</v>
      </c>
      <c r="L832" s="299">
        <v>45938</v>
      </c>
      <c r="M832" s="299">
        <v>46726</v>
      </c>
      <c r="N832" s="229">
        <f>[1]Нэгтгэл!$E$2340</f>
        <v>1</v>
      </c>
      <c r="O832" s="229">
        <f>[1]Нэгтгэл!$G$2340</f>
        <v>1</v>
      </c>
      <c r="P832" s="229">
        <f>[1]Нэгтгэл!$I$2340</f>
        <v>0.42561614013963972</v>
      </c>
      <c r="Q832" s="272">
        <v>9.3002620689545096E-2</v>
      </c>
      <c r="R832" s="272">
        <v>9.3002620689545096E-2</v>
      </c>
      <c r="S832" s="272">
        <v>9.3002620689545137E-2</v>
      </c>
      <c r="T832" s="256">
        <f t="shared" si="241"/>
        <v>9.3002620689545137E-2</v>
      </c>
      <c r="U832" s="256">
        <f t="shared" si="242"/>
        <v>9.3002620689545137E-2</v>
      </c>
      <c r="V832" s="256">
        <f t="shared" si="243"/>
        <v>0.21851290850725741</v>
      </c>
      <c r="W832" s="256">
        <f t="shared" si="217"/>
        <v>1.0000000000000004</v>
      </c>
    </row>
    <row r="833" spans="2:23" s="216" customFormat="1" ht="25.5" hidden="1" outlineLevel="3">
      <c r="B833" s="255" t="s">
        <v>919</v>
      </c>
      <c r="C833" s="290" t="s">
        <v>376</v>
      </c>
      <c r="D833" s="227" t="s">
        <v>256</v>
      </c>
      <c r="E833" s="241">
        <v>13670427055</v>
      </c>
      <c r="F833" s="228">
        <f t="shared" si="244"/>
        <v>6.9148222002037796E-2</v>
      </c>
      <c r="G833" s="269">
        <f t="shared" si="240"/>
        <v>4.1301831716041102E-3</v>
      </c>
      <c r="H833" s="299">
        <v>45973</v>
      </c>
      <c r="I833" s="299">
        <v>46436</v>
      </c>
      <c r="J833" s="299">
        <v>45973</v>
      </c>
      <c r="K833" s="299">
        <v>46436</v>
      </c>
      <c r="L833" s="299">
        <v>45973</v>
      </c>
      <c r="M833" s="299">
        <v>46735</v>
      </c>
      <c r="N833" s="229">
        <f>[1]Нэгтгэл!$E$2362</f>
        <v>0.93359156386647357</v>
      </c>
      <c r="O833" s="229">
        <f>[1]Нэгтгэл!$G$2362</f>
        <v>0.93359156386647357</v>
      </c>
      <c r="P833" s="229">
        <f>[1]Нэгтгэл!$I$2362</f>
        <v>0.29222268967950921</v>
      </c>
      <c r="Q833" s="272">
        <v>9.3002620689545096E-2</v>
      </c>
      <c r="R833" s="272">
        <v>9.3002620689545096E-2</v>
      </c>
      <c r="S833" s="272">
        <v>9.3002620689545137E-2</v>
      </c>
      <c r="T833" s="256">
        <f t="shared" si="241"/>
        <v>9.9618103128925425E-2</v>
      </c>
      <c r="U833" s="256">
        <f t="shared" si="242"/>
        <v>9.9618103128925425E-2</v>
      </c>
      <c r="V833" s="256">
        <f t="shared" si="243"/>
        <v>0.31825940960143906</v>
      </c>
      <c r="W833" s="256">
        <f t="shared" si="217"/>
        <v>1.0000000000000004</v>
      </c>
    </row>
    <row r="834" spans="2:23" s="216" customFormat="1" ht="25.5" hidden="1" outlineLevel="3">
      <c r="B834" s="255" t="s">
        <v>920</v>
      </c>
      <c r="C834" s="290" t="s">
        <v>378</v>
      </c>
      <c r="D834" s="227" t="s">
        <v>256</v>
      </c>
      <c r="E834" s="241">
        <v>13670427055</v>
      </c>
      <c r="F834" s="228">
        <f t="shared" si="244"/>
        <v>6.9148222002037796E-2</v>
      </c>
      <c r="G834" s="269">
        <f t="shared" si="240"/>
        <v>4.1301831716041102E-3</v>
      </c>
      <c r="H834" s="299">
        <v>45980</v>
      </c>
      <c r="I834" s="299">
        <v>46443</v>
      </c>
      <c r="J834" s="299">
        <v>45980</v>
      </c>
      <c r="K834" s="299">
        <v>46443</v>
      </c>
      <c r="L834" s="299">
        <v>45980</v>
      </c>
      <c r="M834" s="299">
        <v>46735</v>
      </c>
      <c r="N834" s="229">
        <f>[1]Нэгтгэл!$E$2384</f>
        <v>0.90815830702820433</v>
      </c>
      <c r="O834" s="229">
        <f>[1]Нэгтгэл!$G$2384</f>
        <v>0.90815830702820433</v>
      </c>
      <c r="P834" s="229">
        <f>[1]Нэгтгэл!$I$2384</f>
        <v>0.27289908166917104</v>
      </c>
      <c r="Q834" s="272">
        <v>9.3002620689545096E-2</v>
      </c>
      <c r="R834" s="272">
        <v>9.3002620689545096E-2</v>
      </c>
      <c r="S834" s="272">
        <v>9.3002620689545137E-2</v>
      </c>
      <c r="T834" s="256">
        <f t="shared" si="241"/>
        <v>0.10240793919936779</v>
      </c>
      <c r="U834" s="256">
        <f t="shared" si="242"/>
        <v>0.10240793919936779</v>
      </c>
      <c r="V834" s="256">
        <f t="shared" si="243"/>
        <v>0.34079491994146749</v>
      </c>
      <c r="W834" s="256">
        <f t="shared" si="217"/>
        <v>1.0000000000000004</v>
      </c>
    </row>
    <row r="835" spans="2:23" s="216" customFormat="1" ht="25.5" hidden="1" outlineLevel="3">
      <c r="B835" s="255" t="s">
        <v>921</v>
      </c>
      <c r="C835" s="290" t="s">
        <v>380</v>
      </c>
      <c r="D835" s="227" t="s">
        <v>256</v>
      </c>
      <c r="E835" s="241">
        <v>13670427055</v>
      </c>
      <c r="F835" s="228">
        <f t="shared" si="244"/>
        <v>6.9148222002037796E-2</v>
      </c>
      <c r="G835" s="269">
        <f t="shared" si="240"/>
        <v>4.1301831716041102E-3</v>
      </c>
      <c r="H835" s="299">
        <v>45987</v>
      </c>
      <c r="I835" s="299">
        <v>46450</v>
      </c>
      <c r="J835" s="299">
        <v>45987</v>
      </c>
      <c r="K835" s="299">
        <v>46450</v>
      </c>
      <c r="L835" s="299">
        <v>45987</v>
      </c>
      <c r="M835" s="299">
        <v>46735</v>
      </c>
      <c r="N835" s="229">
        <f>[1]Нэгтгэл!$E$2406</f>
        <v>0.88001210760850701</v>
      </c>
      <c r="O835" s="229">
        <f>[1]Нэгтгэл!$G$2406</f>
        <v>0.88001210760850701</v>
      </c>
      <c r="P835" s="229">
        <f>[1]Нэгтгэл!$I$2406</f>
        <v>0.25415379695149082</v>
      </c>
      <c r="Q835" s="272">
        <v>9.3002620689545096E-2</v>
      </c>
      <c r="R835" s="272">
        <v>9.3002620689545096E-2</v>
      </c>
      <c r="S835" s="272">
        <v>9.3002620689545137E-2</v>
      </c>
      <c r="T835" s="256">
        <f t="shared" si="241"/>
        <v>0.1056833421784231</v>
      </c>
      <c r="U835" s="256">
        <f t="shared" si="242"/>
        <v>0.1056833421784231</v>
      </c>
      <c r="V835" s="256">
        <f t="shared" si="243"/>
        <v>0.36593047912361554</v>
      </c>
      <c r="W835" s="256">
        <f t="shared" si="217"/>
        <v>1.0000000000000004</v>
      </c>
    </row>
    <row r="836" spans="2:23" s="216" customFormat="1" ht="25.5" hidden="1" outlineLevel="3">
      <c r="B836" s="255" t="s">
        <v>922</v>
      </c>
      <c r="C836" s="290" t="s">
        <v>382</v>
      </c>
      <c r="D836" s="227" t="s">
        <v>256</v>
      </c>
      <c r="E836" s="241">
        <v>13670427055</v>
      </c>
      <c r="F836" s="228">
        <f t="shared" si="244"/>
        <v>6.9148222002037796E-2</v>
      </c>
      <c r="G836" s="269">
        <f t="shared" si="240"/>
        <v>4.1301831716041102E-3</v>
      </c>
      <c r="H836" s="299">
        <v>45994</v>
      </c>
      <c r="I836" s="299">
        <v>46457</v>
      </c>
      <c r="J836" s="299">
        <v>46318</v>
      </c>
      <c r="K836" s="299">
        <v>46457</v>
      </c>
      <c r="L836" s="299">
        <v>46117</v>
      </c>
      <c r="M836" s="299">
        <v>46735</v>
      </c>
      <c r="N836" s="229">
        <f>[1]Нэгтгэл!$E$2428</f>
        <v>0.8518659081888097</v>
      </c>
      <c r="O836" s="229">
        <f>[1]Нэгтгэл!$G$2428</f>
        <v>0.27744110856558724</v>
      </c>
      <c r="P836" s="229">
        <f>[1]Нэгтгэл!$I$2428</f>
        <v>0.13342120262980511</v>
      </c>
      <c r="Q836" s="272">
        <v>9.3002620689545096E-2</v>
      </c>
      <c r="R836" s="272">
        <v>9.3002620689545096E-2</v>
      </c>
      <c r="S836" s="272">
        <v>9.3002620689545137E-2</v>
      </c>
      <c r="T836" s="256">
        <f t="shared" si="241"/>
        <v>0.10917518801436975</v>
      </c>
      <c r="U836" s="256">
        <f t="shared" si="242"/>
        <v>0.33521571900567598</v>
      </c>
      <c r="V836" s="256">
        <f t="shared" si="243"/>
        <v>0.69706027869943044</v>
      </c>
      <c r="W836" s="256">
        <f t="shared" si="217"/>
        <v>1.0000000000000004</v>
      </c>
    </row>
    <row r="837" spans="2:23" s="216" customFormat="1" ht="25.5" hidden="1" outlineLevel="3">
      <c r="B837" s="255" t="s">
        <v>923</v>
      </c>
      <c r="C837" s="290" t="s">
        <v>384</v>
      </c>
      <c r="D837" s="227" t="s">
        <v>256</v>
      </c>
      <c r="E837" s="241">
        <v>13670427055</v>
      </c>
      <c r="F837" s="228">
        <f t="shared" si="244"/>
        <v>6.9148222002037796E-2</v>
      </c>
      <c r="G837" s="269">
        <f t="shared" si="240"/>
        <v>4.1301831716041102E-3</v>
      </c>
      <c r="H837" s="299">
        <v>46001</v>
      </c>
      <c r="I837" s="299">
        <v>46464</v>
      </c>
      <c r="J837" s="299">
        <v>46325</v>
      </c>
      <c r="K837" s="299">
        <v>46464</v>
      </c>
      <c r="L837" s="299">
        <v>46117</v>
      </c>
      <c r="M837" s="299">
        <v>46735</v>
      </c>
      <c r="N837" s="229">
        <f>[1]Нэгтгэл!$E$2450</f>
        <v>0.82371970876911238</v>
      </c>
      <c r="O837" s="229">
        <f>[1]Нэгтгэл!$G$2450</f>
        <v>0.24929490914588995</v>
      </c>
      <c r="P837" s="229">
        <f>[1]Нэгтгэл!$I$2450</f>
        <v>0.13342120262980511</v>
      </c>
      <c r="Q837" s="272">
        <v>9.3002620689545096E-2</v>
      </c>
      <c r="R837" s="272">
        <v>9.3002620689545096E-2</v>
      </c>
      <c r="S837" s="272">
        <v>9.3002620689545137E-2</v>
      </c>
      <c r="T837" s="256">
        <f t="shared" si="241"/>
        <v>0.11290566402559352</v>
      </c>
      <c r="U837" s="256">
        <f t="shared" si="242"/>
        <v>0.3730626550224459</v>
      </c>
      <c r="V837" s="256">
        <f t="shared" si="243"/>
        <v>0.69706027869943044</v>
      </c>
      <c r="W837" s="256">
        <f t="shared" si="217"/>
        <v>1.0000000000000004</v>
      </c>
    </row>
    <row r="838" spans="2:23" s="216" customFormat="1" ht="25.5" hidden="1" outlineLevel="3">
      <c r="B838" s="255" t="s">
        <v>924</v>
      </c>
      <c r="C838" s="290" t="s">
        <v>386</v>
      </c>
      <c r="D838" s="227" t="s">
        <v>256</v>
      </c>
      <c r="E838" s="241">
        <v>13670427055</v>
      </c>
      <c r="F838" s="228">
        <f t="shared" si="244"/>
        <v>6.9148222002037796E-2</v>
      </c>
      <c r="G838" s="269">
        <f t="shared" si="240"/>
        <v>4.1301831716041102E-3</v>
      </c>
      <c r="H838" s="299">
        <v>46008</v>
      </c>
      <c r="I838" s="299">
        <v>46471</v>
      </c>
      <c r="J838" s="299">
        <v>46332</v>
      </c>
      <c r="K838" s="299">
        <v>46471</v>
      </c>
      <c r="L838" s="299">
        <v>46143</v>
      </c>
      <c r="M838" s="299">
        <v>46735</v>
      </c>
      <c r="N838" s="229">
        <f>[1]Нэгтгэл!$E$2472</f>
        <v>0.79557350934941506</v>
      </c>
      <c r="O838" s="229">
        <f>[1]Нэгтгэл!$G$2472</f>
        <v>0.22114870972619272</v>
      </c>
      <c r="P838" s="229">
        <f>[1]Нэгтгэл!$I$2472</f>
        <v>7.3820617983888115E-2</v>
      </c>
      <c r="Q838" s="272">
        <v>9.3002620689545096E-2</v>
      </c>
      <c r="R838" s="272">
        <v>9.3002620689545096E-2</v>
      </c>
      <c r="S838" s="272">
        <v>9.3002620689545137E-2</v>
      </c>
      <c r="T838" s="256">
        <f t="shared" si="241"/>
        <v>0.11690009734687946</v>
      </c>
      <c r="U838" s="256">
        <f t="shared" si="242"/>
        <v>0.42054335657075714</v>
      </c>
      <c r="V838" s="256">
        <f t="shared" si="243"/>
        <v>1.2598461409499935</v>
      </c>
      <c r="W838" s="256">
        <f t="shared" ref="W838:W901" si="245">+IF(R838=0,0,$S838/R838)</f>
        <v>1.0000000000000004</v>
      </c>
    </row>
    <row r="839" spans="2:23" s="216" customFormat="1" ht="25.5" hidden="1" outlineLevel="3">
      <c r="B839" s="255" t="s">
        <v>925</v>
      </c>
      <c r="C839" s="290" t="s">
        <v>388</v>
      </c>
      <c r="D839" s="227" t="s">
        <v>256</v>
      </c>
      <c r="E839" s="241">
        <v>13670427055</v>
      </c>
      <c r="F839" s="228">
        <f t="shared" si="244"/>
        <v>6.9148222002037796E-2</v>
      </c>
      <c r="G839" s="269">
        <f t="shared" si="240"/>
        <v>4.1301831716041102E-3</v>
      </c>
      <c r="H839" s="299">
        <v>46015</v>
      </c>
      <c r="I839" s="299">
        <v>46478</v>
      </c>
      <c r="J839" s="299">
        <v>46339</v>
      </c>
      <c r="K839" s="299">
        <v>46478</v>
      </c>
      <c r="L839" s="299">
        <v>46143</v>
      </c>
      <c r="M839" s="299">
        <v>46735</v>
      </c>
      <c r="N839" s="229">
        <f>[1]Нэгтгэл!$E$2494</f>
        <v>0.76742730992971819</v>
      </c>
      <c r="O839" s="229">
        <f>[1]Нэгтгэл!$G$2494</f>
        <v>0.1930025103064954</v>
      </c>
      <c r="P839" s="229">
        <f>[1]Нэгтгэл!$I$2494</f>
        <v>7.3820617983888115E-2</v>
      </c>
      <c r="Q839" s="272">
        <v>9.3002620689545096E-2</v>
      </c>
      <c r="R839" s="272">
        <v>9.3002620689545096E-2</v>
      </c>
      <c r="S839" s="272">
        <v>9.3002620689545137E-2</v>
      </c>
      <c r="T839" s="256">
        <f t="shared" si="241"/>
        <v>0.12118753070966737</v>
      </c>
      <c r="U839" s="256">
        <f t="shared" si="242"/>
        <v>0.48187259607065941</v>
      </c>
      <c r="V839" s="256">
        <f t="shared" si="243"/>
        <v>1.2598461409499935</v>
      </c>
      <c r="W839" s="256">
        <f t="shared" si="245"/>
        <v>1.0000000000000004</v>
      </c>
    </row>
    <row r="840" spans="2:23" s="216" customFormat="1" ht="25.5" hidden="1" outlineLevel="3">
      <c r="B840" s="255" t="s">
        <v>926</v>
      </c>
      <c r="C840" s="290" t="s">
        <v>390</v>
      </c>
      <c r="D840" s="227" t="s">
        <v>256</v>
      </c>
      <c r="E840" s="241">
        <v>13670427055</v>
      </c>
      <c r="F840" s="228">
        <f t="shared" si="244"/>
        <v>6.9148222002037796E-2</v>
      </c>
      <c r="G840" s="269">
        <f t="shared" si="240"/>
        <v>4.1301831716041102E-3</v>
      </c>
      <c r="H840" s="299">
        <v>46022</v>
      </c>
      <c r="I840" s="299">
        <v>46485</v>
      </c>
      <c r="J840" s="299">
        <v>46346</v>
      </c>
      <c r="K840" s="299">
        <v>46485</v>
      </c>
      <c r="L840" s="299">
        <v>46143</v>
      </c>
      <c r="M840" s="299">
        <v>46735</v>
      </c>
      <c r="N840" s="229">
        <f>[1]Нэгтгэл!$E$2516</f>
        <v>0.73928111051002088</v>
      </c>
      <c r="O840" s="229">
        <f>[1]Нэгтгэл!$G$2516</f>
        <v>0.16485631088679817</v>
      </c>
      <c r="P840" s="229">
        <f>[1]Нэгтгэл!$I$2516</f>
        <v>7.3820617983888115E-2</v>
      </c>
      <c r="Q840" s="272">
        <v>9.3002620689545096E-2</v>
      </c>
      <c r="R840" s="272">
        <v>9.3002620689545096E-2</v>
      </c>
      <c r="S840" s="272">
        <v>9.3002620689545137E-2</v>
      </c>
      <c r="T840" s="256">
        <f t="shared" si="241"/>
        <v>0.12580142975029321</v>
      </c>
      <c r="U840" s="256">
        <f t="shared" si="242"/>
        <v>0.56414352710711335</v>
      </c>
      <c r="V840" s="256">
        <f t="shared" si="243"/>
        <v>1.2598461409499935</v>
      </c>
      <c r="W840" s="256">
        <f t="shared" si="245"/>
        <v>1.0000000000000004</v>
      </c>
    </row>
    <row r="841" spans="2:23" s="216" customFormat="1" ht="12.75" outlineLevel="2" collapsed="1">
      <c r="B841" s="291" t="s">
        <v>940</v>
      </c>
      <c r="C841" s="292" t="s">
        <v>170</v>
      </c>
      <c r="D841" s="234" t="s">
        <v>171</v>
      </c>
      <c r="E841" s="240">
        <v>82596282000</v>
      </c>
      <c r="F841" s="223">
        <f t="shared" si="202"/>
        <v>4.25702422192204E-2</v>
      </c>
      <c r="G841" s="293">
        <f t="shared" si="203"/>
        <v>2.4954434311450079E-2</v>
      </c>
      <c r="H841" s="298"/>
      <c r="I841" s="298"/>
      <c r="J841" s="298"/>
      <c r="K841" s="298"/>
      <c r="L841" s="298"/>
      <c r="M841" s="298"/>
      <c r="N841" s="224">
        <v>0</v>
      </c>
      <c r="O841" s="224">
        <v>0</v>
      </c>
      <c r="P841" s="224">
        <v>0</v>
      </c>
      <c r="Q841" s="270">
        <f>+(113-15)/113</f>
        <v>0.86725663716814161</v>
      </c>
      <c r="R841" s="270">
        <f>+(113-15)/113</f>
        <v>0.86725663716814161</v>
      </c>
      <c r="S841" s="270">
        <f>+(113-15)/113</f>
        <v>0.86725663716814161</v>
      </c>
      <c r="T841" s="254">
        <f t="shared" si="198"/>
        <v>0</v>
      </c>
      <c r="U841" s="254">
        <f t="shared" si="199"/>
        <v>0</v>
      </c>
      <c r="V841" s="254">
        <f t="shared" si="200"/>
        <v>0</v>
      </c>
      <c r="W841" s="254">
        <f t="shared" si="245"/>
        <v>1</v>
      </c>
    </row>
    <row r="842" spans="2:23" s="140" customFormat="1" ht="12.75" outlineLevel="1">
      <c r="B842" s="294" t="s">
        <v>941</v>
      </c>
      <c r="C842" s="294" t="s">
        <v>392</v>
      </c>
      <c r="D842" s="294" t="s">
        <v>47</v>
      </c>
      <c r="E842" s="295">
        <f>+SUM(E843:E857)</f>
        <v>96959486358</v>
      </c>
      <c r="F842" s="296">
        <f>+E842/$E$718</f>
        <v>3.9032542437386124E-2</v>
      </c>
      <c r="G842" s="296">
        <f t="shared" si="203"/>
        <v>2.9293923099258285E-2</v>
      </c>
      <c r="H842" s="297">
        <f>MIN(H843:H857)</f>
        <v>46241</v>
      </c>
      <c r="I842" s="297">
        <f>MAX(I843:I857)</f>
        <v>46598</v>
      </c>
      <c r="J842" s="297"/>
      <c r="K842" s="297"/>
      <c r="L842" s="297">
        <f>MIN(L843:L857)</f>
        <v>46241</v>
      </c>
      <c r="M842" s="297">
        <f>MAX(M843:M857)</f>
        <v>46629</v>
      </c>
      <c r="N842" s="296">
        <f t="shared" ref="N842:S842" si="246">+SUMPRODUCT($F843:$F856,N843:N856)</f>
        <v>0</v>
      </c>
      <c r="O842" s="296">
        <f t="shared" si="246"/>
        <v>0</v>
      </c>
      <c r="P842" s="296">
        <f t="shared" si="246"/>
        <v>0</v>
      </c>
      <c r="Q842" s="296">
        <f t="shared" si="246"/>
        <v>6.0665826923645555E-2</v>
      </c>
      <c r="R842" s="296">
        <f t="shared" si="246"/>
        <v>6.0665826923645555E-2</v>
      </c>
      <c r="S842" s="296">
        <f t="shared" si="246"/>
        <v>6.0665826923645555E-2</v>
      </c>
      <c r="T842" s="296">
        <f t="shared" si="198"/>
        <v>0</v>
      </c>
      <c r="U842" s="296">
        <f t="shared" si="199"/>
        <v>0</v>
      </c>
      <c r="V842" s="296">
        <f t="shared" si="200"/>
        <v>0</v>
      </c>
      <c r="W842" s="296">
        <f t="shared" si="245"/>
        <v>1</v>
      </c>
    </row>
    <row r="843" spans="2:23" s="216" customFormat="1" ht="12.75" outlineLevel="2">
      <c r="B843" s="255" t="s">
        <v>942</v>
      </c>
      <c r="C843" s="245" t="s">
        <v>49</v>
      </c>
      <c r="D843" s="227" t="s">
        <v>50</v>
      </c>
      <c r="E843" s="241">
        <v>9005365437</v>
      </c>
      <c r="F843" s="228">
        <f>E843/$E$842</f>
        <v>9.2877610796635368E-2</v>
      </c>
      <c r="G843" s="269">
        <f t="shared" si="203"/>
        <v>2.7207495883194771E-3</v>
      </c>
      <c r="H843" s="299">
        <v>46241</v>
      </c>
      <c r="I843" s="299">
        <v>46387</v>
      </c>
      <c r="J843" s="299"/>
      <c r="K843" s="299"/>
      <c r="L843" s="299">
        <v>46241</v>
      </c>
      <c r="M843" s="299">
        <v>46568</v>
      </c>
      <c r="N843" s="229">
        <v>0</v>
      </c>
      <c r="O843" s="229">
        <v>0</v>
      </c>
      <c r="P843" s="229">
        <v>0</v>
      </c>
      <c r="Q843" s="272">
        <v>0</v>
      </c>
      <c r="R843" s="272">
        <v>0</v>
      </c>
      <c r="S843" s="272">
        <v>0</v>
      </c>
      <c r="T843" s="256">
        <f t="shared" si="198"/>
        <v>0</v>
      </c>
      <c r="U843" s="256">
        <f t="shared" si="199"/>
        <v>0</v>
      </c>
      <c r="V843" s="256">
        <f t="shared" si="200"/>
        <v>0</v>
      </c>
      <c r="W843" s="256">
        <f t="shared" si="245"/>
        <v>0</v>
      </c>
    </row>
    <row r="844" spans="2:23" s="216" customFormat="1" ht="12.75" outlineLevel="2">
      <c r="B844" s="255" t="s">
        <v>943</v>
      </c>
      <c r="C844" s="245" t="s">
        <v>52</v>
      </c>
      <c r="D844" s="227" t="s">
        <v>53</v>
      </c>
      <c r="E844" s="241">
        <v>5633852219</v>
      </c>
      <c r="F844" s="228">
        <f t="shared" ref="F844:F857" si="247">E844/$E$842</f>
        <v>5.8105219309829384E-2</v>
      </c>
      <c r="G844" s="269">
        <f t="shared" si="203"/>
        <v>1.7021298261276792E-3</v>
      </c>
      <c r="H844" s="299">
        <v>46241</v>
      </c>
      <c r="I844" s="299">
        <v>46387</v>
      </c>
      <c r="J844" s="299"/>
      <c r="K844" s="299"/>
      <c r="L844" s="299">
        <v>46241</v>
      </c>
      <c r="M844" s="299">
        <v>46568</v>
      </c>
      <c r="N844" s="229">
        <v>0</v>
      </c>
      <c r="O844" s="229">
        <v>0</v>
      </c>
      <c r="P844" s="229">
        <v>0</v>
      </c>
      <c r="Q844" s="272">
        <v>0</v>
      </c>
      <c r="R844" s="272">
        <v>0</v>
      </c>
      <c r="S844" s="272">
        <v>0</v>
      </c>
      <c r="T844" s="256">
        <f t="shared" si="198"/>
        <v>0</v>
      </c>
      <c r="U844" s="256">
        <f t="shared" si="199"/>
        <v>0</v>
      </c>
      <c r="V844" s="256">
        <f t="shared" si="200"/>
        <v>0</v>
      </c>
      <c r="W844" s="256">
        <f t="shared" si="245"/>
        <v>0</v>
      </c>
    </row>
    <row r="845" spans="2:23" s="216" customFormat="1" ht="12.75" outlineLevel="2">
      <c r="B845" s="255" t="s">
        <v>944</v>
      </c>
      <c r="C845" s="245" t="s">
        <v>55</v>
      </c>
      <c r="D845" s="227" t="s">
        <v>56</v>
      </c>
      <c r="E845" s="241">
        <v>2695174244</v>
      </c>
      <c r="F845" s="228">
        <f t="shared" si="247"/>
        <v>2.7796911320762424E-2</v>
      </c>
      <c r="G845" s="269">
        <f t="shared" si="203"/>
        <v>8.1428058262731642E-4</v>
      </c>
      <c r="H845" s="299">
        <v>46241</v>
      </c>
      <c r="I845" s="299">
        <v>46387</v>
      </c>
      <c r="J845" s="299"/>
      <c r="K845" s="299"/>
      <c r="L845" s="299">
        <v>46241</v>
      </c>
      <c r="M845" s="299">
        <v>46629</v>
      </c>
      <c r="N845" s="229">
        <v>0</v>
      </c>
      <c r="O845" s="229">
        <v>0</v>
      </c>
      <c r="P845" s="229">
        <v>0</v>
      </c>
      <c r="Q845" s="272">
        <v>0</v>
      </c>
      <c r="R845" s="272">
        <v>0</v>
      </c>
      <c r="S845" s="272">
        <v>0</v>
      </c>
      <c r="T845" s="256">
        <f t="shared" si="198"/>
        <v>0</v>
      </c>
      <c r="U845" s="256">
        <f t="shared" si="199"/>
        <v>0</v>
      </c>
      <c r="V845" s="256">
        <f t="shared" si="200"/>
        <v>0</v>
      </c>
      <c r="W845" s="256">
        <f t="shared" si="245"/>
        <v>0</v>
      </c>
    </row>
    <row r="846" spans="2:23" s="216" customFormat="1" ht="12.75" outlineLevel="2">
      <c r="B846" s="255" t="s">
        <v>945</v>
      </c>
      <c r="C846" s="245" t="s">
        <v>58</v>
      </c>
      <c r="D846" s="227" t="s">
        <v>59</v>
      </c>
      <c r="E846" s="241">
        <v>2826882949</v>
      </c>
      <c r="F846" s="228">
        <f t="shared" si="247"/>
        <v>2.9155300375276354E-2</v>
      </c>
      <c r="G846" s="269">
        <f t="shared" si="203"/>
        <v>8.5407312712912169E-4</v>
      </c>
      <c r="H846" s="299">
        <v>46241</v>
      </c>
      <c r="I846" s="299">
        <v>46387</v>
      </c>
      <c r="J846" s="299"/>
      <c r="K846" s="299"/>
      <c r="L846" s="299">
        <v>46241</v>
      </c>
      <c r="M846" s="299">
        <v>46537</v>
      </c>
      <c r="N846" s="229">
        <v>0</v>
      </c>
      <c r="O846" s="229">
        <v>0</v>
      </c>
      <c r="P846" s="229">
        <v>0</v>
      </c>
      <c r="Q846" s="272">
        <v>0</v>
      </c>
      <c r="R846" s="272">
        <v>0</v>
      </c>
      <c r="S846" s="272">
        <v>0</v>
      </c>
      <c r="T846" s="256">
        <f t="shared" si="198"/>
        <v>0</v>
      </c>
      <c r="U846" s="256">
        <f t="shared" si="199"/>
        <v>0</v>
      </c>
      <c r="V846" s="256">
        <f t="shared" si="200"/>
        <v>0</v>
      </c>
      <c r="W846" s="256">
        <f t="shared" si="245"/>
        <v>0</v>
      </c>
    </row>
    <row r="847" spans="2:23" s="216" customFormat="1" ht="12.75" outlineLevel="2">
      <c r="B847" s="255" t="s">
        <v>946</v>
      </c>
      <c r="C847" s="245" t="s">
        <v>61</v>
      </c>
      <c r="D847" s="227" t="s">
        <v>62</v>
      </c>
      <c r="E847" s="241">
        <v>3896103815</v>
      </c>
      <c r="F847" s="228">
        <f t="shared" si="247"/>
        <v>4.0182801717972776E-2</v>
      </c>
      <c r="G847" s="269">
        <f t="shared" si="203"/>
        <v>1.177111903439038E-3</v>
      </c>
      <c r="H847" s="299">
        <v>46241</v>
      </c>
      <c r="I847" s="299">
        <v>46387</v>
      </c>
      <c r="J847" s="299"/>
      <c r="K847" s="299"/>
      <c r="L847" s="299">
        <v>46241</v>
      </c>
      <c r="M847" s="299">
        <v>46537</v>
      </c>
      <c r="N847" s="229">
        <v>0</v>
      </c>
      <c r="O847" s="229">
        <v>0</v>
      </c>
      <c r="P847" s="229">
        <v>0</v>
      </c>
      <c r="Q847" s="272">
        <v>0.3</v>
      </c>
      <c r="R847" s="272">
        <v>0.3</v>
      </c>
      <c r="S847" s="272">
        <v>0.3</v>
      </c>
      <c r="T847" s="256">
        <f t="shared" si="198"/>
        <v>0</v>
      </c>
      <c r="U847" s="256">
        <f t="shared" si="199"/>
        <v>0</v>
      </c>
      <c r="V847" s="256">
        <f t="shared" si="200"/>
        <v>0</v>
      </c>
      <c r="W847" s="256">
        <f t="shared" si="245"/>
        <v>1</v>
      </c>
    </row>
    <row r="848" spans="2:23" s="216" customFormat="1" ht="12.75" outlineLevel="2">
      <c r="B848" s="255" t="s">
        <v>947</v>
      </c>
      <c r="C848" s="245" t="s">
        <v>64</v>
      </c>
      <c r="D848" s="227" t="s">
        <v>65</v>
      </c>
      <c r="E848" s="241">
        <v>9561661087</v>
      </c>
      <c r="F848" s="228">
        <f t="shared" si="247"/>
        <v>9.8615013818202632E-2</v>
      </c>
      <c r="G848" s="269">
        <f t="shared" si="203"/>
        <v>2.8888206312227211E-3</v>
      </c>
      <c r="H848" s="299">
        <v>46241</v>
      </c>
      <c r="I848" s="299">
        <v>46387</v>
      </c>
      <c r="J848" s="299"/>
      <c r="K848" s="299"/>
      <c r="L848" s="299">
        <v>46241</v>
      </c>
      <c r="M848" s="299">
        <v>46568</v>
      </c>
      <c r="N848" s="229">
        <v>0</v>
      </c>
      <c r="O848" s="229">
        <v>0</v>
      </c>
      <c r="P848" s="229">
        <v>0</v>
      </c>
      <c r="Q848" s="272">
        <v>0.4</v>
      </c>
      <c r="R848" s="272">
        <v>0.4</v>
      </c>
      <c r="S848" s="272">
        <v>0.4</v>
      </c>
      <c r="T848" s="256">
        <f t="shared" si="198"/>
        <v>0</v>
      </c>
      <c r="U848" s="256">
        <f t="shared" si="199"/>
        <v>0</v>
      </c>
      <c r="V848" s="256">
        <f t="shared" si="200"/>
        <v>0</v>
      </c>
      <c r="W848" s="256">
        <f t="shared" si="245"/>
        <v>1</v>
      </c>
    </row>
    <row r="849" spans="2:23" s="216" customFormat="1" ht="12.75" outlineLevel="2">
      <c r="B849" s="255" t="s">
        <v>948</v>
      </c>
      <c r="C849" s="245" t="s">
        <v>67</v>
      </c>
      <c r="D849" s="227" t="s">
        <v>68</v>
      </c>
      <c r="E849" s="241">
        <v>8886318387</v>
      </c>
      <c r="F849" s="228">
        <f t="shared" si="247"/>
        <v>9.164980880972666E-2</v>
      </c>
      <c r="G849" s="269">
        <f t="shared" si="203"/>
        <v>2.6847824513338571E-3</v>
      </c>
      <c r="H849" s="299">
        <v>46241</v>
      </c>
      <c r="I849" s="299">
        <v>46387</v>
      </c>
      <c r="J849" s="299"/>
      <c r="K849" s="299"/>
      <c r="L849" s="299">
        <v>46241</v>
      </c>
      <c r="M849" s="299">
        <v>46507</v>
      </c>
      <c r="N849" s="229">
        <v>0</v>
      </c>
      <c r="O849" s="229">
        <v>0</v>
      </c>
      <c r="P849" s="229">
        <v>0</v>
      </c>
      <c r="Q849" s="272">
        <v>0.1</v>
      </c>
      <c r="R849" s="272">
        <v>0.1</v>
      </c>
      <c r="S849" s="272">
        <v>0.1</v>
      </c>
      <c r="T849" s="256">
        <f t="shared" si="198"/>
        <v>0</v>
      </c>
      <c r="U849" s="256">
        <f t="shared" si="199"/>
        <v>0</v>
      </c>
      <c r="V849" s="256">
        <f t="shared" si="200"/>
        <v>0</v>
      </c>
      <c r="W849" s="256">
        <f t="shared" si="245"/>
        <v>1</v>
      </c>
    </row>
    <row r="850" spans="2:23" s="216" customFormat="1" ht="25.5" outlineLevel="2">
      <c r="B850" s="255" t="s">
        <v>949</v>
      </c>
      <c r="C850" s="245" t="s">
        <v>70</v>
      </c>
      <c r="D850" s="227" t="s">
        <v>71</v>
      </c>
      <c r="E850" s="241">
        <v>9008445822</v>
      </c>
      <c r="F850" s="228">
        <f t="shared" si="247"/>
        <v>9.2909380612212003E-2</v>
      </c>
      <c r="G850" s="269">
        <f t="shared" si="203"/>
        <v>2.721680250853857E-3</v>
      </c>
      <c r="H850" s="299"/>
      <c r="I850" s="299"/>
      <c r="J850" s="299"/>
      <c r="K850" s="299"/>
      <c r="L850" s="299">
        <v>46241</v>
      </c>
      <c r="M850" s="299">
        <v>46629</v>
      </c>
      <c r="N850" s="229">
        <v>0</v>
      </c>
      <c r="O850" s="229">
        <v>0</v>
      </c>
      <c r="P850" s="229">
        <v>0</v>
      </c>
      <c r="Q850" s="272">
        <v>0</v>
      </c>
      <c r="R850" s="272">
        <v>0</v>
      </c>
      <c r="S850" s="272">
        <v>0</v>
      </c>
      <c r="T850" s="256">
        <f t="shared" si="198"/>
        <v>0</v>
      </c>
      <c r="U850" s="256">
        <f t="shared" si="199"/>
        <v>0</v>
      </c>
      <c r="V850" s="256">
        <f t="shared" si="200"/>
        <v>0</v>
      </c>
      <c r="W850" s="256">
        <f t="shared" si="245"/>
        <v>0</v>
      </c>
    </row>
    <row r="851" spans="2:23" s="216" customFormat="1" ht="12.75" outlineLevel="2">
      <c r="B851" s="255" t="s">
        <v>950</v>
      </c>
      <c r="C851" s="245" t="s">
        <v>73</v>
      </c>
      <c r="D851" s="227" t="s">
        <v>74</v>
      </c>
      <c r="E851" s="241">
        <v>7842764759</v>
      </c>
      <c r="F851" s="228">
        <f t="shared" si="247"/>
        <v>8.0887028733242702E-2</v>
      </c>
      <c r="G851" s="269">
        <f t="shared" si="203"/>
        <v>2.3694983994391071E-3</v>
      </c>
      <c r="H851" s="299">
        <v>46508</v>
      </c>
      <c r="I851" s="299">
        <v>46598</v>
      </c>
      <c r="J851" s="299"/>
      <c r="K851" s="299"/>
      <c r="L851" s="299">
        <v>46508</v>
      </c>
      <c r="M851" s="299">
        <v>46598</v>
      </c>
      <c r="N851" s="229">
        <v>0</v>
      </c>
      <c r="O851" s="229">
        <v>0</v>
      </c>
      <c r="P851" s="229">
        <v>0</v>
      </c>
      <c r="Q851" s="272">
        <v>0</v>
      </c>
      <c r="R851" s="272">
        <v>0</v>
      </c>
      <c r="S851" s="272">
        <v>0</v>
      </c>
      <c r="T851" s="256">
        <f t="shared" si="198"/>
        <v>0</v>
      </c>
      <c r="U851" s="256">
        <f t="shared" si="199"/>
        <v>0</v>
      </c>
      <c r="V851" s="256">
        <f t="shared" si="200"/>
        <v>0</v>
      </c>
      <c r="W851" s="256">
        <f t="shared" si="245"/>
        <v>0</v>
      </c>
    </row>
    <row r="852" spans="2:23" s="216" customFormat="1" ht="12.75" outlineLevel="2">
      <c r="B852" s="255" t="s">
        <v>951</v>
      </c>
      <c r="C852" s="245" t="s">
        <v>76</v>
      </c>
      <c r="D852" s="227" t="s">
        <v>77</v>
      </c>
      <c r="E852" s="241">
        <v>11429940948</v>
      </c>
      <c r="F852" s="228">
        <f t="shared" si="247"/>
        <v>0.11788367881609482</v>
      </c>
      <c r="G852" s="269">
        <f t="shared" si="203"/>
        <v>3.4532754218963443E-3</v>
      </c>
      <c r="H852" s="299">
        <v>46508</v>
      </c>
      <c r="I852" s="299">
        <v>46598</v>
      </c>
      <c r="J852" s="299"/>
      <c r="K852" s="299"/>
      <c r="L852" s="299">
        <v>46508</v>
      </c>
      <c r="M852" s="299">
        <v>46598</v>
      </c>
      <c r="N852" s="229">
        <v>0</v>
      </c>
      <c r="O852" s="229">
        <v>0</v>
      </c>
      <c r="P852" s="229">
        <v>0</v>
      </c>
      <c r="Q852" s="272">
        <v>0</v>
      </c>
      <c r="R852" s="272">
        <v>0</v>
      </c>
      <c r="S852" s="272">
        <v>0</v>
      </c>
      <c r="T852" s="256">
        <f t="shared" si="198"/>
        <v>0</v>
      </c>
      <c r="U852" s="256">
        <f t="shared" si="199"/>
        <v>0</v>
      </c>
      <c r="V852" s="256">
        <f t="shared" si="200"/>
        <v>0</v>
      </c>
      <c r="W852" s="256">
        <f t="shared" si="245"/>
        <v>0</v>
      </c>
    </row>
    <row r="853" spans="2:23" s="216" customFormat="1" ht="12.75" outlineLevel="2">
      <c r="B853" s="255" t="s">
        <v>952</v>
      </c>
      <c r="C853" s="245" t="s">
        <v>79</v>
      </c>
      <c r="D853" s="227" t="s">
        <v>80</v>
      </c>
      <c r="E853" s="241">
        <v>3979861027</v>
      </c>
      <c r="F853" s="228">
        <f t="shared" si="247"/>
        <v>4.1046638926131508E-2</v>
      </c>
      <c r="G853" s="269">
        <f t="shared" si="203"/>
        <v>1.202417084185118E-3</v>
      </c>
      <c r="H853" s="299">
        <v>46508</v>
      </c>
      <c r="I853" s="299">
        <v>46598</v>
      </c>
      <c r="J853" s="299"/>
      <c r="K853" s="299"/>
      <c r="L853" s="299">
        <v>46508</v>
      </c>
      <c r="M853" s="299">
        <v>46598</v>
      </c>
      <c r="N853" s="229">
        <v>0</v>
      </c>
      <c r="O853" s="229">
        <v>0</v>
      </c>
      <c r="P853" s="229">
        <v>0</v>
      </c>
      <c r="Q853" s="272">
        <v>0</v>
      </c>
      <c r="R853" s="272">
        <v>0</v>
      </c>
      <c r="S853" s="272">
        <v>0</v>
      </c>
      <c r="T853" s="256">
        <f t="shared" si="198"/>
        <v>0</v>
      </c>
      <c r="U853" s="256">
        <f t="shared" si="199"/>
        <v>0</v>
      </c>
      <c r="V853" s="256">
        <f t="shared" si="200"/>
        <v>0</v>
      </c>
      <c r="W853" s="256">
        <f t="shared" si="245"/>
        <v>0</v>
      </c>
    </row>
    <row r="854" spans="2:23" s="216" customFormat="1" ht="12.75" outlineLevel="2">
      <c r="B854" s="255" t="s">
        <v>953</v>
      </c>
      <c r="C854" s="245" t="s">
        <v>82</v>
      </c>
      <c r="D854" s="227" t="s">
        <v>83</v>
      </c>
      <c r="E854" s="241">
        <v>5210794604</v>
      </c>
      <c r="F854" s="228">
        <f t="shared" si="247"/>
        <v>5.3741978219236555E-2</v>
      </c>
      <c r="G854" s="269">
        <f t="shared" si="203"/>
        <v>1.5743133771563293E-3</v>
      </c>
      <c r="H854" s="299">
        <v>46508</v>
      </c>
      <c r="I854" s="299">
        <v>46598</v>
      </c>
      <c r="J854" s="299"/>
      <c r="K854" s="299"/>
      <c r="L854" s="299">
        <v>46508</v>
      </c>
      <c r="M854" s="299">
        <v>46598</v>
      </c>
      <c r="N854" s="229">
        <v>0</v>
      </c>
      <c r="O854" s="229">
        <v>0</v>
      </c>
      <c r="P854" s="229">
        <v>0</v>
      </c>
      <c r="Q854" s="272">
        <v>0</v>
      </c>
      <c r="R854" s="272">
        <v>0</v>
      </c>
      <c r="S854" s="272">
        <v>0</v>
      </c>
      <c r="T854" s="256">
        <f t="shared" si="198"/>
        <v>0</v>
      </c>
      <c r="U854" s="256">
        <f t="shared" si="199"/>
        <v>0</v>
      </c>
      <c r="V854" s="256">
        <f t="shared" si="200"/>
        <v>0</v>
      </c>
      <c r="W854" s="256">
        <f t="shared" si="245"/>
        <v>0</v>
      </c>
    </row>
    <row r="855" spans="2:23" s="216" customFormat="1" ht="12.75" outlineLevel="2">
      <c r="B855" s="255" t="s">
        <v>954</v>
      </c>
      <c r="C855" s="245" t="s">
        <v>85</v>
      </c>
      <c r="D855" s="227" t="s">
        <v>86</v>
      </c>
      <c r="E855" s="241">
        <v>5629215156</v>
      </c>
      <c r="F855" s="228">
        <f t="shared" si="247"/>
        <v>5.8057394561842592E-2</v>
      </c>
      <c r="G855" s="269">
        <f t="shared" si="203"/>
        <v>1.7007288516379128E-3</v>
      </c>
      <c r="H855" s="299">
        <v>46508</v>
      </c>
      <c r="I855" s="299">
        <v>46598</v>
      </c>
      <c r="J855" s="299"/>
      <c r="K855" s="299"/>
      <c r="L855" s="299">
        <v>46508</v>
      </c>
      <c r="M855" s="299">
        <v>46598</v>
      </c>
      <c r="N855" s="229">
        <v>0</v>
      </c>
      <c r="O855" s="229">
        <v>0</v>
      </c>
      <c r="P855" s="229">
        <v>0</v>
      </c>
      <c r="Q855" s="272">
        <v>0</v>
      </c>
      <c r="R855" s="272">
        <v>0</v>
      </c>
      <c r="S855" s="272">
        <v>0</v>
      </c>
      <c r="T855" s="256">
        <f t="shared" si="198"/>
        <v>0</v>
      </c>
      <c r="U855" s="256">
        <f t="shared" si="199"/>
        <v>0</v>
      </c>
      <c r="V855" s="256">
        <f t="shared" si="200"/>
        <v>0</v>
      </c>
      <c r="W855" s="256">
        <f t="shared" si="245"/>
        <v>0</v>
      </c>
    </row>
    <row r="856" spans="2:23" s="216" customFormat="1" ht="12.75" outlineLevel="2">
      <c r="B856" s="255" t="s">
        <v>955</v>
      </c>
      <c r="C856" s="245" t="s">
        <v>88</v>
      </c>
      <c r="D856" s="227" t="s">
        <v>89</v>
      </c>
      <c r="E856" s="241">
        <v>5973938348</v>
      </c>
      <c r="F856" s="228">
        <f t="shared" si="247"/>
        <v>6.1612726844928238E-2</v>
      </c>
      <c r="G856" s="269">
        <f t="shared" si="203"/>
        <v>1.8048784821309343E-3</v>
      </c>
      <c r="H856" s="299">
        <v>46508</v>
      </c>
      <c r="I856" s="299">
        <v>46598</v>
      </c>
      <c r="J856" s="299"/>
      <c r="K856" s="299"/>
      <c r="L856" s="299">
        <v>46508</v>
      </c>
      <c r="M856" s="299">
        <v>46598</v>
      </c>
      <c r="N856" s="229">
        <v>0</v>
      </c>
      <c r="O856" s="229">
        <v>0</v>
      </c>
      <c r="P856" s="229">
        <v>0</v>
      </c>
      <c r="Q856" s="272">
        <v>0</v>
      </c>
      <c r="R856" s="272">
        <v>0</v>
      </c>
      <c r="S856" s="272">
        <v>0</v>
      </c>
      <c r="T856" s="256">
        <f t="shared" si="198"/>
        <v>0</v>
      </c>
      <c r="U856" s="256">
        <f t="shared" si="199"/>
        <v>0</v>
      </c>
      <c r="V856" s="256">
        <f t="shared" si="200"/>
        <v>0</v>
      </c>
      <c r="W856" s="256">
        <f t="shared" si="245"/>
        <v>0</v>
      </c>
    </row>
    <row r="857" spans="2:23" s="216" customFormat="1" ht="12.75" outlineLevel="2">
      <c r="B857" s="255" t="s">
        <v>956</v>
      </c>
      <c r="C857" s="245" t="s">
        <v>91</v>
      </c>
      <c r="D857" s="227" t="s">
        <v>92</v>
      </c>
      <c r="E857" s="241">
        <v>5379167556</v>
      </c>
      <c r="F857" s="228">
        <f t="shared" si="247"/>
        <v>5.5478507137905975E-2</v>
      </c>
      <c r="G857" s="269">
        <f t="shared" si="203"/>
        <v>1.6251831217594694E-3</v>
      </c>
      <c r="H857" s="299">
        <v>46508</v>
      </c>
      <c r="I857" s="299">
        <v>46598</v>
      </c>
      <c r="J857" s="299"/>
      <c r="K857" s="299"/>
      <c r="L857" s="299">
        <v>46508</v>
      </c>
      <c r="M857" s="299">
        <v>46598</v>
      </c>
      <c r="N857" s="229">
        <v>0</v>
      </c>
      <c r="O857" s="229">
        <v>0</v>
      </c>
      <c r="P857" s="229">
        <v>0</v>
      </c>
      <c r="Q857" s="272">
        <v>0</v>
      </c>
      <c r="R857" s="272">
        <v>0</v>
      </c>
      <c r="S857" s="272">
        <v>0</v>
      </c>
      <c r="T857" s="256">
        <f t="shared" si="198"/>
        <v>0</v>
      </c>
      <c r="U857" s="256">
        <f t="shared" si="199"/>
        <v>0</v>
      </c>
      <c r="V857" s="256">
        <f t="shared" si="200"/>
        <v>0</v>
      </c>
      <c r="W857" s="256">
        <f t="shared" si="245"/>
        <v>0</v>
      </c>
    </row>
    <row r="858" spans="2:23" s="216" customFormat="1" ht="12.75" outlineLevel="2">
      <c r="B858" s="294" t="s">
        <v>957</v>
      </c>
      <c r="C858" s="294"/>
      <c r="D858" s="294" t="s">
        <v>94</v>
      </c>
      <c r="E858" s="295">
        <f>E859+E871+E879+E885+E889</f>
        <v>446873239895.37</v>
      </c>
      <c r="F858" s="296">
        <f>+E858/$E$718</f>
        <v>0.17989574156721069</v>
      </c>
      <c r="G858" s="296">
        <f t="shared" si="203"/>
        <v>0.13501175404619162</v>
      </c>
      <c r="H858" s="297"/>
      <c r="I858" s="297"/>
      <c r="J858" s="297"/>
      <c r="K858" s="297"/>
      <c r="L858" s="297"/>
      <c r="M858" s="297"/>
      <c r="N858" s="296">
        <f t="shared" ref="N858:S858" si="248">$F859*N859+$F871*N871+$F879*N879+$F885*N885</f>
        <v>0</v>
      </c>
      <c r="O858" s="296">
        <f t="shared" si="248"/>
        <v>0</v>
      </c>
      <c r="P858" s="296">
        <f t="shared" si="248"/>
        <v>0</v>
      </c>
      <c r="Q858" s="296">
        <f t="shared" si="248"/>
        <v>3.7816181683612685E-2</v>
      </c>
      <c r="R858" s="296">
        <f t="shared" si="248"/>
        <v>2.8537800654892448E-2</v>
      </c>
      <c r="S858" s="296">
        <f t="shared" si="248"/>
        <v>3.7816181683612685E-2</v>
      </c>
      <c r="T858" s="296">
        <f t="shared" si="198"/>
        <v>0</v>
      </c>
      <c r="U858" s="296">
        <f t="shared" si="199"/>
        <v>0</v>
      </c>
      <c r="V858" s="296">
        <f t="shared" si="200"/>
        <v>0</v>
      </c>
      <c r="W858" s="296">
        <f t="shared" si="245"/>
        <v>1.3251260018571043</v>
      </c>
    </row>
    <row r="859" spans="2:23" s="140" customFormat="1" ht="12.75" outlineLevel="2">
      <c r="B859" s="259" t="s">
        <v>958</v>
      </c>
      <c r="C859" s="251"/>
      <c r="D859" s="236" t="s">
        <v>97</v>
      </c>
      <c r="E859" s="242">
        <f>+SUM(E860:E870)</f>
        <v>92266070128</v>
      </c>
      <c r="F859" s="232">
        <f>E859/$E$858</f>
        <v>0.2064703407829992</v>
      </c>
      <c r="G859" s="232">
        <f t="shared" si="203"/>
        <v>2.7875922867627655E-2</v>
      </c>
      <c r="H859" s="321">
        <f>MIN(H860:H870)</f>
        <v>45905</v>
      </c>
      <c r="I859" s="321">
        <f>MAX(I860:I870)</f>
        <v>46387</v>
      </c>
      <c r="J859" s="321"/>
      <c r="K859" s="321"/>
      <c r="L859" s="321">
        <f>MIN(L860:L870)</f>
        <v>46357</v>
      </c>
      <c r="M859" s="321">
        <f>MAX(M860:M870)</f>
        <v>46721</v>
      </c>
      <c r="N859" s="233">
        <f t="shared" ref="N859:S859" si="249">SUMPRODUCT($F860:$F870,N860:N870)</f>
        <v>0</v>
      </c>
      <c r="O859" s="233">
        <f t="shared" si="249"/>
        <v>0</v>
      </c>
      <c r="P859" s="233">
        <f t="shared" si="249"/>
        <v>0</v>
      </c>
      <c r="Q859" s="274">
        <f t="shared" si="249"/>
        <v>0</v>
      </c>
      <c r="R859" s="274">
        <f t="shared" si="249"/>
        <v>0</v>
      </c>
      <c r="S859" s="274">
        <f t="shared" si="249"/>
        <v>0</v>
      </c>
      <c r="T859" s="260">
        <f t="shared" si="198"/>
        <v>0</v>
      </c>
      <c r="U859" s="260">
        <f t="shared" si="199"/>
        <v>0</v>
      </c>
      <c r="V859" s="260">
        <f t="shared" si="200"/>
        <v>0</v>
      </c>
      <c r="W859" s="260">
        <f t="shared" si="245"/>
        <v>0</v>
      </c>
    </row>
    <row r="860" spans="2:23" s="216" customFormat="1" ht="25.5" outlineLevel="3">
      <c r="B860" s="255" t="s">
        <v>959</v>
      </c>
      <c r="C860" s="245" t="s">
        <v>99</v>
      </c>
      <c r="D860" s="227" t="s">
        <v>100</v>
      </c>
      <c r="E860" s="241">
        <v>5433162476</v>
      </c>
      <c r="F860" s="228">
        <f t="shared" ref="F860:F870" si="250">E860/$E$859</f>
        <v>5.8885812178438031E-2</v>
      </c>
      <c r="G860" s="269">
        <f t="shared" si="203"/>
        <v>1.6414963582837478E-3</v>
      </c>
      <c r="H860" s="299">
        <v>45905</v>
      </c>
      <c r="I860" s="299">
        <v>46387</v>
      </c>
      <c r="J860" s="299"/>
      <c r="K860" s="299"/>
      <c r="L860" s="299">
        <v>46539</v>
      </c>
      <c r="M860" s="299">
        <v>46660</v>
      </c>
      <c r="N860" s="229">
        <v>0</v>
      </c>
      <c r="O860" s="229">
        <v>0</v>
      </c>
      <c r="P860" s="229">
        <v>0</v>
      </c>
      <c r="Q860" s="272">
        <v>0</v>
      </c>
      <c r="R860" s="272">
        <v>0</v>
      </c>
      <c r="S860" s="272">
        <v>0</v>
      </c>
      <c r="T860" s="256">
        <f t="shared" si="198"/>
        <v>0</v>
      </c>
      <c r="U860" s="256">
        <f t="shared" si="199"/>
        <v>0</v>
      </c>
      <c r="V860" s="256">
        <f t="shared" si="200"/>
        <v>0</v>
      </c>
      <c r="W860" s="256">
        <f t="shared" si="245"/>
        <v>0</v>
      </c>
    </row>
    <row r="861" spans="2:23" s="216" customFormat="1" ht="25.5" outlineLevel="3">
      <c r="B861" s="255" t="s">
        <v>960</v>
      </c>
      <c r="C861" s="245" t="s">
        <v>102</v>
      </c>
      <c r="D861" s="227" t="s">
        <v>103</v>
      </c>
      <c r="E861" s="241">
        <v>8809274735</v>
      </c>
      <c r="F861" s="228">
        <f t="shared" si="250"/>
        <v>9.5476860808951347E-2</v>
      </c>
      <c r="G861" s="269">
        <f t="shared" si="203"/>
        <v>2.6615056075535493E-3</v>
      </c>
      <c r="H861" s="299">
        <v>45932</v>
      </c>
      <c r="I861" s="299">
        <v>46387</v>
      </c>
      <c r="J861" s="299"/>
      <c r="K861" s="299"/>
      <c r="L861" s="299">
        <v>46539</v>
      </c>
      <c r="M861" s="299">
        <v>46660</v>
      </c>
      <c r="N861" s="229">
        <v>0</v>
      </c>
      <c r="O861" s="229">
        <v>0</v>
      </c>
      <c r="P861" s="229">
        <v>0</v>
      </c>
      <c r="Q861" s="272">
        <v>0</v>
      </c>
      <c r="R861" s="272">
        <v>0</v>
      </c>
      <c r="S861" s="272">
        <v>0</v>
      </c>
      <c r="T861" s="256">
        <f t="shared" si="198"/>
        <v>0</v>
      </c>
      <c r="U861" s="256">
        <f t="shared" si="199"/>
        <v>0</v>
      </c>
      <c r="V861" s="256">
        <f t="shared" si="200"/>
        <v>0</v>
      </c>
      <c r="W861" s="256">
        <f t="shared" si="245"/>
        <v>0</v>
      </c>
    </row>
    <row r="862" spans="2:23" s="216" customFormat="1" ht="25.5" outlineLevel="3">
      <c r="B862" s="255" t="s">
        <v>961</v>
      </c>
      <c r="C862" s="245" t="s">
        <v>105</v>
      </c>
      <c r="D862" s="227" t="s">
        <v>106</v>
      </c>
      <c r="E862" s="241">
        <v>7183065007</v>
      </c>
      <c r="F862" s="228">
        <f t="shared" si="250"/>
        <v>7.7851641421759807E-2</v>
      </c>
      <c r="G862" s="269">
        <f t="shared" si="203"/>
        <v>2.1701863513911828E-3</v>
      </c>
      <c r="H862" s="299">
        <v>46169</v>
      </c>
      <c r="I862" s="299">
        <v>46231</v>
      </c>
      <c r="J862" s="299"/>
      <c r="K862" s="299"/>
      <c r="L862" s="299">
        <v>46569</v>
      </c>
      <c r="M862" s="299">
        <v>46721</v>
      </c>
      <c r="N862" s="229">
        <v>0</v>
      </c>
      <c r="O862" s="229">
        <v>0</v>
      </c>
      <c r="P862" s="229">
        <v>0</v>
      </c>
      <c r="Q862" s="272">
        <v>0</v>
      </c>
      <c r="R862" s="272">
        <v>0</v>
      </c>
      <c r="S862" s="272">
        <v>0</v>
      </c>
      <c r="T862" s="256">
        <f t="shared" si="198"/>
        <v>0</v>
      </c>
      <c r="U862" s="256">
        <f t="shared" si="199"/>
        <v>0</v>
      </c>
      <c r="V862" s="256">
        <f t="shared" si="200"/>
        <v>0</v>
      </c>
      <c r="W862" s="256">
        <f t="shared" si="245"/>
        <v>0</v>
      </c>
    </row>
    <row r="863" spans="2:23" s="216" customFormat="1" ht="25.5" outlineLevel="3">
      <c r="B863" s="255" t="s">
        <v>962</v>
      </c>
      <c r="C863" s="245" t="s">
        <v>108</v>
      </c>
      <c r="D863" s="227" t="s">
        <v>109</v>
      </c>
      <c r="E863" s="241">
        <v>8885209508</v>
      </c>
      <c r="F863" s="228">
        <f t="shared" si="250"/>
        <v>9.6299858611877787E-2</v>
      </c>
      <c r="G863" s="269">
        <f t="shared" si="203"/>
        <v>2.6844474308281539E-3</v>
      </c>
      <c r="H863" s="299">
        <v>46170</v>
      </c>
      <c r="I863" s="299">
        <v>46263</v>
      </c>
      <c r="J863" s="299"/>
      <c r="K863" s="299"/>
      <c r="L863" s="299">
        <v>46569</v>
      </c>
      <c r="M863" s="299">
        <v>46721</v>
      </c>
      <c r="N863" s="229">
        <v>0</v>
      </c>
      <c r="O863" s="229">
        <v>0</v>
      </c>
      <c r="P863" s="229">
        <v>0</v>
      </c>
      <c r="Q863" s="272">
        <v>0</v>
      </c>
      <c r="R863" s="272">
        <v>0</v>
      </c>
      <c r="S863" s="272">
        <v>0</v>
      </c>
      <c r="T863" s="256">
        <f t="shared" si="198"/>
        <v>0</v>
      </c>
      <c r="U863" s="256">
        <f t="shared" si="199"/>
        <v>0</v>
      </c>
      <c r="V863" s="256">
        <f t="shared" si="200"/>
        <v>0</v>
      </c>
      <c r="W863" s="256">
        <f t="shared" si="245"/>
        <v>0</v>
      </c>
    </row>
    <row r="864" spans="2:23" s="216" customFormat="1" ht="38.25" outlineLevel="3">
      <c r="B864" s="255" t="s">
        <v>963</v>
      </c>
      <c r="C864" s="245" t="s">
        <v>111</v>
      </c>
      <c r="D864" s="227" t="s">
        <v>112</v>
      </c>
      <c r="E864" s="241">
        <v>19828566223</v>
      </c>
      <c r="F864" s="228">
        <f t="shared" si="250"/>
        <v>0.2149063701910354</v>
      </c>
      <c r="G864" s="269">
        <f t="shared" si="203"/>
        <v>5.9907133992071378E-3</v>
      </c>
      <c r="H864" s="299">
        <v>46170</v>
      </c>
      <c r="I864" s="299">
        <v>46381</v>
      </c>
      <c r="J864" s="299"/>
      <c r="K864" s="299"/>
      <c r="L864" s="299">
        <v>46539</v>
      </c>
      <c r="M864" s="299">
        <v>46690</v>
      </c>
      <c r="N864" s="229">
        <v>0</v>
      </c>
      <c r="O864" s="229">
        <v>0</v>
      </c>
      <c r="P864" s="229">
        <v>0</v>
      </c>
      <c r="Q864" s="272">
        <v>0</v>
      </c>
      <c r="R864" s="272">
        <v>0</v>
      </c>
      <c r="S864" s="272">
        <v>0</v>
      </c>
      <c r="T864" s="256">
        <f t="shared" si="198"/>
        <v>0</v>
      </c>
      <c r="U864" s="256">
        <f t="shared" si="199"/>
        <v>0</v>
      </c>
      <c r="V864" s="256">
        <f t="shared" si="200"/>
        <v>0</v>
      </c>
      <c r="W864" s="256">
        <f t="shared" si="245"/>
        <v>0</v>
      </c>
    </row>
    <row r="865" spans="2:23" s="216" customFormat="1" ht="38.25" outlineLevel="3">
      <c r="B865" s="255" t="s">
        <v>964</v>
      </c>
      <c r="C865" s="245" t="s">
        <v>114</v>
      </c>
      <c r="D865" s="227" t="s">
        <v>115</v>
      </c>
      <c r="E865" s="241">
        <v>10830228543</v>
      </c>
      <c r="F865" s="228">
        <f t="shared" si="250"/>
        <v>0.11738040352185054</v>
      </c>
      <c r="G865" s="269">
        <f t="shared" ref="G865:G888" si="251">+E865*$G$718/$E$718</f>
        <v>3.272087074746115E-3</v>
      </c>
      <c r="H865" s="299">
        <v>46171</v>
      </c>
      <c r="I865" s="299">
        <v>46381</v>
      </c>
      <c r="J865" s="299"/>
      <c r="K865" s="299"/>
      <c r="L865" s="299">
        <v>46539</v>
      </c>
      <c r="M865" s="299">
        <v>46690</v>
      </c>
      <c r="N865" s="229">
        <v>0</v>
      </c>
      <c r="O865" s="229">
        <v>0</v>
      </c>
      <c r="P865" s="229">
        <v>0</v>
      </c>
      <c r="Q865" s="272">
        <v>0</v>
      </c>
      <c r="R865" s="272">
        <v>0</v>
      </c>
      <c r="S865" s="272">
        <v>0</v>
      </c>
      <c r="T865" s="256">
        <f t="shared" si="198"/>
        <v>0</v>
      </c>
      <c r="U865" s="256">
        <f t="shared" si="199"/>
        <v>0</v>
      </c>
      <c r="V865" s="256">
        <f t="shared" si="200"/>
        <v>0</v>
      </c>
      <c r="W865" s="256">
        <f t="shared" si="245"/>
        <v>0</v>
      </c>
    </row>
    <row r="866" spans="2:23" s="216" customFormat="1" ht="38.25" outlineLevel="3">
      <c r="B866" s="255" t="s">
        <v>965</v>
      </c>
      <c r="C866" s="245" t="s">
        <v>117</v>
      </c>
      <c r="D866" s="227" t="s">
        <v>118</v>
      </c>
      <c r="E866" s="241">
        <v>11007777007</v>
      </c>
      <c r="F866" s="228">
        <f t="shared" si="250"/>
        <v>0.11930471289964986</v>
      </c>
      <c r="G866" s="269">
        <f t="shared" si="251"/>
        <v>3.3257289745351015E-3</v>
      </c>
      <c r="H866" s="299">
        <v>46170</v>
      </c>
      <c r="I866" s="299">
        <v>46381</v>
      </c>
      <c r="J866" s="299"/>
      <c r="K866" s="299"/>
      <c r="L866" s="299">
        <v>46539</v>
      </c>
      <c r="M866" s="299">
        <v>46690</v>
      </c>
      <c r="N866" s="229">
        <v>0</v>
      </c>
      <c r="O866" s="229">
        <v>0</v>
      </c>
      <c r="P866" s="229">
        <v>0</v>
      </c>
      <c r="Q866" s="272">
        <v>0</v>
      </c>
      <c r="R866" s="272">
        <v>0</v>
      </c>
      <c r="S866" s="272">
        <v>0</v>
      </c>
      <c r="T866" s="256">
        <f t="shared" si="198"/>
        <v>0</v>
      </c>
      <c r="U866" s="256">
        <f t="shared" si="199"/>
        <v>0</v>
      </c>
      <c r="V866" s="256">
        <f t="shared" si="200"/>
        <v>0</v>
      </c>
      <c r="W866" s="256">
        <f t="shared" si="245"/>
        <v>0</v>
      </c>
    </row>
    <row r="867" spans="2:23" s="216" customFormat="1" ht="38.25" outlineLevel="3">
      <c r="B867" s="255" t="s">
        <v>966</v>
      </c>
      <c r="C867" s="245" t="s">
        <v>120</v>
      </c>
      <c r="D867" s="227" t="s">
        <v>121</v>
      </c>
      <c r="E867" s="241">
        <v>17684759512</v>
      </c>
      <c r="F867" s="228">
        <f t="shared" si="250"/>
        <v>0.19167132064328818</v>
      </c>
      <c r="G867" s="269">
        <f t="shared" si="251"/>
        <v>5.3430149501886293E-3</v>
      </c>
      <c r="H867" s="299">
        <v>46170</v>
      </c>
      <c r="I867" s="299">
        <v>46381</v>
      </c>
      <c r="J867" s="299"/>
      <c r="K867" s="299"/>
      <c r="L867" s="299">
        <v>46539</v>
      </c>
      <c r="M867" s="299">
        <v>46690</v>
      </c>
      <c r="N867" s="229">
        <v>0</v>
      </c>
      <c r="O867" s="229">
        <v>0</v>
      </c>
      <c r="P867" s="229">
        <v>0</v>
      </c>
      <c r="Q867" s="272">
        <v>0</v>
      </c>
      <c r="R867" s="272">
        <v>0</v>
      </c>
      <c r="S867" s="272">
        <v>0</v>
      </c>
      <c r="T867" s="256">
        <f t="shared" si="198"/>
        <v>0</v>
      </c>
      <c r="U867" s="256">
        <f t="shared" si="199"/>
        <v>0</v>
      </c>
      <c r="V867" s="256">
        <f t="shared" si="200"/>
        <v>0</v>
      </c>
      <c r="W867" s="256">
        <f t="shared" si="245"/>
        <v>0</v>
      </c>
    </row>
    <row r="868" spans="2:23" s="216" customFormat="1" ht="25.5" outlineLevel="3">
      <c r="B868" s="255" t="s">
        <v>967</v>
      </c>
      <c r="C868" s="245" t="s">
        <v>123</v>
      </c>
      <c r="D868" s="227" t="s">
        <v>124</v>
      </c>
      <c r="E868" s="241">
        <v>483725861</v>
      </c>
      <c r="F868" s="228">
        <f t="shared" si="250"/>
        <v>5.2427274764052581E-3</v>
      </c>
      <c r="G868" s="269">
        <f t="shared" si="251"/>
        <v>1.4614586674826515E-4</v>
      </c>
      <c r="H868" s="299"/>
      <c r="I868" s="299"/>
      <c r="J868" s="299"/>
      <c r="K868" s="299"/>
      <c r="L868" s="299">
        <v>46357</v>
      </c>
      <c r="M868" s="299">
        <v>46418</v>
      </c>
      <c r="N868" s="229">
        <v>0</v>
      </c>
      <c r="O868" s="229">
        <v>0</v>
      </c>
      <c r="P868" s="229">
        <v>0</v>
      </c>
      <c r="Q868" s="272">
        <v>0</v>
      </c>
      <c r="R868" s="272">
        <v>0</v>
      </c>
      <c r="S868" s="272">
        <v>0</v>
      </c>
      <c r="T868" s="256">
        <f t="shared" si="198"/>
        <v>0</v>
      </c>
      <c r="U868" s="256">
        <f t="shared" si="199"/>
        <v>0</v>
      </c>
      <c r="V868" s="256">
        <f t="shared" si="200"/>
        <v>0</v>
      </c>
      <c r="W868" s="256">
        <f t="shared" si="245"/>
        <v>0</v>
      </c>
    </row>
    <row r="869" spans="2:23" s="216" customFormat="1" ht="25.5" outlineLevel="3">
      <c r="B869" s="255" t="s">
        <v>968</v>
      </c>
      <c r="C869" s="245" t="s">
        <v>126</v>
      </c>
      <c r="D869" s="227" t="s">
        <v>127</v>
      </c>
      <c r="E869" s="241">
        <v>0</v>
      </c>
      <c r="F869" s="228">
        <f t="shared" si="250"/>
        <v>0</v>
      </c>
      <c r="G869" s="269">
        <f t="shared" si="251"/>
        <v>0</v>
      </c>
      <c r="H869" s="299"/>
      <c r="I869" s="299"/>
      <c r="J869" s="299"/>
      <c r="K869" s="299"/>
      <c r="L869" s="299"/>
      <c r="M869" s="299"/>
      <c r="N869" s="229">
        <v>0</v>
      </c>
      <c r="O869" s="229">
        <v>0</v>
      </c>
      <c r="P869" s="229">
        <v>0</v>
      </c>
      <c r="Q869" s="272">
        <v>0</v>
      </c>
      <c r="R869" s="272">
        <v>0</v>
      </c>
      <c r="S869" s="272">
        <v>0</v>
      </c>
      <c r="T869" s="256">
        <f t="shared" si="198"/>
        <v>0</v>
      </c>
      <c r="U869" s="256">
        <f t="shared" si="199"/>
        <v>0</v>
      </c>
      <c r="V869" s="256">
        <f t="shared" si="200"/>
        <v>0</v>
      </c>
      <c r="W869" s="256">
        <f t="shared" si="245"/>
        <v>0</v>
      </c>
    </row>
    <row r="870" spans="2:23" s="216" customFormat="1" ht="38.25" outlineLevel="3">
      <c r="B870" s="255" t="s">
        <v>969</v>
      </c>
      <c r="C870" s="245" t="s">
        <v>129</v>
      </c>
      <c r="D870" s="227" t="s">
        <v>130</v>
      </c>
      <c r="E870" s="241">
        <v>2120301256</v>
      </c>
      <c r="F870" s="228">
        <f t="shared" si="250"/>
        <v>2.2980292246743819E-2</v>
      </c>
      <c r="G870" s="269">
        <f t="shared" si="251"/>
        <v>6.4059685414577256E-4</v>
      </c>
      <c r="H870" s="299">
        <v>46146</v>
      </c>
      <c r="I870" s="299">
        <v>46387</v>
      </c>
      <c r="J870" s="299"/>
      <c r="K870" s="299"/>
      <c r="L870" s="299">
        <v>46569</v>
      </c>
      <c r="M870" s="299">
        <v>46721</v>
      </c>
      <c r="N870" s="229">
        <v>0</v>
      </c>
      <c r="O870" s="229">
        <v>0</v>
      </c>
      <c r="P870" s="229">
        <v>0</v>
      </c>
      <c r="Q870" s="272">
        <v>0</v>
      </c>
      <c r="R870" s="272">
        <v>0</v>
      </c>
      <c r="S870" s="272">
        <v>0</v>
      </c>
      <c r="T870" s="256">
        <f t="shared" si="198"/>
        <v>0</v>
      </c>
      <c r="U870" s="256">
        <f t="shared" si="199"/>
        <v>0</v>
      </c>
      <c r="V870" s="256">
        <f t="shared" si="200"/>
        <v>0</v>
      </c>
      <c r="W870" s="256">
        <f t="shared" si="245"/>
        <v>0</v>
      </c>
    </row>
    <row r="871" spans="2:23" s="140" customFormat="1" ht="25.5" outlineLevel="2">
      <c r="B871" s="259" t="s">
        <v>970</v>
      </c>
      <c r="C871" s="251"/>
      <c r="D871" s="236" t="s">
        <v>133</v>
      </c>
      <c r="E871" s="242">
        <f>+SUM(E872:E878)</f>
        <v>68661917777</v>
      </c>
      <c r="F871" s="232">
        <f>E871/$E$858</f>
        <v>0.15364965195292599</v>
      </c>
      <c r="G871" s="232">
        <f t="shared" si="251"/>
        <v>2.0744509018751387E-2</v>
      </c>
      <c r="H871" s="321">
        <f>MIN(H872:H878)</f>
        <v>45899</v>
      </c>
      <c r="I871" s="321">
        <f>MAX(I872:I878)</f>
        <v>46387</v>
      </c>
      <c r="J871" s="321"/>
      <c r="K871" s="321"/>
      <c r="L871" s="321">
        <f>MIN(L872:L878)</f>
        <v>45899</v>
      </c>
      <c r="M871" s="321">
        <f>MAX(M872:M878)</f>
        <v>46660</v>
      </c>
      <c r="N871" s="233">
        <f>SUMPRODUCT($F872:$F878,N872:N878)</f>
        <v>0</v>
      </c>
      <c r="O871" s="233">
        <f t="shared" ref="O871:S871" si="252">SUMPRODUCT($F872:$F878,O872:O878)</f>
        <v>0</v>
      </c>
      <c r="P871" s="233">
        <f t="shared" si="252"/>
        <v>0</v>
      </c>
      <c r="Q871" s="274">
        <f>SUMPRODUCT($F872:$F878,Q872:Q878)</f>
        <v>9.2478020412459172E-2</v>
      </c>
      <c r="R871" s="274">
        <f>SUMPRODUCT($F872:$F878,R872:R878)</f>
        <v>9.2478020412459172E-2</v>
      </c>
      <c r="S871" s="274">
        <f t="shared" si="252"/>
        <v>9.2478020412459172E-2</v>
      </c>
      <c r="T871" s="260">
        <f t="shared" si="198"/>
        <v>0</v>
      </c>
      <c r="U871" s="260">
        <f t="shared" si="199"/>
        <v>0</v>
      </c>
      <c r="V871" s="260">
        <f t="shared" si="200"/>
        <v>0</v>
      </c>
      <c r="W871" s="260">
        <f t="shared" si="245"/>
        <v>1</v>
      </c>
    </row>
    <row r="872" spans="2:23" s="216" customFormat="1" ht="25.5" outlineLevel="3">
      <c r="B872" s="255" t="s">
        <v>971</v>
      </c>
      <c r="C872" s="245" t="s">
        <v>135</v>
      </c>
      <c r="D872" s="227" t="s">
        <v>136</v>
      </c>
      <c r="E872" s="241">
        <v>4921479346</v>
      </c>
      <c r="F872" s="228">
        <f>E872/$E$871</f>
        <v>7.1676986389805894E-2</v>
      </c>
      <c r="G872" s="269">
        <f t="shared" si="251"/>
        <v>1.4869038906002489E-3</v>
      </c>
      <c r="H872" s="299">
        <v>45899</v>
      </c>
      <c r="I872" s="299">
        <v>46387</v>
      </c>
      <c r="J872" s="299"/>
      <c r="K872" s="299"/>
      <c r="L872" s="299">
        <v>45899</v>
      </c>
      <c r="M872" s="299">
        <v>46598</v>
      </c>
      <c r="N872" s="229">
        <v>0</v>
      </c>
      <c r="O872" s="229">
        <v>0</v>
      </c>
      <c r="P872" s="229">
        <v>0</v>
      </c>
      <c r="Q872" s="272">
        <v>0.39</v>
      </c>
      <c r="R872" s="272">
        <v>0.39</v>
      </c>
      <c r="S872" s="272">
        <v>0.39</v>
      </c>
      <c r="T872" s="256">
        <f t="shared" si="198"/>
        <v>0</v>
      </c>
      <c r="U872" s="256">
        <f t="shared" si="199"/>
        <v>0</v>
      </c>
      <c r="V872" s="256">
        <f t="shared" si="200"/>
        <v>0</v>
      </c>
      <c r="W872" s="256">
        <f t="shared" si="245"/>
        <v>1</v>
      </c>
    </row>
    <row r="873" spans="2:23" s="216" customFormat="1" ht="25.5" outlineLevel="3">
      <c r="B873" s="255" t="s">
        <v>972</v>
      </c>
      <c r="C873" s="245" t="s">
        <v>138</v>
      </c>
      <c r="D873" s="227" t="s">
        <v>139</v>
      </c>
      <c r="E873" s="241">
        <v>10548431640</v>
      </c>
      <c r="F873" s="228">
        <f t="shared" ref="F873:F878" si="253">E873/$E$871</f>
        <v>0.15362856123913068</v>
      </c>
      <c r="G873" s="269">
        <f t="shared" si="251"/>
        <v>3.1869490741629463E-3</v>
      </c>
      <c r="H873" s="299">
        <v>45899</v>
      </c>
      <c r="I873" s="299">
        <v>46387</v>
      </c>
      <c r="J873" s="299"/>
      <c r="K873" s="299"/>
      <c r="L873" s="299">
        <v>45899</v>
      </c>
      <c r="M873" s="299">
        <v>46598</v>
      </c>
      <c r="N873" s="229">
        <v>0</v>
      </c>
      <c r="O873" s="229">
        <v>0</v>
      </c>
      <c r="P873" s="229">
        <v>0</v>
      </c>
      <c r="Q873" s="272">
        <v>0.42</v>
      </c>
      <c r="R873" s="272">
        <v>0.42</v>
      </c>
      <c r="S873" s="272">
        <v>0.42</v>
      </c>
      <c r="T873" s="256">
        <f t="shared" si="198"/>
        <v>0</v>
      </c>
      <c r="U873" s="256">
        <f t="shared" si="199"/>
        <v>0</v>
      </c>
      <c r="V873" s="256">
        <f t="shared" si="200"/>
        <v>0</v>
      </c>
      <c r="W873" s="256">
        <f t="shared" si="245"/>
        <v>1</v>
      </c>
    </row>
    <row r="874" spans="2:23" s="216" customFormat="1" ht="25.5" outlineLevel="3">
      <c r="B874" s="255" t="s">
        <v>973</v>
      </c>
      <c r="C874" s="245" t="s">
        <v>141</v>
      </c>
      <c r="D874" s="227" t="s">
        <v>142</v>
      </c>
      <c r="E874" s="241">
        <v>13787945814</v>
      </c>
      <c r="F874" s="228">
        <f t="shared" si="253"/>
        <v>0.20080921506999638</v>
      </c>
      <c r="G874" s="269">
        <f t="shared" si="251"/>
        <v>4.1656885730679272E-3</v>
      </c>
      <c r="H874" s="299">
        <v>46261</v>
      </c>
      <c r="I874" s="299">
        <v>46387</v>
      </c>
      <c r="J874" s="299"/>
      <c r="K874" s="299"/>
      <c r="L874" s="299">
        <v>46261</v>
      </c>
      <c r="M874" s="299">
        <v>46629</v>
      </c>
      <c r="N874" s="229">
        <v>0</v>
      </c>
      <c r="O874" s="229">
        <v>0</v>
      </c>
      <c r="P874" s="229">
        <v>0</v>
      </c>
      <c r="Q874" s="272">
        <v>0</v>
      </c>
      <c r="R874" s="272">
        <v>0</v>
      </c>
      <c r="S874" s="272">
        <v>0</v>
      </c>
      <c r="T874" s="256">
        <f t="shared" si="198"/>
        <v>0</v>
      </c>
      <c r="U874" s="256">
        <f t="shared" si="199"/>
        <v>0</v>
      </c>
      <c r="V874" s="256">
        <f t="shared" si="200"/>
        <v>0</v>
      </c>
      <c r="W874" s="256">
        <f t="shared" si="245"/>
        <v>0</v>
      </c>
    </row>
    <row r="875" spans="2:23" s="216" customFormat="1" ht="25.5" outlineLevel="3">
      <c r="B875" s="255" t="s">
        <v>974</v>
      </c>
      <c r="C875" s="245" t="s">
        <v>144</v>
      </c>
      <c r="D875" s="227" t="s">
        <v>145</v>
      </c>
      <c r="E875" s="241">
        <v>16244549893</v>
      </c>
      <c r="F875" s="228">
        <f t="shared" si="253"/>
        <v>0.2365874770023029</v>
      </c>
      <c r="G875" s="269">
        <f t="shared" si="251"/>
        <v>4.9078910503979091E-3</v>
      </c>
      <c r="H875" s="299">
        <v>46261</v>
      </c>
      <c r="I875" s="299">
        <v>46387</v>
      </c>
      <c r="J875" s="299"/>
      <c r="K875" s="299"/>
      <c r="L875" s="299">
        <v>46261</v>
      </c>
      <c r="M875" s="299">
        <v>46598</v>
      </c>
      <c r="N875" s="229">
        <v>0</v>
      </c>
      <c r="O875" s="229">
        <v>0</v>
      </c>
      <c r="P875" s="229">
        <v>0</v>
      </c>
      <c r="Q875" s="272">
        <v>0</v>
      </c>
      <c r="R875" s="272">
        <v>0</v>
      </c>
      <c r="S875" s="272">
        <v>0</v>
      </c>
      <c r="T875" s="256">
        <f t="shared" si="198"/>
        <v>0</v>
      </c>
      <c r="U875" s="256">
        <f t="shared" si="199"/>
        <v>0</v>
      </c>
      <c r="V875" s="256">
        <f t="shared" si="200"/>
        <v>0</v>
      </c>
      <c r="W875" s="256">
        <f t="shared" si="245"/>
        <v>0</v>
      </c>
    </row>
    <row r="876" spans="2:23" s="216" customFormat="1" ht="12.75" outlineLevel="3">
      <c r="B876" s="255" t="s">
        <v>975</v>
      </c>
      <c r="C876" s="245" t="s">
        <v>147</v>
      </c>
      <c r="D876" s="227" t="s">
        <v>148</v>
      </c>
      <c r="E876" s="241">
        <v>9341862391</v>
      </c>
      <c r="F876" s="228">
        <f t="shared" si="253"/>
        <v>0.13605594911200233</v>
      </c>
      <c r="G876" s="269">
        <f t="shared" si="251"/>
        <v>2.8224138634087123E-3</v>
      </c>
      <c r="H876" s="299"/>
      <c r="I876" s="299"/>
      <c r="J876" s="299"/>
      <c r="K876" s="299"/>
      <c r="L876" s="299"/>
      <c r="M876" s="299"/>
      <c r="N876" s="229">
        <v>0</v>
      </c>
      <c r="O876" s="229">
        <v>0</v>
      </c>
      <c r="P876" s="229">
        <v>0</v>
      </c>
      <c r="Q876" s="272">
        <v>0</v>
      </c>
      <c r="R876" s="272">
        <v>0</v>
      </c>
      <c r="S876" s="272">
        <v>0</v>
      </c>
      <c r="T876" s="256">
        <f t="shared" si="198"/>
        <v>0</v>
      </c>
      <c r="U876" s="256">
        <f t="shared" si="199"/>
        <v>0</v>
      </c>
      <c r="V876" s="256">
        <f t="shared" si="200"/>
        <v>0</v>
      </c>
      <c r="W876" s="256">
        <f t="shared" si="245"/>
        <v>0</v>
      </c>
    </row>
    <row r="877" spans="2:23" s="216" customFormat="1" ht="25.5" outlineLevel="3">
      <c r="B877" s="255" t="s">
        <v>976</v>
      </c>
      <c r="C877" s="245" t="s">
        <v>150</v>
      </c>
      <c r="D877" s="227" t="s">
        <v>151</v>
      </c>
      <c r="E877" s="241">
        <v>7500000000</v>
      </c>
      <c r="F877" s="228">
        <f t="shared" si="253"/>
        <v>0.10923085522251913</v>
      </c>
      <c r="G877" s="269">
        <f t="shared" si="251"/>
        <v>2.2659404612894755E-3</v>
      </c>
      <c r="H877" s="299"/>
      <c r="I877" s="299"/>
      <c r="J877" s="299"/>
      <c r="K877" s="299"/>
      <c r="L877" s="299">
        <v>46478</v>
      </c>
      <c r="M877" s="299">
        <v>46660</v>
      </c>
      <c r="N877" s="229">
        <v>0</v>
      </c>
      <c r="O877" s="229">
        <v>0</v>
      </c>
      <c r="P877" s="229">
        <v>0</v>
      </c>
      <c r="Q877" s="272">
        <v>0</v>
      </c>
      <c r="R877" s="272">
        <v>0</v>
      </c>
      <c r="S877" s="272">
        <v>0</v>
      </c>
      <c r="T877" s="256">
        <f t="shared" si="198"/>
        <v>0</v>
      </c>
      <c r="U877" s="256">
        <f t="shared" si="199"/>
        <v>0</v>
      </c>
      <c r="V877" s="256">
        <f t="shared" si="200"/>
        <v>0</v>
      </c>
      <c r="W877" s="256">
        <f t="shared" si="245"/>
        <v>0</v>
      </c>
    </row>
    <row r="878" spans="2:23" s="216" customFormat="1" ht="25.5" outlineLevel="3">
      <c r="B878" s="255" t="s">
        <v>977</v>
      </c>
      <c r="C878" s="245" t="s">
        <v>153</v>
      </c>
      <c r="D878" s="227" t="s">
        <v>154</v>
      </c>
      <c r="E878" s="241">
        <v>6317648693</v>
      </c>
      <c r="F878" s="228">
        <f t="shared" si="253"/>
        <v>9.2010955964242705E-2</v>
      </c>
      <c r="G878" s="269">
        <f t="shared" si="251"/>
        <v>1.9087221058241694E-3</v>
      </c>
      <c r="H878" s="299">
        <v>46142</v>
      </c>
      <c r="I878" s="299">
        <v>46387</v>
      </c>
      <c r="J878" s="299"/>
      <c r="K878" s="299"/>
      <c r="L878" s="299">
        <v>46142</v>
      </c>
      <c r="M878" s="299">
        <v>46629</v>
      </c>
      <c r="N878" s="229">
        <v>0</v>
      </c>
      <c r="O878" s="229">
        <v>0</v>
      </c>
      <c r="P878" s="229">
        <v>0</v>
      </c>
      <c r="Q878" s="272">
        <v>0</v>
      </c>
      <c r="R878" s="272">
        <v>0</v>
      </c>
      <c r="S878" s="272">
        <v>0</v>
      </c>
      <c r="T878" s="256">
        <f t="shared" si="198"/>
        <v>0</v>
      </c>
      <c r="U878" s="256">
        <f t="shared" si="199"/>
        <v>0</v>
      </c>
      <c r="V878" s="256">
        <f t="shared" si="200"/>
        <v>0</v>
      </c>
      <c r="W878" s="256">
        <f t="shared" si="245"/>
        <v>0</v>
      </c>
    </row>
    <row r="879" spans="2:23" s="140" customFormat="1" ht="25.5" outlineLevel="1">
      <c r="B879" s="259" t="s">
        <v>957</v>
      </c>
      <c r="C879" s="251"/>
      <c r="D879" s="236" t="s">
        <v>157</v>
      </c>
      <c r="E879" s="242">
        <f>+SUM(E880:E884)</f>
        <v>68126520631</v>
      </c>
      <c r="F879" s="232">
        <f>E879/$E$858</f>
        <v>0.15245155571846505</v>
      </c>
      <c r="G879" s="232">
        <f t="shared" si="251"/>
        <v>2.058275194462068E-2</v>
      </c>
      <c r="H879" s="321"/>
      <c r="I879" s="321"/>
      <c r="J879" s="321"/>
      <c r="K879" s="321"/>
      <c r="L879" s="321"/>
      <c r="M879" s="321"/>
      <c r="N879" s="233">
        <f>+SUMPRODUCT($F880:$F884,N880:N884)</f>
        <v>0</v>
      </c>
      <c r="O879" s="233">
        <f>+SUMPRODUCT($F880:$F884,O880:O884)</f>
        <v>0</v>
      </c>
      <c r="P879" s="233">
        <f>+SUMPRODUCT($F880:$F884,P880:P884)</f>
        <v>0</v>
      </c>
      <c r="Q879" s="274">
        <f>+SUMPRODUCT($F880:$F888,Q880:Q888)</f>
        <v>6.0861176424167093E-2</v>
      </c>
      <c r="R879" s="274">
        <f>+SUMPRODUCT($F880:$F884,R880:R884)</f>
        <v>0</v>
      </c>
      <c r="S879" s="274">
        <f>+SUMPRODUCT($F880:$F888,S880:S888)</f>
        <v>6.0861176424167093E-2</v>
      </c>
      <c r="T879" s="254">
        <f t="shared" si="198"/>
        <v>0</v>
      </c>
      <c r="U879" s="254">
        <f t="shared" si="199"/>
        <v>0</v>
      </c>
      <c r="V879" s="254">
        <f t="shared" si="200"/>
        <v>0</v>
      </c>
      <c r="W879" s="254">
        <f t="shared" si="245"/>
        <v>0</v>
      </c>
    </row>
    <row r="880" spans="2:23" s="216" customFormat="1" ht="12.75" outlineLevel="2">
      <c r="B880" s="255" t="s">
        <v>970</v>
      </c>
      <c r="C880" s="245" t="s">
        <v>181</v>
      </c>
      <c r="D880" s="227" t="s">
        <v>182</v>
      </c>
      <c r="E880" s="241">
        <v>55392097774</v>
      </c>
      <c r="F880" s="228">
        <f t="shared" ref="F880:F884" si="254">E880/$E$879</f>
        <v>0.81307686435397697</v>
      </c>
      <c r="G880" s="269">
        <f t="shared" si="251"/>
        <v>1.6735359410907903E-2</v>
      </c>
      <c r="H880" s="299"/>
      <c r="I880" s="299"/>
      <c r="J880" s="299"/>
      <c r="K880" s="299"/>
      <c r="L880" s="299">
        <v>46569</v>
      </c>
      <c r="M880" s="299" t="s">
        <v>1042</v>
      </c>
      <c r="N880" s="229">
        <v>0</v>
      </c>
      <c r="O880" s="229">
        <v>0</v>
      </c>
      <c r="P880" s="229">
        <v>0</v>
      </c>
      <c r="Q880" s="272">
        <v>0</v>
      </c>
      <c r="R880" s="272">
        <v>0</v>
      </c>
      <c r="S880" s="272">
        <v>0</v>
      </c>
      <c r="T880" s="256">
        <f t="shared" ref="T880:T911" si="255">+IF(N880=0,0,$S880/N880)</f>
        <v>0</v>
      </c>
      <c r="U880" s="256">
        <f t="shared" ref="U880:U911" si="256">+IF(O880=0,0,$S880/O880)</f>
        <v>0</v>
      </c>
      <c r="V880" s="256">
        <f t="shared" ref="V880:V911" si="257">+IF(P880=0,0,$S880/P880)</f>
        <v>0</v>
      </c>
      <c r="W880" s="256">
        <f t="shared" si="245"/>
        <v>0</v>
      </c>
    </row>
    <row r="881" spans="2:23" s="216" customFormat="1" ht="25.5" outlineLevel="2">
      <c r="B881" s="255" t="s">
        <v>978</v>
      </c>
      <c r="C881" s="245" t="s">
        <v>159</v>
      </c>
      <c r="D881" s="227" t="s">
        <v>160</v>
      </c>
      <c r="E881" s="241">
        <v>6367151848</v>
      </c>
      <c r="F881" s="228">
        <f t="shared" si="254"/>
        <v>9.3460693266385869E-2</v>
      </c>
      <c r="G881" s="269">
        <f t="shared" si="251"/>
        <v>1.9236782660743009E-3</v>
      </c>
      <c r="H881" s="299">
        <v>46142</v>
      </c>
      <c r="I881" s="299">
        <v>46387</v>
      </c>
      <c r="J881" s="299"/>
      <c r="K881" s="299"/>
      <c r="L881" s="299">
        <v>46142</v>
      </c>
      <c r="M881" s="299">
        <v>46629</v>
      </c>
      <c r="N881" s="229">
        <v>0</v>
      </c>
      <c r="O881" s="229">
        <v>0</v>
      </c>
      <c r="P881" s="229">
        <v>0</v>
      </c>
      <c r="Q881" s="272">
        <v>0</v>
      </c>
      <c r="R881" s="272">
        <v>0</v>
      </c>
      <c r="S881" s="272">
        <v>0</v>
      </c>
      <c r="T881" s="256">
        <f t="shared" si="255"/>
        <v>0</v>
      </c>
      <c r="U881" s="256">
        <f t="shared" si="256"/>
        <v>0</v>
      </c>
      <c r="V881" s="256">
        <f t="shared" si="257"/>
        <v>0</v>
      </c>
      <c r="W881" s="256">
        <f t="shared" si="245"/>
        <v>0</v>
      </c>
    </row>
    <row r="882" spans="2:23" s="216" customFormat="1" ht="25.5" outlineLevel="2">
      <c r="B882" s="255" t="s">
        <v>979</v>
      </c>
      <c r="C882" s="245" t="s">
        <v>162</v>
      </c>
      <c r="D882" s="227" t="s">
        <v>163</v>
      </c>
      <c r="E882" s="241">
        <v>2068897321</v>
      </c>
      <c r="F882" s="228">
        <f t="shared" si="254"/>
        <v>3.036845712708507E-2</v>
      </c>
      <c r="G882" s="269">
        <f t="shared" si="251"/>
        <v>6.2506641998764001E-4</v>
      </c>
      <c r="H882" s="299"/>
      <c r="I882" s="299"/>
      <c r="J882" s="299"/>
      <c r="K882" s="299"/>
      <c r="L882" s="299">
        <v>46539</v>
      </c>
      <c r="M882" s="299">
        <v>46629</v>
      </c>
      <c r="N882" s="229">
        <v>0</v>
      </c>
      <c r="O882" s="229">
        <v>0</v>
      </c>
      <c r="P882" s="229">
        <v>0</v>
      </c>
      <c r="Q882" s="272">
        <v>0</v>
      </c>
      <c r="R882" s="272">
        <v>0</v>
      </c>
      <c r="S882" s="272">
        <v>0</v>
      </c>
      <c r="T882" s="256">
        <f t="shared" si="255"/>
        <v>0</v>
      </c>
      <c r="U882" s="256">
        <f t="shared" si="256"/>
        <v>0</v>
      </c>
      <c r="V882" s="256">
        <f t="shared" si="257"/>
        <v>0</v>
      </c>
      <c r="W882" s="256">
        <f t="shared" si="245"/>
        <v>0</v>
      </c>
    </row>
    <row r="883" spans="2:23" s="216" customFormat="1" ht="12.75" outlineLevel="2">
      <c r="B883" s="255" t="s">
        <v>980</v>
      </c>
      <c r="C883" s="245" t="s">
        <v>165</v>
      </c>
      <c r="D883" s="227" t="s">
        <v>166</v>
      </c>
      <c r="E883" s="241">
        <v>2452696891</v>
      </c>
      <c r="F883" s="228">
        <f t="shared" si="254"/>
        <v>3.6002086533741685E-2</v>
      </c>
      <c r="G883" s="269">
        <f t="shared" si="251"/>
        <v>7.4102201661277369E-4</v>
      </c>
      <c r="H883" s="299">
        <v>46142</v>
      </c>
      <c r="I883" s="299">
        <v>46387</v>
      </c>
      <c r="J883" s="299"/>
      <c r="K883" s="299"/>
      <c r="L883" s="299">
        <v>46142</v>
      </c>
      <c r="M883" s="299">
        <v>46629</v>
      </c>
      <c r="N883" s="229">
        <v>0</v>
      </c>
      <c r="O883" s="229">
        <v>0</v>
      </c>
      <c r="P883" s="229">
        <v>0</v>
      </c>
      <c r="Q883" s="272">
        <v>0</v>
      </c>
      <c r="R883" s="272">
        <v>0</v>
      </c>
      <c r="S883" s="272">
        <v>0</v>
      </c>
      <c r="T883" s="256">
        <f t="shared" si="255"/>
        <v>0</v>
      </c>
      <c r="U883" s="256">
        <f t="shared" si="256"/>
        <v>0</v>
      </c>
      <c r="V883" s="256">
        <f t="shared" si="257"/>
        <v>0</v>
      </c>
      <c r="W883" s="256">
        <f t="shared" si="245"/>
        <v>0</v>
      </c>
    </row>
    <row r="884" spans="2:23" s="216" customFormat="1" ht="12.75" outlineLevel="2">
      <c r="B884" s="255" t="s">
        <v>981</v>
      </c>
      <c r="C884" s="245" t="s">
        <v>168</v>
      </c>
      <c r="D884" s="227" t="s">
        <v>169</v>
      </c>
      <c r="E884" s="241">
        <v>1845676797</v>
      </c>
      <c r="F884" s="228">
        <f t="shared" si="254"/>
        <v>2.7091898718810414E-2</v>
      </c>
      <c r="G884" s="269">
        <f t="shared" si="251"/>
        <v>5.5762583103806157E-4</v>
      </c>
      <c r="H884" s="299">
        <v>46142</v>
      </c>
      <c r="I884" s="299">
        <v>46387</v>
      </c>
      <c r="J884" s="299"/>
      <c r="K884" s="299"/>
      <c r="L884" s="299">
        <v>46142</v>
      </c>
      <c r="M884" s="299">
        <v>46629</v>
      </c>
      <c r="N884" s="229">
        <v>0</v>
      </c>
      <c r="O884" s="229">
        <v>0</v>
      </c>
      <c r="P884" s="229">
        <v>0</v>
      </c>
      <c r="Q884" s="272">
        <v>0</v>
      </c>
      <c r="R884" s="272">
        <v>0</v>
      </c>
      <c r="S884" s="272">
        <v>0</v>
      </c>
      <c r="T884" s="256">
        <f t="shared" si="255"/>
        <v>0</v>
      </c>
      <c r="U884" s="256">
        <f t="shared" si="256"/>
        <v>0</v>
      </c>
      <c r="V884" s="256">
        <f t="shared" si="257"/>
        <v>0</v>
      </c>
      <c r="W884" s="256">
        <f t="shared" si="245"/>
        <v>0</v>
      </c>
    </row>
    <row r="885" spans="2:23" s="140" customFormat="1" ht="25.5" outlineLevel="1">
      <c r="B885" s="259" t="s">
        <v>957</v>
      </c>
      <c r="C885" s="251"/>
      <c r="D885" s="236" t="s">
        <v>173</v>
      </c>
      <c r="E885" s="242">
        <f>+SUM(E886:E888)</f>
        <v>137603795730</v>
      </c>
      <c r="F885" s="232">
        <f>E885/$E$858</f>
        <v>0.30792579068332282</v>
      </c>
      <c r="G885" s="232">
        <f t="shared" si="251"/>
        <v>4.1573601116215858E-2</v>
      </c>
      <c r="H885" s="321">
        <f>MIN(H886:H888)</f>
        <v>45940</v>
      </c>
      <c r="I885" s="321">
        <f>MAX(I886:I888)</f>
        <v>46387</v>
      </c>
      <c r="J885" s="321"/>
      <c r="K885" s="321"/>
      <c r="L885" s="321">
        <f>MIN(L886:L888)</f>
        <v>45940</v>
      </c>
      <c r="M885" s="321">
        <f>MAX(M886:M888)</f>
        <v>46660</v>
      </c>
      <c r="N885" s="233">
        <f t="shared" ref="N885:S885" si="258">+SUMPRODUCT($F886:$F888,N886:N888)</f>
        <v>0</v>
      </c>
      <c r="O885" s="233">
        <f t="shared" si="258"/>
        <v>0</v>
      </c>
      <c r="P885" s="233">
        <f t="shared" si="258"/>
        <v>0</v>
      </c>
      <c r="Q885" s="274">
        <f t="shared" si="258"/>
        <v>4.6532591418944579E-2</v>
      </c>
      <c r="R885" s="274">
        <f t="shared" si="258"/>
        <v>4.6532591418944579E-2</v>
      </c>
      <c r="S885" s="274">
        <f t="shared" si="258"/>
        <v>4.6532591418944579E-2</v>
      </c>
      <c r="T885" s="254">
        <f t="shared" si="255"/>
        <v>0</v>
      </c>
      <c r="U885" s="254">
        <f t="shared" si="256"/>
        <v>0</v>
      </c>
      <c r="V885" s="254">
        <f t="shared" si="257"/>
        <v>0</v>
      </c>
      <c r="W885" s="254">
        <f t="shared" si="245"/>
        <v>1</v>
      </c>
    </row>
    <row r="886" spans="2:23" s="216" customFormat="1" ht="25.5" outlineLevel="2">
      <c r="B886" s="255" t="s">
        <v>958</v>
      </c>
      <c r="C886" s="245" t="s">
        <v>175</v>
      </c>
      <c r="D886" s="227" t="s">
        <v>176</v>
      </c>
      <c r="E886" s="241">
        <v>22868075730</v>
      </c>
      <c r="F886" s="228">
        <f>E886/$E$885</f>
        <v>0.16618782649623062</v>
      </c>
      <c r="G886" s="269">
        <f t="shared" si="251"/>
        <v>6.9090264091251803E-3</v>
      </c>
      <c r="H886" s="299">
        <v>45940</v>
      </c>
      <c r="I886" s="299">
        <v>46387</v>
      </c>
      <c r="J886" s="299"/>
      <c r="K886" s="299"/>
      <c r="L886" s="299">
        <v>45940</v>
      </c>
      <c r="M886" s="299">
        <v>46418</v>
      </c>
      <c r="N886" s="229">
        <v>0</v>
      </c>
      <c r="O886" s="229">
        <v>0</v>
      </c>
      <c r="P886" s="229">
        <v>0</v>
      </c>
      <c r="Q886" s="272">
        <v>0.28000000000000003</v>
      </c>
      <c r="R886" s="272">
        <v>0.28000000000000003</v>
      </c>
      <c r="S886" s="272">
        <v>0.28000000000000003</v>
      </c>
      <c r="T886" s="256">
        <f t="shared" si="255"/>
        <v>0</v>
      </c>
      <c r="U886" s="256">
        <f t="shared" si="256"/>
        <v>0</v>
      </c>
      <c r="V886" s="256">
        <f t="shared" si="257"/>
        <v>0</v>
      </c>
      <c r="W886" s="256">
        <f t="shared" si="245"/>
        <v>1</v>
      </c>
    </row>
    <row r="887" spans="2:23" s="216" customFormat="1" ht="25.5" outlineLevel="2">
      <c r="B887" s="255" t="s">
        <v>970</v>
      </c>
      <c r="C887" s="245" t="s">
        <v>178</v>
      </c>
      <c r="D887" s="227" t="s">
        <v>179</v>
      </c>
      <c r="E887" s="241">
        <v>49654650000</v>
      </c>
      <c r="F887" s="228">
        <f t="shared" ref="F887:F888" si="259">E887/$E$885</f>
        <v>0.36085232777611836</v>
      </c>
      <c r="G887" s="269">
        <f t="shared" si="251"/>
        <v>1.5001930736822327E-2</v>
      </c>
      <c r="H887" s="299"/>
      <c r="I887" s="299"/>
      <c r="J887" s="299"/>
      <c r="K887" s="299"/>
      <c r="L887" s="299">
        <v>46478</v>
      </c>
      <c r="M887" s="299">
        <v>46660</v>
      </c>
      <c r="N887" s="229">
        <v>0</v>
      </c>
      <c r="O887" s="229">
        <v>0</v>
      </c>
      <c r="P887" s="229">
        <v>0</v>
      </c>
      <c r="Q887" s="272">
        <v>0</v>
      </c>
      <c r="R887" s="272">
        <v>0</v>
      </c>
      <c r="S887" s="272">
        <v>0</v>
      </c>
      <c r="T887" s="256">
        <f t="shared" si="255"/>
        <v>0</v>
      </c>
      <c r="U887" s="256">
        <f t="shared" si="256"/>
        <v>0</v>
      </c>
      <c r="V887" s="256">
        <f t="shared" si="257"/>
        <v>0</v>
      </c>
      <c r="W887" s="256">
        <f t="shared" si="245"/>
        <v>0</v>
      </c>
    </row>
    <row r="888" spans="2:23" s="216" customFormat="1" ht="25.5" outlineLevel="2">
      <c r="B888" s="255" t="s">
        <v>978</v>
      </c>
      <c r="C888" s="245"/>
      <c r="D888" s="227" t="s">
        <v>439</v>
      </c>
      <c r="E888" s="241">
        <v>65081070000</v>
      </c>
      <c r="F888" s="228">
        <f t="shared" si="259"/>
        <v>0.47295984572765098</v>
      </c>
      <c r="G888" s="269">
        <f t="shared" si="251"/>
        <v>1.9662643970268352E-2</v>
      </c>
      <c r="H888" s="299"/>
      <c r="I888" s="299"/>
      <c r="J888" s="299"/>
      <c r="K888" s="299"/>
      <c r="L888" s="299"/>
      <c r="M888" s="299"/>
      <c r="N888" s="229">
        <v>0</v>
      </c>
      <c r="O888" s="229">
        <v>0</v>
      </c>
      <c r="P888" s="229">
        <v>0</v>
      </c>
      <c r="Q888" s="272">
        <v>0</v>
      </c>
      <c r="R888" s="272">
        <v>0</v>
      </c>
      <c r="S888" s="272">
        <v>0</v>
      </c>
      <c r="T888" s="256">
        <f t="shared" si="255"/>
        <v>0</v>
      </c>
      <c r="U888" s="256">
        <f t="shared" si="256"/>
        <v>0</v>
      </c>
      <c r="V888" s="256">
        <f t="shared" si="257"/>
        <v>0</v>
      </c>
      <c r="W888" s="256">
        <f t="shared" si="245"/>
        <v>0</v>
      </c>
    </row>
    <row r="889" spans="2:23" s="140" customFormat="1" ht="12.75" outlineLevel="1">
      <c r="B889" s="259" t="s">
        <v>957</v>
      </c>
      <c r="C889" s="251"/>
      <c r="D889" s="236" t="s">
        <v>441</v>
      </c>
      <c r="E889" s="242">
        <f>+SUM(E890)</f>
        <v>80214935629.369995</v>
      </c>
      <c r="F889" s="232">
        <f>E889/$E$858</f>
        <v>0.17950266086228694</v>
      </c>
      <c r="G889" s="232">
        <f t="shared" ref="G889:G890" si="260">+E889*$G$718/$E$718</f>
        <v>2.4234969098976031E-2</v>
      </c>
      <c r="H889" s="321"/>
      <c r="I889" s="321"/>
      <c r="J889" s="321"/>
      <c r="K889" s="321"/>
      <c r="L889" s="321"/>
      <c r="M889" s="321"/>
      <c r="N889" s="233">
        <f>N890</f>
        <v>0</v>
      </c>
      <c r="O889" s="233">
        <f t="shared" ref="O889:S889" si="261">O890</f>
        <v>0</v>
      </c>
      <c r="P889" s="233">
        <f t="shared" si="261"/>
        <v>0</v>
      </c>
      <c r="Q889" s="274">
        <f>Q890</f>
        <v>0</v>
      </c>
      <c r="R889" s="274">
        <f>R890</f>
        <v>0</v>
      </c>
      <c r="S889" s="274">
        <f t="shared" si="261"/>
        <v>0</v>
      </c>
      <c r="T889" s="254">
        <f t="shared" si="255"/>
        <v>0</v>
      </c>
      <c r="U889" s="254">
        <f t="shared" si="256"/>
        <v>0</v>
      </c>
      <c r="V889" s="254">
        <f t="shared" si="257"/>
        <v>0</v>
      </c>
      <c r="W889" s="254">
        <f t="shared" si="245"/>
        <v>0</v>
      </c>
    </row>
    <row r="890" spans="2:23" s="216" customFormat="1" ht="38.25" outlineLevel="2">
      <c r="B890" s="255" t="s">
        <v>958</v>
      </c>
      <c r="C890" s="245" t="s">
        <v>187</v>
      </c>
      <c r="D890" s="227" t="s">
        <v>982</v>
      </c>
      <c r="E890" s="241">
        <v>80214935629.369995</v>
      </c>
      <c r="F890" s="228">
        <f>E890/$E$889</f>
        <v>1</v>
      </c>
      <c r="G890" s="269">
        <f t="shared" si="260"/>
        <v>2.4234969098976031E-2</v>
      </c>
      <c r="H890" s="299"/>
      <c r="I890" s="299"/>
      <c r="J890" s="299"/>
      <c r="K890" s="299"/>
      <c r="L890" s="299"/>
      <c r="M890" s="299"/>
      <c r="N890" s="229">
        <v>0</v>
      </c>
      <c r="O890" s="229">
        <v>0</v>
      </c>
      <c r="P890" s="229">
        <v>0</v>
      </c>
      <c r="Q890" s="272">
        <v>0</v>
      </c>
      <c r="R890" s="272">
        <v>0</v>
      </c>
      <c r="S890" s="272">
        <v>0</v>
      </c>
      <c r="T890" s="256">
        <f t="shared" si="255"/>
        <v>0</v>
      </c>
      <c r="U890" s="256">
        <f t="shared" si="256"/>
        <v>0</v>
      </c>
      <c r="V890" s="256">
        <f t="shared" si="257"/>
        <v>0</v>
      </c>
      <c r="W890" s="256">
        <f t="shared" si="245"/>
        <v>0</v>
      </c>
    </row>
    <row r="891" spans="2:23" s="140" customFormat="1" ht="12.75" outlineLevel="1">
      <c r="B891" s="294" t="s">
        <v>983</v>
      </c>
      <c r="C891" s="294"/>
      <c r="D891" s="294" t="s">
        <v>193</v>
      </c>
      <c r="E891" s="295">
        <f>+SUM(E892:E903)</f>
        <v>176063132660</v>
      </c>
      <c r="F891" s="296">
        <f>+E891/$E$718</f>
        <v>7.0876940001895719E-2</v>
      </c>
      <c r="G891" s="296">
        <f t="shared" ref="G891:G903" si="262">+E891*$G$718/$E$718</f>
        <v>5.3193143471422732E-2</v>
      </c>
      <c r="H891" s="297"/>
      <c r="I891" s="297"/>
      <c r="J891" s="297"/>
      <c r="K891" s="297"/>
      <c r="L891" s="297"/>
      <c r="M891" s="297"/>
      <c r="N891" s="296">
        <f>+SUMPRODUCT($F892:$F903,N892:N903)</f>
        <v>0</v>
      </c>
      <c r="O891" s="296">
        <f t="shared" ref="O891:S891" si="263">+SUMPRODUCT($F892:$F903,O892:O903)</f>
        <v>0</v>
      </c>
      <c r="P891" s="296">
        <f t="shared" si="263"/>
        <v>0</v>
      </c>
      <c r="Q891" s="296">
        <f>+SUMPRODUCT($F892:$F903,Q892:Q903)</f>
        <v>0</v>
      </c>
      <c r="R891" s="296">
        <f>+SUMPRODUCT($F892:$F903,R892:R903)</f>
        <v>0</v>
      </c>
      <c r="S891" s="296">
        <f t="shared" si="263"/>
        <v>0</v>
      </c>
      <c r="T891" s="296">
        <f t="shared" si="255"/>
        <v>0</v>
      </c>
      <c r="U891" s="296">
        <f t="shared" si="256"/>
        <v>0</v>
      </c>
      <c r="V891" s="296">
        <f t="shared" si="257"/>
        <v>0</v>
      </c>
      <c r="W891" s="296">
        <f t="shared" si="245"/>
        <v>0</v>
      </c>
    </row>
    <row r="892" spans="2:23" s="216" customFormat="1" ht="12.75" outlineLevel="1">
      <c r="B892" s="255" t="s">
        <v>984</v>
      </c>
      <c r="C892" s="245" t="s">
        <v>195</v>
      </c>
      <c r="D892" s="227" t="s">
        <v>196</v>
      </c>
      <c r="E892" s="241">
        <v>20180432660</v>
      </c>
      <c r="F892" s="228">
        <f>E892/$E$891</f>
        <v>0.11462043390407546</v>
      </c>
      <c r="G892" s="269">
        <f t="shared" si="262"/>
        <v>6.0970211854162121E-3</v>
      </c>
      <c r="H892" s="299"/>
      <c r="I892" s="299"/>
      <c r="J892" s="299"/>
      <c r="K892" s="299"/>
      <c r="L892" s="299"/>
      <c r="M892" s="299"/>
      <c r="N892" s="229">
        <v>0</v>
      </c>
      <c r="O892" s="229">
        <v>0</v>
      </c>
      <c r="P892" s="229">
        <v>0</v>
      </c>
      <c r="Q892" s="272">
        <v>0</v>
      </c>
      <c r="R892" s="272">
        <v>0</v>
      </c>
      <c r="S892" s="272">
        <v>0</v>
      </c>
      <c r="T892" s="256">
        <f t="shared" si="255"/>
        <v>0</v>
      </c>
      <c r="U892" s="256">
        <f t="shared" si="256"/>
        <v>0</v>
      </c>
      <c r="V892" s="256">
        <f t="shared" si="257"/>
        <v>0</v>
      </c>
      <c r="W892" s="256">
        <f t="shared" si="245"/>
        <v>0</v>
      </c>
    </row>
    <row r="893" spans="2:23" s="216" customFormat="1" ht="12.75" outlineLevel="1">
      <c r="B893" s="255" t="s">
        <v>985</v>
      </c>
      <c r="C893" s="245" t="s">
        <v>198</v>
      </c>
      <c r="D893" s="227" t="s">
        <v>199</v>
      </c>
      <c r="E893" s="241">
        <v>29780100000</v>
      </c>
      <c r="F893" s="228">
        <f t="shared" ref="F893:F903" si="264">E893/$E$891</f>
        <v>0.16914444012256166</v>
      </c>
      <c r="G893" s="269">
        <f t="shared" si="262"/>
        <v>8.9973244708328945E-3</v>
      </c>
      <c r="H893" s="299"/>
      <c r="I893" s="299"/>
      <c r="J893" s="299"/>
      <c r="K893" s="299"/>
      <c r="L893" s="299"/>
      <c r="M893" s="299"/>
      <c r="N893" s="229">
        <v>0</v>
      </c>
      <c r="O893" s="229">
        <v>0</v>
      </c>
      <c r="P893" s="229">
        <v>0</v>
      </c>
      <c r="Q893" s="272">
        <v>0</v>
      </c>
      <c r="R893" s="272">
        <v>0</v>
      </c>
      <c r="S893" s="272">
        <v>0</v>
      </c>
      <c r="T893" s="256">
        <f t="shared" si="255"/>
        <v>0</v>
      </c>
      <c r="U893" s="256">
        <f t="shared" si="256"/>
        <v>0</v>
      </c>
      <c r="V893" s="256">
        <f t="shared" si="257"/>
        <v>0</v>
      </c>
      <c r="W893" s="256">
        <f t="shared" si="245"/>
        <v>0</v>
      </c>
    </row>
    <row r="894" spans="2:23" s="216" customFormat="1" ht="12.75" outlineLevel="1">
      <c r="B894" s="255" t="s">
        <v>986</v>
      </c>
      <c r="C894" s="245" t="s">
        <v>201</v>
      </c>
      <c r="D894" s="227" t="s">
        <v>202</v>
      </c>
      <c r="E894" s="241">
        <v>27102600000</v>
      </c>
      <c r="F894" s="228">
        <f t="shared" si="264"/>
        <v>0.15393682703771108</v>
      </c>
      <c r="G894" s="269">
        <f t="shared" si="262"/>
        <v>8.1883837261525518E-3</v>
      </c>
      <c r="H894" s="299"/>
      <c r="I894" s="299"/>
      <c r="J894" s="299"/>
      <c r="K894" s="299"/>
      <c r="L894" s="299"/>
      <c r="M894" s="299"/>
      <c r="N894" s="229">
        <v>0</v>
      </c>
      <c r="O894" s="229">
        <v>0</v>
      </c>
      <c r="P894" s="229">
        <v>0</v>
      </c>
      <c r="Q894" s="272">
        <v>0</v>
      </c>
      <c r="R894" s="272">
        <v>0</v>
      </c>
      <c r="S894" s="272">
        <v>0</v>
      </c>
      <c r="T894" s="256">
        <f t="shared" si="255"/>
        <v>0</v>
      </c>
      <c r="U894" s="256">
        <f t="shared" si="256"/>
        <v>0</v>
      </c>
      <c r="V894" s="256">
        <f t="shared" si="257"/>
        <v>0</v>
      </c>
      <c r="W894" s="256">
        <f t="shared" si="245"/>
        <v>0</v>
      </c>
    </row>
    <row r="895" spans="2:23" s="216" customFormat="1" ht="12.75" outlineLevel="1">
      <c r="B895" s="255" t="s">
        <v>987</v>
      </c>
      <c r="C895" s="245" t="s">
        <v>204</v>
      </c>
      <c r="D895" s="227" t="s">
        <v>205</v>
      </c>
      <c r="E895" s="241">
        <v>6900000000</v>
      </c>
      <c r="F895" s="228">
        <f t="shared" si="264"/>
        <v>3.9190487501575728E-2</v>
      </c>
      <c r="G895" s="269">
        <f t="shared" si="262"/>
        <v>2.0846652243863176E-3</v>
      </c>
      <c r="H895" s="299"/>
      <c r="I895" s="299"/>
      <c r="J895" s="299"/>
      <c r="K895" s="299"/>
      <c r="L895" s="299"/>
      <c r="M895" s="299"/>
      <c r="N895" s="229">
        <v>0</v>
      </c>
      <c r="O895" s="229">
        <v>0</v>
      </c>
      <c r="P895" s="229">
        <v>0</v>
      </c>
      <c r="Q895" s="272">
        <v>0</v>
      </c>
      <c r="R895" s="272">
        <v>0</v>
      </c>
      <c r="S895" s="272">
        <v>0</v>
      </c>
      <c r="T895" s="256">
        <f t="shared" si="255"/>
        <v>0</v>
      </c>
      <c r="U895" s="256">
        <f t="shared" si="256"/>
        <v>0</v>
      </c>
      <c r="V895" s="256">
        <f t="shared" si="257"/>
        <v>0</v>
      </c>
      <c r="W895" s="256">
        <f t="shared" si="245"/>
        <v>0</v>
      </c>
    </row>
    <row r="896" spans="2:23" s="216" customFormat="1" ht="12.75" outlineLevel="1">
      <c r="B896" s="255" t="s">
        <v>988</v>
      </c>
      <c r="C896" s="245" t="s">
        <v>207</v>
      </c>
      <c r="D896" s="227" t="s">
        <v>205</v>
      </c>
      <c r="E896" s="241">
        <v>6900000000</v>
      </c>
      <c r="F896" s="228">
        <f t="shared" si="264"/>
        <v>3.9190487501575728E-2</v>
      </c>
      <c r="G896" s="269">
        <f t="shared" si="262"/>
        <v>2.0846652243863176E-3</v>
      </c>
      <c r="H896" s="299"/>
      <c r="I896" s="299"/>
      <c r="J896" s="299"/>
      <c r="K896" s="299"/>
      <c r="L896" s="299"/>
      <c r="M896" s="299"/>
      <c r="N896" s="229">
        <v>0</v>
      </c>
      <c r="O896" s="229">
        <v>0</v>
      </c>
      <c r="P896" s="229">
        <v>0</v>
      </c>
      <c r="Q896" s="272">
        <v>0</v>
      </c>
      <c r="R896" s="272">
        <v>0</v>
      </c>
      <c r="S896" s="272">
        <v>0</v>
      </c>
      <c r="T896" s="256">
        <f t="shared" si="255"/>
        <v>0</v>
      </c>
      <c r="U896" s="256">
        <f t="shared" si="256"/>
        <v>0</v>
      </c>
      <c r="V896" s="256">
        <f t="shared" si="257"/>
        <v>0</v>
      </c>
      <c r="W896" s="256">
        <f t="shared" si="245"/>
        <v>0</v>
      </c>
    </row>
    <row r="897" spans="2:23" s="216" customFormat="1" ht="12.75" outlineLevel="1">
      <c r="B897" s="255" t="s">
        <v>989</v>
      </c>
      <c r="C897" s="245" t="s">
        <v>209</v>
      </c>
      <c r="D897" s="227" t="s">
        <v>205</v>
      </c>
      <c r="E897" s="241">
        <v>6900000000</v>
      </c>
      <c r="F897" s="228">
        <f t="shared" si="264"/>
        <v>3.9190487501575728E-2</v>
      </c>
      <c r="G897" s="269">
        <f t="shared" si="262"/>
        <v>2.0846652243863176E-3</v>
      </c>
      <c r="H897" s="299"/>
      <c r="I897" s="299"/>
      <c r="J897" s="299"/>
      <c r="K897" s="299"/>
      <c r="L897" s="299"/>
      <c r="M897" s="299"/>
      <c r="N897" s="229">
        <v>0</v>
      </c>
      <c r="O897" s="229">
        <v>0</v>
      </c>
      <c r="P897" s="229">
        <v>0</v>
      </c>
      <c r="Q897" s="272">
        <v>0</v>
      </c>
      <c r="R897" s="272">
        <v>0</v>
      </c>
      <c r="S897" s="272">
        <v>0</v>
      </c>
      <c r="T897" s="256">
        <f t="shared" si="255"/>
        <v>0</v>
      </c>
      <c r="U897" s="256">
        <f t="shared" si="256"/>
        <v>0</v>
      </c>
      <c r="V897" s="256">
        <f t="shared" si="257"/>
        <v>0</v>
      </c>
      <c r="W897" s="256">
        <f t="shared" si="245"/>
        <v>0</v>
      </c>
    </row>
    <row r="898" spans="2:23" s="216" customFormat="1" ht="12.75" outlineLevel="1">
      <c r="B898" s="255" t="s">
        <v>990</v>
      </c>
      <c r="C898" s="245" t="s">
        <v>211</v>
      </c>
      <c r="D898" s="227" t="s">
        <v>205</v>
      </c>
      <c r="E898" s="241">
        <v>6900000000</v>
      </c>
      <c r="F898" s="228">
        <f t="shared" si="264"/>
        <v>3.9190487501575728E-2</v>
      </c>
      <c r="G898" s="269">
        <f t="shared" si="262"/>
        <v>2.0846652243863176E-3</v>
      </c>
      <c r="H898" s="299"/>
      <c r="I898" s="299"/>
      <c r="J898" s="299"/>
      <c r="K898" s="299"/>
      <c r="L898" s="299"/>
      <c r="M898" s="299"/>
      <c r="N898" s="229">
        <v>0</v>
      </c>
      <c r="O898" s="229">
        <v>0</v>
      </c>
      <c r="P898" s="229">
        <v>0</v>
      </c>
      <c r="Q898" s="272">
        <v>0</v>
      </c>
      <c r="R898" s="272">
        <v>0</v>
      </c>
      <c r="S898" s="272">
        <v>0</v>
      </c>
      <c r="T898" s="256">
        <f t="shared" si="255"/>
        <v>0</v>
      </c>
      <c r="U898" s="256">
        <f t="shared" si="256"/>
        <v>0</v>
      </c>
      <c r="V898" s="256">
        <f t="shared" si="257"/>
        <v>0</v>
      </c>
      <c r="W898" s="256">
        <f t="shared" si="245"/>
        <v>0</v>
      </c>
    </row>
    <row r="899" spans="2:23" s="216" customFormat="1" ht="12.75" outlineLevel="1">
      <c r="B899" s="255" t="s">
        <v>991</v>
      </c>
      <c r="C899" s="245" t="s">
        <v>213</v>
      </c>
      <c r="D899" s="227" t="s">
        <v>205</v>
      </c>
      <c r="E899" s="241">
        <v>6900000000</v>
      </c>
      <c r="F899" s="228">
        <f t="shared" si="264"/>
        <v>3.9190487501575728E-2</v>
      </c>
      <c r="G899" s="269">
        <f t="shared" si="262"/>
        <v>2.0846652243863176E-3</v>
      </c>
      <c r="H899" s="299"/>
      <c r="I899" s="299"/>
      <c r="J899" s="299"/>
      <c r="K899" s="299"/>
      <c r="L899" s="299"/>
      <c r="M899" s="299"/>
      <c r="N899" s="229">
        <v>0</v>
      </c>
      <c r="O899" s="229">
        <v>0</v>
      </c>
      <c r="P899" s="229">
        <v>0</v>
      </c>
      <c r="Q899" s="272">
        <v>0</v>
      </c>
      <c r="R899" s="272">
        <v>0</v>
      </c>
      <c r="S899" s="272">
        <v>0</v>
      </c>
      <c r="T899" s="256">
        <f t="shared" si="255"/>
        <v>0</v>
      </c>
      <c r="U899" s="256">
        <f t="shared" si="256"/>
        <v>0</v>
      </c>
      <c r="V899" s="256">
        <f t="shared" si="257"/>
        <v>0</v>
      </c>
      <c r="W899" s="256">
        <f t="shared" si="245"/>
        <v>0</v>
      </c>
    </row>
    <row r="900" spans="2:23" s="216" customFormat="1" ht="12.75" outlineLevel="1">
      <c r="B900" s="255" t="s">
        <v>992</v>
      </c>
      <c r="C900" s="281" t="s">
        <v>215</v>
      </c>
      <c r="D900" s="282" t="s">
        <v>216</v>
      </c>
      <c r="E900" s="283">
        <v>7200000000</v>
      </c>
      <c r="F900" s="284">
        <f t="shared" si="264"/>
        <v>4.0894421740774678E-2</v>
      </c>
      <c r="G900" s="285">
        <f t="shared" si="262"/>
        <v>2.1753028428378967E-3</v>
      </c>
      <c r="H900" s="322"/>
      <c r="I900" s="322"/>
      <c r="J900" s="322"/>
      <c r="K900" s="322"/>
      <c r="L900" s="322"/>
      <c r="M900" s="322"/>
      <c r="N900" s="286">
        <v>0</v>
      </c>
      <c r="O900" s="286">
        <v>0</v>
      </c>
      <c r="P900" s="286">
        <v>0</v>
      </c>
      <c r="Q900" s="287">
        <v>0</v>
      </c>
      <c r="R900" s="287">
        <v>0</v>
      </c>
      <c r="S900" s="287">
        <v>0</v>
      </c>
      <c r="T900" s="288">
        <f t="shared" si="255"/>
        <v>0</v>
      </c>
      <c r="U900" s="288">
        <f t="shared" si="256"/>
        <v>0</v>
      </c>
      <c r="V900" s="288">
        <f t="shared" si="257"/>
        <v>0</v>
      </c>
      <c r="W900" s="288">
        <f t="shared" si="245"/>
        <v>0</v>
      </c>
    </row>
    <row r="901" spans="2:23" s="216" customFormat="1" ht="12.75" outlineLevel="1">
      <c r="B901" s="255" t="s">
        <v>993</v>
      </c>
      <c r="C901" s="281" t="s">
        <v>218</v>
      </c>
      <c r="D901" s="282" t="s">
        <v>219</v>
      </c>
      <c r="E901" s="283">
        <v>23100000000</v>
      </c>
      <c r="F901" s="284">
        <f t="shared" si="264"/>
        <v>0.13120293641831876</v>
      </c>
      <c r="G901" s="285">
        <f t="shared" si="262"/>
        <v>6.9790966207715849E-3</v>
      </c>
      <c r="H901" s="322"/>
      <c r="I901" s="322"/>
      <c r="J901" s="322"/>
      <c r="K901" s="322"/>
      <c r="L901" s="322"/>
      <c r="M901" s="322"/>
      <c r="N901" s="286">
        <v>0</v>
      </c>
      <c r="O901" s="286">
        <v>0</v>
      </c>
      <c r="P901" s="286">
        <v>0</v>
      </c>
      <c r="Q901" s="287">
        <v>0</v>
      </c>
      <c r="R901" s="287">
        <v>0</v>
      </c>
      <c r="S901" s="287">
        <v>0</v>
      </c>
      <c r="T901" s="288">
        <f t="shared" si="255"/>
        <v>0</v>
      </c>
      <c r="U901" s="288">
        <f t="shared" si="256"/>
        <v>0</v>
      </c>
      <c r="V901" s="288">
        <f t="shared" si="257"/>
        <v>0</v>
      </c>
      <c r="W901" s="288">
        <f t="shared" si="245"/>
        <v>0</v>
      </c>
    </row>
    <row r="902" spans="2:23" s="216" customFormat="1" ht="12.75" outlineLevel="1">
      <c r="B902" s="255" t="s">
        <v>994</v>
      </c>
      <c r="C902" s="281" t="s">
        <v>221</v>
      </c>
      <c r="D902" s="282" t="s">
        <v>222</v>
      </c>
      <c r="E902" s="283">
        <v>30000000000</v>
      </c>
      <c r="F902" s="284">
        <f t="shared" si="264"/>
        <v>0.17039342391989448</v>
      </c>
      <c r="G902" s="285">
        <f t="shared" si="262"/>
        <v>9.063761845157902E-3</v>
      </c>
      <c r="H902" s="322"/>
      <c r="I902" s="322"/>
      <c r="J902" s="322"/>
      <c r="K902" s="322"/>
      <c r="L902" s="322"/>
      <c r="M902" s="322"/>
      <c r="N902" s="286">
        <v>0</v>
      </c>
      <c r="O902" s="286">
        <v>0</v>
      </c>
      <c r="P902" s="286">
        <v>0</v>
      </c>
      <c r="Q902" s="287">
        <v>0</v>
      </c>
      <c r="R902" s="287">
        <v>0</v>
      </c>
      <c r="S902" s="287">
        <v>0</v>
      </c>
      <c r="T902" s="288">
        <f t="shared" si="255"/>
        <v>0</v>
      </c>
      <c r="U902" s="288">
        <f t="shared" si="256"/>
        <v>0</v>
      </c>
      <c r="V902" s="288">
        <f t="shared" si="257"/>
        <v>0</v>
      </c>
      <c r="W902" s="288">
        <f t="shared" ref="W902:W911" si="265">+IF(R902=0,0,$S902/R902)</f>
        <v>0</v>
      </c>
    </row>
    <row r="903" spans="2:23" s="216" customFormat="1" ht="13.5" outlineLevel="1" thickBot="1">
      <c r="B903" s="255" t="s">
        <v>995</v>
      </c>
      <c r="C903" s="281" t="s">
        <v>224</v>
      </c>
      <c r="D903" s="282" t="s">
        <v>225</v>
      </c>
      <c r="E903" s="283">
        <v>4200000000</v>
      </c>
      <c r="F903" s="284">
        <f t="shared" si="264"/>
        <v>2.3855079348785228E-2</v>
      </c>
      <c r="G903" s="285">
        <f t="shared" si="262"/>
        <v>1.2689266583221063E-3</v>
      </c>
      <c r="H903" s="322"/>
      <c r="I903" s="322"/>
      <c r="J903" s="322"/>
      <c r="K903" s="322"/>
      <c r="L903" s="322"/>
      <c r="M903" s="322"/>
      <c r="N903" s="286">
        <v>0</v>
      </c>
      <c r="O903" s="286">
        <v>0</v>
      </c>
      <c r="P903" s="286">
        <v>0</v>
      </c>
      <c r="Q903" s="287">
        <v>0</v>
      </c>
      <c r="R903" s="287">
        <v>0</v>
      </c>
      <c r="S903" s="287">
        <v>0</v>
      </c>
      <c r="T903" s="288">
        <f t="shared" si="255"/>
        <v>0</v>
      </c>
      <c r="U903" s="288">
        <f t="shared" si="256"/>
        <v>0</v>
      </c>
      <c r="V903" s="288">
        <f t="shared" si="257"/>
        <v>0</v>
      </c>
      <c r="W903" s="288">
        <f t="shared" si="265"/>
        <v>0</v>
      </c>
    </row>
    <row r="904" spans="2:23" s="140" customFormat="1" ht="13.5" thickBot="1">
      <c r="B904" s="312">
        <v>6</v>
      </c>
      <c r="C904" s="313"/>
      <c r="D904" s="314" t="s">
        <v>996</v>
      </c>
      <c r="E904" s="315"/>
      <c r="F904" s="316"/>
      <c r="G904" s="317">
        <v>0.01</v>
      </c>
      <c r="H904" s="358"/>
      <c r="I904" s="358"/>
      <c r="J904" s="358"/>
      <c r="K904" s="358"/>
      <c r="L904" s="358"/>
      <c r="M904" s="358"/>
      <c r="N904" s="318">
        <f t="shared" ref="N904:S904" si="266">+SUMPRODUCT($F905:$F908,N905:N908)</f>
        <v>0</v>
      </c>
      <c r="O904" s="318">
        <f t="shared" si="266"/>
        <v>0</v>
      </c>
      <c r="P904" s="318">
        <f t="shared" si="266"/>
        <v>0</v>
      </c>
      <c r="Q904" s="319">
        <f t="shared" si="266"/>
        <v>0</v>
      </c>
      <c r="R904" s="319">
        <f t="shared" si="266"/>
        <v>0</v>
      </c>
      <c r="S904" s="319">
        <f t="shared" si="266"/>
        <v>0</v>
      </c>
      <c r="T904" s="320">
        <f t="shared" si="255"/>
        <v>0</v>
      </c>
      <c r="U904" s="320">
        <f t="shared" si="256"/>
        <v>0</v>
      </c>
      <c r="V904" s="320">
        <f t="shared" si="257"/>
        <v>0</v>
      </c>
      <c r="W904" s="320">
        <f t="shared" si="265"/>
        <v>0</v>
      </c>
    </row>
    <row r="905" spans="2:23" s="140" customFormat="1" ht="13.5" hidden="1" outlineLevel="1" thickBot="1">
      <c r="B905" s="252">
        <v>6.1</v>
      </c>
      <c r="C905" s="244"/>
      <c r="D905" s="225" t="s">
        <v>997</v>
      </c>
      <c r="E905" s="239"/>
      <c r="F905" s="221">
        <v>0.2</v>
      </c>
      <c r="G905" s="226">
        <f>+E905*$G$718/$E$718</f>
        <v>0</v>
      </c>
      <c r="H905" s="359"/>
      <c r="I905" s="359"/>
      <c r="J905" s="359"/>
      <c r="K905" s="359"/>
      <c r="L905" s="359"/>
      <c r="M905" s="359"/>
      <c r="N905" s="222">
        <v>0</v>
      </c>
      <c r="O905" s="222">
        <v>0</v>
      </c>
      <c r="P905" s="222">
        <v>0</v>
      </c>
      <c r="Q905" s="250">
        <v>0</v>
      </c>
      <c r="R905" s="250">
        <v>0</v>
      </c>
      <c r="S905" s="250">
        <v>0</v>
      </c>
      <c r="T905" s="253">
        <f t="shared" si="255"/>
        <v>0</v>
      </c>
      <c r="U905" s="253">
        <f t="shared" si="256"/>
        <v>0</v>
      </c>
      <c r="V905" s="253">
        <f t="shared" si="257"/>
        <v>0</v>
      </c>
      <c r="W905" s="253">
        <f t="shared" si="265"/>
        <v>0</v>
      </c>
    </row>
    <row r="906" spans="2:23" s="140" customFormat="1" ht="13.5" hidden="1" outlineLevel="1" thickBot="1">
      <c r="B906" s="252">
        <v>6.2</v>
      </c>
      <c r="C906" s="244"/>
      <c r="D906" s="225" t="s">
        <v>998</v>
      </c>
      <c r="E906" s="239"/>
      <c r="F906" s="221">
        <v>0.35</v>
      </c>
      <c r="G906" s="226">
        <f>+E906*$G$718/$E$718</f>
        <v>0</v>
      </c>
      <c r="H906" s="359"/>
      <c r="I906" s="359"/>
      <c r="J906" s="359"/>
      <c r="K906" s="359"/>
      <c r="L906" s="359"/>
      <c r="M906" s="359"/>
      <c r="N906" s="222">
        <v>0</v>
      </c>
      <c r="O906" s="222">
        <v>0</v>
      </c>
      <c r="P906" s="222">
        <v>0</v>
      </c>
      <c r="Q906" s="250">
        <v>0</v>
      </c>
      <c r="R906" s="250">
        <v>0</v>
      </c>
      <c r="S906" s="250">
        <v>0</v>
      </c>
      <c r="T906" s="253">
        <f t="shared" si="255"/>
        <v>0</v>
      </c>
      <c r="U906" s="253">
        <f t="shared" si="256"/>
        <v>0</v>
      </c>
      <c r="V906" s="253">
        <f t="shared" si="257"/>
        <v>0</v>
      </c>
      <c r="W906" s="253">
        <f t="shared" si="265"/>
        <v>0</v>
      </c>
    </row>
    <row r="907" spans="2:23" s="140" customFormat="1" ht="13.5" hidden="1" outlineLevel="1" thickBot="1">
      <c r="B907" s="252">
        <v>6.3</v>
      </c>
      <c r="C907" s="244"/>
      <c r="D907" s="225" t="s">
        <v>999</v>
      </c>
      <c r="E907" s="239"/>
      <c r="F907" s="221">
        <v>0.35</v>
      </c>
      <c r="G907" s="226">
        <f>+E907*$G$718/$E$718</f>
        <v>0</v>
      </c>
      <c r="H907" s="359"/>
      <c r="I907" s="359"/>
      <c r="J907" s="359"/>
      <c r="K907" s="359"/>
      <c r="L907" s="359"/>
      <c r="M907" s="359"/>
      <c r="N907" s="222">
        <v>0</v>
      </c>
      <c r="O907" s="222">
        <v>0</v>
      </c>
      <c r="P907" s="222">
        <v>0</v>
      </c>
      <c r="Q907" s="250">
        <v>0</v>
      </c>
      <c r="R907" s="250">
        <v>0</v>
      </c>
      <c r="S907" s="250">
        <v>0</v>
      </c>
      <c r="T907" s="253">
        <f t="shared" si="255"/>
        <v>0</v>
      </c>
      <c r="U907" s="253">
        <f t="shared" si="256"/>
        <v>0</v>
      </c>
      <c r="V907" s="253">
        <f t="shared" si="257"/>
        <v>0</v>
      </c>
      <c r="W907" s="253">
        <f t="shared" si="265"/>
        <v>0</v>
      </c>
    </row>
    <row r="908" spans="2:23" s="140" customFormat="1" ht="13.5" hidden="1" outlineLevel="1" thickBot="1">
      <c r="B908" s="261">
        <v>6.4</v>
      </c>
      <c r="C908" s="262"/>
      <c r="D908" s="263" t="s">
        <v>1000</v>
      </c>
      <c r="E908" s="264"/>
      <c r="F908" s="265">
        <v>0.1</v>
      </c>
      <c r="G908" s="266">
        <f>+E908*$G$718/$E$718</f>
        <v>0</v>
      </c>
      <c r="H908" s="361"/>
      <c r="I908" s="361"/>
      <c r="J908" s="361"/>
      <c r="K908" s="361"/>
      <c r="L908" s="361"/>
      <c r="M908" s="361"/>
      <c r="N908" s="267">
        <v>0</v>
      </c>
      <c r="O908" s="267">
        <v>0</v>
      </c>
      <c r="P908" s="267">
        <v>0</v>
      </c>
      <c r="Q908" s="271">
        <v>0</v>
      </c>
      <c r="R908" s="271">
        <v>0</v>
      </c>
      <c r="S908" s="271">
        <v>0</v>
      </c>
      <c r="T908" s="268">
        <f t="shared" si="255"/>
        <v>0</v>
      </c>
      <c r="U908" s="268">
        <f t="shared" si="256"/>
        <v>0</v>
      </c>
      <c r="V908" s="268">
        <f t="shared" si="257"/>
        <v>0</v>
      </c>
      <c r="W908" s="268">
        <f t="shared" si="265"/>
        <v>0</v>
      </c>
    </row>
    <row r="909" spans="2:23" s="140" customFormat="1" ht="12.75" collapsed="1">
      <c r="B909" s="312">
        <v>7</v>
      </c>
      <c r="C909" s="313"/>
      <c r="D909" s="314" t="s">
        <v>1001</v>
      </c>
      <c r="E909" s="315"/>
      <c r="F909" s="316"/>
      <c r="G909" s="317">
        <v>0</v>
      </c>
      <c r="H909" s="358"/>
      <c r="I909" s="358"/>
      <c r="J909" s="358"/>
      <c r="K909" s="358"/>
      <c r="L909" s="358"/>
      <c r="M909" s="358"/>
      <c r="N909" s="318">
        <f t="shared" ref="N909:S909" si="267">+SUMPRODUCT($F910:$F911,N910:N911)</f>
        <v>0</v>
      </c>
      <c r="O909" s="318">
        <f t="shared" si="267"/>
        <v>0</v>
      </c>
      <c r="P909" s="318">
        <f t="shared" si="267"/>
        <v>0</v>
      </c>
      <c r="Q909" s="319">
        <f t="shared" si="267"/>
        <v>0</v>
      </c>
      <c r="R909" s="319">
        <f t="shared" si="267"/>
        <v>0</v>
      </c>
      <c r="S909" s="319">
        <f t="shared" si="267"/>
        <v>0</v>
      </c>
      <c r="T909" s="320">
        <f t="shared" si="255"/>
        <v>0</v>
      </c>
      <c r="U909" s="320">
        <f t="shared" si="256"/>
        <v>0</v>
      </c>
      <c r="V909" s="320">
        <f t="shared" si="257"/>
        <v>0</v>
      </c>
      <c r="W909" s="320">
        <f t="shared" si="265"/>
        <v>0</v>
      </c>
    </row>
    <row r="910" spans="2:23" s="140" customFormat="1" ht="25.5" hidden="1" outlineLevel="1">
      <c r="B910" s="252">
        <v>7.1</v>
      </c>
      <c r="C910" s="244"/>
      <c r="D910" s="225" t="s">
        <v>1002</v>
      </c>
      <c r="E910" s="239"/>
      <c r="F910" s="221">
        <v>0.5</v>
      </c>
      <c r="G910" s="226">
        <f>+E910*$G$718/$E$718</f>
        <v>0</v>
      </c>
      <c r="H910" s="359"/>
      <c r="I910" s="359"/>
      <c r="J910" s="359"/>
      <c r="K910" s="359"/>
      <c r="L910" s="359"/>
      <c r="M910" s="359"/>
      <c r="N910" s="222">
        <v>0</v>
      </c>
      <c r="O910" s="222">
        <v>0</v>
      </c>
      <c r="P910" s="222">
        <v>0</v>
      </c>
      <c r="Q910" s="250">
        <v>0</v>
      </c>
      <c r="R910" s="250">
        <v>0</v>
      </c>
      <c r="S910" s="250">
        <v>0</v>
      </c>
      <c r="T910" s="253">
        <f t="shared" si="255"/>
        <v>0</v>
      </c>
      <c r="U910" s="253">
        <f t="shared" si="256"/>
        <v>0</v>
      </c>
      <c r="V910" s="253">
        <f t="shared" si="257"/>
        <v>0</v>
      </c>
      <c r="W910" s="253">
        <f t="shared" si="265"/>
        <v>0</v>
      </c>
    </row>
    <row r="911" spans="2:23" s="140" customFormat="1" ht="13.5" hidden="1" outlineLevel="1" thickBot="1">
      <c r="B911" s="261">
        <v>7.2</v>
      </c>
      <c r="C911" s="262"/>
      <c r="D911" s="263" t="s">
        <v>1003</v>
      </c>
      <c r="E911" s="264"/>
      <c r="F911" s="265">
        <v>0.5</v>
      </c>
      <c r="G911" s="266">
        <f>+E911*$G$718/$E$718</f>
        <v>0</v>
      </c>
      <c r="H911" s="361"/>
      <c r="I911" s="361"/>
      <c r="J911" s="361"/>
      <c r="K911" s="361"/>
      <c r="L911" s="361"/>
      <c r="M911" s="361"/>
      <c r="N911" s="267">
        <v>0</v>
      </c>
      <c r="O911" s="267">
        <v>0</v>
      </c>
      <c r="P911" s="267">
        <v>0</v>
      </c>
      <c r="Q911" s="271">
        <v>0</v>
      </c>
      <c r="R911" s="271">
        <v>0</v>
      </c>
      <c r="S911" s="271">
        <v>0</v>
      </c>
      <c r="T911" s="268">
        <f t="shared" si="255"/>
        <v>0</v>
      </c>
      <c r="U911" s="268">
        <f t="shared" si="256"/>
        <v>0</v>
      </c>
      <c r="V911" s="268">
        <f t="shared" si="257"/>
        <v>0</v>
      </c>
      <c r="W911" s="268">
        <f t="shared" si="265"/>
        <v>0</v>
      </c>
    </row>
    <row r="912" spans="2:23" s="203" customFormat="1" collapsed="1">
      <c r="B912" s="141"/>
      <c r="C912" s="141"/>
      <c r="D912" s="237"/>
      <c r="E912" s="243"/>
      <c r="F912" s="215"/>
      <c r="H912" s="362"/>
      <c r="I912" s="362"/>
      <c r="J912" s="362"/>
      <c r="K912" s="362"/>
      <c r="L912" s="362"/>
      <c r="M912" s="362"/>
      <c r="Q912" s="161"/>
      <c r="R912" s="161"/>
      <c r="S912" s="161"/>
      <c r="T912" s="151"/>
      <c r="U912" s="151"/>
      <c r="V912" s="151"/>
      <c r="W912" s="151"/>
    </row>
    <row r="913" spans="2:23" s="203" customFormat="1">
      <c r="B913" s="141"/>
      <c r="C913" s="141"/>
      <c r="D913" s="237"/>
      <c r="E913" s="243"/>
      <c r="F913" s="215"/>
      <c r="H913" s="362"/>
      <c r="I913" s="362"/>
      <c r="J913" s="362"/>
      <c r="K913" s="362"/>
      <c r="L913" s="362"/>
      <c r="M913" s="362"/>
      <c r="Q913" s="161"/>
      <c r="R913" s="161"/>
      <c r="S913" s="161"/>
      <c r="T913" s="151"/>
      <c r="U913" s="151"/>
      <c r="V913" s="151"/>
      <c r="W913" s="151"/>
    </row>
    <row r="914" spans="2:23" s="203" customFormat="1">
      <c r="B914" s="141"/>
      <c r="C914" s="141"/>
      <c r="D914" s="237"/>
      <c r="E914" s="243"/>
      <c r="F914" s="215"/>
      <c r="H914" s="362"/>
      <c r="I914" s="362"/>
      <c r="J914" s="362"/>
      <c r="K914" s="362"/>
      <c r="L914" s="362"/>
      <c r="M914" s="362"/>
      <c r="Q914" s="161"/>
      <c r="R914" s="161"/>
      <c r="S914" s="161"/>
      <c r="T914" s="151"/>
      <c r="U914" s="151"/>
      <c r="V914" s="151"/>
      <c r="W914" s="151"/>
    </row>
    <row r="915" spans="2:23" s="203" customFormat="1">
      <c r="B915" s="141"/>
      <c r="C915" s="141"/>
      <c r="D915" s="237"/>
      <c r="E915" s="243"/>
      <c r="F915" s="215"/>
      <c r="H915" s="362"/>
      <c r="I915" s="362"/>
      <c r="J915" s="362"/>
      <c r="K915" s="362"/>
      <c r="L915" s="362"/>
      <c r="M915" s="362"/>
      <c r="Q915" s="161"/>
      <c r="R915" s="161"/>
      <c r="S915" s="161"/>
      <c r="T915" s="151"/>
      <c r="U915" s="151"/>
      <c r="V915" s="151"/>
      <c r="W915" s="151"/>
    </row>
    <row r="916" spans="2:23" s="203" customFormat="1">
      <c r="B916" s="141"/>
      <c r="C916" s="141"/>
      <c r="D916" s="237"/>
      <c r="E916" s="243"/>
      <c r="F916" s="215"/>
      <c r="H916" s="362"/>
      <c r="I916" s="362"/>
      <c r="J916" s="362"/>
      <c r="K916" s="362"/>
      <c r="L916" s="362"/>
      <c r="M916" s="362"/>
      <c r="Q916" s="161"/>
      <c r="R916" s="161"/>
      <c r="S916" s="161"/>
      <c r="T916" s="151"/>
      <c r="U916" s="151"/>
      <c r="V916" s="151"/>
      <c r="W916" s="151"/>
    </row>
    <row r="917" spans="2:23" s="203" customFormat="1">
      <c r="B917" s="141"/>
      <c r="C917" s="141"/>
      <c r="D917" s="237"/>
      <c r="E917" s="243"/>
      <c r="F917" s="215"/>
      <c r="H917" s="362"/>
      <c r="I917" s="362"/>
      <c r="J917" s="362"/>
      <c r="K917" s="362"/>
      <c r="L917" s="362"/>
      <c r="M917" s="362"/>
      <c r="Q917" s="161"/>
      <c r="R917" s="161"/>
      <c r="S917" s="161"/>
      <c r="T917" s="151"/>
      <c r="U917" s="151"/>
      <c r="V917" s="151"/>
      <c r="W917" s="151"/>
    </row>
    <row r="918" spans="2:23" s="203" customFormat="1">
      <c r="B918" s="141"/>
      <c r="C918" s="141"/>
      <c r="D918" s="237"/>
      <c r="E918" s="243"/>
      <c r="F918" s="215"/>
      <c r="H918" s="362"/>
      <c r="I918" s="362"/>
      <c r="J918" s="362"/>
      <c r="K918" s="362"/>
      <c r="L918" s="362"/>
      <c r="M918" s="362"/>
      <c r="Q918" s="161"/>
      <c r="R918" s="161"/>
      <c r="S918" s="161"/>
      <c r="T918" s="151"/>
      <c r="U918" s="151"/>
      <c r="V918" s="151"/>
      <c r="W918" s="151"/>
    </row>
    <row r="919" spans="2:23" s="203" customFormat="1">
      <c r="B919" s="141"/>
      <c r="C919" s="141"/>
      <c r="D919" s="237"/>
      <c r="E919" s="243"/>
      <c r="F919" s="215"/>
      <c r="H919" s="362"/>
      <c r="I919" s="362"/>
      <c r="J919" s="362"/>
      <c r="K919" s="362"/>
      <c r="L919" s="362"/>
      <c r="M919" s="362"/>
      <c r="Q919" s="161"/>
      <c r="R919" s="161"/>
      <c r="S919" s="161"/>
      <c r="T919" s="151"/>
      <c r="U919" s="151"/>
      <c r="V919" s="151"/>
      <c r="W919" s="151"/>
    </row>
  </sheetData>
  <mergeCells count="22">
    <mergeCell ref="W4:W5"/>
    <mergeCell ref="Q4:Q5"/>
    <mergeCell ref="B1:S1"/>
    <mergeCell ref="B4:B5"/>
    <mergeCell ref="D4:D5"/>
    <mergeCell ref="N4:N5"/>
    <mergeCell ref="S4:S5"/>
    <mergeCell ref="C4:C5"/>
    <mergeCell ref="E4:E5"/>
    <mergeCell ref="O4:O5"/>
    <mergeCell ref="P4:P5"/>
    <mergeCell ref="H4:I4"/>
    <mergeCell ref="B2:V2"/>
    <mergeCell ref="V4:V5"/>
    <mergeCell ref="R4:R5"/>
    <mergeCell ref="B6:D6"/>
    <mergeCell ref="G4:G5"/>
    <mergeCell ref="F4:F5"/>
    <mergeCell ref="U4:U5"/>
    <mergeCell ref="T4:T5"/>
    <mergeCell ref="J4:K4"/>
    <mergeCell ref="L4:M4"/>
  </mergeCells>
  <phoneticPr fontId="16" type="noConversion"/>
  <pageMargins left="0.7" right="0.7" top="0.75" bottom="0.75" header="0.3" footer="0.3"/>
  <pageSetup paperSize="9" scale="23" fitToHeight="0" orientation="portrait" r:id="rId1"/>
  <colBreaks count="1" manualBreakCount="1">
    <brk id="21" max="9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57DF-3509-4695-840E-D5DA72597B42}">
  <dimension ref="A1:I437"/>
  <sheetViews>
    <sheetView topLeftCell="A29" workbookViewId="0">
      <selection activeCell="H53" sqref="H53"/>
    </sheetView>
  </sheetViews>
  <sheetFormatPr defaultColWidth="8.7109375" defaultRowHeight="12.75"/>
  <cols>
    <col min="1" max="1" width="46.5703125" style="415" customWidth="1"/>
    <col min="2" max="6" width="18.5703125" style="415" customWidth="1"/>
    <col min="7" max="7" width="23.5703125" style="415" customWidth="1"/>
    <col min="8" max="8" width="17.5703125" style="415" customWidth="1"/>
    <col min="9" max="9" width="14.5703125" style="415" customWidth="1"/>
    <col min="10" max="16384" width="8.7109375" style="415"/>
  </cols>
  <sheetData>
    <row r="1" spans="1:9" ht="18">
      <c r="A1" s="465" t="s">
        <v>1046</v>
      </c>
      <c r="B1" s="465"/>
      <c r="C1" s="465"/>
      <c r="D1" s="465"/>
      <c r="E1" s="465"/>
      <c r="F1" s="465"/>
      <c r="G1" s="465"/>
      <c r="H1" s="465"/>
    </row>
    <row r="2" spans="1:9">
      <c r="A2" s="416" t="s">
        <v>1047</v>
      </c>
    </row>
    <row r="3" spans="1:9" ht="13.5" customHeight="1"/>
    <row r="4" spans="1:9" ht="13.5" customHeight="1">
      <c r="A4" s="418" t="s">
        <v>1048</v>
      </c>
    </row>
    <row r="5" spans="1:9" ht="56.1" customHeight="1">
      <c r="A5" s="419" t="s">
        <v>1049</v>
      </c>
      <c r="B5" s="419" t="s">
        <v>1050</v>
      </c>
      <c r="C5" s="419" t="s">
        <v>1051</v>
      </c>
      <c r="D5" s="419" t="s">
        <v>1052</v>
      </c>
      <c r="E5" s="419" t="s">
        <v>1053</v>
      </c>
      <c r="F5" s="419" t="s">
        <v>1054</v>
      </c>
      <c r="G5" s="419" t="s">
        <v>1055</v>
      </c>
      <c r="H5" s="419" t="s">
        <v>15</v>
      </c>
      <c r="I5" s="419" t="s">
        <v>1056</v>
      </c>
    </row>
    <row r="6" spans="1:9" ht="13.5" customHeight="1">
      <c r="A6" s="420" t="s">
        <v>32</v>
      </c>
      <c r="B6" s="423">
        <f>COUNTA(A69:A88)</f>
        <v>20</v>
      </c>
      <c r="C6" s="423">
        <f>COUNTIFS(F69:F88,"Дууссан")</f>
        <v>14</v>
      </c>
      <c r="D6" s="423">
        <f>COUNTIFS(D69:D88,"&gt;0")+COUNTIFS(G69:G88,"Блокийн*")</f>
        <v>19</v>
      </c>
      <c r="E6" s="429">
        <f>COUNTIFS(G69:G88,"Эхлээгүй")</f>
        <v>1</v>
      </c>
      <c r="F6" s="431" t="str">
        <f t="array" ref="F6">IF(E6=0,"-",_xlfn.TEXTJOIN(", ",TRUE,IF(G69:G88="Эхлээгүй",A69:A88,"")))</f>
        <v>5/8</v>
      </c>
      <c r="G6" s="427">
        <f>'Төсөл төлөвлөгөө биелэлт'!Q720</f>
        <v>0.2868</v>
      </c>
      <c r="H6" s="427">
        <f>'Төсөл төлөвлөгөө биелэлт'!S720</f>
        <v>0.2823</v>
      </c>
      <c r="I6" s="423" t="s">
        <v>1057</v>
      </c>
    </row>
    <row r="7" spans="1:9" ht="13.5" customHeight="1">
      <c r="A7" s="420" t="s">
        <v>35</v>
      </c>
      <c r="B7" s="423">
        <f>COUNTA(A101:A126)</f>
        <v>26</v>
      </c>
      <c r="C7" s="423">
        <f>COUNTIFS(F101:F126,"Дууссан")</f>
        <v>25</v>
      </c>
      <c r="D7" s="423">
        <f>COUNTIFS(D101:D126,"&gt;0")+COUNTIFS(G101:G126,"Блокийн*")</f>
        <v>26</v>
      </c>
      <c r="E7" s="429">
        <f>COUNTIFS(G101:G126,"Эхлээгүй")</f>
        <v>0</v>
      </c>
      <c r="F7" s="431" t="str">
        <f t="array" ref="F7">IF(E7=0,"-",_xlfn.TEXTJOIN(", ",TRUE,IF(G101:G126="Эхлээгүй",A101:A126,"")))</f>
        <v>-</v>
      </c>
      <c r="G7" s="427">
        <f>'Төсөл төлөвлөгөө биелэлт'!Q741</f>
        <v>0.317</v>
      </c>
      <c r="H7" s="427">
        <f>'Төсөл төлөвлөгөө биелэлт'!S741</f>
        <v>0.31530000000000002</v>
      </c>
      <c r="I7" s="423" t="s">
        <v>1058</v>
      </c>
    </row>
    <row r="8" spans="1:9" ht="13.5" customHeight="1">
      <c r="A8" s="420" t="s">
        <v>37</v>
      </c>
      <c r="B8" s="423">
        <f>COUNTA(A138:A148)</f>
        <v>11</v>
      </c>
      <c r="C8" s="423">
        <f>COUNTIFS(F138:F148,"Дууссан")</f>
        <v>0</v>
      </c>
      <c r="D8" s="423">
        <f>COUNTIFS(D138:D148,"&gt;0")+COUNTIFS(G138:G148,"Блокийн*")</f>
        <v>0</v>
      </c>
      <c r="E8" s="429">
        <f>COUNTIFS(G138:G148,"Эхлээгүй")</f>
        <v>11</v>
      </c>
      <c r="F8" s="431" t="str">
        <f t="array" ref="F8">IF(E8=0,"-",_xlfn.TEXTJOIN(", ",TRUE,IF(G138:G148="Эхлээгүй",A138:A148,"")))</f>
        <v>5/1, 5/2, 5/3, 5/4, 5/5, 5/6, 5/7, 5/8, 5/9, 5/10, 5/11</v>
      </c>
      <c r="G8" s="427">
        <f>'Төсөл төлөвлөгөө биелэлт'!Q768</f>
        <v>7.0000000000000001E-3</v>
      </c>
      <c r="H8" s="427">
        <f>'Төсөл төлөвлөгөө биелэлт'!S768</f>
        <v>7.0000000000000001E-3</v>
      </c>
      <c r="I8" s="423" t="s">
        <v>1059</v>
      </c>
    </row>
    <row r="9" spans="1:9" ht="13.5" customHeight="1">
      <c r="A9" s="420" t="s">
        <v>39</v>
      </c>
      <c r="B9" s="423">
        <f>COUNTA(A163:A174)</f>
        <v>12</v>
      </c>
      <c r="C9" s="423">
        <f>COUNTIFS(F163:F174,"Дууссан")</f>
        <v>9</v>
      </c>
      <c r="D9" s="423">
        <f>COUNTIFS(D163:D174,"&gt;0")+COUNTIFS(G163:G174,"Блокийн*")</f>
        <v>11</v>
      </c>
      <c r="E9" s="429">
        <f>COUNTIFS(G163:G174,"Эхлээгүй")</f>
        <v>1</v>
      </c>
      <c r="F9" s="431" t="str">
        <f t="array" ref="F9">IF(E9=0,"-",_xlfn.TEXTJOIN(", ",TRUE,IF(G163:G174="Эхлээгүй",A163:A174,"")))</f>
        <v>5/1</v>
      </c>
      <c r="G9" s="427">
        <f>'Төсөл төлөвлөгөө биелэлт'!Q780</f>
        <v>0.30960000000000004</v>
      </c>
      <c r="H9" s="427">
        <f>'Төсөл төлөвлөгөө биелэлт'!S780</f>
        <v>0.30320000000000003</v>
      </c>
      <c r="I9" s="423" t="s">
        <v>1060</v>
      </c>
    </row>
    <row r="10" spans="1:9" ht="13.5" customHeight="1">
      <c r="A10" s="420" t="s">
        <v>41</v>
      </c>
      <c r="B10" s="423">
        <f>COUNTA(A188:A201)</f>
        <v>14</v>
      </c>
      <c r="C10" s="423">
        <f>COUNTIFS(F188:F201,"Дууссан")</f>
        <v>9</v>
      </c>
      <c r="D10" s="423">
        <f>COUNTIFS(D188:D201,"&gt;0")+COUNTIFS(G188:G201,"Блокийн*")</f>
        <v>12</v>
      </c>
      <c r="E10" s="429">
        <f>COUNTIFS(G188:G201,"Эхлээгүй")</f>
        <v>2</v>
      </c>
      <c r="F10" s="431" t="str">
        <f t="array" ref="F10">IF(E10=0,"-",_xlfn.TEXTJOIN(", ",TRUE,IF(G188:G201="Эхлээгүй",A188:A201,"")))</f>
        <v>5/9, 5/10</v>
      </c>
      <c r="G10" s="427">
        <f>'Төсөл төлөвлөгөө биелэлт'!Q793</f>
        <v>0.31240000000000001</v>
      </c>
      <c r="H10" s="427">
        <f>'Төсөл төлөвлөгөө биелэлт'!S793</f>
        <v>0.30149999999999999</v>
      </c>
      <c r="I10" s="423" t="s">
        <v>1061</v>
      </c>
    </row>
    <row r="11" spans="1:9" ht="13.5" customHeight="1">
      <c r="A11" s="420" t="s">
        <v>43</v>
      </c>
      <c r="B11" s="423">
        <f>COUNTA(A213:A228)</f>
        <v>16</v>
      </c>
      <c r="C11" s="423">
        <f>COUNTIFS(F213:F228,"Дууссан")</f>
        <v>0</v>
      </c>
      <c r="D11" s="423">
        <f>COUNTIFS(D213:D228,"&gt;0")+COUNTIFS(G213:G228,"Блокийн*")</f>
        <v>16</v>
      </c>
      <c r="E11" s="429">
        <f>COUNTIFS(G213:G228,"Эхлээгүй")</f>
        <v>0</v>
      </c>
      <c r="F11" s="431" t="str">
        <f t="array" ref="F11">IF(E11=0,"-",_xlfn.TEXTJOIN(", ",TRUE,IF(G213:G228="Эхлээгүй",A213:A228,"")))</f>
        <v>-</v>
      </c>
      <c r="G11" s="427">
        <f>'Төсөл төлөвлөгөө биелэлт'!Q808</f>
        <v>0.32620000000000005</v>
      </c>
      <c r="H11" s="427">
        <f>'Төсөл төлөвлөгөө биелэлт'!S808</f>
        <v>0.32040000000000002</v>
      </c>
      <c r="I11" s="423" t="s">
        <v>1062</v>
      </c>
    </row>
    <row r="12" spans="1:9" ht="13.5" customHeight="1">
      <c r="A12" s="420" t="s">
        <v>45</v>
      </c>
      <c r="B12" s="423">
        <f>COUNTA(A241:A254)</f>
        <v>14</v>
      </c>
      <c r="C12" s="423">
        <f>COUNTIFS(F241:F254,"Дууссан")</f>
        <v>0</v>
      </c>
      <c r="D12" s="423">
        <f>COUNTIFS(D241:D254,"&gt;0")+COUNTIFS(G241:G254,"Блокийн*")</f>
        <v>9</v>
      </c>
      <c r="E12" s="429">
        <f>COUNTIFS(G241:G254,"Эхлээгүй")</f>
        <v>5</v>
      </c>
      <c r="F12" s="431" t="str">
        <f t="array" ref="F12">IF(E12=0,"-",_xlfn.TEXTJOIN(", ",TRUE,IF(G241:G254="Эхлээгүй",A241:A254,"")))</f>
        <v>5/2, 6/5, 6/6, 6/7, 6/8</v>
      </c>
      <c r="G12" s="427">
        <f>'Төсөл төлөвлөгөө биелэлт'!Q826</f>
        <v>9.06E-2</v>
      </c>
      <c r="H12" s="427">
        <f>'Төсөл төлөвлөгөө биелэлт'!S826</f>
        <v>7.1999999999999995E-2</v>
      </c>
      <c r="I12" s="423" t="s">
        <v>1063</v>
      </c>
    </row>
    <row r="13" spans="1:9" ht="13.5" customHeight="1">
      <c r="A13" s="422" t="s">
        <v>1064</v>
      </c>
      <c r="B13" s="425">
        <f>SUM(B6:B12)</f>
        <v>113</v>
      </c>
      <c r="C13" s="425">
        <f>SUM(C6:C12)</f>
        <v>57</v>
      </c>
      <c r="D13" s="425">
        <f>SUM(D6:D12)</f>
        <v>93</v>
      </c>
      <c r="E13" s="430">
        <f>SUM(E6:E12)</f>
        <v>20</v>
      </c>
      <c r="F13" s="432" t="s">
        <v>1065</v>
      </c>
      <c r="G13" s="428">
        <f>'Төсөл төлөвлөгөө биелэлт'!Q528</f>
        <v>0.26491764325800532</v>
      </c>
      <c r="H13" s="428">
        <v>0.27844947294456535</v>
      </c>
      <c r="I13" s="425"/>
    </row>
    <row r="14" spans="1:9" ht="13.5" customHeight="1"/>
    <row r="15" spans="1:9" ht="13.5" customHeight="1">
      <c r="A15" s="418" t="s">
        <v>1066</v>
      </c>
    </row>
    <row r="16" spans="1:9" ht="13.5" customHeight="1">
      <c r="A16" s="416" t="s">
        <v>1067</v>
      </c>
    </row>
    <row r="17" spans="1:5" ht="13.5" customHeight="1">
      <c r="A17" s="417" t="s">
        <v>1068</v>
      </c>
    </row>
    <row r="18" spans="1:5" ht="30" customHeight="1">
      <c r="A18" s="419" t="s">
        <v>1069</v>
      </c>
      <c r="B18" s="419" t="s">
        <v>32</v>
      </c>
      <c r="C18" s="419" t="s">
        <v>35</v>
      </c>
      <c r="D18" s="419" t="s">
        <v>45</v>
      </c>
      <c r="E18" s="419" t="s">
        <v>1050</v>
      </c>
    </row>
    <row r="19" spans="1:5" ht="13.5" customHeight="1">
      <c r="A19" s="420" t="s">
        <v>1070</v>
      </c>
      <c r="B19" s="423">
        <f>COUNTIFS($G$69:$G$88,"Эхлээгүй",$C$69:$C$88,12)</f>
        <v>0</v>
      </c>
      <c r="C19" s="423">
        <f>COUNTIFS($G$101:$G$126,"Эхлээгүй",$C$101:$C$126,12)</f>
        <v>0</v>
      </c>
      <c r="D19" s="423">
        <f>COUNTIFS($G$241:$G$254,"Эхлээгүй",$C$241:$C$254,12)</f>
        <v>4</v>
      </c>
      <c r="E19" s="433">
        <f t="shared" ref="E19:E34" si="0">SUM(B19:D19)</f>
        <v>4</v>
      </c>
    </row>
    <row r="20" spans="1:5" ht="13.5" customHeight="1">
      <c r="A20" s="420" t="s">
        <v>1071</v>
      </c>
      <c r="B20" s="423">
        <f>COUNTIFS($G$69:$G$88,"Зоорь*",$C$69:$C$88,12)+COUNTIFS($G$69:$G$88,"Зөвхөн*",$C$69:$C$88,12)</f>
        <v>0</v>
      </c>
      <c r="C20" s="423">
        <f>COUNTIFS($G$101:$G$126,"Зоорь*",$C$101:$C$126,12)+COUNTIFS($G$101:$G$126,"Зөвхөн*",$C$101:$C$126,12)</f>
        <v>0</v>
      </c>
      <c r="D20" s="423">
        <f>COUNTIFS($G$241:$G$254,"Зоорь*",$C$241:$C$254,12)+COUNTIFS($G$241:$G$254,"Зөвхөн*",$C$241:$C$254,12)</f>
        <v>0</v>
      </c>
      <c r="E20" s="433">
        <f t="shared" si="0"/>
        <v>0</v>
      </c>
    </row>
    <row r="21" spans="1:5" ht="13.5" customHeight="1">
      <c r="A21" s="420" t="s">
        <v>1072</v>
      </c>
      <c r="B21" s="423">
        <f>COUNTIFS($D$69:$D$88,1,$F$69:$F$88,"Хийгдээгүй",$C$69:$C$88,12)</f>
        <v>0</v>
      </c>
      <c r="C21" s="423">
        <f>COUNTIFS($D$101:$D$126,1,$F$101:$F$126,"Хийгдээгүй",$C$101:$C$126,12)</f>
        <v>0</v>
      </c>
      <c r="D21" s="423">
        <f>COUNTIFS($D$241:$D$254,1,$F$241:$F$254,"Хийгдээгүй",$C$241:$C$254,12)</f>
        <v>0</v>
      </c>
      <c r="E21" s="433">
        <f t="shared" si="0"/>
        <v>0</v>
      </c>
    </row>
    <row r="22" spans="1:5" ht="13.5" customHeight="1">
      <c r="A22" s="420" t="s">
        <v>1073</v>
      </c>
      <c r="B22" s="423">
        <f>COUNTIFS($D$69:$D$88,2,$F$69:$F$88,"Хийгдээгүй",$C$69:$C$88,12)</f>
        <v>0</v>
      </c>
      <c r="C22" s="423">
        <f>COUNTIFS($D$101:$D$126,2,$F$101:$F$126,"Хийгдээгүй",$C$101:$C$126,12)</f>
        <v>0</v>
      </c>
      <c r="D22" s="423">
        <f>COUNTIFS($D$241:$D$254,2,$F$241:$F$254,"Хийгдээгүй",$C$241:$C$254,12)</f>
        <v>0</v>
      </c>
      <c r="E22" s="433">
        <f t="shared" si="0"/>
        <v>0</v>
      </c>
    </row>
    <row r="23" spans="1:5" ht="13.5" customHeight="1">
      <c r="A23" s="420" t="s">
        <v>1074</v>
      </c>
      <c r="B23" s="423">
        <f>COUNTIFS($D$69:$D$88,3,$F$69:$F$88,"Хийгдээгүй",$C$69:$C$88,12)</f>
        <v>0</v>
      </c>
      <c r="C23" s="423">
        <f>COUNTIFS($D$101:$D$126,3,$F$101:$F$126,"Хийгдээгүй",$C$101:$C$126,12)</f>
        <v>0</v>
      </c>
      <c r="D23" s="423">
        <f>COUNTIFS($D$241:$D$254,3,$F$241:$F$254,"Хийгдээгүй",$C$241:$C$254,12)</f>
        <v>0</v>
      </c>
      <c r="E23" s="433">
        <f t="shared" si="0"/>
        <v>0</v>
      </c>
    </row>
    <row r="24" spans="1:5" ht="13.5" customHeight="1">
      <c r="A24" s="420" t="s">
        <v>1075</v>
      </c>
      <c r="B24" s="423">
        <f>COUNTIFS($D$69:$D$88,4,$F$69:$F$88,"Хийгдээгүй",$C$69:$C$88,12)</f>
        <v>0</v>
      </c>
      <c r="C24" s="423">
        <f>COUNTIFS($D$101:$D$126,4,$F$101:$F$126,"Хийгдээгүй",$C$101:$C$126,12)</f>
        <v>0</v>
      </c>
      <c r="D24" s="423">
        <f>COUNTIFS($D$241:$D$254,4,$F$241:$F$254,"Хийгдээгүй",$C$241:$C$254,12)</f>
        <v>0</v>
      </c>
      <c r="E24" s="433">
        <f t="shared" si="0"/>
        <v>0</v>
      </c>
    </row>
    <row r="25" spans="1:5" ht="13.5" customHeight="1">
      <c r="A25" s="420" t="s">
        <v>1076</v>
      </c>
      <c r="B25" s="423">
        <f>COUNTIFS($D$69:$D$88,5,$F$69:$F$88,"Хийгдээгүй",$C$69:$C$88,12)</f>
        <v>0</v>
      </c>
      <c r="C25" s="423">
        <f>COUNTIFS($D$101:$D$126,5,$F$101:$F$126,"Хийгдээгүй",$C$101:$C$126,12)</f>
        <v>0</v>
      </c>
      <c r="D25" s="423">
        <f>COUNTIFS($D$241:$D$254,5,$F$241:$F$254,"Хийгдээгүй",$C$241:$C$254,12)</f>
        <v>0</v>
      </c>
      <c r="E25" s="433">
        <f t="shared" si="0"/>
        <v>0</v>
      </c>
    </row>
    <row r="26" spans="1:5" ht="13.5" customHeight="1">
      <c r="A26" s="420" t="s">
        <v>1077</v>
      </c>
      <c r="B26" s="423">
        <f>COUNTIFS($D$69:$D$88,6,$F$69:$F$88,"Хийгдээгүй",$C$69:$C$88,12)</f>
        <v>1</v>
      </c>
      <c r="C26" s="423">
        <f>COUNTIFS($D$101:$D$126,6,$F$101:$F$126,"Хийгдээгүй",$C$101:$C$126,12)</f>
        <v>0</v>
      </c>
      <c r="D26" s="423">
        <f>COUNTIFS($D$241:$D$254,6,$F$241:$F$254,"Хийгдээгүй",$C$241:$C$254,12)</f>
        <v>0</v>
      </c>
      <c r="E26" s="433">
        <f t="shared" si="0"/>
        <v>1</v>
      </c>
    </row>
    <row r="27" spans="1:5" ht="13.5" customHeight="1">
      <c r="A27" s="420" t="s">
        <v>1078</v>
      </c>
      <c r="B27" s="423">
        <f>COUNTIFS($D$69:$D$88,7,$F$69:$F$88,"Хийгдээгүй",$C$69:$C$88,12)</f>
        <v>0</v>
      </c>
      <c r="C27" s="423">
        <f>COUNTIFS($D$101:$D$126,7,$F$101:$F$126,"Хийгдээгүй",$C$101:$C$126,12)</f>
        <v>0</v>
      </c>
      <c r="D27" s="423">
        <f>COUNTIFS($D$241:$D$254,7,$F$241:$F$254,"Хийгдээгүй",$C$241:$C$254,12)</f>
        <v>0</v>
      </c>
      <c r="E27" s="433">
        <f t="shared" si="0"/>
        <v>0</v>
      </c>
    </row>
    <row r="28" spans="1:5" ht="13.5" customHeight="1">
      <c r="A28" s="420" t="s">
        <v>1079</v>
      </c>
      <c r="B28" s="423">
        <f>COUNTIFS($D$69:$D$88,8,$F$69:$F$88,"Хийгдээгүй",$C$69:$C$88,12)</f>
        <v>0</v>
      </c>
      <c r="C28" s="423">
        <f>COUNTIFS($D$101:$D$126,8,$F$101:$F$126,"Хийгдээгүй",$C$101:$C$126,12)</f>
        <v>0</v>
      </c>
      <c r="D28" s="423">
        <f>COUNTIFS($D$241:$D$254,8,$F$241:$F$254,"Хийгдээгүй",$C$241:$C$254,12)</f>
        <v>0</v>
      </c>
      <c r="E28" s="433">
        <f t="shared" si="0"/>
        <v>0</v>
      </c>
    </row>
    <row r="29" spans="1:5" ht="13.5" customHeight="1">
      <c r="A29" s="420" t="s">
        <v>1080</v>
      </c>
      <c r="B29" s="423">
        <f>COUNTIFS($D$69:$D$88,9,$F$69:$F$88,"Хийгдээгүй",$C$69:$C$88,12)</f>
        <v>0</v>
      </c>
      <c r="C29" s="423">
        <f>COUNTIFS($D$101:$D$126,9,$F$101:$F$126,"Хийгдээгүй",$C$101:$C$126,12)</f>
        <v>0</v>
      </c>
      <c r="D29" s="423">
        <f>COUNTIFS($D$241:$D$254,9,$F$241:$F$254,"Хийгдээгүй",$C$241:$C$254,12)</f>
        <v>0</v>
      </c>
      <c r="E29" s="433">
        <f t="shared" si="0"/>
        <v>0</v>
      </c>
    </row>
    <row r="30" spans="1:5" ht="13.5" customHeight="1">
      <c r="A30" s="420" t="s">
        <v>1081</v>
      </c>
      <c r="B30" s="423">
        <f>COUNTIFS($D$69:$D$88,10,$F$69:$F$88,"Хийгдээгүй",$C$69:$C$88,12)</f>
        <v>1</v>
      </c>
      <c r="C30" s="423">
        <f>COUNTIFS($D$101:$D$126,10,$F$101:$F$126,"Хийгдээгүй",$C$101:$C$126,12)</f>
        <v>0</v>
      </c>
      <c r="D30" s="423">
        <f>COUNTIFS($D$241:$D$254,10,$F$241:$F$254,"Хийгдээгүй",$C$241:$C$254,12)</f>
        <v>0</v>
      </c>
      <c r="E30" s="433">
        <f t="shared" si="0"/>
        <v>1</v>
      </c>
    </row>
    <row r="31" spans="1:5" ht="13.5" customHeight="1">
      <c r="A31" s="420" t="s">
        <v>1082</v>
      </c>
      <c r="B31" s="423">
        <f>COUNTIFS($D$69:$D$88,11,$F$69:$F$88,"Хийгдээгүй",$C$69:$C$88,12)</f>
        <v>1</v>
      </c>
      <c r="C31" s="423">
        <f>COUNTIFS($D$101:$D$126,11,$F$101:$F$126,"Хийгдээгүй",$C$101:$C$126,12)</f>
        <v>0</v>
      </c>
      <c r="D31" s="423">
        <f>COUNTIFS($D$241:$D$254,11,$F$241:$F$254,"Хийгдээгүй",$C$241:$C$254,12)</f>
        <v>0</v>
      </c>
      <c r="E31" s="433">
        <f t="shared" si="0"/>
        <v>1</v>
      </c>
    </row>
    <row r="32" spans="1:5" ht="13.5" customHeight="1">
      <c r="A32" s="420" t="s">
        <v>1083</v>
      </c>
      <c r="B32" s="423">
        <f>COUNTIFS($D$69:$D$88,12,$F$69:$F$88,"Хийгдээгүй",$C$69:$C$88,12)</f>
        <v>0</v>
      </c>
      <c r="C32" s="423">
        <f>COUNTIFS($D$101:$D$126,12,$F$101:$F$126,"Хийгдээгүй",$C$101:$C$126,12)</f>
        <v>0</v>
      </c>
      <c r="D32" s="423">
        <f>COUNTIFS($D$241:$D$254,12,$F$241:$F$254,"Хийгдээгүй",$C$241:$C$254,12)</f>
        <v>0</v>
      </c>
      <c r="E32" s="433">
        <f t="shared" si="0"/>
        <v>0</v>
      </c>
    </row>
    <row r="33" spans="1:9" ht="13.5" customHeight="1">
      <c r="A33" s="420" t="s">
        <v>1084</v>
      </c>
      <c r="B33" s="423">
        <f>COUNTIFS($F$69:$F$88,"Дууссан",$C$69:$C$88,12)</f>
        <v>5</v>
      </c>
      <c r="C33" s="423">
        <f>COUNTIFS($F$101:$F$126,"Дууссан",$C$101:$C$126,12)</f>
        <v>4</v>
      </c>
      <c r="D33" s="423">
        <f>COUNTIFS($F$241:$F$254,"Дууссан",$C$241:$C$254,12)</f>
        <v>0</v>
      </c>
      <c r="E33" s="433">
        <f t="shared" si="0"/>
        <v>9</v>
      </c>
    </row>
    <row r="34" spans="1:9" ht="13.5" customHeight="1">
      <c r="A34" s="420" t="s">
        <v>1085</v>
      </c>
      <c r="B34" s="423">
        <f>COUNTIFS($G$69:$G$88,"Блокийн*",$C$69:$C$88,12)</f>
        <v>0</v>
      </c>
      <c r="C34" s="423">
        <f>COUNTIFS($G$101:$G$126,"Блокийн*",$C$101:$C$126,12)</f>
        <v>0</v>
      </c>
      <c r="D34" s="423">
        <f>COUNTIFS($G$241:$G$254,"Блокийн*",$C$241:$C$254,12)</f>
        <v>4</v>
      </c>
      <c r="E34" s="433">
        <f t="shared" si="0"/>
        <v>4</v>
      </c>
    </row>
    <row r="35" spans="1:9" ht="13.5" customHeight="1">
      <c r="A35" s="422" t="s">
        <v>1050</v>
      </c>
      <c r="B35" s="425">
        <f>SUM(B19:B34)</f>
        <v>8</v>
      </c>
      <c r="C35" s="425">
        <f>SUM(C19:C34)</f>
        <v>4</v>
      </c>
      <c r="D35" s="425">
        <f>SUM(D19:D34)</f>
        <v>8</v>
      </c>
      <c r="E35" s="425">
        <f>SUM(E19:E34)</f>
        <v>20</v>
      </c>
    </row>
    <row r="36" spans="1:9" ht="13.5" customHeight="1"/>
    <row r="37" spans="1:9" ht="13.5" customHeight="1">
      <c r="A37" s="417" t="s">
        <v>1086</v>
      </c>
    </row>
    <row r="38" spans="1:9" ht="30" customHeight="1">
      <c r="A38" s="419" t="s">
        <v>1069</v>
      </c>
      <c r="B38" s="419" t="s">
        <v>32</v>
      </c>
      <c r="C38" s="419" t="s">
        <v>35</v>
      </c>
      <c r="D38" s="419" t="s">
        <v>37</v>
      </c>
      <c r="E38" s="419" t="s">
        <v>39</v>
      </c>
      <c r="F38" s="419" t="s">
        <v>41</v>
      </c>
      <c r="G38" s="419" t="s">
        <v>43</v>
      </c>
      <c r="H38" s="419" t="s">
        <v>45</v>
      </c>
      <c r="I38" s="419" t="s">
        <v>1050</v>
      </c>
    </row>
    <row r="39" spans="1:9" ht="13.5" customHeight="1">
      <c r="A39" s="420" t="s">
        <v>1070</v>
      </c>
      <c r="B39" s="423">
        <f>COUNTIFS($G$69:$G$88,"Эхлээгүй",$C$69:$C$88,9)</f>
        <v>1</v>
      </c>
      <c r="C39" s="423">
        <f>COUNTIFS($G$101:$G$126,"Эхлээгүй",$C$101:$C$126,9)</f>
        <v>0</v>
      </c>
      <c r="D39" s="423">
        <f>COUNTIFS($G$138:$G$148,"Эхлээгүй",$C$138:$C$148,9)</f>
        <v>11</v>
      </c>
      <c r="E39" s="423">
        <f>COUNTIFS($G$163:$G$174,"Эхлээгүй",$C$163:$C$174,9)</f>
        <v>1</v>
      </c>
      <c r="F39" s="423">
        <f>COUNTIFS($G$188:$G$201,"Эхлээгүй",$C$188:$C$201,9)</f>
        <v>2</v>
      </c>
      <c r="G39" s="423">
        <f>COUNTIFS($G$213:$G$228,"Эхлээгүй",$C$213:$C$228,9)</f>
        <v>0</v>
      </c>
      <c r="H39" s="423">
        <f>COUNTIFS($G$241:$G$254,"Эхлээгүй",$C$241:$C$254,9)</f>
        <v>1</v>
      </c>
      <c r="I39" s="433">
        <f t="shared" ref="I39:I51" si="1">SUM(B39:H39)</f>
        <v>16</v>
      </c>
    </row>
    <row r="40" spans="1:9" ht="13.5" customHeight="1">
      <c r="A40" s="420" t="s">
        <v>1071</v>
      </c>
      <c r="B40" s="423">
        <f>COUNTIFS($G$69:$G$88,"Зоорь*",$C$69:$C$88,9)+COUNTIFS($G$69:$G$88,"Зөвхөн*",$C$69:$C$88,9)</f>
        <v>0</v>
      </c>
      <c r="C40" s="423">
        <f>COUNTIFS($G$101:$G$126,"Зоорь*",$C$101:$C$126,9)+COUNTIFS($G$101:$G$126,"Зөвхөн*",$C$101:$C$126,9)</f>
        <v>0</v>
      </c>
      <c r="D40" s="423">
        <f>COUNTIFS($G$138:$G$148,"Зоорь*",$C$138:$C$148,9)+COUNTIFS($G$138:$G$148,"Зөвхөн*",$C$138:$C$148,9)</f>
        <v>0</v>
      </c>
      <c r="E40" s="423">
        <f>COUNTIFS($G$163:$G$174,"Зоорь*",$C$163:$C$174,9)+COUNTIFS($G$163:$G$174,"Зөвхөн*",$C$163:$C$174,9)</f>
        <v>0</v>
      </c>
      <c r="F40" s="423">
        <f>COUNTIFS($G$188:$G$201,"Зоорь*",$C$188:$C$201,9)+COUNTIFS($G$188:$G$201,"Зөвхөн*",$C$188:$C$201,9)</f>
        <v>0</v>
      </c>
      <c r="G40" s="423">
        <f>COUNTIFS($G$213:$G$228,"Зоорь*",$C$213:$C$228,9)+COUNTIFS($G$213:$G$228,"Зөвхөн*",$C$213:$C$228,9)</f>
        <v>0</v>
      </c>
      <c r="H40" s="423">
        <f>COUNTIFS($G$241:$G$254,"Зоорь*",$C$241:$C$254,9)+COUNTIFS($G$241:$G$254,"Зөвхөн*",$C$241:$C$254,9)</f>
        <v>0</v>
      </c>
      <c r="I40" s="433">
        <f t="shared" si="1"/>
        <v>0</v>
      </c>
    </row>
    <row r="41" spans="1:9" ht="13.5" customHeight="1">
      <c r="A41" s="420" t="s">
        <v>1072</v>
      </c>
      <c r="B41" s="423">
        <f>COUNTIFS($D$69:$D$88,1,$F$69:$F$88,"Хийгдээгүй",$C$69:$C$88,9)</f>
        <v>1</v>
      </c>
      <c r="C41" s="423">
        <f>COUNTIFS($D$101:$D$126,1,$F$101:$F$126,"Хийгдээгүй",$C$101:$C$126,9)</f>
        <v>0</v>
      </c>
      <c r="D41" s="423">
        <f>COUNTIFS($D$138:$D$148,1,$F$138:$F$148,"Хийгдээгүй",$C$138:$C$148,9)</f>
        <v>0</v>
      </c>
      <c r="E41" s="423">
        <f>COUNTIFS($D$163:$D$174,1,$F$163:$F$174,"Хийгдээгүй",$C$163:$C$174,9)</f>
        <v>0</v>
      </c>
      <c r="F41" s="423">
        <f>COUNTIFS($D$188:$D$201,1,$F$188:$F$201,"Хийгдээгүй",$C$188:$C$201,9)</f>
        <v>0</v>
      </c>
      <c r="G41" s="423">
        <f>COUNTIFS($D$213:$D$228,1,$F$213:$F$228,"Хийгдээгүй",$C$213:$C$228,9)</f>
        <v>0</v>
      </c>
      <c r="H41" s="423">
        <f>COUNTIFS($D$241:$D$254,1,$F$241:$F$254,"Хийгдээгүй",$C$241:$C$254,9)</f>
        <v>0</v>
      </c>
      <c r="I41" s="433">
        <f t="shared" si="1"/>
        <v>1</v>
      </c>
    </row>
    <row r="42" spans="1:9" ht="13.5" customHeight="1">
      <c r="A42" s="420" t="s">
        <v>1073</v>
      </c>
      <c r="B42" s="423">
        <f>COUNTIFS($D$69:$D$88,2,$F$69:$F$88,"Хийгдээгүй",$C$69:$C$88,9)</f>
        <v>0</v>
      </c>
      <c r="C42" s="423">
        <f>COUNTIFS($D$101:$D$126,2,$F$101:$F$126,"Хийгдээгүй",$C$101:$C$126,9)</f>
        <v>0</v>
      </c>
      <c r="D42" s="423">
        <f>COUNTIFS($D$138:$D$148,2,$F$138:$F$148,"Хийгдээгүй",$C$138:$C$148,9)</f>
        <v>0</v>
      </c>
      <c r="E42" s="423">
        <f>COUNTIFS($D$163:$D$174,2,$F$163:$F$174,"Хийгдээгүй",$C$163:$C$174,9)</f>
        <v>0</v>
      </c>
      <c r="F42" s="423">
        <f>COUNTIFS($D$188:$D$201,2,$F$188:$F$201,"Хийгдээгүй",$C$188:$C$201,9)</f>
        <v>0</v>
      </c>
      <c r="G42" s="423">
        <f>COUNTIFS($D$213:$D$228,2,$F$213:$F$228,"Хийгдээгүй",$C$213:$C$228,9)</f>
        <v>0</v>
      </c>
      <c r="H42" s="423">
        <f>COUNTIFS($D$241:$D$254,2,$F$241:$F$254,"Хийгдээгүй",$C$241:$C$254,9)</f>
        <v>0</v>
      </c>
      <c r="I42" s="433">
        <f t="shared" si="1"/>
        <v>0</v>
      </c>
    </row>
    <row r="43" spans="1:9" ht="13.5" customHeight="1">
      <c r="A43" s="420" t="s">
        <v>1074</v>
      </c>
      <c r="B43" s="423">
        <f>COUNTIFS($D$69:$D$88,3,$F$69:$F$88,"Хийгдээгүй",$C$69:$C$88,9)</f>
        <v>0</v>
      </c>
      <c r="C43" s="423">
        <f>COUNTIFS($D$101:$D$126,3,$F$101:$F$126,"Хийгдээгүй",$C$101:$C$126,9)</f>
        <v>0</v>
      </c>
      <c r="D43" s="423">
        <f>COUNTIFS($D$138:$D$148,3,$F$138:$F$148,"Хийгдээгүй",$C$138:$C$148,9)</f>
        <v>0</v>
      </c>
      <c r="E43" s="423">
        <f>COUNTIFS($D$163:$D$174,3,$F$163:$F$174,"Хийгдээгүй",$C$163:$C$174,9)</f>
        <v>0</v>
      </c>
      <c r="F43" s="423">
        <f>COUNTIFS($D$188:$D$201,3,$F$188:$F$201,"Хийгдээгүй",$C$188:$C$201,9)</f>
        <v>0</v>
      </c>
      <c r="G43" s="423">
        <f>COUNTIFS($D$213:$D$228,3,$F$213:$F$228,"Хийгдээгүй",$C$213:$C$228,9)</f>
        <v>0</v>
      </c>
      <c r="H43" s="423">
        <f>COUNTIFS($D$241:$D$254,3,$F$241:$F$254,"Хийгдээгүй",$C$241:$C$254,9)</f>
        <v>0</v>
      </c>
      <c r="I43" s="433">
        <f t="shared" si="1"/>
        <v>0</v>
      </c>
    </row>
    <row r="44" spans="1:9" ht="13.5" customHeight="1">
      <c r="A44" s="420" t="s">
        <v>1075</v>
      </c>
      <c r="B44" s="423">
        <f>COUNTIFS($D$69:$D$88,4,$F$69:$F$88,"Хийгдээгүй",$C$69:$C$88,9)</f>
        <v>0</v>
      </c>
      <c r="C44" s="423">
        <f>COUNTIFS($D$101:$D$126,4,$F$101:$F$126,"Хийгдээгүй",$C$101:$C$126,9)</f>
        <v>0</v>
      </c>
      <c r="D44" s="423">
        <f>COUNTIFS($D$138:$D$148,4,$F$138:$F$148,"Хийгдээгүй",$C$138:$C$148,9)</f>
        <v>0</v>
      </c>
      <c r="E44" s="423">
        <f>COUNTIFS($D$163:$D$174,4,$F$163:$F$174,"Хийгдээгүй",$C$163:$C$174,9)</f>
        <v>1</v>
      </c>
      <c r="F44" s="423">
        <f>COUNTIFS($D$188:$D$201,4,$F$188:$F$201,"Хийгдээгүй",$C$188:$C$201,9)</f>
        <v>0</v>
      </c>
      <c r="G44" s="423">
        <f>COUNTIFS($D$213:$D$228,4,$F$213:$F$228,"Хийгдээгүй",$C$213:$C$228,9)</f>
        <v>0</v>
      </c>
      <c r="H44" s="423">
        <f>COUNTIFS($D$241:$D$254,4,$F$241:$F$254,"Хийгдээгүй",$C$241:$C$254,9)</f>
        <v>0</v>
      </c>
      <c r="I44" s="433">
        <f t="shared" si="1"/>
        <v>1</v>
      </c>
    </row>
    <row r="45" spans="1:9" ht="13.5" customHeight="1">
      <c r="A45" s="420" t="s">
        <v>1076</v>
      </c>
      <c r="B45" s="423">
        <f>COUNTIFS($D$69:$D$88,5,$F$69:$F$88,"Хийгдээгүй",$C$69:$C$88,9)</f>
        <v>0</v>
      </c>
      <c r="C45" s="423">
        <f>COUNTIFS($D$101:$D$126,5,$F$101:$F$126,"Хийгдээгүй",$C$101:$C$126,9)</f>
        <v>0</v>
      </c>
      <c r="D45" s="423">
        <f>COUNTIFS($D$138:$D$148,5,$F$138:$F$148,"Хийгдээгүй",$C$138:$C$148,9)</f>
        <v>0</v>
      </c>
      <c r="E45" s="423">
        <f>COUNTIFS($D$163:$D$174,5,$F$163:$F$174,"Хийгдээгүй",$C$163:$C$174,9)</f>
        <v>0</v>
      </c>
      <c r="F45" s="423">
        <f>COUNTIFS($D$188:$D$201,5,$F$188:$F$201,"Хийгдээгүй",$C$188:$C$201,9)</f>
        <v>0</v>
      </c>
      <c r="G45" s="423">
        <f>COUNTIFS($D$213:$D$228,5,$F$213:$F$228,"Хийгдээгүй",$C$213:$C$228,9)</f>
        <v>0</v>
      </c>
      <c r="H45" s="423">
        <f>COUNTIFS($D$241:$D$254,5,$F$241:$F$254,"Хийгдээгүй",$C$241:$C$254,9)</f>
        <v>0</v>
      </c>
      <c r="I45" s="433">
        <f t="shared" si="1"/>
        <v>0</v>
      </c>
    </row>
    <row r="46" spans="1:9" ht="13.5" customHeight="1">
      <c r="A46" s="420" t="s">
        <v>1077</v>
      </c>
      <c r="B46" s="423">
        <f>COUNTIFS($D$69:$D$88,6,$F$69:$F$88,"Хийгдээгүй",$C$69:$C$88,9)</f>
        <v>0</v>
      </c>
      <c r="C46" s="423">
        <f>COUNTIFS($D$101:$D$126,6,$F$101:$F$126,"Хийгдээгүй",$C$101:$C$126,9)</f>
        <v>0</v>
      </c>
      <c r="D46" s="423">
        <f>COUNTIFS($D$138:$D$148,6,$F$138:$F$148,"Хийгдээгүй",$C$138:$C$148,9)</f>
        <v>0</v>
      </c>
      <c r="E46" s="423">
        <f>COUNTIFS($D$163:$D$174,6,$F$163:$F$174,"Хийгдээгүй",$C$163:$C$174,9)</f>
        <v>0</v>
      </c>
      <c r="F46" s="423">
        <f>COUNTIFS($D$188:$D$201,6,$F$188:$F$201,"Хийгдээгүй",$C$188:$C$201,9)</f>
        <v>0</v>
      </c>
      <c r="G46" s="423">
        <f>COUNTIFS($D$213:$D$228,6,$F$213:$F$228,"Хийгдээгүй",$C$213:$C$228,9)</f>
        <v>0</v>
      </c>
      <c r="H46" s="423">
        <f>COUNTIFS($D$241:$D$254,6,$F$241:$F$254,"Хийгдээгүй",$C$241:$C$254,9)</f>
        <v>0</v>
      </c>
      <c r="I46" s="433">
        <f t="shared" si="1"/>
        <v>0</v>
      </c>
    </row>
    <row r="47" spans="1:9" ht="13.5" customHeight="1">
      <c r="A47" s="420" t="s">
        <v>1078</v>
      </c>
      <c r="B47" s="423">
        <f>COUNTIFS($D$69:$D$88,7,$F$69:$F$88,"Хийгдээгүй",$C$69:$C$88,9)</f>
        <v>0</v>
      </c>
      <c r="C47" s="423">
        <f>COUNTIFS($D$101:$D$126,7,$F$101:$F$126,"Хийгдээгүй",$C$101:$C$126,9)</f>
        <v>0</v>
      </c>
      <c r="D47" s="423">
        <f>COUNTIFS($D$138:$D$148,7,$F$138:$F$148,"Хийгдээгүй",$C$138:$C$148,9)</f>
        <v>0</v>
      </c>
      <c r="E47" s="423">
        <f>COUNTIFS($D$163:$D$174,7,$F$163:$F$174,"Хийгдээгүй",$C$163:$C$174,9)</f>
        <v>0</v>
      </c>
      <c r="F47" s="423">
        <f>COUNTIFS($D$188:$D$201,7,$F$188:$F$201,"Хийгдээгүй",$C$188:$C$201,9)</f>
        <v>0</v>
      </c>
      <c r="G47" s="423">
        <f>COUNTIFS($D$213:$D$228,7,$F$213:$F$228,"Хийгдээгүй",$C$213:$C$228,9)</f>
        <v>0</v>
      </c>
      <c r="H47" s="423">
        <f>COUNTIFS($D$241:$D$254,7,$F$241:$F$254,"Хийгдээгүй",$C$241:$C$254,9)</f>
        <v>0</v>
      </c>
      <c r="I47" s="433">
        <f t="shared" si="1"/>
        <v>0</v>
      </c>
    </row>
    <row r="48" spans="1:9" ht="13.5" customHeight="1">
      <c r="A48" s="420" t="s">
        <v>1079</v>
      </c>
      <c r="B48" s="423">
        <f>COUNTIFS($D$69:$D$88,8,$F$69:$F$88,"Хийгдээгүй",$C$69:$C$88,9)</f>
        <v>0</v>
      </c>
      <c r="C48" s="423">
        <f>COUNTIFS($D$101:$D$126,8,$F$101:$F$126,"Хийгдээгүй",$C$101:$C$126,9)</f>
        <v>0</v>
      </c>
      <c r="D48" s="423">
        <f>COUNTIFS($D$138:$D$148,8,$F$138:$F$148,"Хийгдээгүй",$C$138:$C$148,9)</f>
        <v>0</v>
      </c>
      <c r="E48" s="423">
        <f>COUNTIFS($D$163:$D$174,8,$F$163:$F$174,"Хийгдээгүй",$C$163:$C$174,9)</f>
        <v>0</v>
      </c>
      <c r="F48" s="423">
        <f>COUNTIFS($D$188:$D$201,8,$F$188:$F$201,"Хийгдээгүй",$C$188:$C$201,9)</f>
        <v>0</v>
      </c>
      <c r="G48" s="423">
        <f>COUNTIFS($D$213:$D$228,8,$F$213:$F$228,"Хийгдээгүй",$C$213:$C$228,9)</f>
        <v>0</v>
      </c>
      <c r="H48" s="423">
        <f>COUNTIFS($D$241:$D$254,8,$F$241:$F$254,"Хийгдээгүй",$C$241:$C$254,9)</f>
        <v>0</v>
      </c>
      <c r="I48" s="433">
        <f t="shared" si="1"/>
        <v>0</v>
      </c>
    </row>
    <row r="49" spans="1:9" ht="13.5" customHeight="1">
      <c r="A49" s="420" t="s">
        <v>1080</v>
      </c>
      <c r="B49" s="423">
        <f>COUNTIFS($D$69:$D$88,9,$F$69:$F$88,"Хийгдээгүй",$C$69:$C$88,9)</f>
        <v>1</v>
      </c>
      <c r="C49" s="423">
        <f>COUNTIFS($D$101:$D$126,9,$F$101:$F$126,"Хийгдээгүй",$C$101:$C$126,9)</f>
        <v>1</v>
      </c>
      <c r="D49" s="423">
        <f>COUNTIFS($D$138:$D$148,9,$F$138:$F$148,"Хийгдээгүй",$C$138:$C$148,9)</f>
        <v>0</v>
      </c>
      <c r="E49" s="423">
        <f>COUNTIFS($D$163:$D$174,9,$F$163:$F$174,"Хийгдээгүй",$C$163:$C$174,9)</f>
        <v>1</v>
      </c>
      <c r="F49" s="423">
        <f>COUNTIFS($D$188:$D$201,9,$F$188:$F$201,"Хийгдээгүй",$C$188:$C$201,9)</f>
        <v>0</v>
      </c>
      <c r="G49" s="423">
        <f>COUNTIFS($D$213:$D$228,9,$F$213:$F$228,"Хийгдээгүй",$C$213:$C$228,9)</f>
        <v>0</v>
      </c>
      <c r="H49" s="423">
        <f>COUNTIFS($D$241:$D$254,9,$F$241:$F$254,"Хийгдээгүй",$C$241:$C$254,9)</f>
        <v>0</v>
      </c>
      <c r="I49" s="433">
        <f t="shared" si="1"/>
        <v>3</v>
      </c>
    </row>
    <row r="50" spans="1:9" ht="13.5" customHeight="1">
      <c r="A50" s="420" t="s">
        <v>1084</v>
      </c>
      <c r="B50" s="423">
        <f>COUNTIFS($F$69:$F$88,"Дууссан",$C$69:$C$88,9)</f>
        <v>9</v>
      </c>
      <c r="C50" s="423">
        <f>COUNTIFS($F$101:$F$126,"Дууссан",$C$101:$C$126,9)</f>
        <v>21</v>
      </c>
      <c r="D50" s="423">
        <f>COUNTIFS($F$138:$F$148,"Дууссан",$C$138:$C$148,9)</f>
        <v>0</v>
      </c>
      <c r="E50" s="423">
        <f>COUNTIFS($F$163:$F$174,"Дууссан",$C$163:$C$174,9)</f>
        <v>9</v>
      </c>
      <c r="F50" s="423">
        <f>COUNTIFS($F$188:$F$201,"Дууссан",$C$188:$C$201,9)</f>
        <v>9</v>
      </c>
      <c r="G50" s="423">
        <f>COUNTIFS($F$213:$F$228,"Дууссан",$C$213:$C$228,9)</f>
        <v>0</v>
      </c>
      <c r="H50" s="423">
        <f>COUNTIFS($F$241:$F$254,"Дууссан",$C$241:$C$254,9)</f>
        <v>0</v>
      </c>
      <c r="I50" s="433">
        <f t="shared" si="1"/>
        <v>48</v>
      </c>
    </row>
    <row r="51" spans="1:9" ht="13.5" customHeight="1">
      <c r="A51" s="420" t="s">
        <v>1085</v>
      </c>
      <c r="B51" s="423">
        <f>COUNTIFS($G$69:$G$88,"Блокийн*",$C$69:$C$88,9)</f>
        <v>0</v>
      </c>
      <c r="C51" s="423">
        <f>COUNTIFS($G$101:$G$126,"Блокийн*",$C$101:$C$126,9)</f>
        <v>0</v>
      </c>
      <c r="D51" s="423">
        <f>COUNTIFS($G$138:$G$148,"Блокийн*",$C$138:$C$148,9)</f>
        <v>0</v>
      </c>
      <c r="E51" s="423">
        <f>COUNTIFS($G$163:$G$174,"Блокийн*",$C$163:$C$174,9)</f>
        <v>0</v>
      </c>
      <c r="F51" s="423">
        <f>COUNTIFS($G$188:$G$201,"Блокийн*",$C$188:$C$201,9)</f>
        <v>3</v>
      </c>
      <c r="G51" s="423">
        <f>COUNTIFS($G$213:$G$228,"Блокийн*",$C$213:$C$228,9)</f>
        <v>16</v>
      </c>
      <c r="H51" s="423">
        <f>COUNTIFS($G$241:$G$254,"Блокийн*",$C$241:$C$254,9)</f>
        <v>5</v>
      </c>
      <c r="I51" s="433">
        <f t="shared" si="1"/>
        <v>24</v>
      </c>
    </row>
    <row r="52" spans="1:9" ht="13.5" customHeight="1">
      <c r="A52" s="422" t="s">
        <v>1050</v>
      </c>
      <c r="B52" s="425">
        <f t="shared" ref="B52:I52" si="2">SUM(B39:B51)</f>
        <v>12</v>
      </c>
      <c r="C52" s="425">
        <f t="shared" si="2"/>
        <v>22</v>
      </c>
      <c r="D52" s="425">
        <f t="shared" si="2"/>
        <v>11</v>
      </c>
      <c r="E52" s="425">
        <f t="shared" si="2"/>
        <v>12</v>
      </c>
      <c r="F52" s="425">
        <f t="shared" si="2"/>
        <v>14</v>
      </c>
      <c r="G52" s="425">
        <f t="shared" si="2"/>
        <v>16</v>
      </c>
      <c r="H52" s="425">
        <f t="shared" si="2"/>
        <v>6</v>
      </c>
      <c r="I52" s="425">
        <f t="shared" si="2"/>
        <v>93</v>
      </c>
    </row>
    <row r="53" spans="1:9" ht="13.5" customHeight="1"/>
    <row r="54" spans="1:9" ht="13.5" customHeight="1">
      <c r="A54" s="418" t="s">
        <v>1087</v>
      </c>
    </row>
    <row r="55" spans="1:9" ht="13.5" customHeight="1">
      <c r="A55" s="417" t="s">
        <v>1050</v>
      </c>
      <c r="B55" s="417">
        <f>COUNTA(A69:A88)</f>
        <v>20</v>
      </c>
    </row>
    <row r="56" spans="1:9" ht="13.5" customHeight="1"/>
    <row r="57" spans="1:9" ht="30" customHeight="1">
      <c r="A57" s="419" t="s">
        <v>1088</v>
      </c>
      <c r="B57" s="419" t="s">
        <v>1089</v>
      </c>
      <c r="C57" s="419" t="s">
        <v>1090</v>
      </c>
      <c r="D57" s="419" t="s">
        <v>1091</v>
      </c>
      <c r="E57" s="419" t="s">
        <v>1092</v>
      </c>
    </row>
    <row r="58" spans="1:9" ht="13.5" customHeight="1">
      <c r="A58" s="420" t="s">
        <v>1084</v>
      </c>
      <c r="B58" s="423">
        <f t="shared" ref="B58:B64" si="3">COUNTIFS($G$69:$G$88,$A58)</f>
        <v>14</v>
      </c>
      <c r="C58" s="423">
        <f t="shared" ref="C58:C64" si="4">COUNTIFS($G$69:$G$88,$A58,$C$69:$C$88,9)</f>
        <v>9</v>
      </c>
      <c r="D58" s="423">
        <f t="shared" ref="D58:D64" si="5">COUNTIFS($G$69:$G$88,$A58,$C$69:$C$88,12)</f>
        <v>5</v>
      </c>
      <c r="E58" s="424">
        <f t="shared" ref="E58:E64" si="6">B58/$B$55</f>
        <v>0.7</v>
      </c>
    </row>
    <row r="59" spans="1:9" ht="13.5" customHeight="1">
      <c r="A59" s="420" t="s">
        <v>1093</v>
      </c>
      <c r="B59" s="423">
        <f t="shared" si="3"/>
        <v>1</v>
      </c>
      <c r="C59" s="423">
        <f t="shared" si="4"/>
        <v>0</v>
      </c>
      <c r="D59" s="423">
        <f t="shared" si="5"/>
        <v>1</v>
      </c>
      <c r="E59" s="424">
        <f t="shared" si="6"/>
        <v>0.05</v>
      </c>
    </row>
    <row r="60" spans="1:9" ht="13.5" customHeight="1">
      <c r="A60" s="420" t="s">
        <v>1094</v>
      </c>
      <c r="B60" s="423">
        <f t="shared" si="3"/>
        <v>1</v>
      </c>
      <c r="C60" s="423">
        <f t="shared" si="4"/>
        <v>0</v>
      </c>
      <c r="D60" s="423">
        <f t="shared" si="5"/>
        <v>1</v>
      </c>
      <c r="E60" s="424">
        <f t="shared" si="6"/>
        <v>0.05</v>
      </c>
    </row>
    <row r="61" spans="1:9" ht="13.5" customHeight="1">
      <c r="A61" s="420" t="s">
        <v>1095</v>
      </c>
      <c r="B61" s="423">
        <f t="shared" si="3"/>
        <v>1</v>
      </c>
      <c r="C61" s="423">
        <f t="shared" si="4"/>
        <v>1</v>
      </c>
      <c r="D61" s="423">
        <f t="shared" si="5"/>
        <v>0</v>
      </c>
      <c r="E61" s="424">
        <f t="shared" si="6"/>
        <v>0.05</v>
      </c>
    </row>
    <row r="62" spans="1:9" ht="13.5" customHeight="1">
      <c r="A62" s="420" t="s">
        <v>1096</v>
      </c>
      <c r="B62" s="423">
        <f t="shared" si="3"/>
        <v>1</v>
      </c>
      <c r="C62" s="423">
        <f t="shared" si="4"/>
        <v>0</v>
      </c>
      <c r="D62" s="423">
        <f t="shared" si="5"/>
        <v>1</v>
      </c>
      <c r="E62" s="424">
        <f t="shared" si="6"/>
        <v>0.05</v>
      </c>
    </row>
    <row r="63" spans="1:9" ht="13.5" customHeight="1">
      <c r="A63" s="420" t="s">
        <v>1097</v>
      </c>
      <c r="B63" s="423">
        <f t="shared" si="3"/>
        <v>1</v>
      </c>
      <c r="C63" s="423">
        <f t="shared" si="4"/>
        <v>1</v>
      </c>
      <c r="D63" s="423">
        <f t="shared" si="5"/>
        <v>0</v>
      </c>
      <c r="E63" s="424">
        <f t="shared" si="6"/>
        <v>0.05</v>
      </c>
    </row>
    <row r="64" spans="1:9" ht="13.5" customHeight="1">
      <c r="A64" s="420" t="s">
        <v>1098</v>
      </c>
      <c r="B64" s="423">
        <f t="shared" si="3"/>
        <v>1</v>
      </c>
      <c r="C64" s="423">
        <f t="shared" si="4"/>
        <v>1</v>
      </c>
      <c r="D64" s="423">
        <f t="shared" si="5"/>
        <v>0</v>
      </c>
      <c r="E64" s="424">
        <f t="shared" si="6"/>
        <v>0.05</v>
      </c>
    </row>
    <row r="65" spans="1:9" ht="13.5" customHeight="1">
      <c r="A65" s="422" t="s">
        <v>1099</v>
      </c>
      <c r="B65" s="425">
        <f>SUM(B58:B64)</f>
        <v>20</v>
      </c>
      <c r="C65" s="425">
        <f>SUM(C58:C64)</f>
        <v>12</v>
      </c>
      <c r="D65" s="425">
        <f>SUM(D58:D64)</f>
        <v>8</v>
      </c>
      <c r="E65" s="426">
        <f>SUM(E58:E64)</f>
        <v>1.0000000000000002</v>
      </c>
    </row>
    <row r="66" spans="1:9" ht="13.5" customHeight="1"/>
    <row r="67" spans="1:9" ht="13.5" customHeight="1">
      <c r="A67" s="417" t="s">
        <v>1100</v>
      </c>
    </row>
    <row r="68" spans="1:9" ht="42" customHeight="1">
      <c r="A68" s="419" t="s">
        <v>1101</v>
      </c>
      <c r="B68" s="419" t="s">
        <v>1102</v>
      </c>
      <c r="C68" s="419" t="s">
        <v>1103</v>
      </c>
      <c r="D68" s="419" t="s">
        <v>1104</v>
      </c>
      <c r="E68" s="419" t="s">
        <v>1105</v>
      </c>
      <c r="F68" s="419" t="s">
        <v>1106</v>
      </c>
      <c r="G68" s="419" t="s">
        <v>1107</v>
      </c>
      <c r="H68" s="419" t="s">
        <v>1108</v>
      </c>
      <c r="I68" s="419" t="s">
        <v>1109</v>
      </c>
    </row>
    <row r="69" spans="1:9" ht="13.5" customHeight="1">
      <c r="A69" s="421" t="s">
        <v>230</v>
      </c>
      <c r="B69" s="423" t="s">
        <v>1110</v>
      </c>
      <c r="C69" s="423">
        <v>9</v>
      </c>
      <c r="D69" s="423">
        <v>9</v>
      </c>
      <c r="E69" s="423">
        <v>9</v>
      </c>
      <c r="F69" s="423" t="s">
        <v>1111</v>
      </c>
      <c r="G69" s="420" t="s">
        <v>1084</v>
      </c>
      <c r="H69" s="423"/>
      <c r="I69" s="423">
        <f t="shared" ref="I69:I88" si="7">IF(ISNUMBER(E69),C69-E69,"-")</f>
        <v>0</v>
      </c>
    </row>
    <row r="70" spans="1:9" ht="13.5" customHeight="1">
      <c r="A70" s="421" t="s">
        <v>233</v>
      </c>
      <c r="B70" s="423" t="s">
        <v>1110</v>
      </c>
      <c r="C70" s="423">
        <v>9</v>
      </c>
      <c r="D70" s="423">
        <v>9</v>
      </c>
      <c r="E70" s="423">
        <v>9</v>
      </c>
      <c r="F70" s="423" t="s">
        <v>1111</v>
      </c>
      <c r="G70" s="420" t="s">
        <v>1084</v>
      </c>
      <c r="H70" s="423"/>
      <c r="I70" s="423">
        <f t="shared" si="7"/>
        <v>0</v>
      </c>
    </row>
    <row r="71" spans="1:9" ht="13.5" customHeight="1">
      <c r="A71" s="421" t="s">
        <v>235</v>
      </c>
      <c r="B71" s="423" t="s">
        <v>1110</v>
      </c>
      <c r="C71" s="423">
        <v>9</v>
      </c>
      <c r="D71" s="423">
        <v>9</v>
      </c>
      <c r="E71" s="423">
        <v>9</v>
      </c>
      <c r="F71" s="423" t="s">
        <v>1111</v>
      </c>
      <c r="G71" s="420" t="s">
        <v>1084</v>
      </c>
      <c r="H71" s="423"/>
      <c r="I71" s="423">
        <f t="shared" si="7"/>
        <v>0</v>
      </c>
    </row>
    <row r="72" spans="1:9" ht="13.5" customHeight="1">
      <c r="A72" s="421" t="s">
        <v>237</v>
      </c>
      <c r="B72" s="423" t="s">
        <v>1110</v>
      </c>
      <c r="C72" s="423">
        <v>9</v>
      </c>
      <c r="D72" s="423">
        <v>9</v>
      </c>
      <c r="E72" s="423">
        <v>9</v>
      </c>
      <c r="F72" s="423" t="s">
        <v>1111</v>
      </c>
      <c r="G72" s="420" t="s">
        <v>1084</v>
      </c>
      <c r="H72" s="423"/>
      <c r="I72" s="423">
        <f t="shared" si="7"/>
        <v>0</v>
      </c>
    </row>
    <row r="73" spans="1:9" ht="13.5" customHeight="1">
      <c r="A73" s="421" t="s">
        <v>239</v>
      </c>
      <c r="B73" s="423" t="s">
        <v>1110</v>
      </c>
      <c r="C73" s="423">
        <v>9</v>
      </c>
      <c r="D73" s="423">
        <v>9</v>
      </c>
      <c r="E73" s="423">
        <v>9</v>
      </c>
      <c r="F73" s="423" t="s">
        <v>1112</v>
      </c>
      <c r="G73" s="420" t="s">
        <v>1095</v>
      </c>
      <c r="H73" s="423"/>
      <c r="I73" s="423">
        <f t="shared" si="7"/>
        <v>0</v>
      </c>
    </row>
    <row r="74" spans="1:9" ht="13.5" customHeight="1">
      <c r="A74" s="421" t="s">
        <v>241</v>
      </c>
      <c r="B74" s="423" t="s">
        <v>1110</v>
      </c>
      <c r="C74" s="423">
        <v>9</v>
      </c>
      <c r="D74" s="423">
        <v>9</v>
      </c>
      <c r="E74" s="423">
        <v>9</v>
      </c>
      <c r="F74" s="423" t="s">
        <v>1111</v>
      </c>
      <c r="G74" s="420" t="s">
        <v>1084</v>
      </c>
      <c r="H74" s="423"/>
      <c r="I74" s="423">
        <f t="shared" si="7"/>
        <v>0</v>
      </c>
    </row>
    <row r="75" spans="1:9" ht="13.5" customHeight="1">
      <c r="A75" s="421" t="s">
        <v>243</v>
      </c>
      <c r="B75" s="423" t="s">
        <v>1110</v>
      </c>
      <c r="C75" s="423">
        <v>9</v>
      </c>
      <c r="D75" s="423">
        <v>1</v>
      </c>
      <c r="E75" s="423">
        <v>1</v>
      </c>
      <c r="F75" s="423" t="s">
        <v>1112</v>
      </c>
      <c r="G75" s="420" t="s">
        <v>1097</v>
      </c>
      <c r="H75" s="423"/>
      <c r="I75" s="423">
        <f t="shared" si="7"/>
        <v>8</v>
      </c>
    </row>
    <row r="76" spans="1:9" ht="13.5" customHeight="1">
      <c r="A76" s="421" t="s">
        <v>245</v>
      </c>
      <c r="B76" s="423" t="s">
        <v>1110</v>
      </c>
      <c r="C76" s="423">
        <v>9</v>
      </c>
      <c r="D76" s="423">
        <v>0</v>
      </c>
      <c r="E76" s="423">
        <v>0</v>
      </c>
      <c r="F76" s="423" t="s">
        <v>1112</v>
      </c>
      <c r="G76" s="420" t="s">
        <v>1098</v>
      </c>
      <c r="H76" s="423"/>
      <c r="I76" s="423">
        <f t="shared" si="7"/>
        <v>9</v>
      </c>
    </row>
    <row r="77" spans="1:9" ht="13.5" customHeight="1">
      <c r="A77" s="421" t="s">
        <v>247</v>
      </c>
      <c r="B77" s="423" t="s">
        <v>1110</v>
      </c>
      <c r="C77" s="423">
        <v>9</v>
      </c>
      <c r="D77" s="423">
        <v>9</v>
      </c>
      <c r="E77" s="423">
        <v>9</v>
      </c>
      <c r="F77" s="423" t="s">
        <v>1111</v>
      </c>
      <c r="G77" s="420" t="s">
        <v>1084</v>
      </c>
      <c r="H77" s="423"/>
      <c r="I77" s="423">
        <f t="shared" si="7"/>
        <v>0</v>
      </c>
    </row>
    <row r="78" spans="1:9" ht="13.5" customHeight="1">
      <c r="A78" s="421" t="s">
        <v>249</v>
      </c>
      <c r="B78" s="423" t="s">
        <v>1110</v>
      </c>
      <c r="C78" s="423">
        <v>9</v>
      </c>
      <c r="D78" s="423">
        <v>9</v>
      </c>
      <c r="E78" s="423">
        <v>9</v>
      </c>
      <c r="F78" s="423" t="s">
        <v>1111</v>
      </c>
      <c r="G78" s="420" t="s">
        <v>1084</v>
      </c>
      <c r="H78" s="423"/>
      <c r="I78" s="423">
        <f t="shared" si="7"/>
        <v>0</v>
      </c>
    </row>
    <row r="79" spans="1:9" ht="13.5" customHeight="1">
      <c r="A79" s="421" t="s">
        <v>251</v>
      </c>
      <c r="B79" s="423" t="s">
        <v>1110</v>
      </c>
      <c r="C79" s="423">
        <v>9</v>
      </c>
      <c r="D79" s="423">
        <v>9</v>
      </c>
      <c r="E79" s="423">
        <v>9</v>
      </c>
      <c r="F79" s="423" t="s">
        <v>1111</v>
      </c>
      <c r="G79" s="420" t="s">
        <v>1084</v>
      </c>
      <c r="H79" s="423"/>
      <c r="I79" s="423">
        <f t="shared" si="7"/>
        <v>0</v>
      </c>
    </row>
    <row r="80" spans="1:9" ht="13.5" customHeight="1">
      <c r="A80" s="421" t="s">
        <v>253</v>
      </c>
      <c r="B80" s="423" t="s">
        <v>1110</v>
      </c>
      <c r="C80" s="423">
        <v>9</v>
      </c>
      <c r="D80" s="423">
        <v>9</v>
      </c>
      <c r="E80" s="423">
        <v>9</v>
      </c>
      <c r="F80" s="423" t="s">
        <v>1111</v>
      </c>
      <c r="G80" s="420" t="s">
        <v>1084</v>
      </c>
      <c r="H80" s="423"/>
      <c r="I80" s="423">
        <f t="shared" si="7"/>
        <v>0</v>
      </c>
    </row>
    <row r="81" spans="1:9" ht="13.5" customHeight="1">
      <c r="A81" s="421" t="s">
        <v>255</v>
      </c>
      <c r="B81" s="423" t="s">
        <v>1113</v>
      </c>
      <c r="C81" s="423">
        <v>12</v>
      </c>
      <c r="D81" s="423">
        <v>12</v>
      </c>
      <c r="E81" s="423">
        <v>12</v>
      </c>
      <c r="F81" s="423" t="s">
        <v>1111</v>
      </c>
      <c r="G81" s="420" t="s">
        <v>1084</v>
      </c>
      <c r="H81" s="423"/>
      <c r="I81" s="423">
        <f t="shared" si="7"/>
        <v>0</v>
      </c>
    </row>
    <row r="82" spans="1:9" ht="13.5" customHeight="1">
      <c r="A82" s="421" t="s">
        <v>258</v>
      </c>
      <c r="B82" s="423" t="s">
        <v>1113</v>
      </c>
      <c r="C82" s="423">
        <v>12</v>
      </c>
      <c r="D82" s="423">
        <v>11</v>
      </c>
      <c r="E82" s="423">
        <v>11</v>
      </c>
      <c r="F82" s="423" t="s">
        <v>1112</v>
      </c>
      <c r="G82" s="420" t="s">
        <v>1093</v>
      </c>
      <c r="H82" s="423"/>
      <c r="I82" s="423">
        <f t="shared" si="7"/>
        <v>1</v>
      </c>
    </row>
    <row r="83" spans="1:9" ht="13.5" customHeight="1">
      <c r="A83" s="421" t="s">
        <v>260</v>
      </c>
      <c r="B83" s="423" t="s">
        <v>1113</v>
      </c>
      <c r="C83" s="423">
        <v>12</v>
      </c>
      <c r="D83" s="423">
        <v>6</v>
      </c>
      <c r="E83" s="423">
        <v>6</v>
      </c>
      <c r="F83" s="423" t="s">
        <v>1112</v>
      </c>
      <c r="G83" s="420" t="s">
        <v>1096</v>
      </c>
      <c r="H83" s="423"/>
      <c r="I83" s="423">
        <f t="shared" si="7"/>
        <v>6</v>
      </c>
    </row>
    <row r="84" spans="1:9" ht="13.5" customHeight="1">
      <c r="A84" s="421" t="s">
        <v>262</v>
      </c>
      <c r="B84" s="423" t="s">
        <v>1113</v>
      </c>
      <c r="C84" s="423">
        <v>12</v>
      </c>
      <c r="D84" s="423">
        <v>10</v>
      </c>
      <c r="E84" s="423">
        <v>10</v>
      </c>
      <c r="F84" s="423" t="s">
        <v>1112</v>
      </c>
      <c r="G84" s="420" t="s">
        <v>1094</v>
      </c>
      <c r="H84" s="423"/>
      <c r="I84" s="423">
        <f t="shared" si="7"/>
        <v>2</v>
      </c>
    </row>
    <row r="85" spans="1:9" ht="13.5" customHeight="1">
      <c r="A85" s="421" t="s">
        <v>264</v>
      </c>
      <c r="B85" s="423" t="s">
        <v>1113</v>
      </c>
      <c r="C85" s="423">
        <v>12</v>
      </c>
      <c r="D85" s="423">
        <v>12</v>
      </c>
      <c r="E85" s="423">
        <v>12</v>
      </c>
      <c r="F85" s="423" t="s">
        <v>1111</v>
      </c>
      <c r="G85" s="420" t="s">
        <v>1084</v>
      </c>
      <c r="H85" s="423"/>
      <c r="I85" s="423">
        <f t="shared" si="7"/>
        <v>0</v>
      </c>
    </row>
    <row r="86" spans="1:9" ht="13.5" customHeight="1">
      <c r="A86" s="421" t="s">
        <v>266</v>
      </c>
      <c r="B86" s="423" t="s">
        <v>1113</v>
      </c>
      <c r="C86" s="423">
        <v>12</v>
      </c>
      <c r="D86" s="423">
        <v>12</v>
      </c>
      <c r="E86" s="423">
        <v>12</v>
      </c>
      <c r="F86" s="423" t="s">
        <v>1111</v>
      </c>
      <c r="G86" s="420" t="s">
        <v>1084</v>
      </c>
      <c r="H86" s="423"/>
      <c r="I86" s="423">
        <f t="shared" si="7"/>
        <v>0</v>
      </c>
    </row>
    <row r="87" spans="1:9" ht="13.5" customHeight="1">
      <c r="A87" s="421" t="s">
        <v>268</v>
      </c>
      <c r="B87" s="423" t="s">
        <v>1113</v>
      </c>
      <c r="C87" s="423">
        <v>12</v>
      </c>
      <c r="D87" s="423">
        <v>12</v>
      </c>
      <c r="E87" s="423">
        <v>12</v>
      </c>
      <c r="F87" s="423" t="s">
        <v>1111</v>
      </c>
      <c r="G87" s="420" t="s">
        <v>1084</v>
      </c>
      <c r="H87" s="423"/>
      <c r="I87" s="423">
        <f t="shared" si="7"/>
        <v>0</v>
      </c>
    </row>
    <row r="88" spans="1:9" ht="13.5" customHeight="1">
      <c r="A88" s="421" t="s">
        <v>270</v>
      </c>
      <c r="B88" s="423" t="s">
        <v>1113</v>
      </c>
      <c r="C88" s="423">
        <v>12</v>
      </c>
      <c r="D88" s="423">
        <v>12</v>
      </c>
      <c r="E88" s="423">
        <v>12</v>
      </c>
      <c r="F88" s="423" t="s">
        <v>1111</v>
      </c>
      <c r="G88" s="420" t="s">
        <v>1084</v>
      </c>
      <c r="H88" s="423"/>
      <c r="I88" s="423">
        <f t="shared" si="7"/>
        <v>0</v>
      </c>
    </row>
    <row r="89" spans="1:9" ht="13.5" customHeight="1"/>
    <row r="90" spans="1:9" ht="13.5" customHeight="1"/>
    <row r="91" spans="1:9" ht="13.5" customHeight="1">
      <c r="A91" s="418" t="s">
        <v>1114</v>
      </c>
    </row>
    <row r="92" spans="1:9" ht="13.5" customHeight="1">
      <c r="A92" s="417" t="s">
        <v>1050</v>
      </c>
      <c r="B92" s="417">
        <f>COUNTA(A101:A126)</f>
        <v>26</v>
      </c>
    </row>
    <row r="93" spans="1:9" ht="13.5" customHeight="1"/>
    <row r="94" spans="1:9" ht="30" customHeight="1">
      <c r="A94" s="419" t="s">
        <v>1088</v>
      </c>
      <c r="B94" s="419" t="s">
        <v>1089</v>
      </c>
      <c r="C94" s="419" t="s">
        <v>1090</v>
      </c>
      <c r="D94" s="419" t="s">
        <v>1091</v>
      </c>
      <c r="E94" s="419" t="s">
        <v>1092</v>
      </c>
    </row>
    <row r="95" spans="1:9" ht="13.5" customHeight="1">
      <c r="A95" s="420" t="s">
        <v>1084</v>
      </c>
      <c r="B95" s="423">
        <f>COUNTIFS($G$101:$G$126,$A95)</f>
        <v>25</v>
      </c>
      <c r="C95" s="423">
        <f>COUNTIFS($G$101:$G$126,$A95,$C$101:$C$126,9)</f>
        <v>21</v>
      </c>
      <c r="D95" s="423">
        <f>COUNTIFS($G$101:$G$126,$A95,$C$101:$C$126,12)</f>
        <v>4</v>
      </c>
      <c r="E95" s="424">
        <f>B95/$B$92</f>
        <v>0.96153846153846156</v>
      </c>
    </row>
    <row r="96" spans="1:9" ht="13.5" customHeight="1">
      <c r="A96" s="420" t="s">
        <v>1095</v>
      </c>
      <c r="B96" s="423">
        <f>COUNTIFS($G$101:$G$126,$A96)</f>
        <v>1</v>
      </c>
      <c r="C96" s="423">
        <f>COUNTIFS($G$101:$G$126,$A96,$C$101:$C$126,9)</f>
        <v>1</v>
      </c>
      <c r="D96" s="423">
        <f>COUNTIFS($G$101:$G$126,$A96,$C$101:$C$126,12)</f>
        <v>0</v>
      </c>
      <c r="E96" s="424">
        <f>B96/$B$92</f>
        <v>3.8461538461538464E-2</v>
      </c>
    </row>
    <row r="97" spans="1:9" ht="13.5" customHeight="1">
      <c r="A97" s="422" t="s">
        <v>1099</v>
      </c>
      <c r="B97" s="425">
        <f>SUM(B95:B96)</f>
        <v>26</v>
      </c>
      <c r="C97" s="425">
        <f>SUM(C95:C96)</f>
        <v>22</v>
      </c>
      <c r="D97" s="425">
        <f>SUM(D95:D96)</f>
        <v>4</v>
      </c>
      <c r="E97" s="426">
        <f>SUM(E95:E96)</f>
        <v>1</v>
      </c>
    </row>
    <row r="98" spans="1:9" ht="13.5" customHeight="1"/>
    <row r="99" spans="1:9" ht="13.5" customHeight="1">
      <c r="A99" s="417" t="s">
        <v>1115</v>
      </c>
    </row>
    <row r="100" spans="1:9" ht="42" customHeight="1">
      <c r="A100" s="419" t="s">
        <v>1101</v>
      </c>
      <c r="B100" s="419" t="s">
        <v>1102</v>
      </c>
      <c r="C100" s="419" t="s">
        <v>1103</v>
      </c>
      <c r="D100" s="419" t="s">
        <v>1104</v>
      </c>
      <c r="E100" s="419" t="s">
        <v>1105</v>
      </c>
      <c r="F100" s="419" t="s">
        <v>1106</v>
      </c>
      <c r="G100" s="419" t="s">
        <v>1107</v>
      </c>
      <c r="H100" s="419" t="s">
        <v>1108</v>
      </c>
      <c r="I100" s="419" t="s">
        <v>1109</v>
      </c>
    </row>
    <row r="101" spans="1:9" ht="13.5" customHeight="1">
      <c r="A101" s="421" t="s">
        <v>230</v>
      </c>
      <c r="B101" s="423" t="s">
        <v>1110</v>
      </c>
      <c r="C101" s="423">
        <v>9</v>
      </c>
      <c r="D101" s="423">
        <v>9</v>
      </c>
      <c r="E101" s="423">
        <v>9</v>
      </c>
      <c r="F101" s="423" t="s">
        <v>1111</v>
      </c>
      <c r="G101" s="420" t="s">
        <v>1084</v>
      </c>
      <c r="H101" s="423"/>
      <c r="I101" s="423">
        <f t="shared" ref="I101:I126" si="8">IF(ISNUMBER(E101),C101-E101,"-")</f>
        <v>0</v>
      </c>
    </row>
    <row r="102" spans="1:9" ht="13.5" customHeight="1">
      <c r="A102" s="421" t="s">
        <v>233</v>
      </c>
      <c r="B102" s="423" t="s">
        <v>1110</v>
      </c>
      <c r="C102" s="423">
        <v>9</v>
      </c>
      <c r="D102" s="423">
        <v>9</v>
      </c>
      <c r="E102" s="423">
        <v>9</v>
      </c>
      <c r="F102" s="423" t="s">
        <v>1111</v>
      </c>
      <c r="G102" s="420" t="s">
        <v>1084</v>
      </c>
      <c r="H102" s="423"/>
      <c r="I102" s="423">
        <f t="shared" si="8"/>
        <v>0</v>
      </c>
    </row>
    <row r="103" spans="1:9" ht="13.5" customHeight="1">
      <c r="A103" s="421" t="s">
        <v>235</v>
      </c>
      <c r="B103" s="423" t="s">
        <v>1110</v>
      </c>
      <c r="C103" s="423">
        <v>9</v>
      </c>
      <c r="D103" s="423">
        <v>9</v>
      </c>
      <c r="E103" s="423">
        <v>9</v>
      </c>
      <c r="F103" s="423" t="s">
        <v>1111</v>
      </c>
      <c r="G103" s="420" t="s">
        <v>1084</v>
      </c>
      <c r="H103" s="423"/>
      <c r="I103" s="423">
        <f t="shared" si="8"/>
        <v>0</v>
      </c>
    </row>
    <row r="104" spans="1:9" ht="13.5" customHeight="1">
      <c r="A104" s="421" t="s">
        <v>237</v>
      </c>
      <c r="B104" s="423" t="s">
        <v>1110</v>
      </c>
      <c r="C104" s="423">
        <v>9</v>
      </c>
      <c r="D104" s="423">
        <v>9</v>
      </c>
      <c r="E104" s="423">
        <v>9</v>
      </c>
      <c r="F104" s="423" t="s">
        <v>1111</v>
      </c>
      <c r="G104" s="420" t="s">
        <v>1084</v>
      </c>
      <c r="H104" s="423"/>
      <c r="I104" s="423">
        <f t="shared" si="8"/>
        <v>0</v>
      </c>
    </row>
    <row r="105" spans="1:9" ht="13.5" customHeight="1">
      <c r="A105" s="421" t="s">
        <v>239</v>
      </c>
      <c r="B105" s="423" t="s">
        <v>1110</v>
      </c>
      <c r="C105" s="423">
        <v>9</v>
      </c>
      <c r="D105" s="423">
        <v>9</v>
      </c>
      <c r="E105" s="423">
        <v>9</v>
      </c>
      <c r="F105" s="423" t="s">
        <v>1111</v>
      </c>
      <c r="G105" s="420" t="s">
        <v>1084</v>
      </c>
      <c r="H105" s="423"/>
      <c r="I105" s="423">
        <f t="shared" si="8"/>
        <v>0</v>
      </c>
    </row>
    <row r="106" spans="1:9" ht="13.5" customHeight="1">
      <c r="A106" s="421" t="s">
        <v>241</v>
      </c>
      <c r="B106" s="423" t="s">
        <v>1110</v>
      </c>
      <c r="C106" s="423">
        <v>9</v>
      </c>
      <c r="D106" s="423">
        <v>9</v>
      </c>
      <c r="E106" s="423">
        <v>9</v>
      </c>
      <c r="F106" s="423" t="s">
        <v>1111</v>
      </c>
      <c r="G106" s="420" t="s">
        <v>1084</v>
      </c>
      <c r="H106" s="423"/>
      <c r="I106" s="423">
        <f t="shared" si="8"/>
        <v>0</v>
      </c>
    </row>
    <row r="107" spans="1:9" ht="13.5" customHeight="1">
      <c r="A107" s="421" t="s">
        <v>243</v>
      </c>
      <c r="B107" s="423" t="s">
        <v>1110</v>
      </c>
      <c r="C107" s="423">
        <v>9</v>
      </c>
      <c r="D107" s="423">
        <v>9</v>
      </c>
      <c r="E107" s="423">
        <v>9</v>
      </c>
      <c r="F107" s="423" t="s">
        <v>1111</v>
      </c>
      <c r="G107" s="420" t="s">
        <v>1084</v>
      </c>
      <c r="H107" s="423"/>
      <c r="I107" s="423">
        <f t="shared" si="8"/>
        <v>0</v>
      </c>
    </row>
    <row r="108" spans="1:9" ht="13.5" customHeight="1">
      <c r="A108" s="421" t="s">
        <v>245</v>
      </c>
      <c r="B108" s="423" t="s">
        <v>1110</v>
      </c>
      <c r="C108" s="423">
        <v>9</v>
      </c>
      <c r="D108" s="423">
        <v>9</v>
      </c>
      <c r="E108" s="423">
        <v>9</v>
      </c>
      <c r="F108" s="423" t="s">
        <v>1111</v>
      </c>
      <c r="G108" s="420" t="s">
        <v>1084</v>
      </c>
      <c r="H108" s="423"/>
      <c r="I108" s="423">
        <f t="shared" si="8"/>
        <v>0</v>
      </c>
    </row>
    <row r="109" spans="1:9" ht="13.5" customHeight="1">
      <c r="A109" s="421" t="s">
        <v>247</v>
      </c>
      <c r="B109" s="423" t="s">
        <v>1110</v>
      </c>
      <c r="C109" s="423">
        <v>9</v>
      </c>
      <c r="D109" s="423">
        <v>9</v>
      </c>
      <c r="E109" s="423">
        <v>9</v>
      </c>
      <c r="F109" s="423" t="s">
        <v>1111</v>
      </c>
      <c r="G109" s="420" t="s">
        <v>1084</v>
      </c>
      <c r="H109" s="423"/>
      <c r="I109" s="423">
        <f t="shared" si="8"/>
        <v>0</v>
      </c>
    </row>
    <row r="110" spans="1:9" ht="13.5" customHeight="1">
      <c r="A110" s="421" t="s">
        <v>249</v>
      </c>
      <c r="B110" s="423" t="s">
        <v>1110</v>
      </c>
      <c r="C110" s="423">
        <v>9</v>
      </c>
      <c r="D110" s="423">
        <v>9</v>
      </c>
      <c r="E110" s="423">
        <v>9</v>
      </c>
      <c r="F110" s="423" t="s">
        <v>1111</v>
      </c>
      <c r="G110" s="420" t="s">
        <v>1084</v>
      </c>
      <c r="H110" s="423"/>
      <c r="I110" s="423">
        <f t="shared" si="8"/>
        <v>0</v>
      </c>
    </row>
    <row r="111" spans="1:9" ht="13.5" customHeight="1">
      <c r="A111" s="421" t="s">
        <v>251</v>
      </c>
      <c r="B111" s="423" t="s">
        <v>1110</v>
      </c>
      <c r="C111" s="423">
        <v>9</v>
      </c>
      <c r="D111" s="423">
        <v>9</v>
      </c>
      <c r="E111" s="423">
        <v>9</v>
      </c>
      <c r="F111" s="423" t="s">
        <v>1111</v>
      </c>
      <c r="G111" s="420" t="s">
        <v>1084</v>
      </c>
      <c r="H111" s="423"/>
      <c r="I111" s="423">
        <f t="shared" si="8"/>
        <v>0</v>
      </c>
    </row>
    <row r="112" spans="1:9" ht="13.5" customHeight="1">
      <c r="A112" s="421" t="s">
        <v>253</v>
      </c>
      <c r="B112" s="423" t="s">
        <v>1110</v>
      </c>
      <c r="C112" s="423">
        <v>9</v>
      </c>
      <c r="D112" s="423">
        <v>9</v>
      </c>
      <c r="E112" s="423">
        <v>9</v>
      </c>
      <c r="F112" s="423" t="s">
        <v>1111</v>
      </c>
      <c r="G112" s="420" t="s">
        <v>1084</v>
      </c>
      <c r="H112" s="423"/>
      <c r="I112" s="423">
        <f t="shared" si="8"/>
        <v>0</v>
      </c>
    </row>
    <row r="113" spans="1:9" ht="13.5" customHeight="1">
      <c r="A113" s="421" t="s">
        <v>285</v>
      </c>
      <c r="B113" s="423" t="s">
        <v>1110</v>
      </c>
      <c r="C113" s="423">
        <v>9</v>
      </c>
      <c r="D113" s="423">
        <v>9</v>
      </c>
      <c r="E113" s="423">
        <v>9</v>
      </c>
      <c r="F113" s="423" t="s">
        <v>1111</v>
      </c>
      <c r="G113" s="420" t="s">
        <v>1084</v>
      </c>
      <c r="H113" s="423"/>
      <c r="I113" s="423">
        <f t="shared" si="8"/>
        <v>0</v>
      </c>
    </row>
    <row r="114" spans="1:9" ht="13.5" customHeight="1">
      <c r="A114" s="421" t="s">
        <v>287</v>
      </c>
      <c r="B114" s="423" t="s">
        <v>1110</v>
      </c>
      <c r="C114" s="423">
        <v>9</v>
      </c>
      <c r="D114" s="423">
        <v>9</v>
      </c>
      <c r="E114" s="423">
        <v>9</v>
      </c>
      <c r="F114" s="423" t="s">
        <v>1111</v>
      </c>
      <c r="G114" s="420" t="s">
        <v>1084</v>
      </c>
      <c r="H114" s="423"/>
      <c r="I114" s="423">
        <f t="shared" si="8"/>
        <v>0</v>
      </c>
    </row>
    <row r="115" spans="1:9" ht="13.5" customHeight="1">
      <c r="A115" s="421" t="s">
        <v>289</v>
      </c>
      <c r="B115" s="423" t="s">
        <v>1110</v>
      </c>
      <c r="C115" s="423">
        <v>9</v>
      </c>
      <c r="D115" s="423">
        <v>9</v>
      </c>
      <c r="E115" s="423">
        <v>9</v>
      </c>
      <c r="F115" s="423" t="s">
        <v>1111</v>
      </c>
      <c r="G115" s="420" t="s">
        <v>1084</v>
      </c>
      <c r="H115" s="423"/>
      <c r="I115" s="423">
        <f t="shared" si="8"/>
        <v>0</v>
      </c>
    </row>
    <row r="116" spans="1:9" ht="13.5" customHeight="1">
      <c r="A116" s="421" t="s">
        <v>291</v>
      </c>
      <c r="B116" s="423" t="s">
        <v>1110</v>
      </c>
      <c r="C116" s="423">
        <v>9</v>
      </c>
      <c r="D116" s="423">
        <v>9</v>
      </c>
      <c r="E116" s="423">
        <v>9</v>
      </c>
      <c r="F116" s="423" t="s">
        <v>1111</v>
      </c>
      <c r="G116" s="420" t="s">
        <v>1084</v>
      </c>
      <c r="H116" s="423"/>
      <c r="I116" s="423">
        <f t="shared" si="8"/>
        <v>0</v>
      </c>
    </row>
    <row r="117" spans="1:9" ht="13.5" customHeight="1">
      <c r="A117" s="421" t="s">
        <v>293</v>
      </c>
      <c r="B117" s="423" t="s">
        <v>1110</v>
      </c>
      <c r="C117" s="423">
        <v>9</v>
      </c>
      <c r="D117" s="423">
        <v>9</v>
      </c>
      <c r="E117" s="423">
        <v>9</v>
      </c>
      <c r="F117" s="423" t="s">
        <v>1112</v>
      </c>
      <c r="G117" s="420" t="s">
        <v>1095</v>
      </c>
      <c r="H117" s="423"/>
      <c r="I117" s="423">
        <f t="shared" si="8"/>
        <v>0</v>
      </c>
    </row>
    <row r="118" spans="1:9" ht="13.5" customHeight="1">
      <c r="A118" s="421" t="s">
        <v>295</v>
      </c>
      <c r="B118" s="423" t="s">
        <v>1110</v>
      </c>
      <c r="C118" s="423">
        <v>9</v>
      </c>
      <c r="D118" s="423">
        <v>9</v>
      </c>
      <c r="E118" s="423">
        <v>9</v>
      </c>
      <c r="F118" s="423" t="s">
        <v>1111</v>
      </c>
      <c r="G118" s="420" t="s">
        <v>1084</v>
      </c>
      <c r="H118" s="423"/>
      <c r="I118" s="423">
        <f t="shared" si="8"/>
        <v>0</v>
      </c>
    </row>
    <row r="119" spans="1:9" ht="13.5" customHeight="1">
      <c r="A119" s="421" t="s">
        <v>297</v>
      </c>
      <c r="B119" s="423" t="s">
        <v>1110</v>
      </c>
      <c r="C119" s="423">
        <v>9</v>
      </c>
      <c r="D119" s="423">
        <v>9</v>
      </c>
      <c r="E119" s="423">
        <v>9</v>
      </c>
      <c r="F119" s="423" t="s">
        <v>1111</v>
      </c>
      <c r="G119" s="420" t="s">
        <v>1084</v>
      </c>
      <c r="H119" s="423"/>
      <c r="I119" s="423">
        <f t="shared" si="8"/>
        <v>0</v>
      </c>
    </row>
    <row r="120" spans="1:9" ht="13.5" customHeight="1">
      <c r="A120" s="421" t="s">
        <v>299</v>
      </c>
      <c r="B120" s="423" t="s">
        <v>1110</v>
      </c>
      <c r="C120" s="423">
        <v>9</v>
      </c>
      <c r="D120" s="423">
        <v>9</v>
      </c>
      <c r="E120" s="423">
        <v>9</v>
      </c>
      <c r="F120" s="423" t="s">
        <v>1111</v>
      </c>
      <c r="G120" s="420" t="s">
        <v>1084</v>
      </c>
      <c r="H120" s="423"/>
      <c r="I120" s="423">
        <f t="shared" si="8"/>
        <v>0</v>
      </c>
    </row>
    <row r="121" spans="1:9" ht="13.5" customHeight="1">
      <c r="A121" s="421" t="s">
        <v>301</v>
      </c>
      <c r="B121" s="423" t="s">
        <v>1110</v>
      </c>
      <c r="C121" s="423">
        <v>9</v>
      </c>
      <c r="D121" s="423">
        <v>9</v>
      </c>
      <c r="E121" s="423">
        <v>9</v>
      </c>
      <c r="F121" s="423" t="s">
        <v>1111</v>
      </c>
      <c r="G121" s="420" t="s">
        <v>1084</v>
      </c>
      <c r="H121" s="423"/>
      <c r="I121" s="423">
        <f t="shared" si="8"/>
        <v>0</v>
      </c>
    </row>
    <row r="122" spans="1:9" ht="13.5" customHeight="1">
      <c r="A122" s="421" t="s">
        <v>303</v>
      </c>
      <c r="B122" s="423" t="s">
        <v>1110</v>
      </c>
      <c r="C122" s="423">
        <v>9</v>
      </c>
      <c r="D122" s="423">
        <v>9</v>
      </c>
      <c r="E122" s="423">
        <v>9</v>
      </c>
      <c r="F122" s="423" t="s">
        <v>1111</v>
      </c>
      <c r="G122" s="420" t="s">
        <v>1084</v>
      </c>
      <c r="H122" s="423"/>
      <c r="I122" s="423">
        <f t="shared" si="8"/>
        <v>0</v>
      </c>
    </row>
    <row r="123" spans="1:9" ht="13.5" customHeight="1">
      <c r="A123" s="421" t="s">
        <v>255</v>
      </c>
      <c r="B123" s="423" t="s">
        <v>1113</v>
      </c>
      <c r="C123" s="423">
        <v>12</v>
      </c>
      <c r="D123" s="423">
        <v>12</v>
      </c>
      <c r="E123" s="423">
        <v>12</v>
      </c>
      <c r="F123" s="423" t="s">
        <v>1111</v>
      </c>
      <c r="G123" s="420" t="s">
        <v>1084</v>
      </c>
      <c r="H123" s="423"/>
      <c r="I123" s="423">
        <f t="shared" si="8"/>
        <v>0</v>
      </c>
    </row>
    <row r="124" spans="1:9" ht="13.5" customHeight="1">
      <c r="A124" s="421" t="s">
        <v>258</v>
      </c>
      <c r="B124" s="423" t="s">
        <v>1113</v>
      </c>
      <c r="C124" s="423">
        <v>12</v>
      </c>
      <c r="D124" s="423">
        <v>12</v>
      </c>
      <c r="E124" s="423">
        <v>12</v>
      </c>
      <c r="F124" s="423" t="s">
        <v>1111</v>
      </c>
      <c r="G124" s="420" t="s">
        <v>1084</v>
      </c>
      <c r="H124" s="423"/>
      <c r="I124" s="423">
        <f t="shared" si="8"/>
        <v>0</v>
      </c>
    </row>
    <row r="125" spans="1:9" ht="13.5" customHeight="1">
      <c r="A125" s="421" t="s">
        <v>260</v>
      </c>
      <c r="B125" s="423" t="s">
        <v>1113</v>
      </c>
      <c r="C125" s="423">
        <v>12</v>
      </c>
      <c r="D125" s="423">
        <v>12</v>
      </c>
      <c r="E125" s="423">
        <v>12</v>
      </c>
      <c r="F125" s="423" t="s">
        <v>1111</v>
      </c>
      <c r="G125" s="420" t="s">
        <v>1084</v>
      </c>
      <c r="H125" s="423"/>
      <c r="I125" s="423">
        <f t="shared" si="8"/>
        <v>0</v>
      </c>
    </row>
    <row r="126" spans="1:9" ht="13.5" customHeight="1">
      <c r="A126" s="421" t="s">
        <v>262</v>
      </c>
      <c r="B126" s="423" t="s">
        <v>1113</v>
      </c>
      <c r="C126" s="423">
        <v>12</v>
      </c>
      <c r="D126" s="423">
        <v>12</v>
      </c>
      <c r="E126" s="423">
        <v>12</v>
      </c>
      <c r="F126" s="423" t="s">
        <v>1111</v>
      </c>
      <c r="G126" s="420" t="s">
        <v>1084</v>
      </c>
      <c r="H126" s="423"/>
      <c r="I126" s="423">
        <f t="shared" si="8"/>
        <v>0</v>
      </c>
    </row>
    <row r="127" spans="1:9" ht="13.5" customHeight="1"/>
    <row r="128" spans="1:9" ht="13.5" customHeight="1"/>
    <row r="129" spans="1:9" ht="13.5" customHeight="1">
      <c r="A129" s="418" t="s">
        <v>1116</v>
      </c>
    </row>
    <row r="130" spans="1:9" ht="13.5" customHeight="1">
      <c r="A130" s="417" t="s">
        <v>1050</v>
      </c>
      <c r="B130" s="417">
        <f>COUNTA(A138:A148)</f>
        <v>11</v>
      </c>
    </row>
    <row r="131" spans="1:9" ht="13.5" customHeight="1"/>
    <row r="132" spans="1:9" ht="30" customHeight="1">
      <c r="A132" s="419" t="s">
        <v>1088</v>
      </c>
      <c r="B132" s="419" t="s">
        <v>1089</v>
      </c>
      <c r="C132" s="419" t="s">
        <v>1090</v>
      </c>
      <c r="D132" s="419" t="s">
        <v>1091</v>
      </c>
      <c r="E132" s="419" t="s">
        <v>1092</v>
      </c>
    </row>
    <row r="133" spans="1:9" ht="13.5" customHeight="1">
      <c r="A133" s="420" t="s">
        <v>1098</v>
      </c>
      <c r="B133" s="423">
        <f>COUNTIFS($G$138:$G$148,$A133)</f>
        <v>11</v>
      </c>
      <c r="C133" s="423">
        <f>COUNTIFS($G$138:$G$148,$A133,$C$138:$C$148,9)</f>
        <v>11</v>
      </c>
      <c r="D133" s="423">
        <f>COUNTIFS($G$138:$G$148,$A133,$C$138:$C$148,12)</f>
        <v>0</v>
      </c>
      <c r="E133" s="424">
        <f>B133/$B$130</f>
        <v>1</v>
      </c>
    </row>
    <row r="134" spans="1:9" ht="13.5" customHeight="1">
      <c r="A134" s="422" t="s">
        <v>1099</v>
      </c>
      <c r="B134" s="425">
        <f>SUM(B133:B133)</f>
        <v>11</v>
      </c>
      <c r="C134" s="425">
        <f>SUM(C133:C133)</f>
        <v>11</v>
      </c>
      <c r="D134" s="425">
        <f>SUM(D133:D133)</f>
        <v>0</v>
      </c>
      <c r="E134" s="426">
        <f>SUM(E133:E133)</f>
        <v>1</v>
      </c>
    </row>
    <row r="135" spans="1:9" ht="13.5" customHeight="1"/>
    <row r="136" spans="1:9" ht="13.5" customHeight="1">
      <c r="A136" s="417" t="s">
        <v>1117</v>
      </c>
    </row>
    <row r="137" spans="1:9" ht="42" customHeight="1">
      <c r="A137" s="419" t="s">
        <v>1101</v>
      </c>
      <c r="B137" s="419" t="s">
        <v>1102</v>
      </c>
      <c r="C137" s="419" t="s">
        <v>1103</v>
      </c>
      <c r="D137" s="419" t="s">
        <v>1104</v>
      </c>
      <c r="E137" s="419" t="s">
        <v>1105</v>
      </c>
      <c r="F137" s="419" t="s">
        <v>1106</v>
      </c>
      <c r="G137" s="419" t="s">
        <v>1107</v>
      </c>
      <c r="H137" s="419" t="s">
        <v>1108</v>
      </c>
      <c r="I137" s="419" t="s">
        <v>1109</v>
      </c>
    </row>
    <row r="138" spans="1:9" ht="13.5" customHeight="1">
      <c r="A138" s="421" t="s">
        <v>230</v>
      </c>
      <c r="B138" s="423" t="s">
        <v>1110</v>
      </c>
      <c r="C138" s="423">
        <v>9</v>
      </c>
      <c r="D138" s="423">
        <v>0</v>
      </c>
      <c r="E138" s="423">
        <v>0</v>
      </c>
      <c r="F138" s="423" t="s">
        <v>1112</v>
      </c>
      <c r="G138" s="420" t="s">
        <v>1098</v>
      </c>
      <c r="H138" s="423"/>
      <c r="I138" s="423">
        <f t="shared" ref="I138:I148" si="9">IF(ISNUMBER(E138),C138-E138,"-")</f>
        <v>9</v>
      </c>
    </row>
    <row r="139" spans="1:9" ht="13.5" customHeight="1">
      <c r="A139" s="421" t="s">
        <v>233</v>
      </c>
      <c r="B139" s="423" t="s">
        <v>1110</v>
      </c>
      <c r="C139" s="423">
        <v>9</v>
      </c>
      <c r="D139" s="423">
        <v>0</v>
      </c>
      <c r="E139" s="423">
        <v>0</v>
      </c>
      <c r="F139" s="423" t="s">
        <v>1112</v>
      </c>
      <c r="G139" s="420" t="s">
        <v>1098</v>
      </c>
      <c r="H139" s="423"/>
      <c r="I139" s="423">
        <f t="shared" si="9"/>
        <v>9</v>
      </c>
    </row>
    <row r="140" spans="1:9" ht="13.5" customHeight="1">
      <c r="A140" s="421" t="s">
        <v>235</v>
      </c>
      <c r="B140" s="423" t="s">
        <v>1110</v>
      </c>
      <c r="C140" s="423">
        <v>9</v>
      </c>
      <c r="D140" s="423">
        <v>0</v>
      </c>
      <c r="E140" s="423">
        <v>0</v>
      </c>
      <c r="F140" s="423" t="s">
        <v>1112</v>
      </c>
      <c r="G140" s="420" t="s">
        <v>1098</v>
      </c>
      <c r="H140" s="423"/>
      <c r="I140" s="423">
        <f t="shared" si="9"/>
        <v>9</v>
      </c>
    </row>
    <row r="141" spans="1:9" ht="13.5" customHeight="1">
      <c r="A141" s="421" t="s">
        <v>237</v>
      </c>
      <c r="B141" s="423" t="s">
        <v>1110</v>
      </c>
      <c r="C141" s="423">
        <v>9</v>
      </c>
      <c r="D141" s="423">
        <v>0</v>
      </c>
      <c r="E141" s="423">
        <v>0</v>
      </c>
      <c r="F141" s="423" t="s">
        <v>1112</v>
      </c>
      <c r="G141" s="420" t="s">
        <v>1098</v>
      </c>
      <c r="H141" s="423"/>
      <c r="I141" s="423">
        <f t="shared" si="9"/>
        <v>9</v>
      </c>
    </row>
    <row r="142" spans="1:9" ht="13.5" customHeight="1">
      <c r="A142" s="421" t="s">
        <v>239</v>
      </c>
      <c r="B142" s="423" t="s">
        <v>1110</v>
      </c>
      <c r="C142" s="423">
        <v>9</v>
      </c>
      <c r="D142" s="423">
        <v>0</v>
      </c>
      <c r="E142" s="423">
        <v>0</v>
      </c>
      <c r="F142" s="423" t="s">
        <v>1112</v>
      </c>
      <c r="G142" s="420" t="s">
        <v>1098</v>
      </c>
      <c r="H142" s="423"/>
      <c r="I142" s="423">
        <f t="shared" si="9"/>
        <v>9</v>
      </c>
    </row>
    <row r="143" spans="1:9" ht="13.5" customHeight="1">
      <c r="A143" s="421" t="s">
        <v>241</v>
      </c>
      <c r="B143" s="423" t="s">
        <v>1110</v>
      </c>
      <c r="C143" s="423">
        <v>9</v>
      </c>
      <c r="D143" s="423">
        <v>0</v>
      </c>
      <c r="E143" s="423">
        <v>0</v>
      </c>
      <c r="F143" s="423" t="s">
        <v>1112</v>
      </c>
      <c r="G143" s="420" t="s">
        <v>1098</v>
      </c>
      <c r="H143" s="423"/>
      <c r="I143" s="423">
        <f t="shared" si="9"/>
        <v>9</v>
      </c>
    </row>
    <row r="144" spans="1:9" ht="13.5" customHeight="1">
      <c r="A144" s="421" t="s">
        <v>243</v>
      </c>
      <c r="B144" s="423" t="s">
        <v>1110</v>
      </c>
      <c r="C144" s="423">
        <v>9</v>
      </c>
      <c r="D144" s="423">
        <v>0</v>
      </c>
      <c r="E144" s="423">
        <v>0</v>
      </c>
      <c r="F144" s="423" t="s">
        <v>1112</v>
      </c>
      <c r="G144" s="420" t="s">
        <v>1098</v>
      </c>
      <c r="H144" s="423"/>
      <c r="I144" s="423">
        <f t="shared" si="9"/>
        <v>9</v>
      </c>
    </row>
    <row r="145" spans="1:9" ht="13.5" customHeight="1">
      <c r="A145" s="421" t="s">
        <v>245</v>
      </c>
      <c r="B145" s="423" t="s">
        <v>1110</v>
      </c>
      <c r="C145" s="423">
        <v>9</v>
      </c>
      <c r="D145" s="423">
        <v>0</v>
      </c>
      <c r="E145" s="423">
        <v>0</v>
      </c>
      <c r="F145" s="423" t="s">
        <v>1112</v>
      </c>
      <c r="G145" s="420" t="s">
        <v>1098</v>
      </c>
      <c r="H145" s="423"/>
      <c r="I145" s="423">
        <f t="shared" si="9"/>
        <v>9</v>
      </c>
    </row>
    <row r="146" spans="1:9" ht="13.5" customHeight="1">
      <c r="A146" s="421" t="s">
        <v>247</v>
      </c>
      <c r="B146" s="423" t="s">
        <v>1110</v>
      </c>
      <c r="C146" s="423">
        <v>9</v>
      </c>
      <c r="D146" s="423">
        <v>0</v>
      </c>
      <c r="E146" s="423">
        <v>0</v>
      </c>
      <c r="F146" s="423" t="s">
        <v>1112</v>
      </c>
      <c r="G146" s="420" t="s">
        <v>1098</v>
      </c>
      <c r="H146" s="423"/>
      <c r="I146" s="423">
        <f t="shared" si="9"/>
        <v>9</v>
      </c>
    </row>
    <row r="147" spans="1:9" ht="13.5" customHeight="1">
      <c r="A147" s="421" t="s">
        <v>249</v>
      </c>
      <c r="B147" s="423" t="s">
        <v>1110</v>
      </c>
      <c r="C147" s="423">
        <v>9</v>
      </c>
      <c r="D147" s="423">
        <v>0</v>
      </c>
      <c r="E147" s="423">
        <v>0</v>
      </c>
      <c r="F147" s="423" t="s">
        <v>1112</v>
      </c>
      <c r="G147" s="420" t="s">
        <v>1098</v>
      </c>
      <c r="H147" s="423"/>
      <c r="I147" s="423">
        <f t="shared" si="9"/>
        <v>9</v>
      </c>
    </row>
    <row r="148" spans="1:9" ht="13.5" customHeight="1">
      <c r="A148" s="421" t="s">
        <v>251</v>
      </c>
      <c r="B148" s="423" t="s">
        <v>1110</v>
      </c>
      <c r="C148" s="423">
        <v>9</v>
      </c>
      <c r="D148" s="423">
        <v>0</v>
      </c>
      <c r="E148" s="423">
        <v>0</v>
      </c>
      <c r="F148" s="423" t="s">
        <v>1112</v>
      </c>
      <c r="G148" s="420" t="s">
        <v>1098</v>
      </c>
      <c r="H148" s="423"/>
      <c r="I148" s="423">
        <f t="shared" si="9"/>
        <v>9</v>
      </c>
    </row>
    <row r="149" spans="1:9" ht="13.5" customHeight="1"/>
    <row r="150" spans="1:9" ht="13.5" customHeight="1"/>
    <row r="151" spans="1:9" ht="13.5" customHeight="1">
      <c r="A151" s="418" t="s">
        <v>1118</v>
      </c>
    </row>
    <row r="152" spans="1:9" ht="13.5" customHeight="1">
      <c r="A152" s="417" t="s">
        <v>1050</v>
      </c>
      <c r="B152" s="417">
        <f>COUNTA(A163:A174)</f>
        <v>12</v>
      </c>
    </row>
    <row r="153" spans="1:9" ht="13.5" customHeight="1"/>
    <row r="154" spans="1:9" ht="30" customHeight="1">
      <c r="A154" s="419" t="s">
        <v>1088</v>
      </c>
      <c r="B154" s="419" t="s">
        <v>1089</v>
      </c>
      <c r="C154" s="419" t="s">
        <v>1090</v>
      </c>
      <c r="D154" s="419" t="s">
        <v>1091</v>
      </c>
      <c r="E154" s="419" t="s">
        <v>1092</v>
      </c>
    </row>
    <row r="155" spans="1:9" ht="13.5" customHeight="1">
      <c r="A155" s="420" t="s">
        <v>1084</v>
      </c>
      <c r="B155" s="423">
        <f>COUNTIFS($G$163:$G$174,$A155)</f>
        <v>9</v>
      </c>
      <c r="C155" s="423">
        <f>COUNTIFS($G$163:$G$174,$A155,$C$163:$C$174,9)</f>
        <v>9</v>
      </c>
      <c r="D155" s="423">
        <f>COUNTIFS($G$163:$G$174,$A155,$C$163:$C$174,12)</f>
        <v>0</v>
      </c>
      <c r="E155" s="424">
        <f>B155/$B$152</f>
        <v>0.75</v>
      </c>
    </row>
    <row r="156" spans="1:9" ht="13.5" customHeight="1">
      <c r="A156" s="420" t="s">
        <v>1095</v>
      </c>
      <c r="B156" s="423">
        <f>COUNTIFS($G$163:$G$174,$A156)</f>
        <v>1</v>
      </c>
      <c r="C156" s="423">
        <f>COUNTIFS($G$163:$G$174,$A156,$C$163:$C$174,9)</f>
        <v>1</v>
      </c>
      <c r="D156" s="423">
        <f>COUNTIFS($G$163:$G$174,$A156,$C$163:$C$174,12)</f>
        <v>0</v>
      </c>
      <c r="E156" s="424">
        <f>B156/$B$152</f>
        <v>8.3333333333333329E-2</v>
      </c>
    </row>
    <row r="157" spans="1:9" ht="13.5" customHeight="1">
      <c r="A157" s="420" t="s">
        <v>1119</v>
      </c>
      <c r="B157" s="423">
        <f>COUNTIFS($G$163:$G$174,$A157)</f>
        <v>1</v>
      </c>
      <c r="C157" s="423">
        <f>COUNTIFS($G$163:$G$174,$A157,$C$163:$C$174,9)</f>
        <v>1</v>
      </c>
      <c r="D157" s="423">
        <f>COUNTIFS($G$163:$G$174,$A157,$C$163:$C$174,12)</f>
        <v>0</v>
      </c>
      <c r="E157" s="424">
        <f>B157/$B$152</f>
        <v>8.3333333333333329E-2</v>
      </c>
    </row>
    <row r="158" spans="1:9" ht="13.5" customHeight="1">
      <c r="A158" s="420" t="s">
        <v>1098</v>
      </c>
      <c r="B158" s="423">
        <f>COUNTIFS($G$163:$G$174,$A158)</f>
        <v>1</v>
      </c>
      <c r="C158" s="423">
        <f>COUNTIFS($G$163:$G$174,$A158,$C$163:$C$174,9)</f>
        <v>1</v>
      </c>
      <c r="D158" s="423">
        <f>COUNTIFS($G$163:$G$174,$A158,$C$163:$C$174,12)</f>
        <v>0</v>
      </c>
      <c r="E158" s="424">
        <f>B158/$B$152</f>
        <v>8.3333333333333329E-2</v>
      </c>
    </row>
    <row r="159" spans="1:9" ht="13.5" customHeight="1">
      <c r="A159" s="422" t="s">
        <v>1099</v>
      </c>
      <c r="B159" s="425">
        <f>SUM(B155:B158)</f>
        <v>12</v>
      </c>
      <c r="C159" s="425">
        <f>SUM(C155:C158)</f>
        <v>12</v>
      </c>
      <c r="D159" s="425">
        <f>SUM(D155:D158)</f>
        <v>0</v>
      </c>
      <c r="E159" s="426">
        <f>SUM(E155:E158)</f>
        <v>1</v>
      </c>
    </row>
    <row r="160" spans="1:9" ht="13.5" customHeight="1"/>
    <row r="161" spans="1:9" ht="13.5" customHeight="1">
      <c r="A161" s="417" t="s">
        <v>1120</v>
      </c>
    </row>
    <row r="162" spans="1:9" ht="42" customHeight="1">
      <c r="A162" s="419" t="s">
        <v>1101</v>
      </c>
      <c r="B162" s="419" t="s">
        <v>1102</v>
      </c>
      <c r="C162" s="419" t="s">
        <v>1103</v>
      </c>
      <c r="D162" s="419" t="s">
        <v>1104</v>
      </c>
      <c r="E162" s="419" t="s">
        <v>1105</v>
      </c>
      <c r="F162" s="419" t="s">
        <v>1106</v>
      </c>
      <c r="G162" s="419" t="s">
        <v>1107</v>
      </c>
      <c r="H162" s="419" t="s">
        <v>1108</v>
      </c>
      <c r="I162" s="419" t="s">
        <v>1109</v>
      </c>
    </row>
    <row r="163" spans="1:9" ht="13.5" customHeight="1">
      <c r="A163" s="421" t="s">
        <v>230</v>
      </c>
      <c r="B163" s="423" t="s">
        <v>1110</v>
      </c>
      <c r="C163" s="423">
        <v>9</v>
      </c>
      <c r="D163" s="423">
        <v>0</v>
      </c>
      <c r="E163" s="423">
        <v>0</v>
      </c>
      <c r="F163" s="423" t="s">
        <v>1112</v>
      </c>
      <c r="G163" s="420" t="s">
        <v>1098</v>
      </c>
      <c r="H163" s="423"/>
      <c r="I163" s="423">
        <f t="shared" ref="I163:I174" si="10">IF(ISNUMBER(E163),C163-E163,"-")</f>
        <v>9</v>
      </c>
    </row>
    <row r="164" spans="1:9" ht="13.5" customHeight="1">
      <c r="A164" s="421" t="s">
        <v>233</v>
      </c>
      <c r="B164" s="423" t="s">
        <v>1110</v>
      </c>
      <c r="C164" s="423">
        <v>9</v>
      </c>
      <c r="D164" s="423">
        <v>9</v>
      </c>
      <c r="E164" s="423">
        <v>9</v>
      </c>
      <c r="F164" s="423" t="s">
        <v>1111</v>
      </c>
      <c r="G164" s="420" t="s">
        <v>1084</v>
      </c>
      <c r="H164" s="423"/>
      <c r="I164" s="423">
        <f t="shared" si="10"/>
        <v>0</v>
      </c>
    </row>
    <row r="165" spans="1:9" ht="13.5" customHeight="1">
      <c r="A165" s="421" t="s">
        <v>235</v>
      </c>
      <c r="B165" s="423" t="s">
        <v>1110</v>
      </c>
      <c r="C165" s="423">
        <v>9</v>
      </c>
      <c r="D165" s="423">
        <v>4</v>
      </c>
      <c r="E165" s="423">
        <v>4</v>
      </c>
      <c r="F165" s="423" t="s">
        <v>1112</v>
      </c>
      <c r="G165" s="420" t="s">
        <v>1119</v>
      </c>
      <c r="H165" s="423"/>
      <c r="I165" s="423">
        <f t="shared" si="10"/>
        <v>5</v>
      </c>
    </row>
    <row r="166" spans="1:9" ht="13.5" customHeight="1">
      <c r="A166" s="421" t="s">
        <v>237</v>
      </c>
      <c r="B166" s="423" t="s">
        <v>1110</v>
      </c>
      <c r="C166" s="423">
        <v>9</v>
      </c>
      <c r="D166" s="423">
        <v>9</v>
      </c>
      <c r="E166" s="423">
        <v>9</v>
      </c>
      <c r="F166" s="423" t="s">
        <v>1112</v>
      </c>
      <c r="G166" s="420" t="s">
        <v>1095</v>
      </c>
      <c r="H166" s="423"/>
      <c r="I166" s="423">
        <f t="shared" si="10"/>
        <v>0</v>
      </c>
    </row>
    <row r="167" spans="1:9" ht="13.5" customHeight="1">
      <c r="A167" s="421" t="s">
        <v>239</v>
      </c>
      <c r="B167" s="423" t="s">
        <v>1110</v>
      </c>
      <c r="C167" s="423">
        <v>9</v>
      </c>
      <c r="D167" s="423">
        <v>9</v>
      </c>
      <c r="E167" s="423">
        <v>9</v>
      </c>
      <c r="F167" s="423" t="s">
        <v>1111</v>
      </c>
      <c r="G167" s="420" t="s">
        <v>1084</v>
      </c>
      <c r="H167" s="423"/>
      <c r="I167" s="423">
        <f t="shared" si="10"/>
        <v>0</v>
      </c>
    </row>
    <row r="168" spans="1:9" ht="13.5" customHeight="1">
      <c r="A168" s="421" t="s">
        <v>241</v>
      </c>
      <c r="B168" s="423" t="s">
        <v>1110</v>
      </c>
      <c r="C168" s="423">
        <v>9</v>
      </c>
      <c r="D168" s="423">
        <v>9</v>
      </c>
      <c r="E168" s="423">
        <v>9</v>
      </c>
      <c r="F168" s="423" t="s">
        <v>1111</v>
      </c>
      <c r="G168" s="420" t="s">
        <v>1084</v>
      </c>
      <c r="H168" s="423"/>
      <c r="I168" s="423">
        <f t="shared" si="10"/>
        <v>0</v>
      </c>
    </row>
    <row r="169" spans="1:9" ht="13.5" customHeight="1">
      <c r="A169" s="421" t="s">
        <v>243</v>
      </c>
      <c r="B169" s="423" t="s">
        <v>1110</v>
      </c>
      <c r="C169" s="423">
        <v>9</v>
      </c>
      <c r="D169" s="423">
        <v>9</v>
      </c>
      <c r="E169" s="423">
        <v>9</v>
      </c>
      <c r="F169" s="423" t="s">
        <v>1111</v>
      </c>
      <c r="G169" s="420" t="s">
        <v>1084</v>
      </c>
      <c r="H169" s="423"/>
      <c r="I169" s="423">
        <f t="shared" si="10"/>
        <v>0</v>
      </c>
    </row>
    <row r="170" spans="1:9" ht="13.5" customHeight="1">
      <c r="A170" s="421" t="s">
        <v>245</v>
      </c>
      <c r="B170" s="423" t="s">
        <v>1110</v>
      </c>
      <c r="C170" s="423">
        <v>9</v>
      </c>
      <c r="D170" s="423">
        <v>9</v>
      </c>
      <c r="E170" s="423">
        <v>9</v>
      </c>
      <c r="F170" s="423" t="s">
        <v>1111</v>
      </c>
      <c r="G170" s="420" t="s">
        <v>1084</v>
      </c>
      <c r="H170" s="423"/>
      <c r="I170" s="423">
        <f t="shared" si="10"/>
        <v>0</v>
      </c>
    </row>
    <row r="171" spans="1:9" ht="13.5" customHeight="1">
      <c r="A171" s="421" t="s">
        <v>247</v>
      </c>
      <c r="B171" s="423" t="s">
        <v>1110</v>
      </c>
      <c r="C171" s="423">
        <v>9</v>
      </c>
      <c r="D171" s="423">
        <v>9</v>
      </c>
      <c r="E171" s="423">
        <v>9</v>
      </c>
      <c r="F171" s="423" t="s">
        <v>1111</v>
      </c>
      <c r="G171" s="420" t="s">
        <v>1084</v>
      </c>
      <c r="H171" s="423"/>
      <c r="I171" s="423">
        <f t="shared" si="10"/>
        <v>0</v>
      </c>
    </row>
    <row r="172" spans="1:9" ht="13.5" customHeight="1">
      <c r="A172" s="421" t="s">
        <v>249</v>
      </c>
      <c r="B172" s="423" t="s">
        <v>1110</v>
      </c>
      <c r="C172" s="423">
        <v>9</v>
      </c>
      <c r="D172" s="423">
        <v>9</v>
      </c>
      <c r="E172" s="423">
        <v>9</v>
      </c>
      <c r="F172" s="423" t="s">
        <v>1111</v>
      </c>
      <c r="G172" s="420" t="s">
        <v>1084</v>
      </c>
      <c r="H172" s="423"/>
      <c r="I172" s="423">
        <f t="shared" si="10"/>
        <v>0</v>
      </c>
    </row>
    <row r="173" spans="1:9" ht="13.5" customHeight="1">
      <c r="A173" s="421" t="s">
        <v>251</v>
      </c>
      <c r="B173" s="423" t="s">
        <v>1110</v>
      </c>
      <c r="C173" s="423">
        <v>9</v>
      </c>
      <c r="D173" s="423">
        <v>9</v>
      </c>
      <c r="E173" s="423">
        <v>9</v>
      </c>
      <c r="F173" s="423" t="s">
        <v>1111</v>
      </c>
      <c r="G173" s="420" t="s">
        <v>1084</v>
      </c>
      <c r="H173" s="423"/>
      <c r="I173" s="423">
        <f t="shared" si="10"/>
        <v>0</v>
      </c>
    </row>
    <row r="174" spans="1:9" ht="13.5" customHeight="1">
      <c r="A174" s="421" t="s">
        <v>253</v>
      </c>
      <c r="B174" s="423" t="s">
        <v>1110</v>
      </c>
      <c r="C174" s="423">
        <v>9</v>
      </c>
      <c r="D174" s="423">
        <v>9</v>
      </c>
      <c r="E174" s="423">
        <v>9</v>
      </c>
      <c r="F174" s="423" t="s">
        <v>1111</v>
      </c>
      <c r="G174" s="420" t="s">
        <v>1084</v>
      </c>
      <c r="H174" s="423"/>
      <c r="I174" s="423">
        <f t="shared" si="10"/>
        <v>0</v>
      </c>
    </row>
    <row r="175" spans="1:9" ht="13.5" customHeight="1"/>
    <row r="176" spans="1:9" ht="13.5" customHeight="1"/>
    <row r="177" spans="1:9" ht="13.5" customHeight="1">
      <c r="A177" s="418" t="s">
        <v>1121</v>
      </c>
    </row>
    <row r="178" spans="1:9" ht="13.5" customHeight="1">
      <c r="A178" s="417" t="s">
        <v>1050</v>
      </c>
      <c r="B178" s="417">
        <f>COUNTA(A188:A201)</f>
        <v>14</v>
      </c>
    </row>
    <row r="179" spans="1:9" ht="13.5" customHeight="1"/>
    <row r="180" spans="1:9" ht="30" customHeight="1">
      <c r="A180" s="419" t="s">
        <v>1088</v>
      </c>
      <c r="B180" s="419" t="s">
        <v>1089</v>
      </c>
      <c r="C180" s="419" t="s">
        <v>1090</v>
      </c>
      <c r="D180" s="419" t="s">
        <v>1091</v>
      </c>
      <c r="E180" s="419" t="s">
        <v>1092</v>
      </c>
    </row>
    <row r="181" spans="1:9" ht="13.5" customHeight="1">
      <c r="A181" s="420" t="s">
        <v>1084</v>
      </c>
      <c r="B181" s="423">
        <f>COUNTIFS($G$188:$G$201,$A181)</f>
        <v>9</v>
      </c>
      <c r="C181" s="423">
        <f>COUNTIFS($G$188:$G$201,$A181,$C$188:$C$201,9)</f>
        <v>9</v>
      </c>
      <c r="D181" s="423">
        <f>COUNTIFS($G$188:$G$201,$A181,$C$188:$C$201,12)</f>
        <v>0</v>
      </c>
      <c r="E181" s="424">
        <f>B181/$B$178</f>
        <v>0.6428571428571429</v>
      </c>
    </row>
    <row r="182" spans="1:9" ht="13.5" customHeight="1">
      <c r="A182" s="420" t="s">
        <v>1122</v>
      </c>
      <c r="B182" s="423">
        <f>COUNTIFS($G$188:$G$201,$A182)</f>
        <v>3</v>
      </c>
      <c r="C182" s="423">
        <f>COUNTIFS($G$188:$G$201,$A182,$C$188:$C$201,9)</f>
        <v>3</v>
      </c>
      <c r="D182" s="423">
        <f>COUNTIFS($G$188:$G$201,$A182,$C$188:$C$201,12)</f>
        <v>0</v>
      </c>
      <c r="E182" s="424">
        <f>B182/$B$178</f>
        <v>0.21428571428571427</v>
      </c>
    </row>
    <row r="183" spans="1:9" ht="13.5" customHeight="1">
      <c r="A183" s="420" t="s">
        <v>1098</v>
      </c>
      <c r="B183" s="423">
        <f>COUNTIFS($G$188:$G$201,$A183)</f>
        <v>2</v>
      </c>
      <c r="C183" s="423">
        <f>COUNTIFS($G$188:$G$201,$A183,$C$188:$C$201,9)</f>
        <v>2</v>
      </c>
      <c r="D183" s="423">
        <f>COUNTIFS($G$188:$G$201,$A183,$C$188:$C$201,12)</f>
        <v>0</v>
      </c>
      <c r="E183" s="424">
        <f>B183/$B$178</f>
        <v>0.14285714285714285</v>
      </c>
    </row>
    <row r="184" spans="1:9" ht="13.5" customHeight="1">
      <c r="A184" s="422" t="s">
        <v>1099</v>
      </c>
      <c r="B184" s="425">
        <f>SUM(B181:B183)</f>
        <v>14</v>
      </c>
      <c r="C184" s="425">
        <f>SUM(C181:C183)</f>
        <v>14</v>
      </c>
      <c r="D184" s="425">
        <f>SUM(D181:D183)</f>
        <v>0</v>
      </c>
      <c r="E184" s="426">
        <f>SUM(E181:E183)</f>
        <v>1</v>
      </c>
    </row>
    <row r="185" spans="1:9" ht="13.5" customHeight="1"/>
    <row r="186" spans="1:9" ht="13.5" customHeight="1">
      <c r="A186" s="417" t="s">
        <v>1123</v>
      </c>
    </row>
    <row r="187" spans="1:9" ht="42" customHeight="1">
      <c r="A187" s="419" t="s">
        <v>1101</v>
      </c>
      <c r="B187" s="419" t="s">
        <v>1102</v>
      </c>
      <c r="C187" s="419" t="s">
        <v>1103</v>
      </c>
      <c r="D187" s="419" t="s">
        <v>1104</v>
      </c>
      <c r="E187" s="419" t="s">
        <v>1105</v>
      </c>
      <c r="F187" s="419" t="s">
        <v>1106</v>
      </c>
      <c r="G187" s="419" t="s">
        <v>1107</v>
      </c>
      <c r="H187" s="419" t="s">
        <v>1108</v>
      </c>
      <c r="I187" s="419" t="s">
        <v>1109</v>
      </c>
    </row>
    <row r="188" spans="1:9" ht="13.5" customHeight="1">
      <c r="A188" s="421" t="s">
        <v>230</v>
      </c>
      <c r="B188" s="423" t="s">
        <v>1110</v>
      </c>
      <c r="C188" s="423">
        <v>9</v>
      </c>
      <c r="D188" s="423">
        <v>9</v>
      </c>
      <c r="E188" s="423">
        <v>9</v>
      </c>
      <c r="F188" s="423" t="s">
        <v>1111</v>
      </c>
      <c r="G188" s="420" t="s">
        <v>1084</v>
      </c>
      <c r="H188" s="423"/>
      <c r="I188" s="423">
        <f t="shared" ref="I188:I201" si="11">IF(ISNUMBER(E188),C188-E188,"-")</f>
        <v>0</v>
      </c>
    </row>
    <row r="189" spans="1:9" ht="13.5" customHeight="1">
      <c r="A189" s="421" t="s">
        <v>233</v>
      </c>
      <c r="B189" s="423" t="s">
        <v>1110</v>
      </c>
      <c r="C189" s="423">
        <v>9</v>
      </c>
      <c r="D189" s="423">
        <v>9</v>
      </c>
      <c r="E189" s="423">
        <v>9</v>
      </c>
      <c r="F189" s="423" t="s">
        <v>1111</v>
      </c>
      <c r="G189" s="420" t="s">
        <v>1084</v>
      </c>
      <c r="H189" s="423"/>
      <c r="I189" s="423">
        <f t="shared" si="11"/>
        <v>0</v>
      </c>
    </row>
    <row r="190" spans="1:9" ht="13.5" customHeight="1">
      <c r="A190" s="421" t="s">
        <v>235</v>
      </c>
      <c r="B190" s="423" t="s">
        <v>1110</v>
      </c>
      <c r="C190" s="423">
        <v>9</v>
      </c>
      <c r="D190" s="423">
        <v>9</v>
      </c>
      <c r="E190" s="423">
        <v>9</v>
      </c>
      <c r="F190" s="423" t="s">
        <v>1111</v>
      </c>
      <c r="G190" s="420" t="s">
        <v>1084</v>
      </c>
      <c r="H190" s="423"/>
      <c r="I190" s="423">
        <f t="shared" si="11"/>
        <v>0</v>
      </c>
    </row>
    <row r="191" spans="1:9" ht="13.5" customHeight="1">
      <c r="A191" s="421" t="s">
        <v>237</v>
      </c>
      <c r="B191" s="423" t="s">
        <v>1110</v>
      </c>
      <c r="C191" s="423">
        <v>9</v>
      </c>
      <c r="D191" s="423">
        <v>9</v>
      </c>
      <c r="E191" s="423">
        <v>9</v>
      </c>
      <c r="F191" s="423" t="s">
        <v>1111</v>
      </c>
      <c r="G191" s="420" t="s">
        <v>1084</v>
      </c>
      <c r="H191" s="423"/>
      <c r="I191" s="423">
        <f t="shared" si="11"/>
        <v>0</v>
      </c>
    </row>
    <row r="192" spans="1:9" ht="13.5" customHeight="1">
      <c r="A192" s="421" t="s">
        <v>239</v>
      </c>
      <c r="B192" s="423" t="s">
        <v>1110</v>
      </c>
      <c r="C192" s="423">
        <v>9</v>
      </c>
      <c r="D192" s="423">
        <v>9</v>
      </c>
      <c r="E192" s="423">
        <v>9</v>
      </c>
      <c r="F192" s="423" t="s">
        <v>1111</v>
      </c>
      <c r="G192" s="420" t="s">
        <v>1084</v>
      </c>
      <c r="H192" s="423"/>
      <c r="I192" s="423">
        <f t="shared" si="11"/>
        <v>0</v>
      </c>
    </row>
    <row r="193" spans="1:9" ht="13.5" customHeight="1">
      <c r="A193" s="421" t="s">
        <v>241</v>
      </c>
      <c r="B193" s="423" t="s">
        <v>1110</v>
      </c>
      <c r="C193" s="423">
        <v>9</v>
      </c>
      <c r="D193" s="423" t="s">
        <v>1065</v>
      </c>
      <c r="E193" s="423" t="s">
        <v>1065</v>
      </c>
      <c r="F193" s="423" t="s">
        <v>1112</v>
      </c>
      <c r="G193" s="420" t="s">
        <v>1122</v>
      </c>
      <c r="H193" s="423" t="s">
        <v>1124</v>
      </c>
      <c r="I193" s="423" t="str">
        <f t="shared" si="11"/>
        <v>-</v>
      </c>
    </row>
    <row r="194" spans="1:9" ht="13.5" customHeight="1">
      <c r="A194" s="421" t="s">
        <v>243</v>
      </c>
      <c r="B194" s="423" t="s">
        <v>1110</v>
      </c>
      <c r="C194" s="423">
        <v>9</v>
      </c>
      <c r="D194" s="423">
        <v>9</v>
      </c>
      <c r="E194" s="423">
        <v>9</v>
      </c>
      <c r="F194" s="423" t="s">
        <v>1111</v>
      </c>
      <c r="G194" s="420" t="s">
        <v>1084</v>
      </c>
      <c r="H194" s="423"/>
      <c r="I194" s="423">
        <f t="shared" si="11"/>
        <v>0</v>
      </c>
    </row>
    <row r="195" spans="1:9" ht="13.5" customHeight="1">
      <c r="A195" s="421" t="s">
        <v>245</v>
      </c>
      <c r="B195" s="423" t="s">
        <v>1110</v>
      </c>
      <c r="C195" s="423">
        <v>9</v>
      </c>
      <c r="D195" s="423">
        <v>9</v>
      </c>
      <c r="E195" s="423">
        <v>9</v>
      </c>
      <c r="F195" s="423" t="s">
        <v>1111</v>
      </c>
      <c r="G195" s="420" t="s">
        <v>1084</v>
      </c>
      <c r="H195" s="423"/>
      <c r="I195" s="423">
        <f t="shared" si="11"/>
        <v>0</v>
      </c>
    </row>
    <row r="196" spans="1:9" ht="13.5" customHeight="1">
      <c r="A196" s="421" t="s">
        <v>247</v>
      </c>
      <c r="B196" s="423" t="s">
        <v>1110</v>
      </c>
      <c r="C196" s="423">
        <v>9</v>
      </c>
      <c r="D196" s="423">
        <v>0</v>
      </c>
      <c r="E196" s="423">
        <v>0</v>
      </c>
      <c r="F196" s="423" t="s">
        <v>1112</v>
      </c>
      <c r="G196" s="420" t="s">
        <v>1098</v>
      </c>
      <c r="H196" s="423"/>
      <c r="I196" s="423">
        <f t="shared" si="11"/>
        <v>9</v>
      </c>
    </row>
    <row r="197" spans="1:9" ht="13.5" customHeight="1">
      <c r="A197" s="421" t="s">
        <v>249</v>
      </c>
      <c r="B197" s="423" t="s">
        <v>1110</v>
      </c>
      <c r="C197" s="423">
        <v>9</v>
      </c>
      <c r="D197" s="423">
        <v>0</v>
      </c>
      <c r="E197" s="423">
        <v>0</v>
      </c>
      <c r="F197" s="423" t="s">
        <v>1112</v>
      </c>
      <c r="G197" s="420" t="s">
        <v>1098</v>
      </c>
      <c r="H197" s="423"/>
      <c r="I197" s="423">
        <f t="shared" si="11"/>
        <v>9</v>
      </c>
    </row>
    <row r="198" spans="1:9" ht="13.5" customHeight="1">
      <c r="A198" s="421" t="s">
        <v>251</v>
      </c>
      <c r="B198" s="423" t="s">
        <v>1110</v>
      </c>
      <c r="C198" s="423">
        <v>9</v>
      </c>
      <c r="D198" s="423" t="s">
        <v>1065</v>
      </c>
      <c r="E198" s="423" t="s">
        <v>1065</v>
      </c>
      <c r="F198" s="423" t="s">
        <v>1112</v>
      </c>
      <c r="G198" s="420" t="s">
        <v>1122</v>
      </c>
      <c r="H198" s="423" t="s">
        <v>1125</v>
      </c>
      <c r="I198" s="423" t="str">
        <f t="shared" si="11"/>
        <v>-</v>
      </c>
    </row>
    <row r="199" spans="1:9" ht="13.5" customHeight="1">
      <c r="A199" s="421" t="s">
        <v>253</v>
      </c>
      <c r="B199" s="423" t="s">
        <v>1110</v>
      </c>
      <c r="C199" s="423">
        <v>9</v>
      </c>
      <c r="D199" s="423">
        <v>9</v>
      </c>
      <c r="E199" s="423">
        <v>9</v>
      </c>
      <c r="F199" s="423" t="s">
        <v>1111</v>
      </c>
      <c r="G199" s="420" t="s">
        <v>1084</v>
      </c>
      <c r="H199" s="423"/>
      <c r="I199" s="423">
        <f t="shared" si="11"/>
        <v>0</v>
      </c>
    </row>
    <row r="200" spans="1:9" ht="13.5" customHeight="1">
      <c r="A200" s="421" t="s">
        <v>285</v>
      </c>
      <c r="B200" s="423" t="s">
        <v>1110</v>
      </c>
      <c r="C200" s="423">
        <v>9</v>
      </c>
      <c r="D200" s="423">
        <v>9</v>
      </c>
      <c r="E200" s="423">
        <v>9</v>
      </c>
      <c r="F200" s="423" t="s">
        <v>1111</v>
      </c>
      <c r="G200" s="420" t="s">
        <v>1084</v>
      </c>
      <c r="H200" s="423"/>
      <c r="I200" s="423">
        <f t="shared" si="11"/>
        <v>0</v>
      </c>
    </row>
    <row r="201" spans="1:9" ht="13.5" customHeight="1">
      <c r="A201" s="421" t="s">
        <v>287</v>
      </c>
      <c r="B201" s="423" t="s">
        <v>1110</v>
      </c>
      <c r="C201" s="423">
        <v>9</v>
      </c>
      <c r="D201" s="423" t="s">
        <v>1065</v>
      </c>
      <c r="E201" s="423" t="s">
        <v>1065</v>
      </c>
      <c r="F201" s="423" t="s">
        <v>1112</v>
      </c>
      <c r="G201" s="420" t="s">
        <v>1122</v>
      </c>
      <c r="H201" s="423" t="s">
        <v>1126</v>
      </c>
      <c r="I201" s="423" t="str">
        <f t="shared" si="11"/>
        <v>-</v>
      </c>
    </row>
    <row r="202" spans="1:9" ht="13.5" customHeight="1"/>
    <row r="203" spans="1:9" ht="13.5" customHeight="1"/>
    <row r="204" spans="1:9" ht="13.5" customHeight="1">
      <c r="A204" s="418" t="s">
        <v>1127</v>
      </c>
    </row>
    <row r="205" spans="1:9" ht="13.5" customHeight="1">
      <c r="A205" s="417" t="s">
        <v>1050</v>
      </c>
      <c r="B205" s="417">
        <f>COUNTA(A213:A228)</f>
        <v>16</v>
      </c>
    </row>
    <row r="206" spans="1:9" ht="13.5" customHeight="1"/>
    <row r="207" spans="1:9" ht="30" customHeight="1">
      <c r="A207" s="419" t="s">
        <v>1088</v>
      </c>
      <c r="B207" s="419" t="s">
        <v>1089</v>
      </c>
      <c r="C207" s="419" t="s">
        <v>1090</v>
      </c>
      <c r="D207" s="419" t="s">
        <v>1091</v>
      </c>
      <c r="E207" s="419" t="s">
        <v>1092</v>
      </c>
    </row>
    <row r="208" spans="1:9" ht="13.5" customHeight="1">
      <c r="A208" s="420" t="s">
        <v>1122</v>
      </c>
      <c r="B208" s="423">
        <f>COUNTIFS($G$213:$G$228,$A208)</f>
        <v>16</v>
      </c>
      <c r="C208" s="423">
        <f>COUNTIFS($G$213:$G$228,$A208,$C$213:$C$228,9)</f>
        <v>16</v>
      </c>
      <c r="D208" s="423">
        <f>COUNTIFS($G$213:$G$228,$A208,$C$213:$C$228,12)</f>
        <v>0</v>
      </c>
      <c r="E208" s="424">
        <f>B208/$B$205</f>
        <v>1</v>
      </c>
    </row>
    <row r="209" spans="1:9" ht="13.5" customHeight="1">
      <c r="A209" s="422" t="s">
        <v>1099</v>
      </c>
      <c r="B209" s="425">
        <f>SUM(B208:B208)</f>
        <v>16</v>
      </c>
      <c r="C209" s="425">
        <f>SUM(C208:C208)</f>
        <v>16</v>
      </c>
      <c r="D209" s="425">
        <f>SUM(D208:D208)</f>
        <v>0</v>
      </c>
      <c r="E209" s="426">
        <f>SUM(E208:E208)</f>
        <v>1</v>
      </c>
    </row>
    <row r="210" spans="1:9" ht="13.5" customHeight="1"/>
    <row r="211" spans="1:9" ht="13.5" customHeight="1">
      <c r="A211" s="417" t="s">
        <v>1128</v>
      </c>
    </row>
    <row r="212" spans="1:9" ht="42" customHeight="1">
      <c r="A212" s="419" t="s">
        <v>1101</v>
      </c>
      <c r="B212" s="419" t="s">
        <v>1102</v>
      </c>
      <c r="C212" s="419" t="s">
        <v>1103</v>
      </c>
      <c r="D212" s="419" t="s">
        <v>1104</v>
      </c>
      <c r="E212" s="419" t="s">
        <v>1105</v>
      </c>
      <c r="F212" s="419" t="s">
        <v>1106</v>
      </c>
      <c r="G212" s="419" t="s">
        <v>1107</v>
      </c>
      <c r="H212" s="419" t="s">
        <v>1108</v>
      </c>
      <c r="I212" s="419" t="s">
        <v>1109</v>
      </c>
    </row>
    <row r="213" spans="1:9" ht="13.5" customHeight="1">
      <c r="A213" s="421" t="s">
        <v>230</v>
      </c>
      <c r="B213" s="423" t="s">
        <v>1110</v>
      </c>
      <c r="C213" s="423">
        <v>9</v>
      </c>
      <c r="D213" s="423" t="s">
        <v>1065</v>
      </c>
      <c r="E213" s="423" t="s">
        <v>1065</v>
      </c>
      <c r="F213" s="423" t="s">
        <v>1112</v>
      </c>
      <c r="G213" s="420" t="s">
        <v>1122</v>
      </c>
      <c r="H213" s="423" t="s">
        <v>1129</v>
      </c>
      <c r="I213" s="423" t="str">
        <f t="shared" ref="I213:I228" si="12">IF(ISNUMBER(E213),C213-E213,"-")</f>
        <v>-</v>
      </c>
    </row>
    <row r="214" spans="1:9" ht="13.5" customHeight="1">
      <c r="A214" s="421" t="s">
        <v>233</v>
      </c>
      <c r="B214" s="423" t="s">
        <v>1110</v>
      </c>
      <c r="C214" s="423">
        <v>9</v>
      </c>
      <c r="D214" s="423" t="s">
        <v>1065</v>
      </c>
      <c r="E214" s="423" t="s">
        <v>1065</v>
      </c>
      <c r="F214" s="423" t="s">
        <v>1112</v>
      </c>
      <c r="G214" s="420" t="s">
        <v>1122</v>
      </c>
      <c r="H214" s="423" t="s">
        <v>1129</v>
      </c>
      <c r="I214" s="423" t="str">
        <f t="shared" si="12"/>
        <v>-</v>
      </c>
    </row>
    <row r="215" spans="1:9" ht="13.5" customHeight="1">
      <c r="A215" s="421" t="s">
        <v>235</v>
      </c>
      <c r="B215" s="423" t="s">
        <v>1110</v>
      </c>
      <c r="C215" s="423">
        <v>9</v>
      </c>
      <c r="D215" s="423" t="s">
        <v>1065</v>
      </c>
      <c r="E215" s="423" t="s">
        <v>1065</v>
      </c>
      <c r="F215" s="423" t="s">
        <v>1112</v>
      </c>
      <c r="G215" s="420" t="s">
        <v>1122</v>
      </c>
      <c r="H215" s="423" t="s">
        <v>1129</v>
      </c>
      <c r="I215" s="423" t="str">
        <f t="shared" si="12"/>
        <v>-</v>
      </c>
    </row>
    <row r="216" spans="1:9" ht="13.5" customHeight="1">
      <c r="A216" s="421" t="s">
        <v>237</v>
      </c>
      <c r="B216" s="423" t="s">
        <v>1110</v>
      </c>
      <c r="C216" s="423">
        <v>9</v>
      </c>
      <c r="D216" s="423" t="s">
        <v>1065</v>
      </c>
      <c r="E216" s="423" t="s">
        <v>1065</v>
      </c>
      <c r="F216" s="423" t="s">
        <v>1112</v>
      </c>
      <c r="G216" s="420" t="s">
        <v>1122</v>
      </c>
      <c r="H216" s="423" t="s">
        <v>1130</v>
      </c>
      <c r="I216" s="423" t="str">
        <f t="shared" si="12"/>
        <v>-</v>
      </c>
    </row>
    <row r="217" spans="1:9" ht="13.5" customHeight="1">
      <c r="A217" s="421" t="s">
        <v>239</v>
      </c>
      <c r="B217" s="423" t="s">
        <v>1110</v>
      </c>
      <c r="C217" s="423">
        <v>9</v>
      </c>
      <c r="D217" s="423" t="s">
        <v>1065</v>
      </c>
      <c r="E217" s="423" t="s">
        <v>1065</v>
      </c>
      <c r="F217" s="423" t="s">
        <v>1112</v>
      </c>
      <c r="G217" s="420" t="s">
        <v>1122</v>
      </c>
      <c r="H217" s="423" t="s">
        <v>1130</v>
      </c>
      <c r="I217" s="423" t="str">
        <f t="shared" si="12"/>
        <v>-</v>
      </c>
    </row>
    <row r="218" spans="1:9" ht="13.5" customHeight="1">
      <c r="A218" s="421" t="s">
        <v>241</v>
      </c>
      <c r="B218" s="423" t="s">
        <v>1110</v>
      </c>
      <c r="C218" s="423">
        <v>9</v>
      </c>
      <c r="D218" s="423" t="s">
        <v>1065</v>
      </c>
      <c r="E218" s="423" t="s">
        <v>1065</v>
      </c>
      <c r="F218" s="423" t="s">
        <v>1112</v>
      </c>
      <c r="G218" s="420" t="s">
        <v>1122</v>
      </c>
      <c r="H218" s="423" t="s">
        <v>1131</v>
      </c>
      <c r="I218" s="423" t="str">
        <f t="shared" si="12"/>
        <v>-</v>
      </c>
    </row>
    <row r="219" spans="1:9" ht="13.5" customHeight="1">
      <c r="A219" s="421" t="s">
        <v>243</v>
      </c>
      <c r="B219" s="423" t="s">
        <v>1110</v>
      </c>
      <c r="C219" s="423">
        <v>9</v>
      </c>
      <c r="D219" s="423" t="s">
        <v>1065</v>
      </c>
      <c r="E219" s="423" t="s">
        <v>1065</v>
      </c>
      <c r="F219" s="423" t="s">
        <v>1112</v>
      </c>
      <c r="G219" s="420" t="s">
        <v>1122</v>
      </c>
      <c r="H219" s="423" t="s">
        <v>1129</v>
      </c>
      <c r="I219" s="423" t="str">
        <f t="shared" si="12"/>
        <v>-</v>
      </c>
    </row>
    <row r="220" spans="1:9" ht="13.5" customHeight="1">
      <c r="A220" s="421" t="s">
        <v>245</v>
      </c>
      <c r="B220" s="423" t="s">
        <v>1110</v>
      </c>
      <c r="C220" s="423">
        <v>9</v>
      </c>
      <c r="D220" s="423" t="s">
        <v>1065</v>
      </c>
      <c r="E220" s="423" t="s">
        <v>1065</v>
      </c>
      <c r="F220" s="423" t="s">
        <v>1112</v>
      </c>
      <c r="G220" s="420" t="s">
        <v>1122</v>
      </c>
      <c r="H220" s="423" t="s">
        <v>1129</v>
      </c>
      <c r="I220" s="423" t="str">
        <f t="shared" si="12"/>
        <v>-</v>
      </c>
    </row>
    <row r="221" spans="1:9" ht="13.5" customHeight="1">
      <c r="A221" s="421" t="s">
        <v>247</v>
      </c>
      <c r="B221" s="423" t="s">
        <v>1110</v>
      </c>
      <c r="C221" s="423">
        <v>9</v>
      </c>
      <c r="D221" s="423" t="s">
        <v>1065</v>
      </c>
      <c r="E221" s="423" t="s">
        <v>1065</v>
      </c>
      <c r="F221" s="423" t="s">
        <v>1112</v>
      </c>
      <c r="G221" s="420" t="s">
        <v>1122</v>
      </c>
      <c r="H221" s="423" t="s">
        <v>1131</v>
      </c>
      <c r="I221" s="423" t="str">
        <f t="shared" si="12"/>
        <v>-</v>
      </c>
    </row>
    <row r="222" spans="1:9" ht="13.5" customHeight="1">
      <c r="A222" s="421" t="s">
        <v>249</v>
      </c>
      <c r="B222" s="423" t="s">
        <v>1110</v>
      </c>
      <c r="C222" s="423">
        <v>9</v>
      </c>
      <c r="D222" s="423" t="s">
        <v>1065</v>
      </c>
      <c r="E222" s="423" t="s">
        <v>1065</v>
      </c>
      <c r="F222" s="423" t="s">
        <v>1112</v>
      </c>
      <c r="G222" s="420" t="s">
        <v>1122</v>
      </c>
      <c r="H222" s="423" t="s">
        <v>1129</v>
      </c>
      <c r="I222" s="423" t="str">
        <f t="shared" si="12"/>
        <v>-</v>
      </c>
    </row>
    <row r="223" spans="1:9" ht="13.5" customHeight="1">
      <c r="A223" s="421" t="s">
        <v>251</v>
      </c>
      <c r="B223" s="423" t="s">
        <v>1110</v>
      </c>
      <c r="C223" s="423">
        <v>9</v>
      </c>
      <c r="D223" s="423" t="s">
        <v>1065</v>
      </c>
      <c r="E223" s="423" t="s">
        <v>1065</v>
      </c>
      <c r="F223" s="423" t="s">
        <v>1112</v>
      </c>
      <c r="G223" s="420" t="s">
        <v>1122</v>
      </c>
      <c r="H223" s="423" t="s">
        <v>1129</v>
      </c>
      <c r="I223" s="423" t="str">
        <f t="shared" si="12"/>
        <v>-</v>
      </c>
    </row>
    <row r="224" spans="1:9" ht="13.5" customHeight="1">
      <c r="A224" s="421" t="s">
        <v>253</v>
      </c>
      <c r="B224" s="423" t="s">
        <v>1110</v>
      </c>
      <c r="C224" s="423">
        <v>9</v>
      </c>
      <c r="D224" s="423" t="s">
        <v>1065</v>
      </c>
      <c r="E224" s="423" t="s">
        <v>1065</v>
      </c>
      <c r="F224" s="423" t="s">
        <v>1112</v>
      </c>
      <c r="G224" s="420" t="s">
        <v>1122</v>
      </c>
      <c r="H224" s="423" t="s">
        <v>1129</v>
      </c>
      <c r="I224" s="423" t="str">
        <f t="shared" si="12"/>
        <v>-</v>
      </c>
    </row>
    <row r="225" spans="1:9" ht="13.5" customHeight="1">
      <c r="A225" s="421" t="s">
        <v>285</v>
      </c>
      <c r="B225" s="423" t="s">
        <v>1110</v>
      </c>
      <c r="C225" s="423">
        <v>9</v>
      </c>
      <c r="D225" s="423" t="s">
        <v>1065</v>
      </c>
      <c r="E225" s="423" t="s">
        <v>1065</v>
      </c>
      <c r="F225" s="423" t="s">
        <v>1112</v>
      </c>
      <c r="G225" s="420" t="s">
        <v>1122</v>
      </c>
      <c r="H225" s="423" t="s">
        <v>1129</v>
      </c>
      <c r="I225" s="423" t="str">
        <f t="shared" si="12"/>
        <v>-</v>
      </c>
    </row>
    <row r="226" spans="1:9" ht="13.5" customHeight="1">
      <c r="A226" s="421" t="s">
        <v>287</v>
      </c>
      <c r="B226" s="423" t="s">
        <v>1110</v>
      </c>
      <c r="C226" s="423">
        <v>9</v>
      </c>
      <c r="D226" s="423" t="s">
        <v>1065</v>
      </c>
      <c r="E226" s="423" t="s">
        <v>1065</v>
      </c>
      <c r="F226" s="423" t="s">
        <v>1112</v>
      </c>
      <c r="G226" s="420" t="s">
        <v>1122</v>
      </c>
      <c r="H226" s="423" t="s">
        <v>1129</v>
      </c>
      <c r="I226" s="423" t="str">
        <f t="shared" si="12"/>
        <v>-</v>
      </c>
    </row>
    <row r="227" spans="1:9" ht="13.5" customHeight="1">
      <c r="A227" s="421" t="s">
        <v>289</v>
      </c>
      <c r="B227" s="423" t="s">
        <v>1110</v>
      </c>
      <c r="C227" s="423">
        <v>9</v>
      </c>
      <c r="D227" s="423" t="s">
        <v>1065</v>
      </c>
      <c r="E227" s="423" t="s">
        <v>1065</v>
      </c>
      <c r="F227" s="423" t="s">
        <v>1112</v>
      </c>
      <c r="G227" s="420" t="s">
        <v>1122</v>
      </c>
      <c r="H227" s="423" t="s">
        <v>1131</v>
      </c>
      <c r="I227" s="423" t="str">
        <f t="shared" si="12"/>
        <v>-</v>
      </c>
    </row>
    <row r="228" spans="1:9" ht="13.5" customHeight="1">
      <c r="A228" s="421" t="s">
        <v>291</v>
      </c>
      <c r="B228" s="423" t="s">
        <v>1110</v>
      </c>
      <c r="C228" s="423">
        <v>9</v>
      </c>
      <c r="D228" s="423" t="s">
        <v>1065</v>
      </c>
      <c r="E228" s="423" t="s">
        <v>1065</v>
      </c>
      <c r="F228" s="423" t="s">
        <v>1112</v>
      </c>
      <c r="G228" s="420" t="s">
        <v>1122</v>
      </c>
      <c r="H228" s="423" t="s">
        <v>1129</v>
      </c>
      <c r="I228" s="423" t="str">
        <f t="shared" si="12"/>
        <v>-</v>
      </c>
    </row>
    <row r="229" spans="1:9" ht="13.5" customHeight="1"/>
    <row r="230" spans="1:9" ht="13.5" customHeight="1"/>
    <row r="231" spans="1:9" ht="13.5" customHeight="1">
      <c r="A231" s="418" t="s">
        <v>1132</v>
      </c>
    </row>
    <row r="232" spans="1:9" ht="13.5" customHeight="1">
      <c r="A232" s="417" t="s">
        <v>1050</v>
      </c>
      <c r="B232" s="417">
        <f>COUNTA(A241:A254)</f>
        <v>14</v>
      </c>
    </row>
    <row r="233" spans="1:9" ht="13.5" customHeight="1"/>
    <row r="234" spans="1:9" ht="30" customHeight="1">
      <c r="A234" s="419" t="s">
        <v>1088</v>
      </c>
      <c r="B234" s="419" t="s">
        <v>1089</v>
      </c>
      <c r="C234" s="419" t="s">
        <v>1090</v>
      </c>
      <c r="D234" s="419" t="s">
        <v>1091</v>
      </c>
      <c r="E234" s="419" t="s">
        <v>1092</v>
      </c>
    </row>
    <row r="235" spans="1:9" ht="13.5" customHeight="1">
      <c r="A235" s="420" t="s">
        <v>1122</v>
      </c>
      <c r="B235" s="423">
        <f>COUNTIFS($G$241:$G$254,$A235)</f>
        <v>9</v>
      </c>
      <c r="C235" s="423">
        <f>COUNTIFS($G$241:$G$254,$A235,$C$241:$C$254,9)</f>
        <v>5</v>
      </c>
      <c r="D235" s="423">
        <f>COUNTIFS($G$241:$G$254,$A235,$C$241:$C$254,12)</f>
        <v>4</v>
      </c>
      <c r="E235" s="424">
        <f>B235/$B$232</f>
        <v>0.6428571428571429</v>
      </c>
    </row>
    <row r="236" spans="1:9" ht="13.5" customHeight="1">
      <c r="A236" s="420" t="s">
        <v>1098</v>
      </c>
      <c r="B236" s="423">
        <f>COUNTIFS($G$241:$G$254,$A236)</f>
        <v>5</v>
      </c>
      <c r="C236" s="423">
        <f>COUNTIFS($G$241:$G$254,$A236,$C$241:$C$254,9)</f>
        <v>1</v>
      </c>
      <c r="D236" s="423">
        <f>COUNTIFS($G$241:$G$254,$A236,$C$241:$C$254,12)</f>
        <v>4</v>
      </c>
      <c r="E236" s="424">
        <f>B236/$B$232</f>
        <v>0.35714285714285715</v>
      </c>
    </row>
    <row r="237" spans="1:9" ht="13.5" customHeight="1">
      <c r="A237" s="422" t="s">
        <v>1099</v>
      </c>
      <c r="B237" s="425">
        <f>SUM(B235:B236)</f>
        <v>14</v>
      </c>
      <c r="C237" s="425">
        <f>SUM(C235:C236)</f>
        <v>6</v>
      </c>
      <c r="D237" s="425">
        <f>SUM(D235:D236)</f>
        <v>8</v>
      </c>
      <c r="E237" s="426">
        <f>SUM(E235:E236)</f>
        <v>1</v>
      </c>
    </row>
    <row r="238" spans="1:9" ht="13.5" customHeight="1"/>
    <row r="239" spans="1:9" ht="13.5" customHeight="1">
      <c r="A239" s="417" t="s">
        <v>1133</v>
      </c>
    </row>
    <row r="240" spans="1:9" ht="42" customHeight="1">
      <c r="A240" s="419" t="s">
        <v>1101</v>
      </c>
      <c r="B240" s="419" t="s">
        <v>1102</v>
      </c>
      <c r="C240" s="419" t="s">
        <v>1103</v>
      </c>
      <c r="D240" s="419" t="s">
        <v>1104</v>
      </c>
      <c r="E240" s="419" t="s">
        <v>1105</v>
      </c>
      <c r="F240" s="419" t="s">
        <v>1106</v>
      </c>
      <c r="G240" s="419" t="s">
        <v>1107</v>
      </c>
      <c r="H240" s="419" t="s">
        <v>1108</v>
      </c>
      <c r="I240" s="419" t="s">
        <v>1109</v>
      </c>
    </row>
    <row r="241" spans="1:9" ht="13.5" customHeight="1">
      <c r="A241" s="421" t="s">
        <v>230</v>
      </c>
      <c r="B241" s="423" t="s">
        <v>1110</v>
      </c>
      <c r="C241" s="423">
        <v>9</v>
      </c>
      <c r="D241" s="423" t="s">
        <v>1065</v>
      </c>
      <c r="E241" s="423" t="s">
        <v>1065</v>
      </c>
      <c r="F241" s="423" t="s">
        <v>1112</v>
      </c>
      <c r="G241" s="420" t="s">
        <v>1122</v>
      </c>
      <c r="H241" s="423" t="s">
        <v>1134</v>
      </c>
      <c r="I241" s="423" t="str">
        <f t="shared" ref="I241:I254" si="13">IF(ISNUMBER(E241),C241-E241,"-")</f>
        <v>-</v>
      </c>
    </row>
    <row r="242" spans="1:9" ht="13.5" customHeight="1">
      <c r="A242" s="421" t="s">
        <v>233</v>
      </c>
      <c r="B242" s="423" t="s">
        <v>1110</v>
      </c>
      <c r="C242" s="423">
        <v>9</v>
      </c>
      <c r="D242" s="423">
        <v>0</v>
      </c>
      <c r="E242" s="423">
        <v>0</v>
      </c>
      <c r="F242" s="423" t="s">
        <v>1112</v>
      </c>
      <c r="G242" s="420" t="s">
        <v>1098</v>
      </c>
      <c r="H242" s="423"/>
      <c r="I242" s="423">
        <f t="shared" si="13"/>
        <v>9</v>
      </c>
    </row>
    <row r="243" spans="1:9" ht="13.5" customHeight="1">
      <c r="A243" s="421" t="s">
        <v>235</v>
      </c>
      <c r="B243" s="423" t="s">
        <v>1110</v>
      </c>
      <c r="C243" s="423">
        <v>9</v>
      </c>
      <c r="D243" s="423" t="s">
        <v>1065</v>
      </c>
      <c r="E243" s="423" t="s">
        <v>1065</v>
      </c>
      <c r="F243" s="423" t="s">
        <v>1112</v>
      </c>
      <c r="G243" s="420" t="s">
        <v>1122</v>
      </c>
      <c r="H243" s="423" t="s">
        <v>1134</v>
      </c>
      <c r="I243" s="423" t="str">
        <f t="shared" si="13"/>
        <v>-</v>
      </c>
    </row>
    <row r="244" spans="1:9" ht="13.5" customHeight="1">
      <c r="A244" s="421" t="s">
        <v>237</v>
      </c>
      <c r="B244" s="423" t="s">
        <v>1110</v>
      </c>
      <c r="C244" s="423">
        <v>9</v>
      </c>
      <c r="D244" s="423" t="s">
        <v>1065</v>
      </c>
      <c r="E244" s="423" t="s">
        <v>1065</v>
      </c>
      <c r="F244" s="423" t="s">
        <v>1112</v>
      </c>
      <c r="G244" s="420" t="s">
        <v>1122</v>
      </c>
      <c r="H244" s="423" t="s">
        <v>1131</v>
      </c>
      <c r="I244" s="423" t="str">
        <f t="shared" si="13"/>
        <v>-</v>
      </c>
    </row>
    <row r="245" spans="1:9" ht="13.5" customHeight="1">
      <c r="A245" s="421" t="s">
        <v>239</v>
      </c>
      <c r="B245" s="423" t="s">
        <v>1110</v>
      </c>
      <c r="C245" s="423">
        <v>9</v>
      </c>
      <c r="D245" s="423" t="s">
        <v>1065</v>
      </c>
      <c r="E245" s="423" t="s">
        <v>1065</v>
      </c>
      <c r="F245" s="423" t="s">
        <v>1112</v>
      </c>
      <c r="G245" s="420" t="s">
        <v>1122</v>
      </c>
      <c r="H245" s="423" t="s">
        <v>1135</v>
      </c>
      <c r="I245" s="423" t="str">
        <f t="shared" si="13"/>
        <v>-</v>
      </c>
    </row>
    <row r="246" spans="1:9" ht="13.5" customHeight="1">
      <c r="A246" s="421" t="s">
        <v>241</v>
      </c>
      <c r="B246" s="423" t="s">
        <v>1110</v>
      </c>
      <c r="C246" s="423">
        <v>9</v>
      </c>
      <c r="D246" s="423" t="s">
        <v>1065</v>
      </c>
      <c r="E246" s="423" t="s">
        <v>1065</v>
      </c>
      <c r="F246" s="423" t="s">
        <v>1112</v>
      </c>
      <c r="G246" s="420" t="s">
        <v>1122</v>
      </c>
      <c r="H246" s="423" t="s">
        <v>1136</v>
      </c>
      <c r="I246" s="423" t="str">
        <f t="shared" si="13"/>
        <v>-</v>
      </c>
    </row>
    <row r="247" spans="1:9" ht="13.5" customHeight="1">
      <c r="A247" s="421" t="s">
        <v>376</v>
      </c>
      <c r="B247" s="423" t="s">
        <v>1113</v>
      </c>
      <c r="C247" s="423">
        <v>12</v>
      </c>
      <c r="D247" s="423" t="s">
        <v>1065</v>
      </c>
      <c r="E247" s="423" t="s">
        <v>1065</v>
      </c>
      <c r="F247" s="423" t="s">
        <v>1112</v>
      </c>
      <c r="G247" s="420" t="s">
        <v>1122</v>
      </c>
      <c r="H247" s="423" t="s">
        <v>1130</v>
      </c>
      <c r="I247" s="423" t="str">
        <f t="shared" si="13"/>
        <v>-</v>
      </c>
    </row>
    <row r="248" spans="1:9" ht="13.5" customHeight="1">
      <c r="A248" s="421" t="s">
        <v>378</v>
      </c>
      <c r="B248" s="423" t="s">
        <v>1113</v>
      </c>
      <c r="C248" s="423">
        <v>12</v>
      </c>
      <c r="D248" s="423" t="s">
        <v>1065</v>
      </c>
      <c r="E248" s="423" t="s">
        <v>1065</v>
      </c>
      <c r="F248" s="423" t="s">
        <v>1112</v>
      </c>
      <c r="G248" s="420" t="s">
        <v>1122</v>
      </c>
      <c r="H248" s="423" t="s">
        <v>1136</v>
      </c>
      <c r="I248" s="423" t="str">
        <f t="shared" si="13"/>
        <v>-</v>
      </c>
    </row>
    <row r="249" spans="1:9" ht="13.5" customHeight="1">
      <c r="A249" s="421" t="s">
        <v>380</v>
      </c>
      <c r="B249" s="423" t="s">
        <v>1113</v>
      </c>
      <c r="C249" s="423">
        <v>12</v>
      </c>
      <c r="D249" s="423" t="s">
        <v>1065</v>
      </c>
      <c r="E249" s="423" t="s">
        <v>1065</v>
      </c>
      <c r="F249" s="423" t="s">
        <v>1112</v>
      </c>
      <c r="G249" s="420" t="s">
        <v>1122</v>
      </c>
      <c r="H249" s="423" t="s">
        <v>1130</v>
      </c>
      <c r="I249" s="423" t="str">
        <f t="shared" si="13"/>
        <v>-</v>
      </c>
    </row>
    <row r="250" spans="1:9" ht="13.5" customHeight="1">
      <c r="A250" s="421" t="s">
        <v>382</v>
      </c>
      <c r="B250" s="423" t="s">
        <v>1113</v>
      </c>
      <c r="C250" s="423">
        <v>12</v>
      </c>
      <c r="D250" s="423" t="s">
        <v>1065</v>
      </c>
      <c r="E250" s="423" t="s">
        <v>1065</v>
      </c>
      <c r="F250" s="423" t="s">
        <v>1112</v>
      </c>
      <c r="G250" s="420" t="s">
        <v>1122</v>
      </c>
      <c r="H250" s="423" t="s">
        <v>1135</v>
      </c>
      <c r="I250" s="423" t="str">
        <f t="shared" si="13"/>
        <v>-</v>
      </c>
    </row>
    <row r="251" spans="1:9" ht="13.5" customHeight="1">
      <c r="A251" s="421" t="s">
        <v>384</v>
      </c>
      <c r="B251" s="423" t="s">
        <v>1113</v>
      </c>
      <c r="C251" s="423">
        <v>12</v>
      </c>
      <c r="D251" s="423">
        <v>0</v>
      </c>
      <c r="E251" s="423">
        <v>0</v>
      </c>
      <c r="F251" s="423" t="s">
        <v>1112</v>
      </c>
      <c r="G251" s="420" t="s">
        <v>1098</v>
      </c>
      <c r="H251" s="423"/>
      <c r="I251" s="423">
        <f t="shared" si="13"/>
        <v>12</v>
      </c>
    </row>
    <row r="252" spans="1:9" ht="13.5" customHeight="1">
      <c r="A252" s="421" t="s">
        <v>386</v>
      </c>
      <c r="B252" s="423" t="s">
        <v>1113</v>
      </c>
      <c r="C252" s="423">
        <v>12</v>
      </c>
      <c r="D252" s="423">
        <v>0</v>
      </c>
      <c r="E252" s="423">
        <v>0</v>
      </c>
      <c r="F252" s="423" t="s">
        <v>1112</v>
      </c>
      <c r="G252" s="420" t="s">
        <v>1098</v>
      </c>
      <c r="H252" s="423"/>
      <c r="I252" s="423">
        <f t="shared" si="13"/>
        <v>12</v>
      </c>
    </row>
    <row r="253" spans="1:9" ht="13.5" customHeight="1">
      <c r="A253" s="421" t="s">
        <v>388</v>
      </c>
      <c r="B253" s="423" t="s">
        <v>1113</v>
      </c>
      <c r="C253" s="423">
        <v>12</v>
      </c>
      <c r="D253" s="423">
        <v>0</v>
      </c>
      <c r="E253" s="423">
        <v>0</v>
      </c>
      <c r="F253" s="423" t="s">
        <v>1112</v>
      </c>
      <c r="G253" s="420" t="s">
        <v>1098</v>
      </c>
      <c r="H253" s="423"/>
      <c r="I253" s="423">
        <f t="shared" si="13"/>
        <v>12</v>
      </c>
    </row>
    <row r="254" spans="1:9" ht="13.5" customHeight="1">
      <c r="A254" s="421" t="s">
        <v>390</v>
      </c>
      <c r="B254" s="423" t="s">
        <v>1113</v>
      </c>
      <c r="C254" s="423">
        <v>12</v>
      </c>
      <c r="D254" s="423">
        <v>0</v>
      </c>
      <c r="E254" s="423">
        <v>0</v>
      </c>
      <c r="F254" s="423" t="s">
        <v>1112</v>
      </c>
      <c r="G254" s="420" t="s">
        <v>1098</v>
      </c>
      <c r="H254" s="423"/>
      <c r="I254" s="423">
        <f t="shared" si="13"/>
        <v>12</v>
      </c>
    </row>
    <row r="255" spans="1:9" ht="13.5" customHeight="1"/>
    <row r="256" spans="1:9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0687-0043-443B-94A8-B2607A5246B9}">
  <dimension ref="C3:E5"/>
  <sheetViews>
    <sheetView workbookViewId="0">
      <selection activeCell="G21" sqref="G21"/>
    </sheetView>
  </sheetViews>
  <sheetFormatPr defaultRowHeight="15"/>
  <cols>
    <col min="3" max="3" width="10.42578125" bestFit="1" customWidth="1"/>
    <col min="4" max="4" width="10.140625" bestFit="1" customWidth="1"/>
    <col min="5" max="5" width="9.42578125" bestFit="1" customWidth="1"/>
  </cols>
  <sheetData>
    <row r="3" spans="3:5">
      <c r="C3" s="275">
        <v>45874</v>
      </c>
      <c r="D3" s="275">
        <v>46157</v>
      </c>
      <c r="E3" s="276">
        <f>+D3-C3</f>
        <v>283</v>
      </c>
    </row>
    <row r="4" spans="3:5">
      <c r="D4" s="275">
        <v>46147</v>
      </c>
      <c r="E4" s="276">
        <f>+D4-C3</f>
        <v>273</v>
      </c>
    </row>
    <row r="5" spans="3:5">
      <c r="E5" s="277">
        <f>+E4/E3</f>
        <v>0.96466431095406358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D920-467C-41A6-B3CA-BA773BE5B5D1}">
  <dimension ref="A1:Z119"/>
  <sheetViews>
    <sheetView zoomScale="85" zoomScaleNormal="85" workbookViewId="0">
      <pane xSplit="2" ySplit="9" topLeftCell="C10" activePane="bottomRight" state="frozen"/>
      <selection pane="bottomRight" activeCell="J58" sqref="J58"/>
      <selection pane="bottomLeft" activeCell="A10" sqref="A10"/>
      <selection pane="topRight" activeCell="C1" sqref="C1"/>
    </sheetView>
  </sheetViews>
  <sheetFormatPr defaultColWidth="9" defaultRowHeight="15" outlineLevelRow="3" outlineLevelCol="1"/>
  <cols>
    <col min="1" max="1" width="6.42578125" style="141" customWidth="1"/>
    <col min="2" max="2" width="36.140625" style="141" customWidth="1"/>
    <col min="3" max="3" width="8.85546875" style="158" customWidth="1"/>
    <col min="4" max="4" width="8.85546875" style="161" customWidth="1"/>
    <col min="5" max="16" width="8.7109375" style="141" customWidth="1"/>
    <col min="17" max="24" width="9" style="141" customWidth="1" outlineLevel="1"/>
    <col min="25" max="26" width="13.140625" style="141" customWidth="1"/>
    <col min="27" max="16384" width="9" style="141"/>
  </cols>
  <sheetData>
    <row r="1" spans="1:26" s="10" customFormat="1" ht="14.25" customHeight="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</row>
    <row r="2" spans="1:26" s="10" customFormat="1" ht="24" customHeight="1">
      <c r="A2" s="466" t="s">
        <v>1137</v>
      </c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</row>
    <row r="3" spans="1:26" s="10" customFormat="1" ht="18.75" hidden="1" customHeight="1" outlineLevel="1">
      <c r="A3" s="137"/>
      <c r="B3" s="467"/>
      <c r="C3" s="152"/>
      <c r="D3" s="159"/>
      <c r="E3" s="468" t="s">
        <v>1138</v>
      </c>
      <c r="F3" s="468"/>
      <c r="G3" s="469" t="s">
        <v>1139</v>
      </c>
      <c r="H3" s="469"/>
      <c r="I3" s="469"/>
      <c r="J3" s="469"/>
      <c r="K3" s="469"/>
      <c r="L3" s="468" t="s">
        <v>1140</v>
      </c>
      <c r="M3" s="468"/>
      <c r="N3" s="468"/>
      <c r="O3" s="138"/>
      <c r="P3" s="470"/>
      <c r="Q3" s="470"/>
      <c r="R3" s="470"/>
      <c r="S3" s="470"/>
      <c r="T3" s="470"/>
      <c r="U3" s="470"/>
      <c r="V3" s="470"/>
      <c r="W3" s="470"/>
      <c r="X3" s="470"/>
      <c r="Y3" s="66"/>
    </row>
    <row r="4" spans="1:26" s="10" customFormat="1" ht="18" hidden="1" customHeight="1" outlineLevel="1">
      <c r="A4" s="137"/>
      <c r="B4" s="467"/>
      <c r="C4" s="153"/>
      <c r="D4" s="160"/>
      <c r="E4" s="471" t="s">
        <v>1141</v>
      </c>
      <c r="F4" s="472"/>
      <c r="G4" s="469" t="s">
        <v>1142</v>
      </c>
      <c r="H4" s="469"/>
      <c r="I4" s="469"/>
      <c r="J4" s="469"/>
      <c r="K4" s="469"/>
      <c r="L4" s="468" t="s">
        <v>1143</v>
      </c>
      <c r="M4" s="468"/>
      <c r="N4" s="468"/>
      <c r="O4" s="138"/>
      <c r="P4" s="482"/>
      <c r="Q4" s="482"/>
      <c r="R4" s="482"/>
      <c r="S4" s="482"/>
      <c r="T4" s="482"/>
      <c r="U4" s="482"/>
      <c r="V4" s="482"/>
      <c r="W4" s="482"/>
      <c r="X4" s="482"/>
      <c r="Y4" s="139"/>
    </row>
    <row r="5" spans="1:26" s="10" customFormat="1" ht="21" hidden="1" customHeight="1" outlineLevel="1">
      <c r="A5" s="137"/>
      <c r="B5" s="467"/>
      <c r="C5" s="153"/>
      <c r="D5" s="160"/>
      <c r="E5" s="471" t="s">
        <v>1144</v>
      </c>
      <c r="F5" s="472"/>
      <c r="G5" s="468" t="s">
        <v>1145</v>
      </c>
      <c r="H5" s="468"/>
      <c r="I5" s="468"/>
      <c r="J5" s="468"/>
      <c r="K5" s="468"/>
      <c r="L5" s="468" t="s">
        <v>1146</v>
      </c>
      <c r="M5" s="468"/>
      <c r="N5" s="468"/>
      <c r="O5" s="138"/>
      <c r="P5" s="482"/>
      <c r="Q5" s="482"/>
      <c r="R5" s="482"/>
      <c r="S5" s="482"/>
      <c r="T5" s="482"/>
      <c r="U5" s="482"/>
      <c r="V5" s="482"/>
      <c r="W5" s="482"/>
      <c r="X5" s="482"/>
      <c r="Y5" s="139"/>
    </row>
    <row r="6" spans="1:26" s="10" customFormat="1" ht="18.75" collapsed="1" thickBot="1">
      <c r="A6" s="483"/>
      <c r="B6" s="483"/>
      <c r="C6" s="483"/>
      <c r="D6" s="483"/>
      <c r="E6" s="483"/>
      <c r="F6" s="483"/>
      <c r="G6" s="483"/>
      <c r="H6" s="483"/>
      <c r="I6" s="483"/>
      <c r="J6" s="483"/>
      <c r="K6" s="483"/>
      <c r="L6" s="483"/>
      <c r="M6" s="483"/>
      <c r="N6" s="483"/>
      <c r="O6" s="483"/>
      <c r="P6" s="483"/>
      <c r="Q6" s="483"/>
      <c r="R6" s="483"/>
      <c r="S6" s="483"/>
      <c r="T6" s="483"/>
      <c r="U6" s="483"/>
      <c r="V6" s="483"/>
      <c r="W6" s="483"/>
      <c r="X6" s="483"/>
      <c r="Y6" s="483"/>
    </row>
    <row r="7" spans="1:26" s="137" customFormat="1" ht="21.75" customHeight="1" thickBot="1">
      <c r="A7" s="484" t="s">
        <v>1147</v>
      </c>
      <c r="B7" s="487" t="s">
        <v>1148</v>
      </c>
      <c r="C7" s="490" t="s">
        <v>1149</v>
      </c>
      <c r="D7" s="491"/>
      <c r="E7" s="496" t="s">
        <v>1150</v>
      </c>
      <c r="F7" s="497"/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8"/>
      <c r="Y7" s="496" t="s">
        <v>1151</v>
      </c>
      <c r="Z7" s="473" t="s">
        <v>1152</v>
      </c>
    </row>
    <row r="8" spans="1:26" s="137" customFormat="1" ht="21.75" customHeight="1">
      <c r="A8" s="485"/>
      <c r="B8" s="488"/>
      <c r="C8" s="492"/>
      <c r="D8" s="493"/>
      <c r="E8" s="476" t="s">
        <v>1153</v>
      </c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8"/>
      <c r="Q8" s="479" t="s">
        <v>1154</v>
      </c>
      <c r="R8" s="480"/>
      <c r="S8" s="480"/>
      <c r="T8" s="480"/>
      <c r="U8" s="480"/>
      <c r="V8" s="480"/>
      <c r="W8" s="480"/>
      <c r="X8" s="481"/>
      <c r="Y8" s="499"/>
      <c r="Z8" s="474"/>
    </row>
    <row r="9" spans="1:26" s="140" customFormat="1" ht="36.75" customHeight="1" thickBot="1">
      <c r="A9" s="486"/>
      <c r="B9" s="489"/>
      <c r="C9" s="494"/>
      <c r="D9" s="495"/>
      <c r="E9" s="149" t="s">
        <v>1155</v>
      </c>
      <c r="F9" s="131" t="s">
        <v>1156</v>
      </c>
      <c r="G9" s="131" t="s">
        <v>1157</v>
      </c>
      <c r="H9" s="131" t="s">
        <v>1158</v>
      </c>
      <c r="I9" s="131" t="s">
        <v>1159</v>
      </c>
      <c r="J9" s="131" t="s">
        <v>1160</v>
      </c>
      <c r="K9" s="131" t="s">
        <v>1161</v>
      </c>
      <c r="L9" s="131" t="s">
        <v>1162</v>
      </c>
      <c r="M9" s="131" t="s">
        <v>1163</v>
      </c>
      <c r="N9" s="131" t="s">
        <v>1164</v>
      </c>
      <c r="O9" s="131" t="s">
        <v>1165</v>
      </c>
      <c r="P9" s="133" t="s">
        <v>1166</v>
      </c>
      <c r="Q9" s="206" t="s">
        <v>1167</v>
      </c>
      <c r="R9" s="134" t="s">
        <v>1168</v>
      </c>
      <c r="S9" s="134" t="s">
        <v>1169</v>
      </c>
      <c r="T9" s="134" t="s">
        <v>1170</v>
      </c>
      <c r="U9" s="134" t="s">
        <v>1171</v>
      </c>
      <c r="V9" s="134" t="s">
        <v>1172</v>
      </c>
      <c r="W9" s="134" t="s">
        <v>1173</v>
      </c>
      <c r="X9" s="135" t="s">
        <v>1174</v>
      </c>
      <c r="Y9" s="500"/>
      <c r="Z9" s="475"/>
    </row>
    <row r="10" spans="1:26">
      <c r="A10" s="183" t="s">
        <v>1175</v>
      </c>
      <c r="B10" s="148"/>
      <c r="C10" s="157">
        <f>+SUM(C11:C18)</f>
        <v>1</v>
      </c>
      <c r="D10" s="184">
        <f>+SUM(D11:D18)</f>
        <v>1</v>
      </c>
      <c r="E10" s="168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70"/>
      <c r="Q10" s="165"/>
      <c r="R10" s="148"/>
      <c r="S10" s="148"/>
      <c r="T10" s="148"/>
      <c r="U10" s="148"/>
      <c r="V10" s="148"/>
      <c r="W10" s="148"/>
      <c r="X10" s="178"/>
      <c r="Y10" s="181"/>
      <c r="Z10" s="182"/>
    </row>
    <row r="11" spans="1:26" outlineLevel="1">
      <c r="A11" s="18">
        <v>1</v>
      </c>
      <c r="B11" s="144" t="s">
        <v>1176</v>
      </c>
      <c r="C11" s="154">
        <v>0.1</v>
      </c>
      <c r="D11" s="185">
        <v>0.1</v>
      </c>
      <c r="E11" s="198">
        <v>1</v>
      </c>
      <c r="F11" s="199">
        <v>1</v>
      </c>
      <c r="G11" s="199">
        <v>1</v>
      </c>
      <c r="H11" s="199">
        <v>1</v>
      </c>
      <c r="I11" s="199">
        <v>1</v>
      </c>
      <c r="J11" s="199">
        <v>1</v>
      </c>
      <c r="K11" s="199">
        <v>1</v>
      </c>
      <c r="L11" s="199">
        <v>1</v>
      </c>
      <c r="M11" s="199">
        <v>1</v>
      </c>
      <c r="N11" s="199">
        <v>1</v>
      </c>
      <c r="O11" s="199">
        <v>1</v>
      </c>
      <c r="P11" s="200">
        <v>1</v>
      </c>
      <c r="Q11" s="199">
        <v>1</v>
      </c>
      <c r="R11" s="199">
        <v>1</v>
      </c>
      <c r="S11" s="199">
        <v>1</v>
      </c>
      <c r="T11" s="199">
        <v>1</v>
      </c>
      <c r="U11" s="199">
        <v>1</v>
      </c>
      <c r="V11" s="199">
        <v>1</v>
      </c>
      <c r="W11" s="199">
        <v>1</v>
      </c>
      <c r="X11" s="200">
        <v>1</v>
      </c>
      <c r="Y11" s="171"/>
      <c r="Z11" s="172"/>
    </row>
    <row r="12" spans="1:26" outlineLevel="1">
      <c r="A12" s="18">
        <v>2</v>
      </c>
      <c r="B12" s="144" t="s">
        <v>1177</v>
      </c>
      <c r="C12" s="154">
        <v>0.15</v>
      </c>
      <c r="D12" s="185">
        <v>0.15</v>
      </c>
      <c r="E12" s="198">
        <v>1</v>
      </c>
      <c r="F12" s="199">
        <v>1</v>
      </c>
      <c r="G12" s="199">
        <v>1</v>
      </c>
      <c r="H12" s="199">
        <v>1</v>
      </c>
      <c r="I12" s="199">
        <v>1</v>
      </c>
      <c r="J12" s="199">
        <v>1</v>
      </c>
      <c r="K12" s="199">
        <v>1</v>
      </c>
      <c r="L12" s="199">
        <v>1</v>
      </c>
      <c r="M12" s="199">
        <v>1</v>
      </c>
      <c r="N12" s="199">
        <v>1</v>
      </c>
      <c r="O12" s="199">
        <v>1</v>
      </c>
      <c r="P12" s="200">
        <v>1</v>
      </c>
      <c r="Q12" s="199">
        <v>1</v>
      </c>
      <c r="R12" s="199">
        <v>1</v>
      </c>
      <c r="S12" s="199">
        <v>1</v>
      </c>
      <c r="T12" s="199">
        <v>1</v>
      </c>
      <c r="U12" s="199">
        <v>1</v>
      </c>
      <c r="V12" s="199">
        <v>1</v>
      </c>
      <c r="W12" s="199">
        <v>1</v>
      </c>
      <c r="X12" s="199">
        <v>1</v>
      </c>
      <c r="Y12" s="171"/>
      <c r="Z12" s="172"/>
    </row>
    <row r="13" spans="1:26" outlineLevel="1">
      <c r="A13" s="18">
        <v>3</v>
      </c>
      <c r="B13" s="144" t="s">
        <v>1178</v>
      </c>
      <c r="C13" s="154">
        <v>0.15</v>
      </c>
      <c r="D13" s="185">
        <v>0.15</v>
      </c>
      <c r="E13" s="198">
        <v>1</v>
      </c>
      <c r="F13" s="199">
        <v>1</v>
      </c>
      <c r="G13" s="199">
        <v>1</v>
      </c>
      <c r="H13" s="199">
        <v>1</v>
      </c>
      <c r="I13" s="199">
        <v>1</v>
      </c>
      <c r="J13" s="199">
        <v>1</v>
      </c>
      <c r="K13" s="199">
        <v>1</v>
      </c>
      <c r="L13" s="199">
        <v>1</v>
      </c>
      <c r="M13" s="199">
        <v>1</v>
      </c>
      <c r="N13" s="199">
        <v>1</v>
      </c>
      <c r="O13" s="199">
        <v>1</v>
      </c>
      <c r="P13" s="200">
        <v>1</v>
      </c>
      <c r="Q13" s="199">
        <v>1</v>
      </c>
      <c r="R13" s="199">
        <v>1</v>
      </c>
      <c r="S13" s="199">
        <v>1</v>
      </c>
      <c r="T13" s="199">
        <v>1</v>
      </c>
      <c r="U13" s="199">
        <v>1</v>
      </c>
      <c r="V13" s="199">
        <v>1</v>
      </c>
      <c r="W13" s="199">
        <v>1</v>
      </c>
      <c r="X13" s="199">
        <v>1</v>
      </c>
      <c r="Y13" s="171"/>
      <c r="Z13" s="172"/>
    </row>
    <row r="14" spans="1:26" outlineLevel="1">
      <c r="A14" s="18">
        <v>4</v>
      </c>
      <c r="B14" s="144" t="s">
        <v>1179</v>
      </c>
      <c r="C14" s="154">
        <v>0.15</v>
      </c>
      <c r="D14" s="185">
        <v>0.15</v>
      </c>
      <c r="E14" s="198">
        <v>1</v>
      </c>
      <c r="F14" s="199">
        <v>1</v>
      </c>
      <c r="G14" s="199">
        <v>1</v>
      </c>
      <c r="H14" s="199">
        <v>1</v>
      </c>
      <c r="I14" s="199">
        <v>1</v>
      </c>
      <c r="J14" s="199">
        <v>1</v>
      </c>
      <c r="K14" s="199">
        <v>1</v>
      </c>
      <c r="L14" s="199">
        <v>1</v>
      </c>
      <c r="M14" s="199">
        <v>1</v>
      </c>
      <c r="N14" s="199">
        <v>1</v>
      </c>
      <c r="O14" s="199">
        <v>1</v>
      </c>
      <c r="P14" s="200">
        <v>1</v>
      </c>
      <c r="Q14" s="199">
        <v>1</v>
      </c>
      <c r="R14" s="199">
        <v>1</v>
      </c>
      <c r="S14" s="199">
        <v>1</v>
      </c>
      <c r="T14" s="199">
        <v>1</v>
      </c>
      <c r="U14" s="199">
        <v>1</v>
      </c>
      <c r="V14" s="199">
        <v>1</v>
      </c>
      <c r="W14" s="199">
        <v>1</v>
      </c>
      <c r="X14" s="199">
        <v>1</v>
      </c>
      <c r="Y14" s="171"/>
      <c r="Z14" s="172"/>
    </row>
    <row r="15" spans="1:26" outlineLevel="1">
      <c r="A15" s="18">
        <v>5</v>
      </c>
      <c r="B15" s="146" t="s">
        <v>1180</v>
      </c>
      <c r="C15" s="155">
        <v>0.1</v>
      </c>
      <c r="D15" s="186">
        <v>0.1</v>
      </c>
      <c r="E15" s="198">
        <v>1</v>
      </c>
      <c r="F15" s="199">
        <v>1</v>
      </c>
      <c r="G15" s="199">
        <v>1</v>
      </c>
      <c r="H15" s="199">
        <v>1</v>
      </c>
      <c r="I15" s="199">
        <v>1</v>
      </c>
      <c r="J15" s="199">
        <v>1</v>
      </c>
      <c r="K15" s="199">
        <v>1</v>
      </c>
      <c r="L15" s="199">
        <v>1</v>
      </c>
      <c r="M15" s="199">
        <v>1</v>
      </c>
      <c r="N15" s="199">
        <v>1</v>
      </c>
      <c r="O15" s="199">
        <v>1</v>
      </c>
      <c r="P15" s="200">
        <v>1</v>
      </c>
      <c r="Q15" s="199">
        <v>1</v>
      </c>
      <c r="R15" s="199">
        <v>1</v>
      </c>
      <c r="S15" s="199">
        <v>1</v>
      </c>
      <c r="T15" s="199">
        <v>1</v>
      </c>
      <c r="U15" s="199">
        <v>1</v>
      </c>
      <c r="V15" s="199">
        <v>1</v>
      </c>
      <c r="W15" s="199">
        <v>1</v>
      </c>
      <c r="X15" s="199">
        <v>1</v>
      </c>
      <c r="Y15" s="171"/>
      <c r="Z15" s="172"/>
    </row>
    <row r="16" spans="1:26" outlineLevel="1">
      <c r="A16" s="18">
        <v>6</v>
      </c>
      <c r="B16" s="146" t="s">
        <v>1181</v>
      </c>
      <c r="C16" s="155">
        <v>0.15</v>
      </c>
      <c r="D16" s="186">
        <v>0.15</v>
      </c>
      <c r="E16" s="198">
        <v>1</v>
      </c>
      <c r="F16" s="199">
        <v>1</v>
      </c>
      <c r="G16" s="199">
        <v>1</v>
      </c>
      <c r="H16" s="199">
        <v>1</v>
      </c>
      <c r="I16" s="199">
        <v>1</v>
      </c>
      <c r="J16" s="199">
        <v>1</v>
      </c>
      <c r="K16" s="199">
        <v>1</v>
      </c>
      <c r="L16" s="199">
        <v>1</v>
      </c>
      <c r="M16" s="199">
        <v>1</v>
      </c>
      <c r="N16" s="199">
        <v>1</v>
      </c>
      <c r="O16" s="199">
        <v>1</v>
      </c>
      <c r="P16" s="200">
        <v>1</v>
      </c>
      <c r="Q16" s="199">
        <v>1</v>
      </c>
      <c r="R16" s="199">
        <v>1</v>
      </c>
      <c r="S16" s="199">
        <v>1</v>
      </c>
      <c r="T16" s="199">
        <v>1</v>
      </c>
      <c r="U16" s="199">
        <v>1</v>
      </c>
      <c r="V16" s="199">
        <v>1</v>
      </c>
      <c r="W16" s="199">
        <v>1</v>
      </c>
      <c r="X16" s="199">
        <v>1</v>
      </c>
      <c r="Y16" s="171"/>
      <c r="Z16" s="172"/>
    </row>
    <row r="17" spans="1:26" outlineLevel="1">
      <c r="A17" s="18">
        <v>7</v>
      </c>
      <c r="B17" s="146" t="s">
        <v>1182</v>
      </c>
      <c r="C17" s="155">
        <v>0.1</v>
      </c>
      <c r="D17" s="186">
        <v>0.1</v>
      </c>
      <c r="E17" s="198">
        <v>1</v>
      </c>
      <c r="F17" s="199">
        <v>1</v>
      </c>
      <c r="G17" s="199">
        <v>1</v>
      </c>
      <c r="H17" s="199">
        <v>1</v>
      </c>
      <c r="I17" s="199">
        <v>1</v>
      </c>
      <c r="J17" s="199">
        <v>1</v>
      </c>
      <c r="K17" s="199">
        <v>1</v>
      </c>
      <c r="L17" s="199">
        <v>1</v>
      </c>
      <c r="M17" s="199">
        <v>1</v>
      </c>
      <c r="N17" s="199">
        <v>1</v>
      </c>
      <c r="O17" s="199">
        <v>1</v>
      </c>
      <c r="P17" s="200">
        <v>1</v>
      </c>
      <c r="Q17" s="199">
        <v>1</v>
      </c>
      <c r="R17" s="199">
        <v>1</v>
      </c>
      <c r="S17" s="199">
        <v>1</v>
      </c>
      <c r="T17" s="199">
        <v>1</v>
      </c>
      <c r="U17" s="199">
        <v>1</v>
      </c>
      <c r="V17" s="199">
        <v>1</v>
      </c>
      <c r="W17" s="199">
        <v>1</v>
      </c>
      <c r="X17" s="199">
        <v>1</v>
      </c>
      <c r="Y17" s="171"/>
      <c r="Z17" s="172"/>
    </row>
    <row r="18" spans="1:26" outlineLevel="1">
      <c r="A18" s="18">
        <v>8</v>
      </c>
      <c r="B18" s="146" t="s">
        <v>1183</v>
      </c>
      <c r="C18" s="155">
        <v>0.1</v>
      </c>
      <c r="D18" s="186">
        <v>0.1</v>
      </c>
      <c r="E18" s="198">
        <v>1</v>
      </c>
      <c r="F18" s="199">
        <v>1</v>
      </c>
      <c r="G18" s="199">
        <v>1</v>
      </c>
      <c r="H18" s="199">
        <v>1</v>
      </c>
      <c r="I18" s="199">
        <v>1</v>
      </c>
      <c r="J18" s="199">
        <v>1</v>
      </c>
      <c r="K18" s="199">
        <v>1</v>
      </c>
      <c r="L18" s="199">
        <v>1</v>
      </c>
      <c r="M18" s="199">
        <v>1</v>
      </c>
      <c r="N18" s="199">
        <v>1</v>
      </c>
      <c r="O18" s="199">
        <v>1</v>
      </c>
      <c r="P18" s="200">
        <v>1</v>
      </c>
      <c r="Q18" s="199">
        <v>1</v>
      </c>
      <c r="R18" s="199">
        <v>1</v>
      </c>
      <c r="S18" s="199">
        <v>1</v>
      </c>
      <c r="T18" s="199">
        <v>1</v>
      </c>
      <c r="U18" s="199">
        <v>1</v>
      </c>
      <c r="V18" s="199">
        <v>1</v>
      </c>
      <c r="W18" s="199">
        <v>1</v>
      </c>
      <c r="X18" s="199">
        <v>1</v>
      </c>
      <c r="Y18" s="171"/>
      <c r="Z18" s="172"/>
    </row>
    <row r="19" spans="1:26">
      <c r="A19" s="187" t="s">
        <v>1184</v>
      </c>
      <c r="B19" s="143"/>
      <c r="C19" s="156"/>
      <c r="D19" s="188">
        <f>+D20+D111+D112+D113+D114</f>
        <v>0.99999999999999989</v>
      </c>
      <c r="E19" s="204">
        <f>+$D20*E20+$D111*E111+$D112*E112+$D113*E113+$D114*E114</f>
        <v>9.1083271987228188E-3</v>
      </c>
      <c r="F19" s="201">
        <f t="shared" ref="F19:P19" si="0">+$D20*F20+$D111*F111+$D112*F112+$D113*F113+$D114*F114</f>
        <v>9.1083271987228188E-3</v>
      </c>
      <c r="G19" s="201">
        <f t="shared" si="0"/>
        <v>9.1083271987228188E-3</v>
      </c>
      <c r="H19" s="201">
        <f t="shared" si="0"/>
        <v>9.1083271987228188E-3</v>
      </c>
      <c r="I19" s="201">
        <f t="shared" si="0"/>
        <v>9.1083271987228188E-3</v>
      </c>
      <c r="J19" s="201">
        <f t="shared" si="0"/>
        <v>9.1083271987228188E-3</v>
      </c>
      <c r="K19" s="201">
        <f t="shared" si="0"/>
        <v>9.1083271987228188E-3</v>
      </c>
      <c r="L19" s="201">
        <f t="shared" si="0"/>
        <v>9.1083271987228188E-3</v>
      </c>
      <c r="M19" s="201">
        <f t="shared" si="0"/>
        <v>9.1083271987228188E-3</v>
      </c>
      <c r="N19" s="201">
        <f t="shared" si="0"/>
        <v>9.1083271987228188E-3</v>
      </c>
      <c r="O19" s="201">
        <f t="shared" si="0"/>
        <v>9.1083271987228188E-3</v>
      </c>
      <c r="P19" s="202">
        <f t="shared" si="0"/>
        <v>9.1083271987228188E-3</v>
      </c>
      <c r="Q19" s="204">
        <f>+$D20*Q20+$D111*Q111+$D112*Q112+$D113*Q113+$D114*Q114</f>
        <v>9.1083271987228188E-3</v>
      </c>
      <c r="R19" s="201">
        <f t="shared" ref="R19:X19" si="1">+$D20*R20+$D111*R111+$D112*R112+$D113*R113+$D114*R114</f>
        <v>9.1083271987228188E-3</v>
      </c>
      <c r="S19" s="201">
        <f t="shared" si="1"/>
        <v>9.1083271987228188E-3</v>
      </c>
      <c r="T19" s="201">
        <f t="shared" si="1"/>
        <v>9.1083271987228188E-3</v>
      </c>
      <c r="U19" s="201">
        <f t="shared" si="1"/>
        <v>9.1083271987228188E-3</v>
      </c>
      <c r="V19" s="201">
        <f t="shared" si="1"/>
        <v>9.1083271987228188E-3</v>
      </c>
      <c r="W19" s="201">
        <f t="shared" si="1"/>
        <v>9.1083271987228188E-3</v>
      </c>
      <c r="X19" s="201">
        <f t="shared" si="1"/>
        <v>9.1083271987228188E-3</v>
      </c>
      <c r="Y19" s="173"/>
      <c r="Z19" s="174"/>
    </row>
    <row r="20" spans="1:26">
      <c r="A20" s="187" t="s">
        <v>1185</v>
      </c>
      <c r="B20" s="142" t="s">
        <v>1186</v>
      </c>
      <c r="C20" s="157"/>
      <c r="D20" s="188">
        <f>+D21+D38+D62+D103+D104+D105+D106+D107+D108+D109+D110</f>
        <v>0.78293870443751779</v>
      </c>
      <c r="E20" s="204">
        <f>+(+$D21*E21+$D38*E38+$D62*E62+$D103*E103+$D104*E104+$D105*E105+$D106*E106+$D107*E107+$D108*E108+$D109*E109+$D110*E110)/$D20</f>
        <v>1.1633512492228191E-2</v>
      </c>
      <c r="F20" s="201">
        <f t="shared" ref="F20:P20" si="2">+(+$D21*F21+$D38*F38+$D62*F62+$D103*F103+$D104*F104+$D105*F105+$D106*F106+$D107*F107+$D108*F108+$D109*F109+$D110*F110)/$D20</f>
        <v>1.1633512492228191E-2</v>
      </c>
      <c r="G20" s="201">
        <f t="shared" si="2"/>
        <v>1.1633512492228191E-2</v>
      </c>
      <c r="H20" s="201">
        <f t="shared" si="2"/>
        <v>1.1633512492228191E-2</v>
      </c>
      <c r="I20" s="201">
        <f t="shared" si="2"/>
        <v>1.1633512492228191E-2</v>
      </c>
      <c r="J20" s="201">
        <f t="shared" si="2"/>
        <v>1.1633512492228191E-2</v>
      </c>
      <c r="K20" s="201">
        <f t="shared" si="2"/>
        <v>1.1633512492228191E-2</v>
      </c>
      <c r="L20" s="201">
        <f t="shared" si="2"/>
        <v>1.1633512492228191E-2</v>
      </c>
      <c r="M20" s="201">
        <f t="shared" si="2"/>
        <v>1.1633512492228191E-2</v>
      </c>
      <c r="N20" s="201">
        <f t="shared" si="2"/>
        <v>1.1633512492228191E-2</v>
      </c>
      <c r="O20" s="201">
        <f t="shared" si="2"/>
        <v>1.1633512492228191E-2</v>
      </c>
      <c r="P20" s="202">
        <f t="shared" si="2"/>
        <v>1.1633512492228191E-2</v>
      </c>
      <c r="Q20" s="204">
        <f>+(+$D21*Q21+$D38*Q38+$D62*Q62+$D103*Q103+$D104*Q104+$D105*Q105+$D106*Q106+$D107*Q107+$D108*Q108+$D109*Q109+$D110*Q110)/$D20</f>
        <v>1.1633512492228191E-2</v>
      </c>
      <c r="R20" s="201">
        <f t="shared" ref="R20:X20" si="3">+(+$D21*R21+$D38*R38+$D62*R62+$D103*R103+$D104*R104+$D105*R105+$D106*R106+$D107*R107+$D108*R108+$D109*R109+$D110*R110)/$D20</f>
        <v>1.1633512492228191E-2</v>
      </c>
      <c r="S20" s="201">
        <f t="shared" si="3"/>
        <v>1.1633512492228191E-2</v>
      </c>
      <c r="T20" s="201">
        <f t="shared" si="3"/>
        <v>1.1633512492228191E-2</v>
      </c>
      <c r="U20" s="201">
        <f t="shared" si="3"/>
        <v>1.1633512492228191E-2</v>
      </c>
      <c r="V20" s="201">
        <f t="shared" si="3"/>
        <v>1.1633512492228191E-2</v>
      </c>
      <c r="W20" s="201">
        <f t="shared" si="3"/>
        <v>1.1633512492228191E-2</v>
      </c>
      <c r="X20" s="201">
        <f t="shared" si="3"/>
        <v>1.1633512492228191E-2</v>
      </c>
      <c r="Y20" s="173"/>
      <c r="Z20" s="174"/>
    </row>
    <row r="21" spans="1:26" outlineLevel="1">
      <c r="A21" s="187">
        <v>1</v>
      </c>
      <c r="B21" s="142" t="s">
        <v>1187</v>
      </c>
      <c r="C21" s="157"/>
      <c r="D21" s="188">
        <f>+'[2]Construction-87'!$L$16</f>
        <v>2.2770817996807045E-2</v>
      </c>
      <c r="E21" s="204">
        <f>+(E22*$D22+$D29*E29+$D33*E33)/$D21</f>
        <v>0.4</v>
      </c>
      <c r="F21" s="201">
        <f t="shared" ref="F21:P21" si="4">+(F22*$D22+$D29*F29+$D33*F33)/$D21</f>
        <v>0.4</v>
      </c>
      <c r="G21" s="201">
        <f t="shared" si="4"/>
        <v>0.4</v>
      </c>
      <c r="H21" s="201">
        <f t="shared" si="4"/>
        <v>0.4</v>
      </c>
      <c r="I21" s="201">
        <f t="shared" si="4"/>
        <v>0.4</v>
      </c>
      <c r="J21" s="201">
        <f t="shared" si="4"/>
        <v>0.4</v>
      </c>
      <c r="K21" s="201">
        <f t="shared" si="4"/>
        <v>0.4</v>
      </c>
      <c r="L21" s="201">
        <f t="shared" si="4"/>
        <v>0.4</v>
      </c>
      <c r="M21" s="201">
        <f t="shared" si="4"/>
        <v>0.4</v>
      </c>
      <c r="N21" s="201">
        <f t="shared" si="4"/>
        <v>0.4</v>
      </c>
      <c r="O21" s="201">
        <f t="shared" si="4"/>
        <v>0.4</v>
      </c>
      <c r="P21" s="202">
        <f t="shared" si="4"/>
        <v>0.4</v>
      </c>
      <c r="Q21" s="204">
        <f>+(Q22*$D22+$D29*Q29+$D33*Q33)/$D21</f>
        <v>0.4</v>
      </c>
      <c r="R21" s="201">
        <f t="shared" ref="R21:X21" si="5">+(R22*$D22+$D29*R29+$D33*R33)/$D21</f>
        <v>0.4</v>
      </c>
      <c r="S21" s="201">
        <f t="shared" si="5"/>
        <v>0.4</v>
      </c>
      <c r="T21" s="201">
        <f t="shared" si="5"/>
        <v>0.4</v>
      </c>
      <c r="U21" s="201">
        <f t="shared" si="5"/>
        <v>0.4</v>
      </c>
      <c r="V21" s="201">
        <f t="shared" si="5"/>
        <v>0.4</v>
      </c>
      <c r="W21" s="201">
        <f t="shared" si="5"/>
        <v>0.4</v>
      </c>
      <c r="X21" s="201">
        <f t="shared" si="5"/>
        <v>0.4</v>
      </c>
      <c r="Y21" s="173"/>
      <c r="Z21" s="174"/>
    </row>
    <row r="22" spans="1:26" outlineLevel="2">
      <c r="A22" s="187">
        <v>1.1000000000000001</v>
      </c>
      <c r="B22" s="142" t="s">
        <v>1188</v>
      </c>
      <c r="C22" s="157">
        <f>+SUM(C23:C28)</f>
        <v>1</v>
      </c>
      <c r="D22" s="188">
        <f>+D21*40%</f>
        <v>9.1083271987228188E-3</v>
      </c>
      <c r="E22" s="204">
        <f>+SUMPRODUCT($C23:$C28,E23:E28)</f>
        <v>1</v>
      </c>
      <c r="F22" s="201">
        <f>+SUMPRODUCT($C23:$C28,F23:F28)</f>
        <v>1</v>
      </c>
      <c r="G22" s="201">
        <f t="shared" ref="G22:P22" si="6">+SUMPRODUCT($C23:$C28,G23:G28)</f>
        <v>1</v>
      </c>
      <c r="H22" s="201">
        <f t="shared" si="6"/>
        <v>1</v>
      </c>
      <c r="I22" s="201">
        <f t="shared" si="6"/>
        <v>1</v>
      </c>
      <c r="J22" s="201">
        <f t="shared" si="6"/>
        <v>1</v>
      </c>
      <c r="K22" s="201">
        <f t="shared" si="6"/>
        <v>1</v>
      </c>
      <c r="L22" s="201">
        <f t="shared" si="6"/>
        <v>1</v>
      </c>
      <c r="M22" s="201">
        <f t="shared" si="6"/>
        <v>1</v>
      </c>
      <c r="N22" s="201">
        <f t="shared" si="6"/>
        <v>1</v>
      </c>
      <c r="O22" s="201">
        <f t="shared" si="6"/>
        <v>1</v>
      </c>
      <c r="P22" s="202">
        <f t="shared" si="6"/>
        <v>1</v>
      </c>
      <c r="Q22" s="204">
        <f>+SUMPRODUCT($C23:$C28,Q23:Q28)</f>
        <v>1</v>
      </c>
      <c r="R22" s="201">
        <f>+SUMPRODUCT($C23:$C28,R23:R28)</f>
        <v>1</v>
      </c>
      <c r="S22" s="201">
        <f t="shared" ref="S22" si="7">+SUMPRODUCT($C23:$C28,S23:S28)</f>
        <v>1</v>
      </c>
      <c r="T22" s="201">
        <f>+SUMPRODUCT($C23:$C28,T23:T28)</f>
        <v>1</v>
      </c>
      <c r="U22" s="201">
        <f>+SUMPRODUCT($C23:$C28,U23:U28)</f>
        <v>1</v>
      </c>
      <c r="V22" s="201">
        <f>+SUMPRODUCT($C23:$C28,V23:V28)</f>
        <v>1</v>
      </c>
      <c r="W22" s="201">
        <f>+SUMPRODUCT($C23:$C28,W23:W28)</f>
        <v>1</v>
      </c>
      <c r="X22" s="201">
        <f>+SUMPRODUCT($C23:$C28,X23:X28)</f>
        <v>1</v>
      </c>
      <c r="Y22" s="173"/>
      <c r="Z22" s="174"/>
    </row>
    <row r="23" spans="1:26" ht="28.5" outlineLevel="3">
      <c r="A23" s="18">
        <v>1</v>
      </c>
      <c r="B23" s="146" t="s">
        <v>1189</v>
      </c>
      <c r="C23" s="155">
        <v>0.05</v>
      </c>
      <c r="D23" s="189">
        <f>+C23*$D$22</f>
        <v>4.5541635993614094E-4</v>
      </c>
      <c r="E23" s="205">
        <v>1</v>
      </c>
      <c r="F23" s="199">
        <v>1</v>
      </c>
      <c r="G23" s="199">
        <v>1</v>
      </c>
      <c r="H23" s="199">
        <v>1</v>
      </c>
      <c r="I23" s="199">
        <v>1</v>
      </c>
      <c r="J23" s="199">
        <v>1</v>
      </c>
      <c r="K23" s="199">
        <v>1</v>
      </c>
      <c r="L23" s="199">
        <v>1</v>
      </c>
      <c r="M23" s="199">
        <v>1</v>
      </c>
      <c r="N23" s="199">
        <v>1</v>
      </c>
      <c r="O23" s="199">
        <v>1</v>
      </c>
      <c r="P23" s="200">
        <v>1</v>
      </c>
      <c r="Q23" s="205">
        <v>1</v>
      </c>
      <c r="R23" s="199">
        <v>1</v>
      </c>
      <c r="S23" s="199">
        <v>1</v>
      </c>
      <c r="T23" s="199">
        <v>1</v>
      </c>
      <c r="U23" s="199">
        <v>1</v>
      </c>
      <c r="V23" s="199">
        <v>1</v>
      </c>
      <c r="W23" s="199">
        <v>1</v>
      </c>
      <c r="X23" s="199">
        <v>1</v>
      </c>
      <c r="Y23" s="171"/>
      <c r="Z23" s="172"/>
    </row>
    <row r="24" spans="1:26" outlineLevel="3">
      <c r="A24" s="18">
        <v>2</v>
      </c>
      <c r="B24" s="146" t="s">
        <v>1190</v>
      </c>
      <c r="C24" s="155">
        <v>0.6</v>
      </c>
      <c r="D24" s="189">
        <f t="shared" ref="D24:D28" si="8">+C24*$D$22</f>
        <v>5.4649963192336913E-3</v>
      </c>
      <c r="E24" s="198">
        <v>1</v>
      </c>
      <c r="F24" s="199">
        <v>1</v>
      </c>
      <c r="G24" s="199">
        <v>1</v>
      </c>
      <c r="H24" s="199">
        <v>1</v>
      </c>
      <c r="I24" s="199">
        <v>1</v>
      </c>
      <c r="J24" s="199">
        <v>1</v>
      </c>
      <c r="K24" s="199">
        <v>1</v>
      </c>
      <c r="L24" s="199">
        <v>1</v>
      </c>
      <c r="M24" s="199">
        <v>1</v>
      </c>
      <c r="N24" s="199">
        <v>1</v>
      </c>
      <c r="O24" s="199">
        <v>1</v>
      </c>
      <c r="P24" s="200">
        <v>1</v>
      </c>
      <c r="Q24" s="198">
        <v>1</v>
      </c>
      <c r="R24" s="199">
        <v>1</v>
      </c>
      <c r="S24" s="199">
        <v>1</v>
      </c>
      <c r="T24" s="199">
        <v>1</v>
      </c>
      <c r="U24" s="199">
        <v>1</v>
      </c>
      <c r="V24" s="199">
        <v>1</v>
      </c>
      <c r="W24" s="199">
        <v>1</v>
      </c>
      <c r="X24" s="199">
        <v>1</v>
      </c>
      <c r="Y24" s="171"/>
      <c r="Z24" s="172"/>
    </row>
    <row r="25" spans="1:26" ht="28.5" outlineLevel="3">
      <c r="A25" s="18">
        <v>3</v>
      </c>
      <c r="B25" s="146" t="s">
        <v>1191</v>
      </c>
      <c r="C25" s="155">
        <v>0.05</v>
      </c>
      <c r="D25" s="189">
        <f t="shared" si="8"/>
        <v>4.5541635993614094E-4</v>
      </c>
      <c r="E25" s="198">
        <v>1</v>
      </c>
      <c r="F25" s="199">
        <v>1</v>
      </c>
      <c r="G25" s="199">
        <v>1</v>
      </c>
      <c r="H25" s="199">
        <v>1</v>
      </c>
      <c r="I25" s="199">
        <v>1</v>
      </c>
      <c r="J25" s="199">
        <v>1</v>
      </c>
      <c r="K25" s="199">
        <v>1</v>
      </c>
      <c r="L25" s="199">
        <v>1</v>
      </c>
      <c r="M25" s="199">
        <v>1</v>
      </c>
      <c r="N25" s="199">
        <v>1</v>
      </c>
      <c r="O25" s="199">
        <v>1</v>
      </c>
      <c r="P25" s="200">
        <v>1</v>
      </c>
      <c r="Q25" s="198">
        <v>1</v>
      </c>
      <c r="R25" s="199">
        <v>1</v>
      </c>
      <c r="S25" s="199">
        <v>1</v>
      </c>
      <c r="T25" s="199">
        <v>1</v>
      </c>
      <c r="U25" s="199">
        <v>1</v>
      </c>
      <c r="V25" s="199">
        <v>1</v>
      </c>
      <c r="W25" s="199">
        <v>1</v>
      </c>
      <c r="X25" s="199">
        <v>1</v>
      </c>
      <c r="Y25" s="171"/>
      <c r="Z25" s="172"/>
    </row>
    <row r="26" spans="1:26" outlineLevel="3">
      <c r="A26" s="18">
        <v>4</v>
      </c>
      <c r="B26" s="146" t="s">
        <v>1192</v>
      </c>
      <c r="C26" s="155">
        <v>0.1</v>
      </c>
      <c r="D26" s="189">
        <f t="shared" si="8"/>
        <v>9.1083271987228188E-4</v>
      </c>
      <c r="E26" s="198">
        <v>1</v>
      </c>
      <c r="F26" s="199">
        <v>1</v>
      </c>
      <c r="G26" s="199">
        <v>1</v>
      </c>
      <c r="H26" s="199">
        <v>1</v>
      </c>
      <c r="I26" s="199">
        <v>1</v>
      </c>
      <c r="J26" s="199">
        <v>1</v>
      </c>
      <c r="K26" s="199">
        <v>1</v>
      </c>
      <c r="L26" s="199">
        <v>1</v>
      </c>
      <c r="M26" s="199">
        <v>1</v>
      </c>
      <c r="N26" s="199">
        <v>1</v>
      </c>
      <c r="O26" s="199">
        <v>1</v>
      </c>
      <c r="P26" s="200">
        <v>1</v>
      </c>
      <c r="Q26" s="198">
        <v>1</v>
      </c>
      <c r="R26" s="199">
        <v>1</v>
      </c>
      <c r="S26" s="199">
        <v>1</v>
      </c>
      <c r="T26" s="199">
        <v>1</v>
      </c>
      <c r="U26" s="199">
        <v>1</v>
      </c>
      <c r="V26" s="199">
        <v>1</v>
      </c>
      <c r="W26" s="199">
        <v>1</v>
      </c>
      <c r="X26" s="199">
        <v>1</v>
      </c>
      <c r="Y26" s="171"/>
      <c r="Z26" s="172"/>
    </row>
    <row r="27" spans="1:26" outlineLevel="3">
      <c r="A27" s="18">
        <v>5</v>
      </c>
      <c r="B27" s="146" t="s">
        <v>1193</v>
      </c>
      <c r="C27" s="155">
        <v>0.15</v>
      </c>
      <c r="D27" s="189">
        <f t="shared" si="8"/>
        <v>1.3662490798084228E-3</v>
      </c>
      <c r="E27" s="198">
        <v>1</v>
      </c>
      <c r="F27" s="199">
        <v>1</v>
      </c>
      <c r="G27" s="199">
        <v>1</v>
      </c>
      <c r="H27" s="199">
        <v>1</v>
      </c>
      <c r="I27" s="199">
        <v>1</v>
      </c>
      <c r="J27" s="199">
        <v>1</v>
      </c>
      <c r="K27" s="199">
        <v>1</v>
      </c>
      <c r="L27" s="199">
        <v>1</v>
      </c>
      <c r="M27" s="199">
        <v>1</v>
      </c>
      <c r="N27" s="199">
        <v>1</v>
      </c>
      <c r="O27" s="199">
        <v>1</v>
      </c>
      <c r="P27" s="200">
        <v>1</v>
      </c>
      <c r="Q27" s="198">
        <v>1</v>
      </c>
      <c r="R27" s="199">
        <v>1</v>
      </c>
      <c r="S27" s="199">
        <v>1</v>
      </c>
      <c r="T27" s="199">
        <v>1</v>
      </c>
      <c r="U27" s="199">
        <v>1</v>
      </c>
      <c r="V27" s="199">
        <v>1</v>
      </c>
      <c r="W27" s="199">
        <v>1</v>
      </c>
      <c r="X27" s="199">
        <v>1</v>
      </c>
      <c r="Y27" s="171"/>
      <c r="Z27" s="172"/>
    </row>
    <row r="28" spans="1:26" outlineLevel="3">
      <c r="A28" s="18">
        <v>6</v>
      </c>
      <c r="B28" s="146" t="s">
        <v>1194</v>
      </c>
      <c r="C28" s="155">
        <v>0.05</v>
      </c>
      <c r="D28" s="189">
        <f t="shared" si="8"/>
        <v>4.5541635993614094E-4</v>
      </c>
      <c r="E28" s="198">
        <v>1</v>
      </c>
      <c r="F28" s="199">
        <v>1</v>
      </c>
      <c r="G28" s="199">
        <v>1</v>
      </c>
      <c r="H28" s="199">
        <v>1</v>
      </c>
      <c r="I28" s="199">
        <v>1</v>
      </c>
      <c r="J28" s="199">
        <v>1</v>
      </c>
      <c r="K28" s="199">
        <v>1</v>
      </c>
      <c r="L28" s="199">
        <v>1</v>
      </c>
      <c r="M28" s="199">
        <v>1</v>
      </c>
      <c r="N28" s="199">
        <v>1</v>
      </c>
      <c r="O28" s="199">
        <v>1</v>
      </c>
      <c r="P28" s="200">
        <v>1</v>
      </c>
      <c r="Q28" s="198">
        <v>1</v>
      </c>
      <c r="R28" s="199">
        <v>1</v>
      </c>
      <c r="S28" s="199">
        <v>1</v>
      </c>
      <c r="T28" s="199">
        <v>1</v>
      </c>
      <c r="U28" s="199">
        <v>1</v>
      </c>
      <c r="V28" s="199">
        <v>1</v>
      </c>
      <c r="W28" s="199">
        <v>1</v>
      </c>
      <c r="X28" s="199">
        <v>1</v>
      </c>
      <c r="Y28" s="171"/>
      <c r="Z28" s="172"/>
    </row>
    <row r="29" spans="1:26" outlineLevel="2">
      <c r="A29" s="187">
        <v>1.2</v>
      </c>
      <c r="B29" s="142" t="s">
        <v>1195</v>
      </c>
      <c r="C29" s="157">
        <f>+SUM(C30:C32)</f>
        <v>1</v>
      </c>
      <c r="D29" s="188">
        <f>+D21*25%</f>
        <v>5.6927044992017613E-3</v>
      </c>
      <c r="E29" s="17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74"/>
      <c r="Q29" s="167"/>
      <c r="R29" s="143"/>
      <c r="S29" s="143"/>
      <c r="T29" s="143"/>
      <c r="U29" s="143"/>
      <c r="V29" s="143"/>
      <c r="W29" s="143"/>
      <c r="X29" s="180"/>
      <c r="Y29" s="173"/>
      <c r="Z29" s="174"/>
    </row>
    <row r="30" spans="1:26" ht="28.5" outlineLevel="3">
      <c r="A30" s="18">
        <v>1</v>
      </c>
      <c r="B30" s="146" t="s">
        <v>1196</v>
      </c>
      <c r="C30" s="155">
        <v>0.5</v>
      </c>
      <c r="D30" s="189">
        <f>+C30*$D$29</f>
        <v>2.8463522496008807E-3</v>
      </c>
      <c r="E30" s="205">
        <v>1</v>
      </c>
      <c r="F30" s="199">
        <v>1</v>
      </c>
      <c r="G30" s="199">
        <v>1</v>
      </c>
      <c r="H30" s="199">
        <v>1</v>
      </c>
      <c r="I30" s="199">
        <v>1</v>
      </c>
      <c r="J30" s="199">
        <v>1</v>
      </c>
      <c r="K30" s="199">
        <v>1</v>
      </c>
      <c r="L30" s="199">
        <v>1</v>
      </c>
      <c r="M30" s="199">
        <v>1</v>
      </c>
      <c r="N30" s="199">
        <v>1</v>
      </c>
      <c r="O30" s="199">
        <v>1</v>
      </c>
      <c r="P30" s="200">
        <v>1</v>
      </c>
      <c r="Q30" s="205">
        <v>1</v>
      </c>
      <c r="R30" s="199">
        <v>1</v>
      </c>
      <c r="S30" s="199">
        <v>1</v>
      </c>
      <c r="T30" s="199">
        <v>1</v>
      </c>
      <c r="U30" s="199">
        <v>1</v>
      </c>
      <c r="V30" s="199">
        <v>1</v>
      </c>
      <c r="W30" s="199">
        <v>1</v>
      </c>
      <c r="X30" s="199">
        <v>1</v>
      </c>
      <c r="Y30" s="171"/>
      <c r="Z30" s="172"/>
    </row>
    <row r="31" spans="1:26" outlineLevel="3">
      <c r="A31" s="18">
        <v>2</v>
      </c>
      <c r="B31" s="146" t="s">
        <v>1197</v>
      </c>
      <c r="C31" s="155">
        <v>0.2</v>
      </c>
      <c r="D31" s="189">
        <f t="shared" ref="D31:D32" si="9">+C31*$D$29</f>
        <v>1.1385408998403524E-3</v>
      </c>
      <c r="E31" s="198">
        <v>1</v>
      </c>
      <c r="F31" s="199">
        <v>1</v>
      </c>
      <c r="G31" s="199">
        <v>1</v>
      </c>
      <c r="H31" s="199">
        <v>1</v>
      </c>
      <c r="I31" s="199">
        <v>1</v>
      </c>
      <c r="J31" s="199">
        <v>1</v>
      </c>
      <c r="K31" s="199">
        <v>1</v>
      </c>
      <c r="L31" s="199">
        <v>1</v>
      </c>
      <c r="M31" s="199">
        <v>1</v>
      </c>
      <c r="N31" s="199">
        <v>1</v>
      </c>
      <c r="O31" s="199">
        <v>1</v>
      </c>
      <c r="P31" s="200">
        <v>1</v>
      </c>
      <c r="Q31" s="205">
        <v>1</v>
      </c>
      <c r="R31" s="199">
        <v>1</v>
      </c>
      <c r="S31" s="199">
        <v>1</v>
      </c>
      <c r="T31" s="199">
        <v>1</v>
      </c>
      <c r="U31" s="199">
        <v>1</v>
      </c>
      <c r="V31" s="199">
        <v>1</v>
      </c>
      <c r="W31" s="199">
        <v>1</v>
      </c>
      <c r="X31" s="199">
        <v>1</v>
      </c>
      <c r="Y31" s="171"/>
      <c r="Z31" s="172"/>
    </row>
    <row r="32" spans="1:26" outlineLevel="3">
      <c r="A32" s="18">
        <v>3</v>
      </c>
      <c r="B32" s="146" t="s">
        <v>1198</v>
      </c>
      <c r="C32" s="155">
        <v>0.3</v>
      </c>
      <c r="D32" s="189">
        <f t="shared" si="9"/>
        <v>1.7078113497605283E-3</v>
      </c>
      <c r="E32" s="198">
        <v>1</v>
      </c>
      <c r="F32" s="199">
        <v>1</v>
      </c>
      <c r="G32" s="199">
        <v>1</v>
      </c>
      <c r="H32" s="199">
        <v>1</v>
      </c>
      <c r="I32" s="199">
        <v>1</v>
      </c>
      <c r="J32" s="199">
        <v>1</v>
      </c>
      <c r="K32" s="199">
        <v>1</v>
      </c>
      <c r="L32" s="199">
        <v>1</v>
      </c>
      <c r="M32" s="199">
        <v>1</v>
      </c>
      <c r="N32" s="199">
        <v>1</v>
      </c>
      <c r="O32" s="199">
        <v>1</v>
      </c>
      <c r="P32" s="200">
        <v>1</v>
      </c>
      <c r="Q32" s="205">
        <v>1</v>
      </c>
      <c r="R32" s="199">
        <v>1</v>
      </c>
      <c r="S32" s="199">
        <v>1</v>
      </c>
      <c r="T32" s="199">
        <v>1</v>
      </c>
      <c r="U32" s="199">
        <v>1</v>
      </c>
      <c r="V32" s="199">
        <v>1</v>
      </c>
      <c r="W32" s="199">
        <v>1</v>
      </c>
      <c r="X32" s="199">
        <v>1</v>
      </c>
      <c r="Y32" s="171"/>
      <c r="Z32" s="172"/>
    </row>
    <row r="33" spans="1:26" outlineLevel="2">
      <c r="A33" s="187">
        <v>1.3</v>
      </c>
      <c r="B33" s="142" t="s">
        <v>1199</v>
      </c>
      <c r="C33" s="157">
        <f>+SUM(C34:C37)</f>
        <v>1</v>
      </c>
      <c r="D33" s="188">
        <f>+D21-D22-D29</f>
        <v>7.9697862988824652E-3</v>
      </c>
      <c r="E33" s="17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74"/>
      <c r="Q33" s="167"/>
      <c r="R33" s="143"/>
      <c r="S33" s="143"/>
      <c r="T33" s="143"/>
      <c r="U33" s="143"/>
      <c r="V33" s="143"/>
      <c r="W33" s="143"/>
      <c r="X33" s="180"/>
      <c r="Y33" s="173"/>
      <c r="Z33" s="174"/>
    </row>
    <row r="34" spans="1:26" ht="28.5" outlineLevel="2">
      <c r="A34" s="18">
        <v>1</v>
      </c>
      <c r="B34" s="146" t="s">
        <v>1200</v>
      </c>
      <c r="C34" s="155">
        <v>0.1</v>
      </c>
      <c r="D34" s="189">
        <f>+C34*$D$33</f>
        <v>7.9697862988824654E-4</v>
      </c>
      <c r="E34" s="171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72"/>
      <c r="Q34" s="166"/>
      <c r="R34" s="145"/>
      <c r="S34" s="145"/>
      <c r="T34" s="145"/>
      <c r="U34" s="145"/>
      <c r="V34" s="145"/>
      <c r="W34" s="145"/>
      <c r="X34" s="179"/>
      <c r="Y34" s="171"/>
      <c r="Z34" s="172"/>
    </row>
    <row r="35" spans="1:26" ht="28.5" outlineLevel="2">
      <c r="A35" s="18">
        <v>2</v>
      </c>
      <c r="B35" s="146" t="s">
        <v>1201</v>
      </c>
      <c r="C35" s="155">
        <v>0.02</v>
      </c>
      <c r="D35" s="189">
        <f t="shared" ref="D35:D37" si="10">+C35*$D$33</f>
        <v>1.5939572597764931E-4</v>
      </c>
      <c r="E35" s="171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72"/>
      <c r="Q35" s="166"/>
      <c r="R35" s="145"/>
      <c r="S35" s="145"/>
      <c r="T35" s="145"/>
      <c r="U35" s="145"/>
      <c r="V35" s="145"/>
      <c r="W35" s="145"/>
      <c r="X35" s="179"/>
      <c r="Y35" s="171"/>
      <c r="Z35" s="172"/>
    </row>
    <row r="36" spans="1:26" ht="28.5" outlineLevel="2">
      <c r="A36" s="18">
        <v>3</v>
      </c>
      <c r="B36" s="146" t="s">
        <v>1202</v>
      </c>
      <c r="C36" s="155">
        <v>0.05</v>
      </c>
      <c r="D36" s="189">
        <f t="shared" si="10"/>
        <v>3.9848931494412327E-4</v>
      </c>
      <c r="E36" s="171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72"/>
      <c r="Q36" s="166"/>
      <c r="R36" s="145"/>
      <c r="S36" s="145"/>
      <c r="T36" s="145"/>
      <c r="U36" s="145"/>
      <c r="V36" s="145"/>
      <c r="W36" s="145"/>
      <c r="X36" s="179"/>
      <c r="Y36" s="171"/>
      <c r="Z36" s="172"/>
    </row>
    <row r="37" spans="1:26" outlineLevel="2">
      <c r="A37" s="18">
        <v>4</v>
      </c>
      <c r="B37" s="146" t="s">
        <v>1203</v>
      </c>
      <c r="C37" s="155">
        <v>0.83</v>
      </c>
      <c r="D37" s="189">
        <f t="shared" si="10"/>
        <v>6.6149226280724461E-3</v>
      </c>
      <c r="E37" s="171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72"/>
      <c r="Q37" s="166"/>
      <c r="R37" s="145"/>
      <c r="S37" s="145"/>
      <c r="T37" s="145"/>
      <c r="U37" s="145"/>
      <c r="V37" s="145"/>
      <c r="W37" s="145"/>
      <c r="X37" s="179"/>
      <c r="Y37" s="171"/>
      <c r="Z37" s="172"/>
    </row>
    <row r="38" spans="1:26" outlineLevel="1">
      <c r="A38" s="187">
        <v>2</v>
      </c>
      <c r="B38" s="142" t="s">
        <v>1204</v>
      </c>
      <c r="C38" s="157">
        <f>+SUM(C39:C61)</f>
        <v>1.0000000000000002</v>
      </c>
      <c r="D38" s="188">
        <f>+'[2]Construction-87'!$L$42</f>
        <v>6.1210735553209064E-2</v>
      </c>
      <c r="E38" s="17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74"/>
      <c r="Q38" s="167"/>
      <c r="R38" s="143"/>
      <c r="S38" s="143"/>
      <c r="T38" s="143"/>
      <c r="U38" s="143"/>
      <c r="V38" s="143"/>
      <c r="W38" s="143"/>
      <c r="X38" s="180"/>
      <c r="Y38" s="173"/>
      <c r="Z38" s="174"/>
    </row>
    <row r="39" spans="1:26" ht="28.5" outlineLevel="2">
      <c r="A39" s="18">
        <v>1</v>
      </c>
      <c r="B39" s="146" t="s">
        <v>1205</v>
      </c>
      <c r="C39" s="155">
        <v>5.0000000000000001E-3</v>
      </c>
      <c r="D39" s="189">
        <f>+C39*$D$38</f>
        <v>3.0605367776604531E-4</v>
      </c>
      <c r="E39" s="205">
        <v>1</v>
      </c>
      <c r="F39" s="199">
        <v>1</v>
      </c>
      <c r="G39" s="199">
        <v>1</v>
      </c>
      <c r="H39" s="199">
        <v>1</v>
      </c>
      <c r="I39" s="199">
        <v>1</v>
      </c>
      <c r="J39" s="199">
        <v>1</v>
      </c>
      <c r="K39" s="199">
        <v>1</v>
      </c>
      <c r="L39" s="199">
        <v>1</v>
      </c>
      <c r="M39" s="199">
        <v>1</v>
      </c>
      <c r="N39" s="199">
        <v>1</v>
      </c>
      <c r="O39" s="199">
        <v>1</v>
      </c>
      <c r="P39" s="200">
        <v>1</v>
      </c>
      <c r="Q39" s="199">
        <v>1</v>
      </c>
      <c r="R39" s="199">
        <v>1</v>
      </c>
      <c r="S39" s="199">
        <v>1</v>
      </c>
      <c r="T39" s="199">
        <v>1</v>
      </c>
      <c r="U39" s="199">
        <v>1</v>
      </c>
      <c r="V39" s="199">
        <v>1</v>
      </c>
      <c r="W39" s="199">
        <v>1</v>
      </c>
      <c r="X39" s="199">
        <v>1</v>
      </c>
      <c r="Y39" s="171"/>
      <c r="Z39" s="172"/>
    </row>
    <row r="40" spans="1:26" outlineLevel="2">
      <c r="A40" s="18">
        <f>+A39+1</f>
        <v>2</v>
      </c>
      <c r="B40" s="146" t="s">
        <v>1206</v>
      </c>
      <c r="C40" s="155">
        <v>0.01</v>
      </c>
      <c r="D40" s="189">
        <f t="shared" ref="D40:D61" si="11">+C40*$D$38</f>
        <v>6.1210735553209061E-4</v>
      </c>
      <c r="E40" s="198">
        <v>1</v>
      </c>
      <c r="F40" s="199">
        <v>1</v>
      </c>
      <c r="G40" s="199">
        <v>1</v>
      </c>
      <c r="H40" s="199">
        <v>1</v>
      </c>
      <c r="I40" s="199">
        <v>1</v>
      </c>
      <c r="J40" s="199">
        <v>1</v>
      </c>
      <c r="K40" s="199">
        <v>1</v>
      </c>
      <c r="L40" s="199">
        <v>1</v>
      </c>
      <c r="M40" s="199">
        <v>1</v>
      </c>
      <c r="N40" s="199">
        <v>1</v>
      </c>
      <c r="O40" s="199">
        <v>1</v>
      </c>
      <c r="P40" s="200">
        <v>1</v>
      </c>
      <c r="Q40" s="199">
        <v>1</v>
      </c>
      <c r="R40" s="199">
        <v>1</v>
      </c>
      <c r="S40" s="199">
        <v>1</v>
      </c>
      <c r="T40" s="199">
        <v>1</v>
      </c>
      <c r="U40" s="199">
        <v>1</v>
      </c>
      <c r="V40" s="199">
        <v>1</v>
      </c>
      <c r="W40" s="199">
        <v>1</v>
      </c>
      <c r="X40" s="199">
        <v>1</v>
      </c>
      <c r="Y40" s="171"/>
      <c r="Z40" s="172"/>
    </row>
    <row r="41" spans="1:26" ht="28.5" outlineLevel="2">
      <c r="A41" s="18">
        <f>+A40+1</f>
        <v>3</v>
      </c>
      <c r="B41" s="147" t="s">
        <v>1207</v>
      </c>
      <c r="C41" s="155">
        <v>2.5000000000000001E-2</v>
      </c>
      <c r="D41" s="189">
        <f t="shared" si="11"/>
        <v>1.5302683888302267E-3</v>
      </c>
      <c r="E41" s="198">
        <v>1</v>
      </c>
      <c r="F41" s="199">
        <v>1</v>
      </c>
      <c r="G41" s="199">
        <v>1</v>
      </c>
      <c r="H41" s="199">
        <v>1</v>
      </c>
      <c r="I41" s="199">
        <v>1</v>
      </c>
      <c r="J41" s="199">
        <v>1</v>
      </c>
      <c r="K41" s="199">
        <v>1</v>
      </c>
      <c r="L41" s="199">
        <v>1</v>
      </c>
      <c r="M41" s="199">
        <v>1</v>
      </c>
      <c r="N41" s="199">
        <v>1</v>
      </c>
      <c r="O41" s="199">
        <v>1</v>
      </c>
      <c r="P41" s="200">
        <v>1</v>
      </c>
      <c r="Q41" s="199">
        <v>1</v>
      </c>
      <c r="R41" s="199">
        <v>1</v>
      </c>
      <c r="S41" s="199">
        <v>1</v>
      </c>
      <c r="T41" s="199">
        <v>1</v>
      </c>
      <c r="U41" s="199">
        <v>1</v>
      </c>
      <c r="V41" s="199">
        <v>1</v>
      </c>
      <c r="W41" s="199">
        <v>1</v>
      </c>
      <c r="X41" s="199">
        <v>1</v>
      </c>
      <c r="Y41" s="171"/>
      <c r="Z41" s="172"/>
    </row>
    <row r="42" spans="1:26" outlineLevel="2">
      <c r="A42" s="18">
        <f t="shared" ref="A42:A61" si="12">+A41+1</f>
        <v>4</v>
      </c>
      <c r="B42" s="147" t="s">
        <v>1208</v>
      </c>
      <c r="C42" s="155">
        <v>5.0000000000000001E-3</v>
      </c>
      <c r="D42" s="189">
        <f t="shared" si="11"/>
        <v>3.0605367776604531E-4</v>
      </c>
      <c r="E42" s="198">
        <v>1</v>
      </c>
      <c r="F42" s="199">
        <v>1</v>
      </c>
      <c r="G42" s="199">
        <v>1</v>
      </c>
      <c r="H42" s="199">
        <v>1</v>
      </c>
      <c r="I42" s="199">
        <v>1</v>
      </c>
      <c r="J42" s="199">
        <v>1</v>
      </c>
      <c r="K42" s="199">
        <v>1</v>
      </c>
      <c r="L42" s="199">
        <v>1</v>
      </c>
      <c r="M42" s="199">
        <v>1</v>
      </c>
      <c r="N42" s="199">
        <v>1</v>
      </c>
      <c r="O42" s="199">
        <v>1</v>
      </c>
      <c r="P42" s="200">
        <v>1</v>
      </c>
      <c r="Q42" s="199">
        <v>1</v>
      </c>
      <c r="R42" s="199">
        <v>1</v>
      </c>
      <c r="S42" s="199">
        <v>1</v>
      </c>
      <c r="T42" s="199">
        <v>1</v>
      </c>
      <c r="U42" s="199">
        <v>1</v>
      </c>
      <c r="V42" s="199">
        <v>1</v>
      </c>
      <c r="W42" s="199">
        <v>1</v>
      </c>
      <c r="X42" s="199">
        <v>1</v>
      </c>
      <c r="Y42" s="171"/>
      <c r="Z42" s="172"/>
    </row>
    <row r="43" spans="1:26" outlineLevel="2">
      <c r="A43" s="18">
        <f t="shared" si="12"/>
        <v>5</v>
      </c>
      <c r="B43" s="147" t="s">
        <v>1209</v>
      </c>
      <c r="C43" s="155">
        <v>0.01</v>
      </c>
      <c r="D43" s="189">
        <f t="shared" si="11"/>
        <v>6.1210735553209061E-4</v>
      </c>
      <c r="E43" s="198">
        <v>1</v>
      </c>
      <c r="F43" s="199">
        <v>1</v>
      </c>
      <c r="G43" s="199">
        <v>1</v>
      </c>
      <c r="H43" s="199">
        <v>1</v>
      </c>
      <c r="I43" s="199">
        <v>1</v>
      </c>
      <c r="J43" s="199">
        <v>1</v>
      </c>
      <c r="K43" s="199">
        <v>1</v>
      </c>
      <c r="L43" s="199">
        <v>1</v>
      </c>
      <c r="M43" s="199">
        <v>1</v>
      </c>
      <c r="N43" s="199">
        <v>1</v>
      </c>
      <c r="O43" s="199">
        <v>1</v>
      </c>
      <c r="P43" s="200">
        <v>1</v>
      </c>
      <c r="Q43" s="199">
        <v>1</v>
      </c>
      <c r="R43" s="199">
        <v>1</v>
      </c>
      <c r="S43" s="199">
        <v>1</v>
      </c>
      <c r="T43" s="199">
        <v>1</v>
      </c>
      <c r="U43" s="199">
        <v>1</v>
      </c>
      <c r="V43" s="199">
        <v>1</v>
      </c>
      <c r="W43" s="199">
        <v>1</v>
      </c>
      <c r="X43" s="199">
        <v>1</v>
      </c>
      <c r="Y43" s="171"/>
      <c r="Z43" s="172"/>
    </row>
    <row r="44" spans="1:26" ht="28.5" outlineLevel="2">
      <c r="A44" s="18">
        <f t="shared" si="12"/>
        <v>6</v>
      </c>
      <c r="B44" s="147" t="s">
        <v>1210</v>
      </c>
      <c r="C44" s="155">
        <v>5.0000000000000001E-3</v>
      </c>
      <c r="D44" s="189">
        <f t="shared" si="11"/>
        <v>3.0605367776604531E-4</v>
      </c>
      <c r="E44" s="198">
        <v>1</v>
      </c>
      <c r="F44" s="199">
        <v>1</v>
      </c>
      <c r="G44" s="199">
        <v>1</v>
      </c>
      <c r="H44" s="199">
        <v>1</v>
      </c>
      <c r="I44" s="199">
        <v>1</v>
      </c>
      <c r="J44" s="199">
        <v>1</v>
      </c>
      <c r="K44" s="199">
        <v>1</v>
      </c>
      <c r="L44" s="199">
        <v>1</v>
      </c>
      <c r="M44" s="199">
        <v>1</v>
      </c>
      <c r="N44" s="199">
        <v>1</v>
      </c>
      <c r="O44" s="199">
        <v>1</v>
      </c>
      <c r="P44" s="200">
        <v>1</v>
      </c>
      <c r="Q44" s="199">
        <v>1</v>
      </c>
      <c r="R44" s="199">
        <v>1</v>
      </c>
      <c r="S44" s="199">
        <v>1</v>
      </c>
      <c r="T44" s="199">
        <v>1</v>
      </c>
      <c r="U44" s="199">
        <v>1</v>
      </c>
      <c r="V44" s="199">
        <v>1</v>
      </c>
      <c r="W44" s="199">
        <v>1</v>
      </c>
      <c r="X44" s="199">
        <v>1</v>
      </c>
      <c r="Y44" s="171"/>
      <c r="Z44" s="172"/>
    </row>
    <row r="45" spans="1:26" outlineLevel="2">
      <c r="A45" s="18">
        <f t="shared" si="12"/>
        <v>7</v>
      </c>
      <c r="B45" s="147" t="s">
        <v>1211</v>
      </c>
      <c r="C45" s="155">
        <v>0.52</v>
      </c>
      <c r="D45" s="189">
        <f t="shared" si="11"/>
        <v>3.1829582487668713E-2</v>
      </c>
      <c r="E45" s="198">
        <v>1</v>
      </c>
      <c r="F45" s="199">
        <v>1</v>
      </c>
      <c r="G45" s="199">
        <v>1</v>
      </c>
      <c r="H45" s="199">
        <v>1</v>
      </c>
      <c r="I45" s="199">
        <v>1</v>
      </c>
      <c r="J45" s="199">
        <v>1</v>
      </c>
      <c r="K45" s="199">
        <v>1</v>
      </c>
      <c r="L45" s="199">
        <v>1</v>
      </c>
      <c r="M45" s="199">
        <v>1</v>
      </c>
      <c r="N45" s="199">
        <v>1</v>
      </c>
      <c r="O45" s="199">
        <v>1</v>
      </c>
      <c r="P45" s="200">
        <v>1</v>
      </c>
      <c r="Q45" s="199">
        <v>1</v>
      </c>
      <c r="R45" s="199">
        <v>1</v>
      </c>
      <c r="S45" s="199">
        <v>1</v>
      </c>
      <c r="T45" s="199">
        <v>1</v>
      </c>
      <c r="U45" s="199">
        <v>1</v>
      </c>
      <c r="V45" s="199">
        <v>1</v>
      </c>
      <c r="W45" s="199">
        <v>1</v>
      </c>
      <c r="X45" s="199">
        <v>1</v>
      </c>
      <c r="Y45" s="171"/>
      <c r="Z45" s="172"/>
    </row>
    <row r="46" spans="1:26" outlineLevel="2">
      <c r="A46" s="18">
        <f t="shared" si="12"/>
        <v>8</v>
      </c>
      <c r="B46" s="147" t="s">
        <v>1212</v>
      </c>
      <c r="C46" s="155">
        <v>0.1</v>
      </c>
      <c r="D46" s="189">
        <f t="shared" si="11"/>
        <v>6.1210735553209068E-3</v>
      </c>
      <c r="E46" s="198">
        <v>1</v>
      </c>
      <c r="F46" s="199">
        <v>1</v>
      </c>
      <c r="G46" s="199">
        <v>1</v>
      </c>
      <c r="H46" s="199">
        <v>1</v>
      </c>
      <c r="I46" s="199">
        <v>1</v>
      </c>
      <c r="J46" s="199">
        <v>1</v>
      </c>
      <c r="K46" s="199">
        <v>1</v>
      </c>
      <c r="L46" s="199">
        <v>1</v>
      </c>
      <c r="M46" s="199">
        <v>1</v>
      </c>
      <c r="N46" s="199">
        <v>1</v>
      </c>
      <c r="O46" s="199">
        <v>1</v>
      </c>
      <c r="P46" s="200">
        <v>1</v>
      </c>
      <c r="Q46" s="199">
        <v>1</v>
      </c>
      <c r="R46" s="199">
        <v>1</v>
      </c>
      <c r="S46" s="199">
        <v>1</v>
      </c>
      <c r="T46" s="199">
        <v>1</v>
      </c>
      <c r="U46" s="199">
        <v>1</v>
      </c>
      <c r="V46" s="199">
        <v>1</v>
      </c>
      <c r="W46" s="199">
        <v>1</v>
      </c>
      <c r="X46" s="199">
        <v>1</v>
      </c>
      <c r="Y46" s="171"/>
      <c r="Z46" s="172"/>
    </row>
    <row r="47" spans="1:26" ht="29.25" outlineLevel="2">
      <c r="A47" s="18">
        <f t="shared" si="12"/>
        <v>9</v>
      </c>
      <c r="B47" s="147" t="s">
        <v>1213</v>
      </c>
      <c r="C47" s="155">
        <v>1.4999999999999999E-2</v>
      </c>
      <c r="D47" s="189">
        <f t="shared" si="11"/>
        <v>9.1816103329813597E-4</v>
      </c>
      <c r="E47" s="198">
        <v>1</v>
      </c>
      <c r="F47" s="199">
        <v>1</v>
      </c>
      <c r="G47" s="199">
        <v>1</v>
      </c>
      <c r="H47" s="199">
        <v>1</v>
      </c>
      <c r="I47" s="199">
        <v>1</v>
      </c>
      <c r="J47" s="199">
        <v>1</v>
      </c>
      <c r="K47" s="199">
        <v>1</v>
      </c>
      <c r="L47" s="199">
        <v>1</v>
      </c>
      <c r="M47" s="199">
        <v>1</v>
      </c>
      <c r="N47" s="199">
        <v>1</v>
      </c>
      <c r="O47" s="199">
        <v>1</v>
      </c>
      <c r="P47" s="200">
        <v>1</v>
      </c>
      <c r="Q47" s="199">
        <v>1</v>
      </c>
      <c r="R47" s="199">
        <v>1</v>
      </c>
      <c r="S47" s="199">
        <v>1</v>
      </c>
      <c r="T47" s="199">
        <v>1</v>
      </c>
      <c r="U47" s="199">
        <v>1</v>
      </c>
      <c r="V47" s="199">
        <v>1</v>
      </c>
      <c r="W47" s="199">
        <v>1</v>
      </c>
      <c r="X47" s="199">
        <v>1</v>
      </c>
      <c r="Y47" s="171"/>
      <c r="Z47" s="172"/>
    </row>
    <row r="48" spans="1:26" ht="28.5" outlineLevel="2">
      <c r="A48" s="18">
        <f t="shared" si="12"/>
        <v>10</v>
      </c>
      <c r="B48" s="147" t="s">
        <v>1214</v>
      </c>
      <c r="C48" s="155">
        <v>0.06</v>
      </c>
      <c r="D48" s="189">
        <f t="shared" si="11"/>
        <v>3.6726441331925439E-3</v>
      </c>
      <c r="E48" s="198"/>
      <c r="F48" s="199"/>
      <c r="G48" s="145"/>
      <c r="H48" s="145"/>
      <c r="I48" s="145"/>
      <c r="J48" s="145"/>
      <c r="K48" s="145"/>
      <c r="L48" s="145"/>
      <c r="M48" s="145"/>
      <c r="N48" s="145"/>
      <c r="O48" s="145"/>
      <c r="P48" s="172"/>
      <c r="Q48" s="199"/>
      <c r="R48" s="199"/>
      <c r="S48" s="199"/>
      <c r="T48" s="199"/>
      <c r="U48" s="199"/>
      <c r="V48" s="199"/>
      <c r="W48" s="199"/>
      <c r="X48" s="199"/>
      <c r="Y48" s="171"/>
      <c r="Z48" s="172"/>
    </row>
    <row r="49" spans="1:26" ht="28.5" outlineLevel="2">
      <c r="A49" s="18">
        <f t="shared" si="12"/>
        <v>11</v>
      </c>
      <c r="B49" s="147" t="s">
        <v>1215</v>
      </c>
      <c r="C49" s="155">
        <v>0.01</v>
      </c>
      <c r="D49" s="189">
        <f t="shared" si="11"/>
        <v>6.1210735553209061E-4</v>
      </c>
      <c r="E49" s="171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72"/>
      <c r="Q49" s="199"/>
      <c r="R49" s="199"/>
      <c r="S49" s="199"/>
      <c r="T49" s="199"/>
      <c r="U49" s="199"/>
      <c r="V49" s="199"/>
      <c r="W49" s="199"/>
      <c r="X49" s="199"/>
      <c r="Y49" s="171"/>
      <c r="Z49" s="172"/>
    </row>
    <row r="50" spans="1:26" ht="42.75" outlineLevel="2">
      <c r="A50" s="18">
        <f t="shared" si="12"/>
        <v>12</v>
      </c>
      <c r="B50" s="147" t="s">
        <v>1216</v>
      </c>
      <c r="C50" s="155">
        <v>0.01</v>
      </c>
      <c r="D50" s="189">
        <f t="shared" si="11"/>
        <v>6.1210735553209061E-4</v>
      </c>
      <c r="E50" s="198">
        <v>1</v>
      </c>
      <c r="F50" s="199">
        <v>1</v>
      </c>
      <c r="G50" s="199">
        <v>1</v>
      </c>
      <c r="H50" s="199">
        <v>1</v>
      </c>
      <c r="I50" s="199">
        <v>1</v>
      </c>
      <c r="J50" s="199">
        <v>1</v>
      </c>
      <c r="K50" s="199">
        <v>1</v>
      </c>
      <c r="L50" s="199">
        <v>1</v>
      </c>
      <c r="M50" s="199">
        <v>1</v>
      </c>
      <c r="N50" s="199">
        <v>1</v>
      </c>
      <c r="O50" s="199">
        <v>1</v>
      </c>
      <c r="P50" s="200">
        <v>1</v>
      </c>
      <c r="Q50" s="199">
        <v>1</v>
      </c>
      <c r="R50" s="199">
        <v>1</v>
      </c>
      <c r="S50" s="199">
        <v>1</v>
      </c>
      <c r="T50" s="199">
        <v>1</v>
      </c>
      <c r="U50" s="199">
        <v>1</v>
      </c>
      <c r="V50" s="199">
        <v>1</v>
      </c>
      <c r="W50" s="199">
        <v>1</v>
      </c>
      <c r="X50" s="199">
        <v>1</v>
      </c>
      <c r="Y50" s="171"/>
      <c r="Z50" s="172"/>
    </row>
    <row r="51" spans="1:26" outlineLevel="2">
      <c r="A51" s="18">
        <f t="shared" si="12"/>
        <v>13</v>
      </c>
      <c r="B51" s="147" t="s">
        <v>1217</v>
      </c>
      <c r="C51" s="155">
        <v>0.01</v>
      </c>
      <c r="D51" s="189">
        <f t="shared" si="11"/>
        <v>6.1210735553209061E-4</v>
      </c>
      <c r="E51" s="171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72"/>
      <c r="Q51" s="199"/>
      <c r="R51" s="199"/>
      <c r="S51" s="199"/>
      <c r="T51" s="199"/>
      <c r="U51" s="199"/>
      <c r="V51" s="199"/>
      <c r="W51" s="199"/>
      <c r="X51" s="199"/>
      <c r="Y51" s="171"/>
      <c r="Z51" s="172"/>
    </row>
    <row r="52" spans="1:26" ht="28.5" outlineLevel="2">
      <c r="A52" s="18">
        <f t="shared" si="12"/>
        <v>14</v>
      </c>
      <c r="B52" s="147" t="s">
        <v>1218</v>
      </c>
      <c r="C52" s="155">
        <v>0.05</v>
      </c>
      <c r="D52" s="189">
        <f t="shared" si="11"/>
        <v>3.0605367776604534E-3</v>
      </c>
      <c r="E52" s="198">
        <v>1</v>
      </c>
      <c r="F52" s="199">
        <v>1</v>
      </c>
      <c r="G52" s="199">
        <v>1</v>
      </c>
      <c r="H52" s="199">
        <v>1</v>
      </c>
      <c r="I52" s="199">
        <v>1</v>
      </c>
      <c r="J52" s="199">
        <v>1</v>
      </c>
      <c r="K52" s="199">
        <v>1</v>
      </c>
      <c r="L52" s="199">
        <v>1</v>
      </c>
      <c r="M52" s="199">
        <v>1</v>
      </c>
      <c r="N52" s="199">
        <v>1</v>
      </c>
      <c r="O52" s="199">
        <v>1</v>
      </c>
      <c r="P52" s="200">
        <v>1</v>
      </c>
      <c r="Q52" s="199">
        <v>1</v>
      </c>
      <c r="R52" s="199">
        <v>1</v>
      </c>
      <c r="S52" s="199">
        <v>1</v>
      </c>
      <c r="T52" s="199">
        <v>1</v>
      </c>
      <c r="U52" s="199">
        <v>1</v>
      </c>
      <c r="V52" s="199">
        <v>1</v>
      </c>
      <c r="W52" s="199">
        <v>1</v>
      </c>
      <c r="X52" s="199">
        <v>1</v>
      </c>
      <c r="Y52" s="171"/>
      <c r="Z52" s="172"/>
    </row>
    <row r="53" spans="1:26" ht="28.5" outlineLevel="2">
      <c r="A53" s="18">
        <f t="shared" si="12"/>
        <v>15</v>
      </c>
      <c r="B53" s="147" t="s">
        <v>1219</v>
      </c>
      <c r="C53" s="155">
        <v>0.05</v>
      </c>
      <c r="D53" s="189">
        <f t="shared" si="11"/>
        <v>3.0605367776604534E-3</v>
      </c>
      <c r="E53" s="198">
        <v>1</v>
      </c>
      <c r="F53" s="199">
        <v>1</v>
      </c>
      <c r="G53" s="199">
        <v>1</v>
      </c>
      <c r="H53" s="199">
        <v>1</v>
      </c>
      <c r="I53" s="199">
        <v>1</v>
      </c>
      <c r="J53" s="199">
        <v>1</v>
      </c>
      <c r="K53" s="199">
        <v>1</v>
      </c>
      <c r="L53" s="199">
        <v>1</v>
      </c>
      <c r="M53" s="199">
        <v>1</v>
      </c>
      <c r="N53" s="199">
        <v>1</v>
      </c>
      <c r="O53" s="199">
        <v>1</v>
      </c>
      <c r="P53" s="200">
        <v>1</v>
      </c>
      <c r="Q53" s="199">
        <v>1</v>
      </c>
      <c r="R53" s="199">
        <v>1</v>
      </c>
      <c r="S53" s="199">
        <v>1</v>
      </c>
      <c r="T53" s="199">
        <v>1</v>
      </c>
      <c r="U53" s="199">
        <v>1</v>
      </c>
      <c r="V53" s="199">
        <v>1</v>
      </c>
      <c r="W53" s="199">
        <v>1</v>
      </c>
      <c r="X53" s="199">
        <v>1</v>
      </c>
      <c r="Y53" s="171"/>
      <c r="Z53" s="172"/>
    </row>
    <row r="54" spans="1:26" ht="42.75" outlineLevel="2">
      <c r="A54" s="18">
        <f t="shared" si="12"/>
        <v>16</v>
      </c>
      <c r="B54" s="147" t="s">
        <v>1220</v>
      </c>
      <c r="C54" s="155">
        <v>0.01</v>
      </c>
      <c r="D54" s="189">
        <f t="shared" si="11"/>
        <v>6.1210735553209061E-4</v>
      </c>
      <c r="E54" s="198">
        <v>1</v>
      </c>
      <c r="F54" s="199">
        <v>1</v>
      </c>
      <c r="G54" s="199">
        <v>1</v>
      </c>
      <c r="H54" s="199">
        <v>1</v>
      </c>
      <c r="I54" s="199">
        <v>1</v>
      </c>
      <c r="J54" s="199">
        <v>1</v>
      </c>
      <c r="K54" s="199">
        <v>1</v>
      </c>
      <c r="L54" s="199">
        <v>1</v>
      </c>
      <c r="M54" s="199">
        <v>1</v>
      </c>
      <c r="N54" s="199">
        <v>1</v>
      </c>
      <c r="O54" s="199">
        <v>1</v>
      </c>
      <c r="P54" s="200">
        <v>1</v>
      </c>
      <c r="Q54" s="199">
        <v>1</v>
      </c>
      <c r="R54" s="199">
        <v>1</v>
      </c>
      <c r="S54" s="199">
        <v>1</v>
      </c>
      <c r="T54" s="199">
        <v>1</v>
      </c>
      <c r="U54" s="199">
        <v>1</v>
      </c>
      <c r="V54" s="199">
        <v>1</v>
      </c>
      <c r="W54" s="199">
        <v>1</v>
      </c>
      <c r="X54" s="199">
        <v>1</v>
      </c>
      <c r="Y54" s="171"/>
      <c r="Z54" s="172"/>
    </row>
    <row r="55" spans="1:26" ht="42.75" outlineLevel="2">
      <c r="A55" s="18">
        <f t="shared" si="12"/>
        <v>17</v>
      </c>
      <c r="B55" s="147" t="s">
        <v>1221</v>
      </c>
      <c r="C55" s="155">
        <v>0.01</v>
      </c>
      <c r="D55" s="189">
        <f t="shared" si="11"/>
        <v>6.1210735553209061E-4</v>
      </c>
      <c r="E55" s="198">
        <v>1</v>
      </c>
      <c r="F55" s="199">
        <v>1</v>
      </c>
      <c r="G55" s="199">
        <v>1</v>
      </c>
      <c r="H55" s="199">
        <v>1</v>
      </c>
      <c r="I55" s="199">
        <v>1</v>
      </c>
      <c r="J55" s="199">
        <v>1</v>
      </c>
      <c r="K55" s="199">
        <v>1</v>
      </c>
      <c r="L55" s="199">
        <v>1</v>
      </c>
      <c r="M55" s="199">
        <v>1</v>
      </c>
      <c r="N55" s="199">
        <v>1</v>
      </c>
      <c r="O55" s="199">
        <v>1</v>
      </c>
      <c r="P55" s="200">
        <v>1</v>
      </c>
      <c r="Q55" s="199">
        <v>1</v>
      </c>
      <c r="R55" s="199">
        <v>1</v>
      </c>
      <c r="S55" s="199">
        <v>1</v>
      </c>
      <c r="T55" s="199">
        <v>1</v>
      </c>
      <c r="U55" s="199">
        <v>1</v>
      </c>
      <c r="V55" s="199">
        <v>1</v>
      </c>
      <c r="W55" s="199">
        <v>1</v>
      </c>
      <c r="X55" s="199">
        <v>1</v>
      </c>
      <c r="Y55" s="171"/>
      <c r="Z55" s="172"/>
    </row>
    <row r="56" spans="1:26" ht="28.5" outlineLevel="2">
      <c r="A56" s="18">
        <f t="shared" si="12"/>
        <v>18</v>
      </c>
      <c r="B56" s="147" t="s">
        <v>1222</v>
      </c>
      <c r="C56" s="155">
        <v>5.0000000000000001E-3</v>
      </c>
      <c r="D56" s="189">
        <f t="shared" si="11"/>
        <v>3.0605367776604531E-4</v>
      </c>
      <c r="E56" s="171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72"/>
      <c r="Q56" s="166"/>
      <c r="R56" s="145"/>
      <c r="S56" s="145"/>
      <c r="T56" s="145"/>
      <c r="U56" s="145"/>
      <c r="V56" s="145"/>
      <c r="W56" s="145"/>
      <c r="X56" s="179"/>
      <c r="Y56" s="171"/>
      <c r="Z56" s="172"/>
    </row>
    <row r="57" spans="1:26" ht="28.5" outlineLevel="2">
      <c r="A57" s="18">
        <f t="shared" si="12"/>
        <v>19</v>
      </c>
      <c r="B57" s="147" t="s">
        <v>1223</v>
      </c>
      <c r="C57" s="155">
        <v>0.01</v>
      </c>
      <c r="D57" s="189">
        <f t="shared" si="11"/>
        <v>6.1210735553209061E-4</v>
      </c>
      <c r="E57" s="171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72"/>
      <c r="Q57" s="166"/>
      <c r="R57" s="145"/>
      <c r="S57" s="145"/>
      <c r="T57" s="145"/>
      <c r="U57" s="145"/>
      <c r="V57" s="145"/>
      <c r="W57" s="145"/>
      <c r="X57" s="179"/>
      <c r="Y57" s="171"/>
      <c r="Z57" s="172"/>
    </row>
    <row r="58" spans="1:26" ht="28.5" outlineLevel="2">
      <c r="A58" s="18">
        <f t="shared" si="12"/>
        <v>20</v>
      </c>
      <c r="B58" s="147" t="s">
        <v>1224</v>
      </c>
      <c r="C58" s="155">
        <v>5.0000000000000001E-3</v>
      </c>
      <c r="D58" s="189">
        <f t="shared" si="11"/>
        <v>3.0605367776604531E-4</v>
      </c>
      <c r="E58" s="171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72"/>
      <c r="Q58" s="166"/>
      <c r="R58" s="145"/>
      <c r="S58" s="145"/>
      <c r="T58" s="145"/>
      <c r="U58" s="145"/>
      <c r="V58" s="145"/>
      <c r="W58" s="145"/>
      <c r="X58" s="179"/>
      <c r="Y58" s="171"/>
      <c r="Z58" s="172"/>
    </row>
    <row r="59" spans="1:26" ht="28.5" outlineLevel="2">
      <c r="A59" s="18">
        <f t="shared" si="12"/>
        <v>21</v>
      </c>
      <c r="B59" s="147" t="s">
        <v>1225</v>
      </c>
      <c r="C59" s="155">
        <v>5.0000000000000001E-3</v>
      </c>
      <c r="D59" s="189">
        <f t="shared" si="11"/>
        <v>3.0605367776604531E-4</v>
      </c>
      <c r="E59" s="171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72"/>
      <c r="Q59" s="166"/>
      <c r="R59" s="145"/>
      <c r="S59" s="145"/>
      <c r="T59" s="145"/>
      <c r="U59" s="145"/>
      <c r="V59" s="145"/>
      <c r="W59" s="145"/>
      <c r="X59" s="179"/>
      <c r="Y59" s="171"/>
      <c r="Z59" s="172"/>
    </row>
    <row r="60" spans="1:26" ht="28.5" outlineLevel="2">
      <c r="A60" s="18">
        <f t="shared" si="12"/>
        <v>22</v>
      </c>
      <c r="B60" s="147" t="s">
        <v>1226</v>
      </c>
      <c r="C60" s="155">
        <v>0.05</v>
      </c>
      <c r="D60" s="189">
        <f t="shared" si="11"/>
        <v>3.0605367776604534E-3</v>
      </c>
      <c r="E60" s="171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72"/>
      <c r="Q60" s="166"/>
      <c r="R60" s="145"/>
      <c r="S60" s="145"/>
      <c r="T60" s="145"/>
      <c r="U60" s="145"/>
      <c r="V60" s="145"/>
      <c r="W60" s="145"/>
      <c r="X60" s="179"/>
      <c r="Y60" s="171"/>
      <c r="Z60" s="172"/>
    </row>
    <row r="61" spans="1:26" ht="28.5" outlineLevel="2">
      <c r="A61" s="18">
        <f t="shared" si="12"/>
        <v>23</v>
      </c>
      <c r="B61" s="147" t="s">
        <v>1227</v>
      </c>
      <c r="C61" s="155">
        <v>0.02</v>
      </c>
      <c r="D61" s="189">
        <f t="shared" si="11"/>
        <v>1.2242147110641812E-3</v>
      </c>
      <c r="E61" s="171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72"/>
      <c r="Q61" s="166"/>
      <c r="R61" s="145"/>
      <c r="S61" s="145"/>
      <c r="T61" s="145"/>
      <c r="U61" s="145"/>
      <c r="V61" s="145"/>
      <c r="W61" s="145"/>
      <c r="X61" s="179"/>
      <c r="Y61" s="171"/>
      <c r="Z61" s="172"/>
    </row>
    <row r="62" spans="1:26" outlineLevel="1">
      <c r="A62" s="187">
        <v>3</v>
      </c>
      <c r="B62" s="142" t="s">
        <v>1228</v>
      </c>
      <c r="C62" s="157"/>
      <c r="D62" s="188">
        <f>+'[2]Construction-87'!$L$58</f>
        <v>0.24247767513678134</v>
      </c>
      <c r="E62" s="17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74"/>
      <c r="Q62" s="167"/>
      <c r="R62" s="143"/>
      <c r="S62" s="143"/>
      <c r="T62" s="143"/>
      <c r="U62" s="143"/>
      <c r="V62" s="143"/>
      <c r="W62" s="143"/>
      <c r="X62" s="180"/>
      <c r="Y62" s="173"/>
      <c r="Z62" s="174"/>
    </row>
    <row r="63" spans="1:26" outlineLevel="2">
      <c r="A63" s="187">
        <v>3.1</v>
      </c>
      <c r="B63" s="142" t="s">
        <v>1229</v>
      </c>
      <c r="C63" s="157">
        <f>+SUM(C64:C73)</f>
        <v>1</v>
      </c>
      <c r="D63" s="188">
        <f>+D62/10</f>
        <v>2.4247767513678135E-2</v>
      </c>
      <c r="E63" s="17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74"/>
      <c r="Q63" s="167"/>
      <c r="R63" s="143"/>
      <c r="S63" s="143"/>
      <c r="T63" s="143"/>
      <c r="U63" s="143"/>
      <c r="V63" s="143"/>
      <c r="W63" s="143"/>
      <c r="X63" s="180"/>
      <c r="Y63" s="173"/>
      <c r="Z63" s="174"/>
    </row>
    <row r="64" spans="1:26" ht="57" outlineLevel="3">
      <c r="A64" s="18">
        <v>1</v>
      </c>
      <c r="B64" s="147" t="s">
        <v>1230</v>
      </c>
      <c r="C64" s="155">
        <v>0.43</v>
      </c>
      <c r="D64" s="189">
        <f t="shared" ref="D64:D73" si="13">+C64*$D$63</f>
        <v>1.0426540030881597E-2</v>
      </c>
      <c r="E64" s="171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72"/>
      <c r="Q64" s="166"/>
      <c r="R64" s="145"/>
      <c r="S64" s="145"/>
      <c r="T64" s="145"/>
      <c r="U64" s="145"/>
      <c r="V64" s="145"/>
      <c r="W64" s="145"/>
      <c r="X64" s="179"/>
      <c r="Y64" s="171"/>
      <c r="Z64" s="172"/>
    </row>
    <row r="65" spans="1:26" outlineLevel="3">
      <c r="A65" s="190">
        <f>+A64+1</f>
        <v>2</v>
      </c>
      <c r="B65" s="162" t="s">
        <v>1231</v>
      </c>
      <c r="C65" s="163">
        <v>0.15</v>
      </c>
      <c r="D65" s="189">
        <f t="shared" si="13"/>
        <v>3.6371651270517202E-3</v>
      </c>
      <c r="E65" s="171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72"/>
      <c r="Q65" s="166"/>
      <c r="R65" s="145"/>
      <c r="S65" s="145"/>
      <c r="T65" s="145"/>
      <c r="U65" s="145"/>
      <c r="V65" s="145"/>
      <c r="W65" s="145"/>
      <c r="X65" s="179"/>
      <c r="Y65" s="171"/>
      <c r="Z65" s="172"/>
    </row>
    <row r="66" spans="1:26" ht="28.5" outlineLevel="3">
      <c r="A66" s="18">
        <v>2</v>
      </c>
      <c r="B66" s="147" t="s">
        <v>1232</v>
      </c>
      <c r="C66" s="155">
        <v>0.2</v>
      </c>
      <c r="D66" s="189">
        <f t="shared" si="13"/>
        <v>4.8495535027356269E-3</v>
      </c>
      <c r="E66" s="171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72"/>
      <c r="Q66" s="166"/>
      <c r="R66" s="145"/>
      <c r="S66" s="145"/>
      <c r="T66" s="145"/>
      <c r="U66" s="145"/>
      <c r="V66" s="145"/>
      <c r="W66" s="145"/>
      <c r="X66" s="179"/>
      <c r="Y66" s="171"/>
      <c r="Z66" s="172"/>
    </row>
    <row r="67" spans="1:26" outlineLevel="3">
      <c r="A67" s="190">
        <f t="shared" ref="A67" si="14">+A66+1</f>
        <v>3</v>
      </c>
      <c r="B67" s="162" t="s">
        <v>1233</v>
      </c>
      <c r="C67" s="155">
        <v>0.14000000000000001</v>
      </c>
      <c r="D67" s="189">
        <f t="shared" si="13"/>
        <v>3.394687451914939E-3</v>
      </c>
      <c r="E67" s="171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72"/>
      <c r="Q67" s="166"/>
      <c r="R67" s="145"/>
      <c r="S67" s="145"/>
      <c r="T67" s="145"/>
      <c r="U67" s="145"/>
      <c r="V67" s="145"/>
      <c r="W67" s="145"/>
      <c r="X67" s="179"/>
      <c r="Y67" s="171"/>
      <c r="Z67" s="172"/>
    </row>
    <row r="68" spans="1:26" ht="42.75" outlineLevel="3">
      <c r="A68" s="18">
        <v>3</v>
      </c>
      <c r="B68" s="147" t="s">
        <v>1234</v>
      </c>
      <c r="C68" s="155">
        <v>0.01</v>
      </c>
      <c r="D68" s="189">
        <f t="shared" si="13"/>
        <v>2.4247767513678136E-4</v>
      </c>
      <c r="E68" s="171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72"/>
      <c r="Q68" s="166"/>
      <c r="R68" s="145"/>
      <c r="S68" s="145"/>
      <c r="T68" s="145"/>
      <c r="U68" s="145"/>
      <c r="V68" s="145"/>
      <c r="W68" s="145"/>
      <c r="X68" s="179"/>
      <c r="Y68" s="171"/>
      <c r="Z68" s="172"/>
    </row>
    <row r="69" spans="1:26" ht="28.5" outlineLevel="3">
      <c r="A69" s="190">
        <f t="shared" ref="A69" si="15">+A68+1</f>
        <v>4</v>
      </c>
      <c r="B69" s="147" t="s">
        <v>1235</v>
      </c>
      <c r="C69" s="155">
        <v>5.0000000000000001E-3</v>
      </c>
      <c r="D69" s="189">
        <f t="shared" si="13"/>
        <v>1.2123883756839068E-4</v>
      </c>
      <c r="E69" s="171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72"/>
      <c r="Q69" s="166"/>
      <c r="R69" s="145"/>
      <c r="S69" s="145"/>
      <c r="T69" s="145"/>
      <c r="U69" s="145"/>
      <c r="V69" s="145"/>
      <c r="W69" s="145"/>
      <c r="X69" s="179"/>
      <c r="Y69" s="171"/>
      <c r="Z69" s="172"/>
    </row>
    <row r="70" spans="1:26" ht="28.5" outlineLevel="3">
      <c r="A70" s="18">
        <v>4</v>
      </c>
      <c r="B70" s="147" t="s">
        <v>1236</v>
      </c>
      <c r="C70" s="155">
        <v>0.01</v>
      </c>
      <c r="D70" s="189">
        <f t="shared" si="13"/>
        <v>2.4247767513678136E-4</v>
      </c>
      <c r="E70" s="171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72"/>
      <c r="Q70" s="166"/>
      <c r="R70" s="145"/>
      <c r="S70" s="145"/>
      <c r="T70" s="145"/>
      <c r="U70" s="145"/>
      <c r="V70" s="145"/>
      <c r="W70" s="145"/>
      <c r="X70" s="179"/>
      <c r="Y70" s="171"/>
      <c r="Z70" s="172"/>
    </row>
    <row r="71" spans="1:26" outlineLevel="3">
      <c r="A71" s="190">
        <f t="shared" ref="A71" si="16">+A70+1</f>
        <v>5</v>
      </c>
      <c r="B71" s="147" t="s">
        <v>1237</v>
      </c>
      <c r="C71" s="155">
        <v>5.0000000000000001E-3</v>
      </c>
      <c r="D71" s="189">
        <f t="shared" si="13"/>
        <v>1.2123883756839068E-4</v>
      </c>
      <c r="E71" s="171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72"/>
      <c r="Q71" s="166"/>
      <c r="R71" s="145"/>
      <c r="S71" s="145"/>
      <c r="T71" s="145"/>
      <c r="U71" s="145"/>
      <c r="V71" s="145"/>
      <c r="W71" s="145"/>
      <c r="X71" s="179"/>
      <c r="Y71" s="171"/>
      <c r="Z71" s="172"/>
    </row>
    <row r="72" spans="1:26" ht="42.75" outlineLevel="3">
      <c r="A72" s="18">
        <v>5</v>
      </c>
      <c r="B72" s="147" t="s">
        <v>1238</v>
      </c>
      <c r="C72" s="155">
        <v>0.04</v>
      </c>
      <c r="D72" s="189">
        <f t="shared" si="13"/>
        <v>9.6991070054712545E-4</v>
      </c>
      <c r="E72" s="171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72"/>
      <c r="Q72" s="166"/>
      <c r="R72" s="145"/>
      <c r="S72" s="145"/>
      <c r="T72" s="145"/>
      <c r="U72" s="145"/>
      <c r="V72" s="145"/>
      <c r="W72" s="145"/>
      <c r="X72" s="179"/>
      <c r="Y72" s="171"/>
      <c r="Z72" s="172"/>
    </row>
    <row r="73" spans="1:26" ht="28.5" outlineLevel="3">
      <c r="A73" s="190">
        <f t="shared" ref="A73" si="17">+A72+1</f>
        <v>6</v>
      </c>
      <c r="B73" s="147" t="s">
        <v>1239</v>
      </c>
      <c r="C73" s="155">
        <v>0.01</v>
      </c>
      <c r="D73" s="189">
        <f t="shared" si="13"/>
        <v>2.4247767513678136E-4</v>
      </c>
      <c r="E73" s="171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72"/>
      <c r="Q73" s="166"/>
      <c r="R73" s="145"/>
      <c r="S73" s="145"/>
      <c r="T73" s="145"/>
      <c r="U73" s="145"/>
      <c r="V73" s="145"/>
      <c r="W73" s="145"/>
      <c r="X73" s="179"/>
      <c r="Y73" s="171"/>
      <c r="Z73" s="172"/>
    </row>
    <row r="74" spans="1:26" outlineLevel="2">
      <c r="A74" s="187">
        <v>3.2</v>
      </c>
      <c r="B74" s="142" t="s">
        <v>1240</v>
      </c>
      <c r="C74" s="157">
        <f>+SUM(C75:C84)</f>
        <v>1</v>
      </c>
      <c r="D74" s="188">
        <f>+D63</f>
        <v>2.4247767513678135E-2</v>
      </c>
      <c r="E74" s="17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74"/>
      <c r="Q74" s="167"/>
      <c r="R74" s="143"/>
      <c r="S74" s="143"/>
      <c r="T74" s="143"/>
      <c r="U74" s="143"/>
      <c r="V74" s="143"/>
      <c r="W74" s="143"/>
      <c r="X74" s="180"/>
      <c r="Y74" s="173"/>
      <c r="Z74" s="174"/>
    </row>
    <row r="75" spans="1:26" ht="57" outlineLevel="3">
      <c r="A75" s="18">
        <v>1</v>
      </c>
      <c r="B75" s="147" t="s">
        <v>1230</v>
      </c>
      <c r="C75" s="155">
        <v>0.43</v>
      </c>
      <c r="D75" s="189">
        <f t="shared" ref="D75:D84" si="18">+C75*$D$63</f>
        <v>1.0426540030881597E-2</v>
      </c>
      <c r="E75" s="171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72"/>
      <c r="Q75" s="166"/>
      <c r="R75" s="145"/>
      <c r="S75" s="145"/>
      <c r="T75" s="145"/>
      <c r="U75" s="145"/>
      <c r="V75" s="145"/>
      <c r="W75" s="145"/>
      <c r="X75" s="179"/>
      <c r="Y75" s="171"/>
      <c r="Z75" s="172"/>
    </row>
    <row r="76" spans="1:26" outlineLevel="3">
      <c r="A76" s="190">
        <f>+A75+1</f>
        <v>2</v>
      </c>
      <c r="B76" s="162" t="s">
        <v>1231</v>
      </c>
      <c r="C76" s="163">
        <v>0.15</v>
      </c>
      <c r="D76" s="189">
        <f t="shared" si="18"/>
        <v>3.6371651270517202E-3</v>
      </c>
      <c r="E76" s="171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72"/>
      <c r="Q76" s="166"/>
      <c r="R76" s="145"/>
      <c r="S76" s="145"/>
      <c r="T76" s="145"/>
      <c r="U76" s="145"/>
      <c r="V76" s="145"/>
      <c r="W76" s="145"/>
      <c r="X76" s="179"/>
      <c r="Y76" s="171"/>
      <c r="Z76" s="172"/>
    </row>
    <row r="77" spans="1:26" ht="28.5" outlineLevel="3">
      <c r="A77" s="18">
        <v>2</v>
      </c>
      <c r="B77" s="147" t="s">
        <v>1232</v>
      </c>
      <c r="C77" s="155">
        <v>0.2</v>
      </c>
      <c r="D77" s="189">
        <f t="shared" si="18"/>
        <v>4.8495535027356269E-3</v>
      </c>
      <c r="E77" s="171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72"/>
      <c r="Q77" s="166"/>
      <c r="R77" s="145"/>
      <c r="S77" s="145"/>
      <c r="T77" s="145"/>
      <c r="U77" s="145"/>
      <c r="V77" s="145"/>
      <c r="W77" s="145"/>
      <c r="X77" s="179"/>
      <c r="Y77" s="171"/>
      <c r="Z77" s="172"/>
    </row>
    <row r="78" spans="1:26" outlineLevel="3">
      <c r="A78" s="190">
        <f t="shared" ref="A78" si="19">+A77+1</f>
        <v>3</v>
      </c>
      <c r="B78" s="162" t="s">
        <v>1233</v>
      </c>
      <c r="C78" s="155">
        <v>0.14000000000000001</v>
      </c>
      <c r="D78" s="189">
        <f t="shared" si="18"/>
        <v>3.394687451914939E-3</v>
      </c>
      <c r="E78" s="171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72"/>
      <c r="Q78" s="166"/>
      <c r="R78" s="145"/>
      <c r="S78" s="145"/>
      <c r="T78" s="145"/>
      <c r="U78" s="145"/>
      <c r="V78" s="145"/>
      <c r="W78" s="145"/>
      <c r="X78" s="179"/>
      <c r="Y78" s="171"/>
      <c r="Z78" s="172"/>
    </row>
    <row r="79" spans="1:26" ht="42.75" outlineLevel="3">
      <c r="A79" s="18">
        <v>3</v>
      </c>
      <c r="B79" s="147" t="s">
        <v>1234</v>
      </c>
      <c r="C79" s="155">
        <v>0.01</v>
      </c>
      <c r="D79" s="189">
        <f t="shared" si="18"/>
        <v>2.4247767513678136E-4</v>
      </c>
      <c r="E79" s="171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72"/>
      <c r="Q79" s="166"/>
      <c r="R79" s="145"/>
      <c r="S79" s="145"/>
      <c r="T79" s="145"/>
      <c r="U79" s="145"/>
      <c r="V79" s="145"/>
      <c r="W79" s="145"/>
      <c r="X79" s="179"/>
      <c r="Y79" s="171"/>
      <c r="Z79" s="172"/>
    </row>
    <row r="80" spans="1:26" ht="28.5" outlineLevel="3">
      <c r="A80" s="190">
        <f t="shared" ref="A80" si="20">+A79+1</f>
        <v>4</v>
      </c>
      <c r="B80" s="147" t="s">
        <v>1235</v>
      </c>
      <c r="C80" s="155">
        <v>5.0000000000000001E-3</v>
      </c>
      <c r="D80" s="189">
        <f t="shared" si="18"/>
        <v>1.2123883756839068E-4</v>
      </c>
      <c r="E80" s="171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72"/>
      <c r="Q80" s="166"/>
      <c r="R80" s="145"/>
      <c r="S80" s="145"/>
      <c r="T80" s="145"/>
      <c r="U80" s="145"/>
      <c r="V80" s="145"/>
      <c r="W80" s="145"/>
      <c r="X80" s="179"/>
      <c r="Y80" s="171"/>
      <c r="Z80" s="172"/>
    </row>
    <row r="81" spans="1:26" ht="28.5" outlineLevel="3">
      <c r="A81" s="18">
        <v>4</v>
      </c>
      <c r="B81" s="147" t="s">
        <v>1236</v>
      </c>
      <c r="C81" s="155">
        <v>0.01</v>
      </c>
      <c r="D81" s="189">
        <f t="shared" si="18"/>
        <v>2.4247767513678136E-4</v>
      </c>
      <c r="E81" s="171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72"/>
      <c r="Q81" s="166"/>
      <c r="R81" s="145"/>
      <c r="S81" s="145"/>
      <c r="T81" s="145"/>
      <c r="U81" s="145"/>
      <c r="V81" s="145"/>
      <c r="W81" s="145"/>
      <c r="X81" s="179"/>
      <c r="Y81" s="171"/>
      <c r="Z81" s="172"/>
    </row>
    <row r="82" spans="1:26" outlineLevel="3">
      <c r="A82" s="190">
        <f t="shared" ref="A82" si="21">+A81+1</f>
        <v>5</v>
      </c>
      <c r="B82" s="147" t="s">
        <v>1237</v>
      </c>
      <c r="C82" s="155">
        <v>5.0000000000000001E-3</v>
      </c>
      <c r="D82" s="189">
        <f t="shared" si="18"/>
        <v>1.2123883756839068E-4</v>
      </c>
      <c r="E82" s="171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72"/>
      <c r="Q82" s="166"/>
      <c r="R82" s="145"/>
      <c r="S82" s="145"/>
      <c r="T82" s="145"/>
      <c r="U82" s="145"/>
      <c r="V82" s="145"/>
      <c r="W82" s="145"/>
      <c r="X82" s="179"/>
      <c r="Y82" s="171"/>
      <c r="Z82" s="172"/>
    </row>
    <row r="83" spans="1:26" ht="42.75" outlineLevel="3">
      <c r="A83" s="18">
        <v>5</v>
      </c>
      <c r="B83" s="147" t="s">
        <v>1238</v>
      </c>
      <c r="C83" s="155">
        <v>0.04</v>
      </c>
      <c r="D83" s="189">
        <f t="shared" si="18"/>
        <v>9.6991070054712545E-4</v>
      </c>
      <c r="E83" s="171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72"/>
      <c r="Q83" s="166"/>
      <c r="R83" s="145"/>
      <c r="S83" s="145"/>
      <c r="T83" s="145"/>
      <c r="U83" s="145"/>
      <c r="V83" s="145"/>
      <c r="W83" s="145"/>
      <c r="X83" s="179"/>
      <c r="Y83" s="171"/>
      <c r="Z83" s="172"/>
    </row>
    <row r="84" spans="1:26" ht="28.5" outlineLevel="3">
      <c r="A84" s="190">
        <f t="shared" ref="A84" si="22">+A83+1</f>
        <v>6</v>
      </c>
      <c r="B84" s="147" t="s">
        <v>1239</v>
      </c>
      <c r="C84" s="155">
        <v>0.01</v>
      </c>
      <c r="D84" s="189">
        <f t="shared" si="18"/>
        <v>2.4247767513678136E-4</v>
      </c>
      <c r="E84" s="171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72"/>
      <c r="Q84" s="166"/>
      <c r="R84" s="145"/>
      <c r="S84" s="145"/>
      <c r="T84" s="145"/>
      <c r="U84" s="145"/>
      <c r="V84" s="145"/>
      <c r="W84" s="145"/>
      <c r="X84" s="179"/>
      <c r="Y84" s="171"/>
      <c r="Z84" s="172"/>
    </row>
    <row r="85" spans="1:26" outlineLevel="2">
      <c r="A85" s="187">
        <v>3.3</v>
      </c>
      <c r="B85" s="142" t="s">
        <v>1241</v>
      </c>
      <c r="C85" s="157">
        <f>+SUM(C86:C95)</f>
        <v>1</v>
      </c>
      <c r="D85" s="188">
        <f>+D74</f>
        <v>2.4247767513678135E-2</v>
      </c>
      <c r="E85" s="17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74"/>
      <c r="Q85" s="167"/>
      <c r="R85" s="143"/>
      <c r="S85" s="143"/>
      <c r="T85" s="143"/>
      <c r="U85" s="143"/>
      <c r="V85" s="143"/>
      <c r="W85" s="143"/>
      <c r="X85" s="180"/>
      <c r="Y85" s="173"/>
      <c r="Z85" s="174"/>
    </row>
    <row r="86" spans="1:26" ht="57" outlineLevel="3">
      <c r="A86" s="18">
        <v>1</v>
      </c>
      <c r="B86" s="147" t="s">
        <v>1230</v>
      </c>
      <c r="C86" s="155">
        <v>0.43</v>
      </c>
      <c r="D86" s="189">
        <f t="shared" ref="D86:D95" si="23">+C86*$D$63</f>
        <v>1.0426540030881597E-2</v>
      </c>
      <c r="E86" s="171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72"/>
      <c r="Q86" s="166"/>
      <c r="R86" s="145"/>
      <c r="S86" s="145"/>
      <c r="T86" s="145"/>
      <c r="U86" s="145"/>
      <c r="V86" s="145"/>
      <c r="W86" s="145"/>
      <c r="X86" s="179"/>
      <c r="Y86" s="171"/>
      <c r="Z86" s="172"/>
    </row>
    <row r="87" spans="1:26" outlineLevel="3">
      <c r="A87" s="190">
        <f>+A86+1</f>
        <v>2</v>
      </c>
      <c r="B87" s="162" t="s">
        <v>1231</v>
      </c>
      <c r="C87" s="163">
        <v>0.15</v>
      </c>
      <c r="D87" s="189">
        <f t="shared" si="23"/>
        <v>3.6371651270517202E-3</v>
      </c>
      <c r="E87" s="171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72"/>
      <c r="Q87" s="166"/>
      <c r="R87" s="145"/>
      <c r="S87" s="145"/>
      <c r="T87" s="145"/>
      <c r="U87" s="145"/>
      <c r="V87" s="145"/>
      <c r="W87" s="145"/>
      <c r="X87" s="179"/>
      <c r="Y87" s="171"/>
      <c r="Z87" s="172"/>
    </row>
    <row r="88" spans="1:26" ht="28.5" outlineLevel="3">
      <c r="A88" s="18">
        <v>2</v>
      </c>
      <c r="B88" s="147" t="s">
        <v>1232</v>
      </c>
      <c r="C88" s="155">
        <v>0.2</v>
      </c>
      <c r="D88" s="189">
        <f t="shared" si="23"/>
        <v>4.8495535027356269E-3</v>
      </c>
      <c r="E88" s="171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72"/>
      <c r="Q88" s="166"/>
      <c r="R88" s="145"/>
      <c r="S88" s="145"/>
      <c r="T88" s="145"/>
      <c r="U88" s="145"/>
      <c r="V88" s="145"/>
      <c r="W88" s="145"/>
      <c r="X88" s="179"/>
      <c r="Y88" s="171"/>
      <c r="Z88" s="172"/>
    </row>
    <row r="89" spans="1:26" outlineLevel="3">
      <c r="A89" s="190">
        <f t="shared" ref="A89" si="24">+A88+1</f>
        <v>3</v>
      </c>
      <c r="B89" s="162" t="s">
        <v>1233</v>
      </c>
      <c r="C89" s="155">
        <v>0.14000000000000001</v>
      </c>
      <c r="D89" s="189">
        <f t="shared" si="23"/>
        <v>3.394687451914939E-3</v>
      </c>
      <c r="E89" s="171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72"/>
      <c r="Q89" s="166"/>
      <c r="R89" s="145"/>
      <c r="S89" s="145"/>
      <c r="T89" s="145"/>
      <c r="U89" s="145"/>
      <c r="V89" s="145"/>
      <c r="W89" s="145"/>
      <c r="X89" s="179"/>
      <c r="Y89" s="171"/>
      <c r="Z89" s="172"/>
    </row>
    <row r="90" spans="1:26" ht="42.75" outlineLevel="3">
      <c r="A90" s="18">
        <v>3</v>
      </c>
      <c r="B90" s="147" t="s">
        <v>1234</v>
      </c>
      <c r="C90" s="155">
        <v>0.01</v>
      </c>
      <c r="D90" s="189">
        <f t="shared" si="23"/>
        <v>2.4247767513678136E-4</v>
      </c>
      <c r="E90" s="171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72"/>
      <c r="Q90" s="166"/>
      <c r="R90" s="145"/>
      <c r="S90" s="145"/>
      <c r="T90" s="145"/>
      <c r="U90" s="145"/>
      <c r="V90" s="145"/>
      <c r="W90" s="145"/>
      <c r="X90" s="179"/>
      <c r="Y90" s="171"/>
      <c r="Z90" s="172"/>
    </row>
    <row r="91" spans="1:26" ht="28.5" outlineLevel="3">
      <c r="A91" s="190">
        <f t="shared" ref="A91" si="25">+A90+1</f>
        <v>4</v>
      </c>
      <c r="B91" s="147" t="s">
        <v>1235</v>
      </c>
      <c r="C91" s="155">
        <v>5.0000000000000001E-3</v>
      </c>
      <c r="D91" s="189">
        <f t="shared" si="23"/>
        <v>1.2123883756839068E-4</v>
      </c>
      <c r="E91" s="171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72"/>
      <c r="Q91" s="166"/>
      <c r="R91" s="145"/>
      <c r="S91" s="145"/>
      <c r="T91" s="145"/>
      <c r="U91" s="145"/>
      <c r="V91" s="145"/>
      <c r="W91" s="145"/>
      <c r="X91" s="179"/>
      <c r="Y91" s="171"/>
      <c r="Z91" s="172"/>
    </row>
    <row r="92" spans="1:26" ht="28.5" outlineLevel="3">
      <c r="A92" s="18">
        <v>4</v>
      </c>
      <c r="B92" s="147" t="s">
        <v>1236</v>
      </c>
      <c r="C92" s="155">
        <v>0.01</v>
      </c>
      <c r="D92" s="189">
        <f t="shared" si="23"/>
        <v>2.4247767513678136E-4</v>
      </c>
      <c r="E92" s="171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72"/>
      <c r="Q92" s="166"/>
      <c r="R92" s="145"/>
      <c r="S92" s="145"/>
      <c r="T92" s="145"/>
      <c r="U92" s="145"/>
      <c r="V92" s="145"/>
      <c r="W92" s="145"/>
      <c r="X92" s="179"/>
      <c r="Y92" s="171"/>
      <c r="Z92" s="172"/>
    </row>
    <row r="93" spans="1:26" outlineLevel="3">
      <c r="A93" s="190">
        <f t="shared" ref="A93" si="26">+A92+1</f>
        <v>5</v>
      </c>
      <c r="B93" s="147" t="s">
        <v>1237</v>
      </c>
      <c r="C93" s="155">
        <v>5.0000000000000001E-3</v>
      </c>
      <c r="D93" s="189">
        <f t="shared" si="23"/>
        <v>1.2123883756839068E-4</v>
      </c>
      <c r="E93" s="171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72"/>
      <c r="Q93" s="166"/>
      <c r="R93" s="145"/>
      <c r="S93" s="145"/>
      <c r="T93" s="145"/>
      <c r="U93" s="145"/>
      <c r="V93" s="145"/>
      <c r="W93" s="145"/>
      <c r="X93" s="179"/>
      <c r="Y93" s="171"/>
      <c r="Z93" s="172"/>
    </row>
    <row r="94" spans="1:26" ht="42.75" outlineLevel="3">
      <c r="A94" s="18">
        <v>5</v>
      </c>
      <c r="B94" s="147" t="s">
        <v>1238</v>
      </c>
      <c r="C94" s="155">
        <v>0.04</v>
      </c>
      <c r="D94" s="189">
        <f t="shared" si="23"/>
        <v>9.6991070054712545E-4</v>
      </c>
      <c r="E94" s="171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72"/>
      <c r="Q94" s="166"/>
      <c r="R94" s="145"/>
      <c r="S94" s="145"/>
      <c r="T94" s="145"/>
      <c r="U94" s="145"/>
      <c r="V94" s="145"/>
      <c r="W94" s="145"/>
      <c r="X94" s="179"/>
      <c r="Y94" s="171"/>
      <c r="Z94" s="172"/>
    </row>
    <row r="95" spans="1:26" ht="28.5" outlineLevel="3">
      <c r="A95" s="190">
        <f t="shared" ref="A95" si="27">+A94+1</f>
        <v>6</v>
      </c>
      <c r="B95" s="147" t="s">
        <v>1239</v>
      </c>
      <c r="C95" s="155">
        <v>0.01</v>
      </c>
      <c r="D95" s="189">
        <f t="shared" si="23"/>
        <v>2.4247767513678136E-4</v>
      </c>
      <c r="E95" s="171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72"/>
      <c r="Q95" s="166"/>
      <c r="R95" s="145"/>
      <c r="S95" s="145"/>
      <c r="T95" s="145"/>
      <c r="U95" s="145"/>
      <c r="V95" s="145"/>
      <c r="W95" s="145"/>
      <c r="X95" s="179"/>
      <c r="Y95" s="171"/>
      <c r="Z95" s="172"/>
    </row>
    <row r="96" spans="1:26" outlineLevel="2">
      <c r="A96" s="187">
        <v>3.4</v>
      </c>
      <c r="B96" s="142" t="s">
        <v>1242</v>
      </c>
      <c r="C96" s="157">
        <f>+SUM(C97:C106)</f>
        <v>0</v>
      </c>
      <c r="D96" s="188">
        <f>+D85</f>
        <v>2.4247767513678135E-2</v>
      </c>
      <c r="E96" s="17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74"/>
      <c r="Q96" s="167"/>
      <c r="R96" s="143"/>
      <c r="S96" s="143"/>
      <c r="T96" s="143"/>
      <c r="U96" s="143"/>
      <c r="V96" s="143"/>
      <c r="W96" s="143"/>
      <c r="X96" s="180"/>
      <c r="Y96" s="173"/>
      <c r="Z96" s="174"/>
    </row>
    <row r="97" spans="1:26" outlineLevel="2">
      <c r="A97" s="187">
        <v>3.5</v>
      </c>
      <c r="B97" s="142" t="s">
        <v>1243</v>
      </c>
      <c r="C97" s="157">
        <f>+SUM(C98:C107)</f>
        <v>0</v>
      </c>
      <c r="D97" s="188">
        <f t="shared" ref="D97:D102" si="28">+D96</f>
        <v>2.4247767513678135E-2</v>
      </c>
      <c r="E97" s="17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74"/>
      <c r="Q97" s="167"/>
      <c r="R97" s="143"/>
      <c r="S97" s="143"/>
      <c r="T97" s="143"/>
      <c r="U97" s="143"/>
      <c r="V97" s="143"/>
      <c r="W97" s="143"/>
      <c r="X97" s="180"/>
      <c r="Y97" s="173"/>
      <c r="Z97" s="174"/>
    </row>
    <row r="98" spans="1:26" outlineLevel="2">
      <c r="A98" s="187">
        <v>3.6</v>
      </c>
      <c r="B98" s="142" t="s">
        <v>1244</v>
      </c>
      <c r="C98" s="157">
        <f>+SUM(C99:C108)</f>
        <v>0</v>
      </c>
      <c r="D98" s="188">
        <f t="shared" si="28"/>
        <v>2.4247767513678135E-2</v>
      </c>
      <c r="E98" s="17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74"/>
      <c r="Q98" s="167"/>
      <c r="R98" s="143"/>
      <c r="S98" s="143"/>
      <c r="T98" s="143"/>
      <c r="U98" s="143"/>
      <c r="V98" s="143"/>
      <c r="W98" s="143"/>
      <c r="X98" s="180"/>
      <c r="Y98" s="173"/>
      <c r="Z98" s="174"/>
    </row>
    <row r="99" spans="1:26" outlineLevel="2">
      <c r="A99" s="187">
        <v>3.7</v>
      </c>
      <c r="B99" s="142" t="s">
        <v>1245</v>
      </c>
      <c r="C99" s="157">
        <f>+SUM(C100:C109)</f>
        <v>0</v>
      </c>
      <c r="D99" s="188">
        <f t="shared" si="28"/>
        <v>2.4247767513678135E-2</v>
      </c>
      <c r="E99" s="17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74"/>
      <c r="Q99" s="167"/>
      <c r="R99" s="143"/>
      <c r="S99" s="143"/>
      <c r="T99" s="143"/>
      <c r="U99" s="143"/>
      <c r="V99" s="143"/>
      <c r="W99" s="143"/>
      <c r="X99" s="180"/>
      <c r="Y99" s="173"/>
      <c r="Z99" s="174"/>
    </row>
    <row r="100" spans="1:26" outlineLevel="2">
      <c r="A100" s="187">
        <v>3.8</v>
      </c>
      <c r="B100" s="142" t="s">
        <v>1246</v>
      </c>
      <c r="C100" s="157">
        <f>+SUM(C101:C110)</f>
        <v>0</v>
      </c>
      <c r="D100" s="188">
        <f t="shared" si="28"/>
        <v>2.4247767513678135E-2</v>
      </c>
      <c r="E100" s="17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74"/>
      <c r="Q100" s="167"/>
      <c r="R100" s="143"/>
      <c r="S100" s="143"/>
      <c r="T100" s="143"/>
      <c r="U100" s="143"/>
      <c r="V100" s="143"/>
      <c r="W100" s="143"/>
      <c r="X100" s="180"/>
      <c r="Y100" s="173"/>
      <c r="Z100" s="174"/>
    </row>
    <row r="101" spans="1:26" outlineLevel="2">
      <c r="A101" s="187">
        <v>3.9</v>
      </c>
      <c r="B101" s="142" t="s">
        <v>1247</v>
      </c>
      <c r="C101" s="157">
        <v>0</v>
      </c>
      <c r="D101" s="188">
        <f t="shared" si="28"/>
        <v>2.4247767513678135E-2</v>
      </c>
      <c r="E101" s="17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74"/>
      <c r="Q101" s="167"/>
      <c r="R101" s="143"/>
      <c r="S101" s="143"/>
      <c r="T101" s="143"/>
      <c r="U101" s="143"/>
      <c r="V101" s="143"/>
      <c r="W101" s="143"/>
      <c r="X101" s="180"/>
      <c r="Y101" s="173"/>
      <c r="Z101" s="174"/>
    </row>
    <row r="102" spans="1:26" outlineLevel="2">
      <c r="A102" s="191">
        <v>3.1</v>
      </c>
      <c r="B102" s="142" t="s">
        <v>1248</v>
      </c>
      <c r="C102" s="157">
        <v>0</v>
      </c>
      <c r="D102" s="188">
        <f t="shared" si="28"/>
        <v>2.4247767513678135E-2</v>
      </c>
      <c r="E102" s="17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74"/>
      <c r="Q102" s="167"/>
      <c r="R102" s="143"/>
      <c r="S102" s="143"/>
      <c r="T102" s="143"/>
      <c r="U102" s="143"/>
      <c r="V102" s="143"/>
      <c r="W102" s="143"/>
      <c r="X102" s="180"/>
      <c r="Y102" s="173"/>
      <c r="Z102" s="174"/>
    </row>
    <row r="103" spans="1:26" outlineLevel="1">
      <c r="A103" s="187">
        <v>4</v>
      </c>
      <c r="B103" s="142" t="s">
        <v>1249</v>
      </c>
      <c r="C103" s="157"/>
      <c r="D103" s="188">
        <f>+'[2]Construction-87'!$L$72</f>
        <v>6.3205229478744906E-2</v>
      </c>
      <c r="E103" s="17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74"/>
      <c r="Q103" s="167"/>
      <c r="R103" s="143"/>
      <c r="S103" s="143"/>
      <c r="T103" s="143"/>
      <c r="U103" s="143"/>
      <c r="V103" s="143"/>
      <c r="W103" s="143"/>
      <c r="X103" s="180"/>
      <c r="Y103" s="173"/>
      <c r="Z103" s="174"/>
    </row>
    <row r="104" spans="1:26" outlineLevel="1">
      <c r="A104" s="187">
        <v>5</v>
      </c>
      <c r="B104" s="142" t="s">
        <v>1250</v>
      </c>
      <c r="C104" s="157"/>
      <c r="D104" s="188">
        <f>+'[2]Construction-87'!$L$91</f>
        <v>4.2582686085125381E-2</v>
      </c>
      <c r="E104" s="17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74"/>
      <c r="Q104" s="167"/>
      <c r="R104" s="143"/>
      <c r="S104" s="143"/>
      <c r="T104" s="143"/>
      <c r="U104" s="143"/>
      <c r="V104" s="143"/>
      <c r="W104" s="143"/>
      <c r="X104" s="180"/>
      <c r="Y104" s="173"/>
      <c r="Z104" s="174"/>
    </row>
    <row r="105" spans="1:26" outlineLevel="1">
      <c r="A105" s="187">
        <v>6</v>
      </c>
      <c r="B105" s="142" t="s">
        <v>1251</v>
      </c>
      <c r="C105" s="157"/>
      <c r="D105" s="188">
        <f>+'[2]Construction-87'!$L$116</f>
        <v>0.12716774352278401</v>
      </c>
      <c r="E105" s="17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74"/>
      <c r="Q105" s="167"/>
      <c r="R105" s="143"/>
      <c r="S105" s="143"/>
      <c r="T105" s="143"/>
      <c r="U105" s="143"/>
      <c r="V105" s="143"/>
      <c r="W105" s="143"/>
      <c r="X105" s="180"/>
      <c r="Y105" s="173"/>
      <c r="Z105" s="174"/>
    </row>
    <row r="106" spans="1:26" outlineLevel="1">
      <c r="A106" s="187">
        <v>7</v>
      </c>
      <c r="B106" s="142" t="s">
        <v>1252</v>
      </c>
      <c r="C106" s="157"/>
      <c r="D106" s="188">
        <f>+'[2]Construction-87'!$L$128</f>
        <v>0.11641961008529496</v>
      </c>
      <c r="E106" s="17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74"/>
      <c r="Q106" s="167"/>
      <c r="R106" s="143"/>
      <c r="S106" s="143"/>
      <c r="T106" s="143"/>
      <c r="U106" s="143"/>
      <c r="V106" s="143"/>
      <c r="W106" s="143"/>
      <c r="X106" s="180"/>
      <c r="Y106" s="173"/>
      <c r="Z106" s="174"/>
    </row>
    <row r="107" spans="1:26" outlineLevel="1">
      <c r="A107" s="187">
        <v>8</v>
      </c>
      <c r="B107" s="142" t="s">
        <v>1253</v>
      </c>
      <c r="C107" s="157"/>
      <c r="D107" s="188">
        <f>+'[2]Construction-87'!$L$142</f>
        <v>1.3681965792231715E-2</v>
      </c>
      <c r="E107" s="17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74"/>
      <c r="Q107" s="167"/>
      <c r="R107" s="143"/>
      <c r="S107" s="143"/>
      <c r="T107" s="143"/>
      <c r="U107" s="143"/>
      <c r="V107" s="143"/>
      <c r="W107" s="143"/>
      <c r="X107" s="180"/>
      <c r="Y107" s="173"/>
      <c r="Z107" s="174"/>
    </row>
    <row r="108" spans="1:26" outlineLevel="1">
      <c r="A108" s="187">
        <v>9</v>
      </c>
      <c r="B108" s="142" t="s">
        <v>1254</v>
      </c>
      <c r="C108" s="157"/>
      <c r="D108" s="188">
        <f>+'[2]Construction-87'!$L$158</f>
        <v>5.786109169643297E-2</v>
      </c>
      <c r="E108" s="17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74"/>
      <c r="Q108" s="167"/>
      <c r="R108" s="143"/>
      <c r="S108" s="143"/>
      <c r="T108" s="143"/>
      <c r="U108" s="143"/>
      <c r="V108" s="143"/>
      <c r="W108" s="143"/>
      <c r="X108" s="180"/>
      <c r="Y108" s="173"/>
      <c r="Z108" s="174"/>
    </row>
    <row r="109" spans="1:26" outlineLevel="1">
      <c r="A109" s="187">
        <v>10</v>
      </c>
      <c r="B109" s="142" t="s">
        <v>1255</v>
      </c>
      <c r="C109" s="157"/>
      <c r="D109" s="188">
        <f>+'[2]Construction-87'!$L$198</f>
        <v>2.0061047628275569E-2</v>
      </c>
      <c r="E109" s="17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74"/>
      <c r="Q109" s="167"/>
      <c r="R109" s="143"/>
      <c r="S109" s="143"/>
      <c r="T109" s="143"/>
      <c r="U109" s="143"/>
      <c r="V109" s="143"/>
      <c r="W109" s="143"/>
      <c r="X109" s="180"/>
      <c r="Y109" s="173"/>
      <c r="Z109" s="174"/>
    </row>
    <row r="110" spans="1:26" outlineLevel="1">
      <c r="A110" s="187">
        <v>11</v>
      </c>
      <c r="B110" s="142" t="s">
        <v>1256</v>
      </c>
      <c r="C110" s="157"/>
      <c r="D110" s="188">
        <v>1.5500101461830878E-2</v>
      </c>
      <c r="E110" s="17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74"/>
      <c r="Q110" s="167"/>
      <c r="R110" s="143"/>
      <c r="S110" s="143"/>
      <c r="T110" s="143"/>
      <c r="U110" s="143"/>
      <c r="V110" s="143"/>
      <c r="W110" s="143"/>
      <c r="X110" s="180"/>
      <c r="Y110" s="173"/>
      <c r="Z110" s="174"/>
    </row>
    <row r="111" spans="1:26" ht="30">
      <c r="A111" s="187" t="s">
        <v>1257</v>
      </c>
      <c r="B111" s="164" t="s">
        <v>1258</v>
      </c>
      <c r="C111" s="157"/>
      <c r="D111" s="188">
        <f>+[3]Sheet1!$F$64</f>
        <v>5.4015010687157541E-2</v>
      </c>
      <c r="E111" s="17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74"/>
      <c r="Q111" s="167"/>
      <c r="R111" s="143"/>
      <c r="S111" s="143"/>
      <c r="T111" s="143"/>
      <c r="U111" s="143"/>
      <c r="V111" s="143"/>
      <c r="W111" s="143"/>
      <c r="X111" s="180"/>
      <c r="Y111" s="173"/>
      <c r="Z111" s="174"/>
    </row>
    <row r="112" spans="1:26">
      <c r="A112" s="187" t="s">
        <v>1259</v>
      </c>
      <c r="B112" s="142" t="s">
        <v>1260</v>
      </c>
      <c r="C112" s="157"/>
      <c r="D112" s="188">
        <f>+[3]Sheet1!$G$64</f>
        <v>7.4079718315516491E-2</v>
      </c>
      <c r="E112" s="17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74"/>
      <c r="Q112" s="167"/>
      <c r="R112" s="143"/>
      <c r="S112" s="143"/>
      <c r="T112" s="143"/>
      <c r="U112" s="143"/>
      <c r="V112" s="143"/>
      <c r="W112" s="143"/>
      <c r="X112" s="180"/>
      <c r="Y112" s="173"/>
      <c r="Z112" s="174"/>
    </row>
    <row r="113" spans="1:26">
      <c r="A113" s="187" t="s">
        <v>1261</v>
      </c>
      <c r="B113" s="142" t="s">
        <v>1262</v>
      </c>
      <c r="C113" s="157"/>
      <c r="D113" s="188">
        <f>+[3]Sheet1!$H$64</f>
        <v>6.5857853469214273E-2</v>
      </c>
      <c r="E113" s="17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74"/>
      <c r="Q113" s="167"/>
      <c r="R113" s="143"/>
      <c r="S113" s="143"/>
      <c r="T113" s="143"/>
      <c r="U113" s="143"/>
      <c r="V113" s="143"/>
      <c r="W113" s="143"/>
      <c r="X113" s="180"/>
      <c r="Y113" s="173"/>
      <c r="Z113" s="174"/>
    </row>
    <row r="114" spans="1:26" ht="15.75" thickBot="1">
      <c r="A114" s="192" t="s">
        <v>1263</v>
      </c>
      <c r="B114" s="193" t="s">
        <v>1264</v>
      </c>
      <c r="C114" s="194"/>
      <c r="D114" s="195">
        <f>+[3]Sheet1!$I$64</f>
        <v>2.3108713090593817E-2</v>
      </c>
      <c r="E114" s="175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7"/>
      <c r="Q114" s="167"/>
      <c r="R114" s="143"/>
      <c r="S114" s="143"/>
      <c r="T114" s="143"/>
      <c r="U114" s="143"/>
      <c r="V114" s="143"/>
      <c r="W114" s="143"/>
      <c r="X114" s="180"/>
      <c r="Y114" s="175"/>
      <c r="Z114" s="177"/>
    </row>
    <row r="116" spans="1:26">
      <c r="B116" s="197"/>
    </row>
    <row r="117" spans="1:26">
      <c r="B117" s="197"/>
      <c r="D117" s="151"/>
    </row>
    <row r="119" spans="1:26">
      <c r="D119" s="196"/>
    </row>
  </sheetData>
  <mergeCells count="24">
    <mergeCell ref="Z7:Z9"/>
    <mergeCell ref="E8:P8"/>
    <mergeCell ref="Q8:X8"/>
    <mergeCell ref="P4:X4"/>
    <mergeCell ref="E5:F5"/>
    <mergeCell ref="G5:K5"/>
    <mergeCell ref="L5:N5"/>
    <mergeCell ref="P5:X5"/>
    <mergeCell ref="A6:Y6"/>
    <mergeCell ref="A7:A9"/>
    <mergeCell ref="B7:B9"/>
    <mergeCell ref="C7:D9"/>
    <mergeCell ref="E7:X7"/>
    <mergeCell ref="Y7:Y9"/>
    <mergeCell ref="A1:Z1"/>
    <mergeCell ref="A2:Z2"/>
    <mergeCell ref="B3:B5"/>
    <mergeCell ref="E3:F3"/>
    <mergeCell ref="G3:K3"/>
    <mergeCell ref="L3:N3"/>
    <mergeCell ref="P3:X3"/>
    <mergeCell ref="E4:F4"/>
    <mergeCell ref="G4:K4"/>
    <mergeCell ref="L4:N4"/>
  </mergeCells>
  <pageMargins left="0.7" right="0.7" top="0.75" bottom="0.75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3052-8E4F-4725-9C81-8ECF62E10DAE}">
  <dimension ref="A1:Z119"/>
  <sheetViews>
    <sheetView zoomScale="85" zoomScaleNormal="85" workbookViewId="0">
      <pane xSplit="2" ySplit="9" topLeftCell="C91" activePane="bottomRight" state="frozen"/>
      <selection pane="bottomRight" activeCell="V112" sqref="V112"/>
      <selection pane="bottomLeft" activeCell="A10" sqref="A10"/>
      <selection pane="topRight" activeCell="C1" sqref="C1"/>
    </sheetView>
  </sheetViews>
  <sheetFormatPr defaultColWidth="9" defaultRowHeight="15" outlineLevelRow="3" outlineLevelCol="1"/>
  <cols>
    <col min="1" max="1" width="6.42578125" style="141" customWidth="1"/>
    <col min="2" max="2" width="36.140625" style="141" customWidth="1"/>
    <col min="3" max="3" width="8.85546875" style="158" customWidth="1"/>
    <col min="4" max="4" width="9.28515625" style="161" customWidth="1"/>
    <col min="5" max="16" width="8.7109375" style="141" customWidth="1"/>
    <col min="17" max="24" width="9" style="141" customWidth="1" outlineLevel="1"/>
    <col min="25" max="26" width="13.140625" style="141" customWidth="1"/>
    <col min="27" max="16384" width="9" style="141"/>
  </cols>
  <sheetData>
    <row r="1" spans="1:26" s="10" customFormat="1" ht="14.25" customHeight="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</row>
    <row r="2" spans="1:26" s="10" customFormat="1" ht="24" customHeight="1">
      <c r="A2" s="466" t="s">
        <v>1137</v>
      </c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</row>
    <row r="3" spans="1:26" s="10" customFormat="1" ht="18.75" hidden="1" customHeight="1" outlineLevel="1">
      <c r="A3" s="137"/>
      <c r="B3" s="467"/>
      <c r="C3" s="152"/>
      <c r="D3" s="159"/>
      <c r="E3" s="468" t="s">
        <v>1138</v>
      </c>
      <c r="F3" s="468"/>
      <c r="G3" s="469" t="s">
        <v>1139</v>
      </c>
      <c r="H3" s="469"/>
      <c r="I3" s="469"/>
      <c r="J3" s="469"/>
      <c r="K3" s="469"/>
      <c r="L3" s="468" t="s">
        <v>1140</v>
      </c>
      <c r="M3" s="468"/>
      <c r="N3" s="468"/>
      <c r="O3" s="138"/>
      <c r="P3" s="470"/>
      <c r="Q3" s="470"/>
      <c r="R3" s="470"/>
      <c r="S3" s="470"/>
      <c r="T3" s="470"/>
      <c r="U3" s="470"/>
      <c r="V3" s="470"/>
      <c r="W3" s="470"/>
      <c r="X3" s="470"/>
      <c r="Y3" s="66"/>
    </row>
    <row r="4" spans="1:26" s="10" customFormat="1" ht="18" hidden="1" customHeight="1" outlineLevel="1">
      <c r="A4" s="137"/>
      <c r="B4" s="467"/>
      <c r="C4" s="153"/>
      <c r="D4" s="160"/>
      <c r="E4" s="471" t="s">
        <v>1141</v>
      </c>
      <c r="F4" s="472"/>
      <c r="G4" s="469" t="s">
        <v>1142</v>
      </c>
      <c r="H4" s="469"/>
      <c r="I4" s="469"/>
      <c r="J4" s="469"/>
      <c r="K4" s="469"/>
      <c r="L4" s="468" t="s">
        <v>1143</v>
      </c>
      <c r="M4" s="468"/>
      <c r="N4" s="468"/>
      <c r="O4" s="138"/>
      <c r="P4" s="482"/>
      <c r="Q4" s="482"/>
      <c r="R4" s="482"/>
      <c r="S4" s="482"/>
      <c r="T4" s="482"/>
      <c r="U4" s="482"/>
      <c r="V4" s="482"/>
      <c r="W4" s="482"/>
      <c r="X4" s="482"/>
      <c r="Y4" s="139"/>
    </row>
    <row r="5" spans="1:26" s="10" customFormat="1" ht="21" hidden="1" customHeight="1" outlineLevel="1">
      <c r="A5" s="137"/>
      <c r="B5" s="467"/>
      <c r="C5" s="153"/>
      <c r="D5" s="160"/>
      <c r="E5" s="471" t="s">
        <v>1144</v>
      </c>
      <c r="F5" s="472"/>
      <c r="G5" s="468" t="s">
        <v>1145</v>
      </c>
      <c r="H5" s="468"/>
      <c r="I5" s="468"/>
      <c r="J5" s="468"/>
      <c r="K5" s="468"/>
      <c r="L5" s="468" t="s">
        <v>1146</v>
      </c>
      <c r="M5" s="468"/>
      <c r="N5" s="468"/>
      <c r="O5" s="138"/>
      <c r="P5" s="482"/>
      <c r="Q5" s="482"/>
      <c r="R5" s="482"/>
      <c r="S5" s="482"/>
      <c r="T5" s="482"/>
      <c r="U5" s="482"/>
      <c r="V5" s="482"/>
      <c r="W5" s="482"/>
      <c r="X5" s="482"/>
      <c r="Y5" s="139"/>
    </row>
    <row r="6" spans="1:26" s="10" customFormat="1" ht="18.75" collapsed="1" thickBot="1">
      <c r="A6" s="483"/>
      <c r="B6" s="483"/>
      <c r="C6" s="483"/>
      <c r="D6" s="483"/>
      <c r="E6" s="483"/>
      <c r="F6" s="483"/>
      <c r="G6" s="483"/>
      <c r="H6" s="483"/>
      <c r="I6" s="483"/>
      <c r="J6" s="483"/>
      <c r="K6" s="483"/>
      <c r="L6" s="483"/>
      <c r="M6" s="483"/>
      <c r="N6" s="483"/>
      <c r="O6" s="483"/>
      <c r="P6" s="483"/>
      <c r="Q6" s="483"/>
      <c r="R6" s="483"/>
      <c r="S6" s="483"/>
      <c r="T6" s="483"/>
      <c r="U6" s="483"/>
      <c r="V6" s="483"/>
      <c r="W6" s="483"/>
      <c r="X6" s="483"/>
      <c r="Y6" s="483"/>
    </row>
    <row r="7" spans="1:26" s="137" customFormat="1" ht="21.75" customHeight="1" thickBot="1">
      <c r="A7" s="484" t="s">
        <v>1147</v>
      </c>
      <c r="B7" s="487" t="s">
        <v>1148</v>
      </c>
      <c r="C7" s="490" t="s">
        <v>1149</v>
      </c>
      <c r="D7" s="491"/>
      <c r="E7" s="496" t="s">
        <v>1150</v>
      </c>
      <c r="F7" s="497"/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8"/>
      <c r="Y7" s="496" t="s">
        <v>1151</v>
      </c>
      <c r="Z7" s="473" t="s">
        <v>1152</v>
      </c>
    </row>
    <row r="8" spans="1:26" s="137" customFormat="1" ht="21.75" customHeight="1">
      <c r="A8" s="485"/>
      <c r="B8" s="488"/>
      <c r="C8" s="492"/>
      <c r="D8" s="493"/>
      <c r="E8" s="476" t="s">
        <v>1153</v>
      </c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8"/>
      <c r="Q8" s="501" t="s">
        <v>1154</v>
      </c>
      <c r="R8" s="480"/>
      <c r="S8" s="480"/>
      <c r="T8" s="480"/>
      <c r="U8" s="480"/>
      <c r="V8" s="480"/>
      <c r="W8" s="480"/>
      <c r="X8" s="502"/>
      <c r="Y8" s="499"/>
      <c r="Z8" s="474"/>
    </row>
    <row r="9" spans="1:26" s="140" customFormat="1" ht="36.75" customHeight="1" thickBot="1">
      <c r="A9" s="486"/>
      <c r="B9" s="489"/>
      <c r="C9" s="494"/>
      <c r="D9" s="495"/>
      <c r="E9" s="149" t="s">
        <v>1155</v>
      </c>
      <c r="F9" s="131" t="s">
        <v>1156</v>
      </c>
      <c r="G9" s="131" t="s">
        <v>1157</v>
      </c>
      <c r="H9" s="131" t="s">
        <v>1158</v>
      </c>
      <c r="I9" s="131" t="s">
        <v>1159</v>
      </c>
      <c r="J9" s="131" t="s">
        <v>1160</v>
      </c>
      <c r="K9" s="131" t="s">
        <v>1161</v>
      </c>
      <c r="L9" s="131" t="s">
        <v>1162</v>
      </c>
      <c r="M9" s="131" t="s">
        <v>1163</v>
      </c>
      <c r="N9" s="131" t="s">
        <v>1164</v>
      </c>
      <c r="O9" s="131" t="s">
        <v>1165</v>
      </c>
      <c r="P9" s="133" t="s">
        <v>1166</v>
      </c>
      <c r="Q9" s="150" t="s">
        <v>1167</v>
      </c>
      <c r="R9" s="134" t="s">
        <v>1168</v>
      </c>
      <c r="S9" s="134" t="s">
        <v>1169</v>
      </c>
      <c r="T9" s="134" t="s">
        <v>1170</v>
      </c>
      <c r="U9" s="134" t="s">
        <v>1171</v>
      </c>
      <c r="V9" s="134" t="s">
        <v>1172</v>
      </c>
      <c r="W9" s="134" t="s">
        <v>1173</v>
      </c>
      <c r="X9" s="214" t="s">
        <v>1174</v>
      </c>
      <c r="Y9" s="500"/>
      <c r="Z9" s="475"/>
    </row>
    <row r="10" spans="1:26">
      <c r="A10" s="183" t="s">
        <v>1175</v>
      </c>
      <c r="B10" s="148"/>
      <c r="C10" s="157">
        <f>+SUM(C11:C18)</f>
        <v>1</v>
      </c>
      <c r="D10" s="184">
        <f>+SUM(D11:D18)</f>
        <v>1</v>
      </c>
      <c r="E10" s="168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70"/>
      <c r="Q10" s="181"/>
      <c r="R10" s="148"/>
      <c r="S10" s="148"/>
      <c r="T10" s="148"/>
      <c r="U10" s="148"/>
      <c r="V10" s="148"/>
      <c r="W10" s="148"/>
      <c r="X10" s="182"/>
      <c r="Y10" s="181"/>
      <c r="Z10" s="182"/>
    </row>
    <row r="11" spans="1:26" outlineLevel="1">
      <c r="A11" s="18">
        <v>1</v>
      </c>
      <c r="B11" s="144" t="s">
        <v>1176</v>
      </c>
      <c r="C11" s="154">
        <v>0.1</v>
      </c>
      <c r="D11" s="185">
        <v>0.1</v>
      </c>
      <c r="E11" s="198">
        <v>1</v>
      </c>
      <c r="F11" s="199">
        <v>1</v>
      </c>
      <c r="G11" s="199">
        <v>1</v>
      </c>
      <c r="H11" s="199">
        <v>1</v>
      </c>
      <c r="I11" s="199">
        <v>1</v>
      </c>
      <c r="J11" s="199">
        <v>1</v>
      </c>
      <c r="K11" s="199">
        <v>1</v>
      </c>
      <c r="L11" s="199">
        <v>1</v>
      </c>
      <c r="M11" s="199">
        <v>1</v>
      </c>
      <c r="N11" s="199">
        <v>1</v>
      </c>
      <c r="O11" s="199">
        <v>1</v>
      </c>
      <c r="P11" s="200">
        <v>1</v>
      </c>
      <c r="Q11" s="198">
        <v>1</v>
      </c>
      <c r="R11" s="199">
        <v>1</v>
      </c>
      <c r="S11" s="199">
        <v>1</v>
      </c>
      <c r="T11" s="199">
        <v>1</v>
      </c>
      <c r="U11" s="199">
        <v>1</v>
      </c>
      <c r="V11" s="199">
        <v>1</v>
      </c>
      <c r="W11" s="199">
        <v>1</v>
      </c>
      <c r="X11" s="200">
        <v>1</v>
      </c>
      <c r="Y11" s="171"/>
      <c r="Z11" s="172"/>
    </row>
    <row r="12" spans="1:26" outlineLevel="1">
      <c r="A12" s="18">
        <v>2</v>
      </c>
      <c r="B12" s="144" t="s">
        <v>1177</v>
      </c>
      <c r="C12" s="154">
        <v>0.15</v>
      </c>
      <c r="D12" s="185">
        <v>0.15</v>
      </c>
      <c r="E12" s="198">
        <v>1</v>
      </c>
      <c r="F12" s="199">
        <v>1</v>
      </c>
      <c r="G12" s="199">
        <v>1</v>
      </c>
      <c r="H12" s="199">
        <v>1</v>
      </c>
      <c r="I12" s="199">
        <v>1</v>
      </c>
      <c r="J12" s="199">
        <v>1</v>
      </c>
      <c r="K12" s="199">
        <v>1</v>
      </c>
      <c r="L12" s="199">
        <v>1</v>
      </c>
      <c r="M12" s="199">
        <v>1</v>
      </c>
      <c r="N12" s="199">
        <v>1</v>
      </c>
      <c r="O12" s="199">
        <v>1</v>
      </c>
      <c r="P12" s="200">
        <v>1</v>
      </c>
      <c r="Q12" s="198">
        <v>1</v>
      </c>
      <c r="R12" s="199">
        <v>1</v>
      </c>
      <c r="S12" s="199">
        <v>1</v>
      </c>
      <c r="T12" s="199">
        <v>1</v>
      </c>
      <c r="U12" s="199">
        <v>1</v>
      </c>
      <c r="V12" s="199">
        <v>1</v>
      </c>
      <c r="W12" s="199">
        <v>1</v>
      </c>
      <c r="X12" s="200">
        <v>1</v>
      </c>
      <c r="Y12" s="171"/>
      <c r="Z12" s="172"/>
    </row>
    <row r="13" spans="1:26" outlineLevel="1">
      <c r="A13" s="18">
        <v>3</v>
      </c>
      <c r="B13" s="144" t="s">
        <v>1178</v>
      </c>
      <c r="C13" s="154">
        <v>0.15</v>
      </c>
      <c r="D13" s="185">
        <v>0.15</v>
      </c>
      <c r="E13" s="198">
        <v>1</v>
      </c>
      <c r="F13" s="199">
        <v>1</v>
      </c>
      <c r="G13" s="199">
        <v>1</v>
      </c>
      <c r="H13" s="199">
        <v>1</v>
      </c>
      <c r="I13" s="199">
        <v>1</v>
      </c>
      <c r="J13" s="199">
        <v>1</v>
      </c>
      <c r="K13" s="199">
        <v>1</v>
      </c>
      <c r="L13" s="199">
        <v>1</v>
      </c>
      <c r="M13" s="199">
        <v>1</v>
      </c>
      <c r="N13" s="199">
        <v>1</v>
      </c>
      <c r="O13" s="199">
        <v>1</v>
      </c>
      <c r="P13" s="200">
        <v>1</v>
      </c>
      <c r="Q13" s="198">
        <v>1</v>
      </c>
      <c r="R13" s="199">
        <v>1</v>
      </c>
      <c r="S13" s="199">
        <v>1</v>
      </c>
      <c r="T13" s="199">
        <v>1</v>
      </c>
      <c r="U13" s="199">
        <v>1</v>
      </c>
      <c r="V13" s="199">
        <v>1</v>
      </c>
      <c r="W13" s="199">
        <v>1</v>
      </c>
      <c r="X13" s="200">
        <v>1</v>
      </c>
      <c r="Y13" s="171"/>
      <c r="Z13" s="172"/>
    </row>
    <row r="14" spans="1:26" outlineLevel="1">
      <c r="A14" s="18">
        <v>4</v>
      </c>
      <c r="B14" s="144" t="s">
        <v>1179</v>
      </c>
      <c r="C14" s="154">
        <v>0.15</v>
      </c>
      <c r="D14" s="185">
        <v>0.15</v>
      </c>
      <c r="E14" s="198">
        <v>1</v>
      </c>
      <c r="F14" s="199">
        <v>1</v>
      </c>
      <c r="G14" s="199">
        <v>1</v>
      </c>
      <c r="H14" s="199">
        <v>1</v>
      </c>
      <c r="I14" s="199">
        <v>1</v>
      </c>
      <c r="J14" s="199">
        <v>1</v>
      </c>
      <c r="K14" s="199">
        <v>1</v>
      </c>
      <c r="L14" s="199">
        <v>1</v>
      </c>
      <c r="M14" s="199">
        <v>1</v>
      </c>
      <c r="N14" s="199">
        <v>1</v>
      </c>
      <c r="O14" s="199">
        <v>1</v>
      </c>
      <c r="P14" s="200">
        <v>1</v>
      </c>
      <c r="Q14" s="198">
        <v>1</v>
      </c>
      <c r="R14" s="199">
        <v>1</v>
      </c>
      <c r="S14" s="199">
        <v>1</v>
      </c>
      <c r="T14" s="199">
        <v>1</v>
      </c>
      <c r="U14" s="199">
        <v>1</v>
      </c>
      <c r="V14" s="199">
        <v>1</v>
      </c>
      <c r="W14" s="199">
        <v>1</v>
      </c>
      <c r="X14" s="200">
        <v>1</v>
      </c>
      <c r="Y14" s="171"/>
      <c r="Z14" s="172"/>
    </row>
    <row r="15" spans="1:26" outlineLevel="1">
      <c r="A15" s="18">
        <v>5</v>
      </c>
      <c r="B15" s="146" t="s">
        <v>1180</v>
      </c>
      <c r="C15" s="155">
        <v>0.1</v>
      </c>
      <c r="D15" s="186">
        <v>0.1</v>
      </c>
      <c r="E15" s="198">
        <v>1</v>
      </c>
      <c r="F15" s="199">
        <v>1</v>
      </c>
      <c r="G15" s="199">
        <v>1</v>
      </c>
      <c r="H15" s="199">
        <v>1</v>
      </c>
      <c r="I15" s="199">
        <v>1</v>
      </c>
      <c r="J15" s="199">
        <v>1</v>
      </c>
      <c r="K15" s="199">
        <v>1</v>
      </c>
      <c r="L15" s="199">
        <v>1</v>
      </c>
      <c r="M15" s="199">
        <v>1</v>
      </c>
      <c r="N15" s="199">
        <v>1</v>
      </c>
      <c r="O15" s="199">
        <v>1</v>
      </c>
      <c r="P15" s="200">
        <v>1</v>
      </c>
      <c r="Q15" s="198">
        <v>1</v>
      </c>
      <c r="R15" s="199">
        <v>1</v>
      </c>
      <c r="S15" s="199">
        <v>1</v>
      </c>
      <c r="T15" s="199">
        <v>1</v>
      </c>
      <c r="U15" s="199">
        <v>1</v>
      </c>
      <c r="V15" s="199">
        <v>1</v>
      </c>
      <c r="W15" s="199">
        <v>1</v>
      </c>
      <c r="X15" s="200">
        <v>1</v>
      </c>
      <c r="Y15" s="171"/>
      <c r="Z15" s="172"/>
    </row>
    <row r="16" spans="1:26" outlineLevel="1">
      <c r="A16" s="18">
        <v>6</v>
      </c>
      <c r="B16" s="146" t="s">
        <v>1181</v>
      </c>
      <c r="C16" s="155">
        <v>0.15</v>
      </c>
      <c r="D16" s="186">
        <v>0.15</v>
      </c>
      <c r="E16" s="198">
        <v>1</v>
      </c>
      <c r="F16" s="199">
        <v>1</v>
      </c>
      <c r="G16" s="199">
        <v>1</v>
      </c>
      <c r="H16" s="199">
        <v>1</v>
      </c>
      <c r="I16" s="199">
        <v>1</v>
      </c>
      <c r="J16" s="199">
        <v>1</v>
      </c>
      <c r="K16" s="199">
        <v>1</v>
      </c>
      <c r="L16" s="199">
        <v>1</v>
      </c>
      <c r="M16" s="199">
        <v>1</v>
      </c>
      <c r="N16" s="199">
        <v>1</v>
      </c>
      <c r="O16" s="199">
        <v>1</v>
      </c>
      <c r="P16" s="200">
        <v>1</v>
      </c>
      <c r="Q16" s="198">
        <v>1</v>
      </c>
      <c r="R16" s="199">
        <v>1</v>
      </c>
      <c r="S16" s="199">
        <v>1</v>
      </c>
      <c r="T16" s="199">
        <v>1</v>
      </c>
      <c r="U16" s="199">
        <v>1</v>
      </c>
      <c r="V16" s="199">
        <v>1</v>
      </c>
      <c r="W16" s="199">
        <v>1</v>
      </c>
      <c r="X16" s="200">
        <v>1</v>
      </c>
      <c r="Y16" s="171"/>
      <c r="Z16" s="172"/>
    </row>
    <row r="17" spans="1:26" outlineLevel="1">
      <c r="A17" s="18">
        <v>7</v>
      </c>
      <c r="B17" s="146" t="s">
        <v>1182</v>
      </c>
      <c r="C17" s="155">
        <v>0.1</v>
      </c>
      <c r="D17" s="186">
        <v>0.1</v>
      </c>
      <c r="E17" s="198">
        <v>1</v>
      </c>
      <c r="F17" s="199">
        <v>1</v>
      </c>
      <c r="G17" s="199">
        <v>1</v>
      </c>
      <c r="H17" s="199">
        <v>1</v>
      </c>
      <c r="I17" s="199">
        <v>1</v>
      </c>
      <c r="J17" s="199">
        <v>1</v>
      </c>
      <c r="K17" s="199">
        <v>1</v>
      </c>
      <c r="L17" s="199">
        <v>1</v>
      </c>
      <c r="M17" s="199">
        <v>1</v>
      </c>
      <c r="N17" s="199">
        <v>1</v>
      </c>
      <c r="O17" s="199">
        <v>1</v>
      </c>
      <c r="P17" s="200">
        <v>1</v>
      </c>
      <c r="Q17" s="198">
        <v>1</v>
      </c>
      <c r="R17" s="199">
        <v>1</v>
      </c>
      <c r="S17" s="199">
        <v>1</v>
      </c>
      <c r="T17" s="199">
        <v>1</v>
      </c>
      <c r="U17" s="199">
        <v>1</v>
      </c>
      <c r="V17" s="199">
        <v>1</v>
      </c>
      <c r="W17" s="199">
        <v>1</v>
      </c>
      <c r="X17" s="200">
        <v>1</v>
      </c>
      <c r="Y17" s="171"/>
      <c r="Z17" s="172"/>
    </row>
    <row r="18" spans="1:26" outlineLevel="1">
      <c r="A18" s="18">
        <v>8</v>
      </c>
      <c r="B18" s="146" t="s">
        <v>1183</v>
      </c>
      <c r="C18" s="155">
        <v>0.1</v>
      </c>
      <c r="D18" s="186">
        <v>0.1</v>
      </c>
      <c r="E18" s="198">
        <v>1</v>
      </c>
      <c r="F18" s="199">
        <v>1</v>
      </c>
      <c r="G18" s="199">
        <v>1</v>
      </c>
      <c r="H18" s="199">
        <v>1</v>
      </c>
      <c r="I18" s="199">
        <v>1</v>
      </c>
      <c r="J18" s="199">
        <v>1</v>
      </c>
      <c r="K18" s="199">
        <v>1</v>
      </c>
      <c r="L18" s="199">
        <v>1</v>
      </c>
      <c r="M18" s="199">
        <v>1</v>
      </c>
      <c r="N18" s="199">
        <v>1</v>
      </c>
      <c r="O18" s="199">
        <v>1</v>
      </c>
      <c r="P18" s="200">
        <v>1</v>
      </c>
      <c r="Q18" s="198">
        <v>1</v>
      </c>
      <c r="R18" s="199">
        <v>1</v>
      </c>
      <c r="S18" s="199">
        <v>1</v>
      </c>
      <c r="T18" s="199">
        <v>1</v>
      </c>
      <c r="U18" s="199">
        <v>1</v>
      </c>
      <c r="V18" s="199">
        <v>1</v>
      </c>
      <c r="W18" s="199">
        <v>1</v>
      </c>
      <c r="X18" s="200">
        <v>1</v>
      </c>
      <c r="Y18" s="171"/>
      <c r="Z18" s="172"/>
    </row>
    <row r="19" spans="1:26">
      <c r="A19" s="187" t="s">
        <v>1184</v>
      </c>
      <c r="B19" s="143"/>
      <c r="C19" s="156"/>
      <c r="D19" s="188">
        <f>+D20+D111+D112+D113+D114</f>
        <v>0.99999999999999989</v>
      </c>
      <c r="E19" s="204">
        <f>+$D20*E20+$D111*E111+$D112*E112+$D113*E113+$D114*E114</f>
        <v>0.18797244884501682</v>
      </c>
      <c r="F19" s="201">
        <f t="shared" ref="F19:P19" si="0">+$D20*F20+$D111*F111+$D112*F112+$D113*F113+$D114*F114</f>
        <v>0.18797244884501682</v>
      </c>
      <c r="G19" s="201">
        <f t="shared" si="0"/>
        <v>0.18797244884501682</v>
      </c>
      <c r="H19" s="201">
        <f t="shared" si="0"/>
        <v>0.18797244884501682</v>
      </c>
      <c r="I19" s="201">
        <f t="shared" si="0"/>
        <v>0.18797244884501682</v>
      </c>
      <c r="J19" s="201">
        <f t="shared" si="0"/>
        <v>0.18797244884501682</v>
      </c>
      <c r="K19" s="201">
        <f t="shared" si="0"/>
        <v>0.18797244884501682</v>
      </c>
      <c r="L19" s="201">
        <f t="shared" si="0"/>
        <v>0.18797244884501682</v>
      </c>
      <c r="M19" s="201">
        <f t="shared" si="0"/>
        <v>0.18797244884501682</v>
      </c>
      <c r="N19" s="201">
        <f t="shared" si="0"/>
        <v>0.18797244884501682</v>
      </c>
      <c r="O19" s="201">
        <f t="shared" si="0"/>
        <v>0.18797244884501682</v>
      </c>
      <c r="P19" s="202">
        <f t="shared" si="0"/>
        <v>0.18797244884501682</v>
      </c>
      <c r="Q19" s="204">
        <f>+$D20*Q20+$D111*Q111+$D112*Q112+$D113*Q113+$D114*Q114</f>
        <v>0.18797244884501682</v>
      </c>
      <c r="R19" s="201">
        <f t="shared" ref="R19:X19" si="1">+$D20*R20+$D111*R111+$D112*R112+$D113*R113+$D114*R114</f>
        <v>0.18797244884501682</v>
      </c>
      <c r="S19" s="201">
        <f t="shared" si="1"/>
        <v>0.18797244884501682</v>
      </c>
      <c r="T19" s="201">
        <f t="shared" si="1"/>
        <v>0.18797244884501682</v>
      </c>
      <c r="U19" s="201">
        <f t="shared" si="1"/>
        <v>0.18797244884501682</v>
      </c>
      <c r="V19" s="201">
        <f t="shared" si="1"/>
        <v>0.18797244884501682</v>
      </c>
      <c r="W19" s="201">
        <f t="shared" si="1"/>
        <v>0.18797244884501682</v>
      </c>
      <c r="X19" s="202">
        <f t="shared" si="1"/>
        <v>0.18797244884501682</v>
      </c>
      <c r="Y19" s="173"/>
      <c r="Z19" s="174"/>
    </row>
    <row r="20" spans="1:26">
      <c r="A20" s="187" t="s">
        <v>1185</v>
      </c>
      <c r="B20" s="142" t="s">
        <v>1186</v>
      </c>
      <c r="C20" s="157"/>
      <c r="D20" s="188">
        <f>+D21+D38+D62+D103+D104+D105+D106+D107+D108+D109+D110</f>
        <v>0.78293870443751779</v>
      </c>
      <c r="E20" s="204">
        <f>+(+$D21*E21+$D38*E38+$D62*E62+$D103*E103+$D104*E104+$D105*E105+$D106*E106+$D107*E107+$D108*E108+$D109*E109+$D110*E110)/$D20</f>
        <v>0.240085779103309</v>
      </c>
      <c r="F20" s="201">
        <f t="shared" ref="F20:P20" si="2">+(+$D21*F21+$D38*F38+$D62*F62+$D103*F103+$D104*F104+$D105*F105+$D106*F106+$D107*F107+$D108*F108+$D109*F109+$D110*F110)/$D20</f>
        <v>0.240085779103309</v>
      </c>
      <c r="G20" s="201">
        <f t="shared" si="2"/>
        <v>0.240085779103309</v>
      </c>
      <c r="H20" s="201">
        <f t="shared" si="2"/>
        <v>0.240085779103309</v>
      </c>
      <c r="I20" s="201">
        <f t="shared" si="2"/>
        <v>0.240085779103309</v>
      </c>
      <c r="J20" s="201">
        <f t="shared" si="2"/>
        <v>0.240085779103309</v>
      </c>
      <c r="K20" s="201">
        <f t="shared" si="2"/>
        <v>0.240085779103309</v>
      </c>
      <c r="L20" s="201">
        <f t="shared" si="2"/>
        <v>0.240085779103309</v>
      </c>
      <c r="M20" s="201">
        <f t="shared" si="2"/>
        <v>0.240085779103309</v>
      </c>
      <c r="N20" s="201">
        <f t="shared" si="2"/>
        <v>0.240085779103309</v>
      </c>
      <c r="O20" s="201">
        <f t="shared" si="2"/>
        <v>0.240085779103309</v>
      </c>
      <c r="P20" s="202">
        <f t="shared" si="2"/>
        <v>0.240085779103309</v>
      </c>
      <c r="Q20" s="204">
        <f>+(+$D21*Q21+$D38*Q38+$D62*Q62+$D103*Q103+$D104*Q104+$D105*Q105+$D106*Q106+$D107*Q107+$D108*Q108+$D109*Q109+$D110*Q110)/$D20</f>
        <v>0.240085779103309</v>
      </c>
      <c r="R20" s="201">
        <f t="shared" ref="R20:X20" si="3">+(+$D21*R21+$D38*R38+$D62*R62+$D103*R103+$D104*R104+$D105*R105+$D106*R106+$D107*R107+$D108*R108+$D109*R109+$D110*R110)/$D20</f>
        <v>0.240085779103309</v>
      </c>
      <c r="S20" s="201">
        <f t="shared" si="3"/>
        <v>0.240085779103309</v>
      </c>
      <c r="T20" s="201">
        <f t="shared" si="3"/>
        <v>0.240085779103309</v>
      </c>
      <c r="U20" s="201">
        <f t="shared" si="3"/>
        <v>0.240085779103309</v>
      </c>
      <c r="V20" s="201">
        <f t="shared" si="3"/>
        <v>0.240085779103309</v>
      </c>
      <c r="W20" s="201">
        <f t="shared" si="3"/>
        <v>0.240085779103309</v>
      </c>
      <c r="X20" s="202">
        <f t="shared" si="3"/>
        <v>0.240085779103309</v>
      </c>
      <c r="Y20" s="173"/>
      <c r="Z20" s="174"/>
    </row>
    <row r="21" spans="1:26" outlineLevel="1">
      <c r="A21" s="187">
        <v>1</v>
      </c>
      <c r="B21" s="142" t="s">
        <v>1187</v>
      </c>
      <c r="C21" s="157"/>
      <c r="D21" s="188">
        <f>+'[2]Construction-87'!$L$16</f>
        <v>2.2770817996807045E-2</v>
      </c>
      <c r="E21" s="204">
        <f>+(E22*$D22+$D29*E29+$D33*E33)/$D21</f>
        <v>0.4</v>
      </c>
      <c r="F21" s="201">
        <f t="shared" ref="F21:P21" si="4">+(F22*$D22+$D29*F29+$D33*F33)/$D21</f>
        <v>0.4</v>
      </c>
      <c r="G21" s="201">
        <f t="shared" si="4"/>
        <v>0.4</v>
      </c>
      <c r="H21" s="201">
        <f t="shared" si="4"/>
        <v>0.4</v>
      </c>
      <c r="I21" s="201">
        <f t="shared" si="4"/>
        <v>0.4</v>
      </c>
      <c r="J21" s="201">
        <f t="shared" si="4"/>
        <v>0.4</v>
      </c>
      <c r="K21" s="201">
        <f t="shared" si="4"/>
        <v>0.4</v>
      </c>
      <c r="L21" s="201">
        <f t="shared" si="4"/>
        <v>0.4</v>
      </c>
      <c r="M21" s="201">
        <f t="shared" si="4"/>
        <v>0.4</v>
      </c>
      <c r="N21" s="201">
        <f t="shared" si="4"/>
        <v>0.4</v>
      </c>
      <c r="O21" s="201">
        <f t="shared" si="4"/>
        <v>0.4</v>
      </c>
      <c r="P21" s="202">
        <f t="shared" si="4"/>
        <v>0.4</v>
      </c>
      <c r="Q21" s="204">
        <f>+(Q22*$D22+$D29*Q29+$D33*Q33)/$D21</f>
        <v>0.4</v>
      </c>
      <c r="R21" s="201">
        <f t="shared" ref="R21:X21" si="5">+(R22*$D22+$D29*R29+$D33*R33)/$D21</f>
        <v>0.4</v>
      </c>
      <c r="S21" s="201">
        <f t="shared" si="5"/>
        <v>0.4</v>
      </c>
      <c r="T21" s="201">
        <f t="shared" si="5"/>
        <v>0.4</v>
      </c>
      <c r="U21" s="201">
        <f t="shared" si="5"/>
        <v>0.4</v>
      </c>
      <c r="V21" s="201">
        <f t="shared" si="5"/>
        <v>0.4</v>
      </c>
      <c r="W21" s="201">
        <f t="shared" si="5"/>
        <v>0.4</v>
      </c>
      <c r="X21" s="202">
        <f t="shared" si="5"/>
        <v>0.4</v>
      </c>
      <c r="Y21" s="173"/>
      <c r="Z21" s="174"/>
    </row>
    <row r="22" spans="1:26" outlineLevel="2">
      <c r="A22" s="187">
        <v>1.1000000000000001</v>
      </c>
      <c r="B22" s="142" t="s">
        <v>1188</v>
      </c>
      <c r="C22" s="157">
        <f>+SUM(C23:C28)</f>
        <v>1</v>
      </c>
      <c r="D22" s="188">
        <f>+D21*40%</f>
        <v>9.1083271987228188E-3</v>
      </c>
      <c r="E22" s="204">
        <f>+SUMPRODUCT($C23:$C28,E23:E28)</f>
        <v>1</v>
      </c>
      <c r="F22" s="201">
        <f>+SUMPRODUCT($C23:$C28,F23:F28)</f>
        <v>1</v>
      </c>
      <c r="G22" s="201">
        <f t="shared" ref="G22:P22" si="6">+SUMPRODUCT($C23:$C28,G23:G28)</f>
        <v>1</v>
      </c>
      <c r="H22" s="201">
        <f t="shared" si="6"/>
        <v>1</v>
      </c>
      <c r="I22" s="201">
        <f t="shared" si="6"/>
        <v>1</v>
      </c>
      <c r="J22" s="201">
        <f t="shared" si="6"/>
        <v>1</v>
      </c>
      <c r="K22" s="201">
        <f t="shared" si="6"/>
        <v>1</v>
      </c>
      <c r="L22" s="201">
        <f t="shared" si="6"/>
        <v>1</v>
      </c>
      <c r="M22" s="201">
        <f t="shared" si="6"/>
        <v>1</v>
      </c>
      <c r="N22" s="201">
        <f t="shared" si="6"/>
        <v>1</v>
      </c>
      <c r="O22" s="201">
        <f t="shared" si="6"/>
        <v>1</v>
      </c>
      <c r="P22" s="202">
        <f t="shared" si="6"/>
        <v>1</v>
      </c>
      <c r="Q22" s="204">
        <f>+SUMPRODUCT($C23:$C28,Q23:Q28)</f>
        <v>1</v>
      </c>
      <c r="R22" s="201">
        <f>+SUMPRODUCT($C23:$C28,R23:R28)</f>
        <v>1</v>
      </c>
      <c r="S22" s="201">
        <f t="shared" ref="S22" si="7">+SUMPRODUCT($C23:$C28,S23:S28)</f>
        <v>1</v>
      </c>
      <c r="T22" s="201">
        <f>+SUMPRODUCT($C23:$C28,T23:T28)</f>
        <v>1</v>
      </c>
      <c r="U22" s="201">
        <f>+SUMPRODUCT($C23:$C28,U23:U28)</f>
        <v>1</v>
      </c>
      <c r="V22" s="201">
        <f>+SUMPRODUCT($C23:$C28,V23:V28)</f>
        <v>1</v>
      </c>
      <c r="W22" s="201">
        <f>+SUMPRODUCT($C23:$C28,W23:W28)</f>
        <v>1</v>
      </c>
      <c r="X22" s="202">
        <f>+SUMPRODUCT($C23:$C28,X23:X28)</f>
        <v>1</v>
      </c>
      <c r="Y22" s="173"/>
      <c r="Z22" s="174"/>
    </row>
    <row r="23" spans="1:26" ht="28.5" outlineLevel="3">
      <c r="A23" s="18">
        <v>1</v>
      </c>
      <c r="B23" s="146" t="s">
        <v>1189</v>
      </c>
      <c r="C23" s="155">
        <v>0.05</v>
      </c>
      <c r="D23" s="189">
        <f>+C23*$D$22</f>
        <v>4.5541635993614094E-4</v>
      </c>
      <c r="E23" s="205">
        <v>1</v>
      </c>
      <c r="F23" s="199">
        <v>1</v>
      </c>
      <c r="G23" s="199">
        <v>1</v>
      </c>
      <c r="H23" s="199">
        <v>1</v>
      </c>
      <c r="I23" s="199">
        <v>1</v>
      </c>
      <c r="J23" s="199">
        <v>1</v>
      </c>
      <c r="K23" s="199">
        <v>1</v>
      </c>
      <c r="L23" s="199">
        <v>1</v>
      </c>
      <c r="M23" s="199">
        <v>1</v>
      </c>
      <c r="N23" s="199">
        <v>1</v>
      </c>
      <c r="O23" s="199">
        <v>1</v>
      </c>
      <c r="P23" s="200">
        <v>1</v>
      </c>
      <c r="Q23" s="205">
        <v>1</v>
      </c>
      <c r="R23" s="199">
        <v>1</v>
      </c>
      <c r="S23" s="199">
        <v>1</v>
      </c>
      <c r="T23" s="199">
        <v>1</v>
      </c>
      <c r="U23" s="199">
        <v>1</v>
      </c>
      <c r="V23" s="199">
        <v>1</v>
      </c>
      <c r="W23" s="199">
        <v>1</v>
      </c>
      <c r="X23" s="200">
        <v>1</v>
      </c>
      <c r="Y23" s="171"/>
      <c r="Z23" s="172"/>
    </row>
    <row r="24" spans="1:26" outlineLevel="3">
      <c r="A24" s="18">
        <v>2</v>
      </c>
      <c r="B24" s="146" t="s">
        <v>1190</v>
      </c>
      <c r="C24" s="155">
        <v>0.6</v>
      </c>
      <c r="D24" s="189">
        <f t="shared" ref="D24:D28" si="8">+C24*$D$22</f>
        <v>5.4649963192336913E-3</v>
      </c>
      <c r="E24" s="198">
        <v>1</v>
      </c>
      <c r="F24" s="199">
        <v>1</v>
      </c>
      <c r="G24" s="199">
        <v>1</v>
      </c>
      <c r="H24" s="199">
        <v>1</v>
      </c>
      <c r="I24" s="199">
        <v>1</v>
      </c>
      <c r="J24" s="199">
        <v>1</v>
      </c>
      <c r="K24" s="199">
        <v>1</v>
      </c>
      <c r="L24" s="199">
        <v>1</v>
      </c>
      <c r="M24" s="199">
        <v>1</v>
      </c>
      <c r="N24" s="199">
        <v>1</v>
      </c>
      <c r="O24" s="199">
        <v>1</v>
      </c>
      <c r="P24" s="200">
        <v>1</v>
      </c>
      <c r="Q24" s="198">
        <v>1</v>
      </c>
      <c r="R24" s="199">
        <v>1</v>
      </c>
      <c r="S24" s="199">
        <v>1</v>
      </c>
      <c r="T24" s="199">
        <v>1</v>
      </c>
      <c r="U24" s="199">
        <v>1</v>
      </c>
      <c r="V24" s="199">
        <v>1</v>
      </c>
      <c r="W24" s="199">
        <v>1</v>
      </c>
      <c r="X24" s="200">
        <v>1</v>
      </c>
      <c r="Y24" s="171"/>
      <c r="Z24" s="172"/>
    </row>
    <row r="25" spans="1:26" ht="28.5" outlineLevel="3">
      <c r="A25" s="18">
        <v>3</v>
      </c>
      <c r="B25" s="146" t="s">
        <v>1191</v>
      </c>
      <c r="C25" s="155">
        <v>0.05</v>
      </c>
      <c r="D25" s="189">
        <f t="shared" si="8"/>
        <v>4.5541635993614094E-4</v>
      </c>
      <c r="E25" s="198">
        <v>1</v>
      </c>
      <c r="F25" s="199">
        <v>1</v>
      </c>
      <c r="G25" s="199">
        <v>1</v>
      </c>
      <c r="H25" s="199">
        <v>1</v>
      </c>
      <c r="I25" s="199">
        <v>1</v>
      </c>
      <c r="J25" s="199">
        <v>1</v>
      </c>
      <c r="K25" s="199">
        <v>1</v>
      </c>
      <c r="L25" s="199">
        <v>1</v>
      </c>
      <c r="M25" s="199">
        <v>1</v>
      </c>
      <c r="N25" s="199">
        <v>1</v>
      </c>
      <c r="O25" s="199">
        <v>1</v>
      </c>
      <c r="P25" s="200">
        <v>1</v>
      </c>
      <c r="Q25" s="198">
        <v>1</v>
      </c>
      <c r="R25" s="199">
        <v>1</v>
      </c>
      <c r="S25" s="199">
        <v>1</v>
      </c>
      <c r="T25" s="199">
        <v>1</v>
      </c>
      <c r="U25" s="199">
        <v>1</v>
      </c>
      <c r="V25" s="199">
        <v>1</v>
      </c>
      <c r="W25" s="199">
        <v>1</v>
      </c>
      <c r="X25" s="200">
        <v>1</v>
      </c>
      <c r="Y25" s="171"/>
      <c r="Z25" s="172"/>
    </row>
    <row r="26" spans="1:26" outlineLevel="3">
      <c r="A26" s="18">
        <v>4</v>
      </c>
      <c r="B26" s="146" t="s">
        <v>1192</v>
      </c>
      <c r="C26" s="155">
        <v>0.1</v>
      </c>
      <c r="D26" s="189">
        <f t="shared" si="8"/>
        <v>9.1083271987228188E-4</v>
      </c>
      <c r="E26" s="198">
        <v>1</v>
      </c>
      <c r="F26" s="199">
        <v>1</v>
      </c>
      <c r="G26" s="199">
        <v>1</v>
      </c>
      <c r="H26" s="199">
        <v>1</v>
      </c>
      <c r="I26" s="199">
        <v>1</v>
      </c>
      <c r="J26" s="199">
        <v>1</v>
      </c>
      <c r="K26" s="199">
        <v>1</v>
      </c>
      <c r="L26" s="199">
        <v>1</v>
      </c>
      <c r="M26" s="199">
        <v>1</v>
      </c>
      <c r="N26" s="199">
        <v>1</v>
      </c>
      <c r="O26" s="199">
        <v>1</v>
      </c>
      <c r="P26" s="200">
        <v>1</v>
      </c>
      <c r="Q26" s="198">
        <v>1</v>
      </c>
      <c r="R26" s="199">
        <v>1</v>
      </c>
      <c r="S26" s="199">
        <v>1</v>
      </c>
      <c r="T26" s="199">
        <v>1</v>
      </c>
      <c r="U26" s="199">
        <v>1</v>
      </c>
      <c r="V26" s="199">
        <v>1</v>
      </c>
      <c r="W26" s="199">
        <v>1</v>
      </c>
      <c r="X26" s="200">
        <v>1</v>
      </c>
      <c r="Y26" s="171"/>
      <c r="Z26" s="172"/>
    </row>
    <row r="27" spans="1:26" outlineLevel="3">
      <c r="A27" s="18">
        <v>5</v>
      </c>
      <c r="B27" s="146" t="s">
        <v>1193</v>
      </c>
      <c r="C27" s="155">
        <v>0.15</v>
      </c>
      <c r="D27" s="189">
        <f t="shared" si="8"/>
        <v>1.3662490798084228E-3</v>
      </c>
      <c r="E27" s="198">
        <v>1</v>
      </c>
      <c r="F27" s="199">
        <v>1</v>
      </c>
      <c r="G27" s="199">
        <v>1</v>
      </c>
      <c r="H27" s="199">
        <v>1</v>
      </c>
      <c r="I27" s="199">
        <v>1</v>
      </c>
      <c r="J27" s="199">
        <v>1</v>
      </c>
      <c r="K27" s="199">
        <v>1</v>
      </c>
      <c r="L27" s="199">
        <v>1</v>
      </c>
      <c r="M27" s="199">
        <v>1</v>
      </c>
      <c r="N27" s="199">
        <v>1</v>
      </c>
      <c r="O27" s="199">
        <v>1</v>
      </c>
      <c r="P27" s="200">
        <v>1</v>
      </c>
      <c r="Q27" s="198">
        <v>1</v>
      </c>
      <c r="R27" s="199">
        <v>1</v>
      </c>
      <c r="S27" s="199">
        <v>1</v>
      </c>
      <c r="T27" s="199">
        <v>1</v>
      </c>
      <c r="U27" s="199">
        <v>1</v>
      </c>
      <c r="V27" s="199">
        <v>1</v>
      </c>
      <c r="W27" s="199">
        <v>1</v>
      </c>
      <c r="X27" s="200">
        <v>1</v>
      </c>
      <c r="Y27" s="171"/>
      <c r="Z27" s="172"/>
    </row>
    <row r="28" spans="1:26" outlineLevel="3">
      <c r="A28" s="18">
        <v>6</v>
      </c>
      <c r="B28" s="146" t="s">
        <v>1194</v>
      </c>
      <c r="C28" s="155">
        <v>0.05</v>
      </c>
      <c r="D28" s="189">
        <f t="shared" si="8"/>
        <v>4.5541635993614094E-4</v>
      </c>
      <c r="E28" s="198">
        <v>1</v>
      </c>
      <c r="F28" s="199">
        <v>1</v>
      </c>
      <c r="G28" s="199">
        <v>1</v>
      </c>
      <c r="H28" s="199">
        <v>1</v>
      </c>
      <c r="I28" s="199">
        <v>1</v>
      </c>
      <c r="J28" s="199">
        <v>1</v>
      </c>
      <c r="K28" s="199">
        <v>1</v>
      </c>
      <c r="L28" s="199">
        <v>1</v>
      </c>
      <c r="M28" s="199">
        <v>1</v>
      </c>
      <c r="N28" s="199">
        <v>1</v>
      </c>
      <c r="O28" s="199">
        <v>1</v>
      </c>
      <c r="P28" s="200">
        <v>1</v>
      </c>
      <c r="Q28" s="198">
        <v>1</v>
      </c>
      <c r="R28" s="199">
        <v>1</v>
      </c>
      <c r="S28" s="199">
        <v>1</v>
      </c>
      <c r="T28" s="199">
        <v>1</v>
      </c>
      <c r="U28" s="199">
        <v>1</v>
      </c>
      <c r="V28" s="199">
        <v>1</v>
      </c>
      <c r="W28" s="199">
        <v>1</v>
      </c>
      <c r="X28" s="200">
        <v>1</v>
      </c>
      <c r="Y28" s="171"/>
      <c r="Z28" s="172"/>
    </row>
    <row r="29" spans="1:26" outlineLevel="2">
      <c r="A29" s="187">
        <v>1.2</v>
      </c>
      <c r="B29" s="142" t="s">
        <v>1195</v>
      </c>
      <c r="C29" s="157">
        <f>+SUM(C30:C32)</f>
        <v>1</v>
      </c>
      <c r="D29" s="188">
        <f>+D21*25%</f>
        <v>5.6927044992017613E-3</v>
      </c>
      <c r="E29" s="17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74"/>
      <c r="Q29" s="173"/>
      <c r="R29" s="143"/>
      <c r="S29" s="143"/>
      <c r="T29" s="143"/>
      <c r="U29" s="143"/>
      <c r="V29" s="143"/>
      <c r="W29" s="143"/>
      <c r="X29" s="174"/>
      <c r="Y29" s="173"/>
      <c r="Z29" s="174"/>
    </row>
    <row r="30" spans="1:26" ht="28.5" outlineLevel="3">
      <c r="A30" s="18">
        <v>1</v>
      </c>
      <c r="B30" s="146" t="s">
        <v>1196</v>
      </c>
      <c r="C30" s="155">
        <v>0.5</v>
      </c>
      <c r="D30" s="189">
        <f>+C30*$D$29</f>
        <v>2.8463522496008807E-3</v>
      </c>
      <c r="E30" s="205">
        <v>1</v>
      </c>
      <c r="F30" s="199">
        <v>1</v>
      </c>
      <c r="G30" s="199">
        <v>1</v>
      </c>
      <c r="H30" s="199">
        <v>1</v>
      </c>
      <c r="I30" s="199">
        <v>1</v>
      </c>
      <c r="J30" s="199">
        <v>1</v>
      </c>
      <c r="K30" s="199">
        <v>1</v>
      </c>
      <c r="L30" s="199">
        <v>1</v>
      </c>
      <c r="M30" s="199">
        <v>1</v>
      </c>
      <c r="N30" s="199">
        <v>1</v>
      </c>
      <c r="O30" s="199">
        <v>1</v>
      </c>
      <c r="P30" s="200">
        <v>1</v>
      </c>
      <c r="Q30" s="205">
        <v>1</v>
      </c>
      <c r="R30" s="199">
        <v>1</v>
      </c>
      <c r="S30" s="199">
        <v>1</v>
      </c>
      <c r="T30" s="199">
        <v>1</v>
      </c>
      <c r="U30" s="199">
        <v>1</v>
      </c>
      <c r="V30" s="199">
        <v>1</v>
      </c>
      <c r="W30" s="199">
        <v>1</v>
      </c>
      <c r="X30" s="200">
        <v>1</v>
      </c>
      <c r="Y30" s="171"/>
      <c r="Z30" s="172"/>
    </row>
    <row r="31" spans="1:26" outlineLevel="3">
      <c r="A31" s="18">
        <v>2</v>
      </c>
      <c r="B31" s="146" t="s">
        <v>1197</v>
      </c>
      <c r="C31" s="155">
        <v>0.2</v>
      </c>
      <c r="D31" s="189">
        <f t="shared" ref="D31:D32" si="9">+C31*$D$29</f>
        <v>1.1385408998403524E-3</v>
      </c>
      <c r="E31" s="198">
        <v>1</v>
      </c>
      <c r="F31" s="199">
        <v>1</v>
      </c>
      <c r="G31" s="199">
        <v>1</v>
      </c>
      <c r="H31" s="199">
        <v>1</v>
      </c>
      <c r="I31" s="199">
        <v>1</v>
      </c>
      <c r="J31" s="199">
        <v>1</v>
      </c>
      <c r="K31" s="199">
        <v>1</v>
      </c>
      <c r="L31" s="199">
        <v>1</v>
      </c>
      <c r="M31" s="199">
        <v>1</v>
      </c>
      <c r="N31" s="199">
        <v>1</v>
      </c>
      <c r="O31" s="199">
        <v>1</v>
      </c>
      <c r="P31" s="200">
        <v>1</v>
      </c>
      <c r="Q31" s="205">
        <v>1</v>
      </c>
      <c r="R31" s="199">
        <v>1</v>
      </c>
      <c r="S31" s="199">
        <v>1</v>
      </c>
      <c r="T31" s="199">
        <v>1</v>
      </c>
      <c r="U31" s="199">
        <v>1</v>
      </c>
      <c r="V31" s="199">
        <v>1</v>
      </c>
      <c r="W31" s="199">
        <v>1</v>
      </c>
      <c r="X31" s="200">
        <v>1</v>
      </c>
      <c r="Y31" s="171"/>
      <c r="Z31" s="172"/>
    </row>
    <row r="32" spans="1:26" outlineLevel="3">
      <c r="A32" s="18">
        <v>3</v>
      </c>
      <c r="B32" s="146" t="s">
        <v>1198</v>
      </c>
      <c r="C32" s="155">
        <v>0.3</v>
      </c>
      <c r="D32" s="189">
        <f t="shared" si="9"/>
        <v>1.7078113497605283E-3</v>
      </c>
      <c r="E32" s="198">
        <v>1</v>
      </c>
      <c r="F32" s="199">
        <v>1</v>
      </c>
      <c r="G32" s="199">
        <v>1</v>
      </c>
      <c r="H32" s="199">
        <v>1</v>
      </c>
      <c r="I32" s="199">
        <v>1</v>
      </c>
      <c r="J32" s="199">
        <v>1</v>
      </c>
      <c r="K32" s="199">
        <v>1</v>
      </c>
      <c r="L32" s="199">
        <v>1</v>
      </c>
      <c r="M32" s="199">
        <v>1</v>
      </c>
      <c r="N32" s="199">
        <v>1</v>
      </c>
      <c r="O32" s="199">
        <v>1</v>
      </c>
      <c r="P32" s="200">
        <v>1</v>
      </c>
      <c r="Q32" s="205">
        <v>1</v>
      </c>
      <c r="R32" s="199">
        <v>1</v>
      </c>
      <c r="S32" s="199">
        <v>1</v>
      </c>
      <c r="T32" s="199">
        <v>1</v>
      </c>
      <c r="U32" s="199">
        <v>1</v>
      </c>
      <c r="V32" s="199">
        <v>1</v>
      </c>
      <c r="W32" s="199">
        <v>1</v>
      </c>
      <c r="X32" s="200">
        <v>1</v>
      </c>
      <c r="Y32" s="171"/>
      <c r="Z32" s="172"/>
    </row>
    <row r="33" spans="1:26" outlineLevel="2">
      <c r="A33" s="187">
        <v>1.3</v>
      </c>
      <c r="B33" s="142" t="s">
        <v>1199</v>
      </c>
      <c r="C33" s="157">
        <f>+SUM(C34:C37)</f>
        <v>1</v>
      </c>
      <c r="D33" s="188">
        <f>+D21-D22-D29</f>
        <v>7.9697862988824652E-3</v>
      </c>
      <c r="E33" s="17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74"/>
      <c r="Q33" s="173"/>
      <c r="R33" s="143"/>
      <c r="S33" s="143"/>
      <c r="T33" s="143"/>
      <c r="U33" s="143"/>
      <c r="V33" s="143"/>
      <c r="W33" s="143"/>
      <c r="X33" s="174"/>
      <c r="Y33" s="173"/>
      <c r="Z33" s="174"/>
    </row>
    <row r="34" spans="1:26" ht="28.5" outlineLevel="2">
      <c r="A34" s="18">
        <v>1</v>
      </c>
      <c r="B34" s="146" t="s">
        <v>1200</v>
      </c>
      <c r="C34" s="155">
        <v>0.1</v>
      </c>
      <c r="D34" s="189">
        <f>+C34*$D$33</f>
        <v>7.9697862988824654E-4</v>
      </c>
      <c r="E34" s="205">
        <v>1</v>
      </c>
      <c r="F34" s="199">
        <v>1</v>
      </c>
      <c r="G34" s="199">
        <v>1</v>
      </c>
      <c r="H34" s="199">
        <v>1</v>
      </c>
      <c r="I34" s="199">
        <v>1</v>
      </c>
      <c r="J34" s="199">
        <v>1</v>
      </c>
      <c r="K34" s="199">
        <v>1</v>
      </c>
      <c r="L34" s="199">
        <v>1</v>
      </c>
      <c r="M34" s="199">
        <v>1</v>
      </c>
      <c r="N34" s="199">
        <v>1</v>
      </c>
      <c r="O34" s="199">
        <v>1</v>
      </c>
      <c r="P34" s="200">
        <v>1</v>
      </c>
      <c r="Q34" s="205">
        <v>1</v>
      </c>
      <c r="R34" s="199">
        <v>1</v>
      </c>
      <c r="S34" s="199">
        <v>1</v>
      </c>
      <c r="T34" s="199">
        <v>1</v>
      </c>
      <c r="U34" s="199">
        <v>1</v>
      </c>
      <c r="V34" s="199">
        <v>1</v>
      </c>
      <c r="W34" s="199">
        <v>1</v>
      </c>
      <c r="X34" s="200">
        <v>1</v>
      </c>
      <c r="Y34" s="171"/>
      <c r="Z34" s="172"/>
    </row>
    <row r="35" spans="1:26" ht="28.5" outlineLevel="2">
      <c r="A35" s="18">
        <v>2</v>
      </c>
      <c r="B35" s="146" t="s">
        <v>1201</v>
      </c>
      <c r="C35" s="155">
        <v>0.02</v>
      </c>
      <c r="D35" s="189">
        <f t="shared" ref="D35:D37" si="10">+C35*$D$33</f>
        <v>1.5939572597764931E-4</v>
      </c>
      <c r="E35" s="205">
        <v>1</v>
      </c>
      <c r="F35" s="199">
        <v>1</v>
      </c>
      <c r="G35" s="199">
        <v>1</v>
      </c>
      <c r="H35" s="199">
        <v>1</v>
      </c>
      <c r="I35" s="199">
        <v>1</v>
      </c>
      <c r="J35" s="199">
        <v>1</v>
      </c>
      <c r="K35" s="199">
        <v>1</v>
      </c>
      <c r="L35" s="199">
        <v>1</v>
      </c>
      <c r="M35" s="199">
        <v>1</v>
      </c>
      <c r="N35" s="199">
        <v>1</v>
      </c>
      <c r="O35" s="199">
        <v>1</v>
      </c>
      <c r="P35" s="200">
        <v>1</v>
      </c>
      <c r="Q35" s="205">
        <v>1</v>
      </c>
      <c r="R35" s="199">
        <v>1</v>
      </c>
      <c r="S35" s="199">
        <v>1</v>
      </c>
      <c r="T35" s="199">
        <v>1</v>
      </c>
      <c r="U35" s="199">
        <v>1</v>
      </c>
      <c r="V35" s="199">
        <v>1</v>
      </c>
      <c r="W35" s="199">
        <v>1</v>
      </c>
      <c r="X35" s="200">
        <v>1</v>
      </c>
      <c r="Y35" s="171"/>
      <c r="Z35" s="172"/>
    </row>
    <row r="36" spans="1:26" ht="28.5" outlineLevel="2">
      <c r="A36" s="18">
        <v>3</v>
      </c>
      <c r="B36" s="146" t="s">
        <v>1202</v>
      </c>
      <c r="C36" s="155">
        <v>0.05</v>
      </c>
      <c r="D36" s="189">
        <f t="shared" si="10"/>
        <v>3.9848931494412327E-4</v>
      </c>
      <c r="E36" s="205">
        <v>1</v>
      </c>
      <c r="F36" s="199">
        <v>1</v>
      </c>
      <c r="G36" s="199">
        <v>1</v>
      </c>
      <c r="H36" s="199">
        <v>1</v>
      </c>
      <c r="I36" s="199">
        <v>1</v>
      </c>
      <c r="J36" s="199">
        <v>1</v>
      </c>
      <c r="K36" s="199">
        <v>1</v>
      </c>
      <c r="L36" s="199">
        <v>1</v>
      </c>
      <c r="M36" s="199">
        <v>1</v>
      </c>
      <c r="N36" s="199">
        <v>1</v>
      </c>
      <c r="O36" s="199">
        <v>1</v>
      </c>
      <c r="P36" s="200">
        <v>1</v>
      </c>
      <c r="Q36" s="205">
        <v>1</v>
      </c>
      <c r="R36" s="199">
        <v>1</v>
      </c>
      <c r="S36" s="199">
        <v>1</v>
      </c>
      <c r="T36" s="199">
        <v>1</v>
      </c>
      <c r="U36" s="199">
        <v>1</v>
      </c>
      <c r="V36" s="199">
        <v>1</v>
      </c>
      <c r="W36" s="199">
        <v>1</v>
      </c>
      <c r="X36" s="200">
        <v>1</v>
      </c>
      <c r="Y36" s="171"/>
      <c r="Z36" s="172"/>
    </row>
    <row r="37" spans="1:26" outlineLevel="2">
      <c r="A37" s="18">
        <v>4</v>
      </c>
      <c r="B37" s="146" t="s">
        <v>1203</v>
      </c>
      <c r="C37" s="155">
        <v>0.83</v>
      </c>
      <c r="D37" s="189">
        <f t="shared" si="10"/>
        <v>6.6149226280724461E-3</v>
      </c>
      <c r="E37" s="205">
        <v>1</v>
      </c>
      <c r="F37" s="199">
        <v>1</v>
      </c>
      <c r="G37" s="199">
        <v>1</v>
      </c>
      <c r="H37" s="199">
        <v>1</v>
      </c>
      <c r="I37" s="199">
        <v>1</v>
      </c>
      <c r="J37" s="199">
        <v>1</v>
      </c>
      <c r="K37" s="199">
        <v>1</v>
      </c>
      <c r="L37" s="199">
        <v>1</v>
      </c>
      <c r="M37" s="199">
        <v>1</v>
      </c>
      <c r="N37" s="199">
        <v>1</v>
      </c>
      <c r="O37" s="199">
        <v>1</v>
      </c>
      <c r="P37" s="200">
        <v>1</v>
      </c>
      <c r="Q37" s="205">
        <v>1</v>
      </c>
      <c r="R37" s="199">
        <v>1</v>
      </c>
      <c r="S37" s="199">
        <v>1</v>
      </c>
      <c r="T37" s="199">
        <v>1</v>
      </c>
      <c r="U37" s="199">
        <v>1</v>
      </c>
      <c r="V37" s="199">
        <v>1</v>
      </c>
      <c r="W37" s="199">
        <v>1</v>
      </c>
      <c r="X37" s="200">
        <v>1</v>
      </c>
      <c r="Y37" s="171"/>
      <c r="Z37" s="172"/>
    </row>
    <row r="38" spans="1:26" outlineLevel="1">
      <c r="A38" s="187">
        <v>2</v>
      </c>
      <c r="B38" s="142" t="s">
        <v>1204</v>
      </c>
      <c r="C38" s="157">
        <f>+SUM(C39:C61)</f>
        <v>1.0000000000000002</v>
      </c>
      <c r="D38" s="188">
        <f>+'[2]Construction-87'!$L$42</f>
        <v>6.1210735553209064E-2</v>
      </c>
      <c r="E38" s="17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74"/>
      <c r="Q38" s="173"/>
      <c r="R38" s="143"/>
      <c r="S38" s="143"/>
      <c r="T38" s="143"/>
      <c r="U38" s="143"/>
      <c r="V38" s="143"/>
      <c r="W38" s="143"/>
      <c r="X38" s="174"/>
      <c r="Y38" s="173"/>
      <c r="Z38" s="174"/>
    </row>
    <row r="39" spans="1:26" ht="28.5" outlineLevel="2">
      <c r="A39" s="18">
        <v>1</v>
      </c>
      <c r="B39" s="146" t="s">
        <v>1205</v>
      </c>
      <c r="C39" s="155">
        <v>5.0000000000000001E-3</v>
      </c>
      <c r="D39" s="189">
        <f>+C39*$D$38</f>
        <v>3.0605367776604531E-4</v>
      </c>
      <c r="E39" s="205">
        <v>1</v>
      </c>
      <c r="F39" s="199">
        <v>1</v>
      </c>
      <c r="G39" s="199">
        <v>1</v>
      </c>
      <c r="H39" s="199">
        <v>1</v>
      </c>
      <c r="I39" s="199">
        <v>1</v>
      </c>
      <c r="J39" s="199">
        <v>1</v>
      </c>
      <c r="K39" s="199">
        <v>1</v>
      </c>
      <c r="L39" s="199">
        <v>1</v>
      </c>
      <c r="M39" s="199">
        <v>1</v>
      </c>
      <c r="N39" s="199">
        <v>1</v>
      </c>
      <c r="O39" s="199">
        <v>1</v>
      </c>
      <c r="P39" s="200">
        <v>1</v>
      </c>
      <c r="Q39" s="198">
        <v>1</v>
      </c>
      <c r="R39" s="199">
        <v>1</v>
      </c>
      <c r="S39" s="199">
        <v>1</v>
      </c>
      <c r="T39" s="199">
        <v>1</v>
      </c>
      <c r="U39" s="199">
        <v>1</v>
      </c>
      <c r="V39" s="199">
        <v>1</v>
      </c>
      <c r="W39" s="199">
        <v>1</v>
      </c>
      <c r="X39" s="200">
        <v>1</v>
      </c>
      <c r="Y39" s="171"/>
      <c r="Z39" s="172"/>
    </row>
    <row r="40" spans="1:26" outlineLevel="2">
      <c r="A40" s="18">
        <f>+A39+1</f>
        <v>2</v>
      </c>
      <c r="B40" s="146" t="s">
        <v>1206</v>
      </c>
      <c r="C40" s="155">
        <v>0.01</v>
      </c>
      <c r="D40" s="189">
        <f t="shared" ref="D40:D61" si="11">+C40*$D$38</f>
        <v>6.1210735553209061E-4</v>
      </c>
      <c r="E40" s="198">
        <v>1</v>
      </c>
      <c r="F40" s="199">
        <v>1</v>
      </c>
      <c r="G40" s="199">
        <v>1</v>
      </c>
      <c r="H40" s="199">
        <v>1</v>
      </c>
      <c r="I40" s="199">
        <v>1</v>
      </c>
      <c r="J40" s="199">
        <v>1</v>
      </c>
      <c r="K40" s="199">
        <v>1</v>
      </c>
      <c r="L40" s="199">
        <v>1</v>
      </c>
      <c r="M40" s="199">
        <v>1</v>
      </c>
      <c r="N40" s="199">
        <v>1</v>
      </c>
      <c r="O40" s="199">
        <v>1</v>
      </c>
      <c r="P40" s="200">
        <v>1</v>
      </c>
      <c r="Q40" s="198">
        <v>1</v>
      </c>
      <c r="R40" s="199">
        <v>1</v>
      </c>
      <c r="S40" s="199">
        <v>1</v>
      </c>
      <c r="T40" s="199">
        <v>1</v>
      </c>
      <c r="U40" s="199">
        <v>1</v>
      </c>
      <c r="V40" s="199">
        <v>1</v>
      </c>
      <c r="W40" s="199">
        <v>1</v>
      </c>
      <c r="X40" s="200">
        <v>1</v>
      </c>
      <c r="Y40" s="171"/>
      <c r="Z40" s="172"/>
    </row>
    <row r="41" spans="1:26" ht="28.5" outlineLevel="2">
      <c r="A41" s="18">
        <f>+A40+1</f>
        <v>3</v>
      </c>
      <c r="B41" s="147" t="s">
        <v>1207</v>
      </c>
      <c r="C41" s="155">
        <v>2.5000000000000001E-2</v>
      </c>
      <c r="D41" s="189">
        <f t="shared" si="11"/>
        <v>1.5302683888302267E-3</v>
      </c>
      <c r="E41" s="198">
        <v>1</v>
      </c>
      <c r="F41" s="199">
        <v>1</v>
      </c>
      <c r="G41" s="199">
        <v>1</v>
      </c>
      <c r="H41" s="199">
        <v>1</v>
      </c>
      <c r="I41" s="199">
        <v>1</v>
      </c>
      <c r="J41" s="199">
        <v>1</v>
      </c>
      <c r="K41" s="199">
        <v>1</v>
      </c>
      <c r="L41" s="199">
        <v>1</v>
      </c>
      <c r="M41" s="199">
        <v>1</v>
      </c>
      <c r="N41" s="199">
        <v>1</v>
      </c>
      <c r="O41" s="199">
        <v>1</v>
      </c>
      <c r="P41" s="200">
        <v>1</v>
      </c>
      <c r="Q41" s="198">
        <v>1</v>
      </c>
      <c r="R41" s="199">
        <v>1</v>
      </c>
      <c r="S41" s="199">
        <v>1</v>
      </c>
      <c r="T41" s="199">
        <v>1</v>
      </c>
      <c r="U41" s="199">
        <v>1</v>
      </c>
      <c r="V41" s="199">
        <v>1</v>
      </c>
      <c r="W41" s="199">
        <v>1</v>
      </c>
      <c r="X41" s="200">
        <v>1</v>
      </c>
      <c r="Y41" s="171"/>
      <c r="Z41" s="172"/>
    </row>
    <row r="42" spans="1:26" outlineLevel="2">
      <c r="A42" s="18">
        <f t="shared" ref="A42:A61" si="12">+A41+1</f>
        <v>4</v>
      </c>
      <c r="B42" s="147" t="s">
        <v>1208</v>
      </c>
      <c r="C42" s="155">
        <v>5.0000000000000001E-3</v>
      </c>
      <c r="D42" s="189">
        <f t="shared" si="11"/>
        <v>3.0605367776604531E-4</v>
      </c>
      <c r="E42" s="198">
        <v>1</v>
      </c>
      <c r="F42" s="199">
        <v>1</v>
      </c>
      <c r="G42" s="199">
        <v>1</v>
      </c>
      <c r="H42" s="199">
        <v>1</v>
      </c>
      <c r="I42" s="199">
        <v>1</v>
      </c>
      <c r="J42" s="199">
        <v>1</v>
      </c>
      <c r="K42" s="199">
        <v>1</v>
      </c>
      <c r="L42" s="199">
        <v>1</v>
      </c>
      <c r="M42" s="199">
        <v>1</v>
      </c>
      <c r="N42" s="199">
        <v>1</v>
      </c>
      <c r="O42" s="199">
        <v>1</v>
      </c>
      <c r="P42" s="200">
        <v>1</v>
      </c>
      <c r="Q42" s="198">
        <v>1</v>
      </c>
      <c r="R42" s="199">
        <v>1</v>
      </c>
      <c r="S42" s="199">
        <v>1</v>
      </c>
      <c r="T42" s="199">
        <v>1</v>
      </c>
      <c r="U42" s="199">
        <v>1</v>
      </c>
      <c r="V42" s="199">
        <v>1</v>
      </c>
      <c r="W42" s="199">
        <v>1</v>
      </c>
      <c r="X42" s="200">
        <v>1</v>
      </c>
      <c r="Y42" s="171"/>
      <c r="Z42" s="172"/>
    </row>
    <row r="43" spans="1:26" outlineLevel="2">
      <c r="A43" s="18">
        <f t="shared" si="12"/>
        <v>5</v>
      </c>
      <c r="B43" s="147" t="s">
        <v>1209</v>
      </c>
      <c r="C43" s="155">
        <v>0.01</v>
      </c>
      <c r="D43" s="189">
        <f t="shared" si="11"/>
        <v>6.1210735553209061E-4</v>
      </c>
      <c r="E43" s="198">
        <v>1</v>
      </c>
      <c r="F43" s="199">
        <v>1</v>
      </c>
      <c r="G43" s="199">
        <v>1</v>
      </c>
      <c r="H43" s="199">
        <v>1</v>
      </c>
      <c r="I43" s="199">
        <v>1</v>
      </c>
      <c r="J43" s="199">
        <v>1</v>
      </c>
      <c r="K43" s="199">
        <v>1</v>
      </c>
      <c r="L43" s="199">
        <v>1</v>
      </c>
      <c r="M43" s="199">
        <v>1</v>
      </c>
      <c r="N43" s="199">
        <v>1</v>
      </c>
      <c r="O43" s="199">
        <v>1</v>
      </c>
      <c r="P43" s="200">
        <v>1</v>
      </c>
      <c r="Q43" s="198">
        <v>1</v>
      </c>
      <c r="R43" s="199">
        <v>1</v>
      </c>
      <c r="S43" s="199">
        <v>1</v>
      </c>
      <c r="T43" s="199">
        <v>1</v>
      </c>
      <c r="U43" s="199">
        <v>1</v>
      </c>
      <c r="V43" s="199">
        <v>1</v>
      </c>
      <c r="W43" s="199">
        <v>1</v>
      </c>
      <c r="X43" s="200">
        <v>1</v>
      </c>
      <c r="Y43" s="171"/>
      <c r="Z43" s="172"/>
    </row>
    <row r="44" spans="1:26" ht="28.5" outlineLevel="2">
      <c r="A44" s="18">
        <f t="shared" si="12"/>
        <v>6</v>
      </c>
      <c r="B44" s="147" t="s">
        <v>1210</v>
      </c>
      <c r="C44" s="155">
        <v>5.0000000000000001E-3</v>
      </c>
      <c r="D44" s="189">
        <f t="shared" si="11"/>
        <v>3.0605367776604531E-4</v>
      </c>
      <c r="E44" s="198">
        <v>1</v>
      </c>
      <c r="F44" s="199">
        <v>1</v>
      </c>
      <c r="G44" s="199">
        <v>1</v>
      </c>
      <c r="H44" s="199">
        <v>1</v>
      </c>
      <c r="I44" s="199">
        <v>1</v>
      </c>
      <c r="J44" s="199">
        <v>1</v>
      </c>
      <c r="K44" s="199">
        <v>1</v>
      </c>
      <c r="L44" s="199">
        <v>1</v>
      </c>
      <c r="M44" s="199">
        <v>1</v>
      </c>
      <c r="N44" s="199">
        <v>1</v>
      </c>
      <c r="O44" s="199">
        <v>1</v>
      </c>
      <c r="P44" s="200">
        <v>1</v>
      </c>
      <c r="Q44" s="198">
        <v>1</v>
      </c>
      <c r="R44" s="199">
        <v>1</v>
      </c>
      <c r="S44" s="199">
        <v>1</v>
      </c>
      <c r="T44" s="199">
        <v>1</v>
      </c>
      <c r="U44" s="199">
        <v>1</v>
      </c>
      <c r="V44" s="199">
        <v>1</v>
      </c>
      <c r="W44" s="199">
        <v>1</v>
      </c>
      <c r="X44" s="200">
        <v>1</v>
      </c>
      <c r="Y44" s="171"/>
      <c r="Z44" s="172"/>
    </row>
    <row r="45" spans="1:26" outlineLevel="2">
      <c r="A45" s="18">
        <f t="shared" si="12"/>
        <v>7</v>
      </c>
      <c r="B45" s="147" t="s">
        <v>1211</v>
      </c>
      <c r="C45" s="155">
        <v>0.52</v>
      </c>
      <c r="D45" s="189">
        <f t="shared" si="11"/>
        <v>3.1829582487668713E-2</v>
      </c>
      <c r="E45" s="198">
        <v>1</v>
      </c>
      <c r="F45" s="199">
        <v>1</v>
      </c>
      <c r="G45" s="199">
        <v>1</v>
      </c>
      <c r="H45" s="199">
        <v>1</v>
      </c>
      <c r="I45" s="199">
        <v>1</v>
      </c>
      <c r="J45" s="199">
        <v>1</v>
      </c>
      <c r="K45" s="199">
        <v>1</v>
      </c>
      <c r="L45" s="199">
        <v>1</v>
      </c>
      <c r="M45" s="199">
        <v>1</v>
      </c>
      <c r="N45" s="199">
        <v>1</v>
      </c>
      <c r="O45" s="199">
        <v>1</v>
      </c>
      <c r="P45" s="200">
        <v>1</v>
      </c>
      <c r="Q45" s="198">
        <v>1</v>
      </c>
      <c r="R45" s="199">
        <v>1</v>
      </c>
      <c r="S45" s="199">
        <v>1</v>
      </c>
      <c r="T45" s="199">
        <v>1</v>
      </c>
      <c r="U45" s="199">
        <v>1</v>
      </c>
      <c r="V45" s="199">
        <v>1</v>
      </c>
      <c r="W45" s="199">
        <v>1</v>
      </c>
      <c r="X45" s="200">
        <v>1</v>
      </c>
      <c r="Y45" s="171"/>
      <c r="Z45" s="172"/>
    </row>
    <row r="46" spans="1:26" outlineLevel="2">
      <c r="A46" s="18">
        <f t="shared" si="12"/>
        <v>8</v>
      </c>
      <c r="B46" s="147" t="s">
        <v>1212</v>
      </c>
      <c r="C46" s="155">
        <v>0.1</v>
      </c>
      <c r="D46" s="189">
        <f t="shared" si="11"/>
        <v>6.1210735553209068E-3</v>
      </c>
      <c r="E46" s="198">
        <v>1</v>
      </c>
      <c r="F46" s="199">
        <v>1</v>
      </c>
      <c r="G46" s="199">
        <v>1</v>
      </c>
      <c r="H46" s="199">
        <v>1</v>
      </c>
      <c r="I46" s="199">
        <v>1</v>
      </c>
      <c r="J46" s="199">
        <v>1</v>
      </c>
      <c r="K46" s="199">
        <v>1</v>
      </c>
      <c r="L46" s="199">
        <v>1</v>
      </c>
      <c r="M46" s="199">
        <v>1</v>
      </c>
      <c r="N46" s="199">
        <v>1</v>
      </c>
      <c r="O46" s="199">
        <v>1</v>
      </c>
      <c r="P46" s="200">
        <v>1</v>
      </c>
      <c r="Q46" s="198">
        <v>1</v>
      </c>
      <c r="R46" s="199">
        <v>1</v>
      </c>
      <c r="S46" s="199">
        <v>1</v>
      </c>
      <c r="T46" s="199">
        <v>1</v>
      </c>
      <c r="U46" s="199">
        <v>1</v>
      </c>
      <c r="V46" s="199">
        <v>1</v>
      </c>
      <c r="W46" s="199">
        <v>1</v>
      </c>
      <c r="X46" s="200">
        <v>1</v>
      </c>
      <c r="Y46" s="171"/>
      <c r="Z46" s="172"/>
    </row>
    <row r="47" spans="1:26" ht="29.25" outlineLevel="2">
      <c r="A47" s="18">
        <f t="shared" si="12"/>
        <v>9</v>
      </c>
      <c r="B47" s="147" t="s">
        <v>1213</v>
      </c>
      <c r="C47" s="155">
        <v>1.4999999999999999E-2</v>
      </c>
      <c r="D47" s="189">
        <f t="shared" si="11"/>
        <v>9.1816103329813597E-4</v>
      </c>
      <c r="E47" s="198">
        <v>1</v>
      </c>
      <c r="F47" s="199">
        <v>1</v>
      </c>
      <c r="G47" s="199">
        <v>1</v>
      </c>
      <c r="H47" s="199">
        <v>1</v>
      </c>
      <c r="I47" s="199">
        <v>1</v>
      </c>
      <c r="J47" s="199">
        <v>1</v>
      </c>
      <c r="K47" s="199">
        <v>1</v>
      </c>
      <c r="L47" s="199">
        <v>1</v>
      </c>
      <c r="M47" s="199">
        <v>1</v>
      </c>
      <c r="N47" s="199">
        <v>1</v>
      </c>
      <c r="O47" s="199">
        <v>1</v>
      </c>
      <c r="P47" s="200">
        <v>1</v>
      </c>
      <c r="Q47" s="198">
        <v>1</v>
      </c>
      <c r="R47" s="199">
        <v>1</v>
      </c>
      <c r="S47" s="199">
        <v>1</v>
      </c>
      <c r="T47" s="199">
        <v>1</v>
      </c>
      <c r="U47" s="199">
        <v>1</v>
      </c>
      <c r="V47" s="199">
        <v>1</v>
      </c>
      <c r="W47" s="199">
        <v>1</v>
      </c>
      <c r="X47" s="200">
        <v>1</v>
      </c>
      <c r="Y47" s="171"/>
      <c r="Z47" s="172"/>
    </row>
    <row r="48" spans="1:26" ht="28.5" outlineLevel="2">
      <c r="A48" s="18">
        <f t="shared" si="12"/>
        <v>10</v>
      </c>
      <c r="B48" s="147" t="s">
        <v>1214</v>
      </c>
      <c r="C48" s="155">
        <v>0.06</v>
      </c>
      <c r="D48" s="189">
        <f t="shared" si="11"/>
        <v>3.6726441331925439E-3</v>
      </c>
      <c r="E48" s="198">
        <v>1</v>
      </c>
      <c r="F48" s="199">
        <v>1</v>
      </c>
      <c r="G48" s="199">
        <v>1</v>
      </c>
      <c r="H48" s="199">
        <v>1</v>
      </c>
      <c r="I48" s="199">
        <v>1</v>
      </c>
      <c r="J48" s="199">
        <v>1</v>
      </c>
      <c r="K48" s="199">
        <v>1</v>
      </c>
      <c r="L48" s="199">
        <v>1</v>
      </c>
      <c r="M48" s="199">
        <v>1</v>
      </c>
      <c r="N48" s="199">
        <v>1</v>
      </c>
      <c r="O48" s="199">
        <v>1</v>
      </c>
      <c r="P48" s="200">
        <v>1</v>
      </c>
      <c r="Q48" s="198">
        <v>1</v>
      </c>
      <c r="R48" s="199">
        <v>1</v>
      </c>
      <c r="S48" s="199">
        <v>1</v>
      </c>
      <c r="T48" s="199">
        <v>1</v>
      </c>
      <c r="U48" s="199">
        <v>1</v>
      </c>
      <c r="V48" s="199">
        <v>1</v>
      </c>
      <c r="W48" s="199">
        <v>1</v>
      </c>
      <c r="X48" s="200">
        <v>1</v>
      </c>
      <c r="Y48" s="171"/>
      <c r="Z48" s="172"/>
    </row>
    <row r="49" spans="1:26" ht="28.5" outlineLevel="2">
      <c r="A49" s="18">
        <f t="shared" si="12"/>
        <v>11</v>
      </c>
      <c r="B49" s="147" t="s">
        <v>1215</v>
      </c>
      <c r="C49" s="155">
        <v>0.01</v>
      </c>
      <c r="D49" s="189">
        <f t="shared" si="11"/>
        <v>6.1210735553209061E-4</v>
      </c>
      <c r="E49" s="198">
        <v>1</v>
      </c>
      <c r="F49" s="199">
        <v>1</v>
      </c>
      <c r="G49" s="199">
        <v>1</v>
      </c>
      <c r="H49" s="199">
        <v>1</v>
      </c>
      <c r="I49" s="199">
        <v>1</v>
      </c>
      <c r="J49" s="199">
        <v>1</v>
      </c>
      <c r="K49" s="199">
        <v>1</v>
      </c>
      <c r="L49" s="199">
        <v>1</v>
      </c>
      <c r="M49" s="199">
        <v>1</v>
      </c>
      <c r="N49" s="199">
        <v>1</v>
      </c>
      <c r="O49" s="199">
        <v>1</v>
      </c>
      <c r="P49" s="200">
        <v>1</v>
      </c>
      <c r="Q49" s="198">
        <v>1</v>
      </c>
      <c r="R49" s="199">
        <v>1</v>
      </c>
      <c r="S49" s="199">
        <v>1</v>
      </c>
      <c r="T49" s="199">
        <v>1</v>
      </c>
      <c r="U49" s="199">
        <v>1</v>
      </c>
      <c r="V49" s="199">
        <v>1</v>
      </c>
      <c r="W49" s="199">
        <v>1</v>
      </c>
      <c r="X49" s="200">
        <v>1</v>
      </c>
      <c r="Y49" s="171"/>
      <c r="Z49" s="172"/>
    </row>
    <row r="50" spans="1:26" ht="42.75" outlineLevel="2">
      <c r="A50" s="18">
        <f t="shared" si="12"/>
        <v>12</v>
      </c>
      <c r="B50" s="147" t="s">
        <v>1216</v>
      </c>
      <c r="C50" s="155">
        <v>0.01</v>
      </c>
      <c r="D50" s="189">
        <f t="shared" si="11"/>
        <v>6.1210735553209061E-4</v>
      </c>
      <c r="E50" s="198">
        <v>1</v>
      </c>
      <c r="F50" s="199">
        <v>1</v>
      </c>
      <c r="G50" s="199">
        <v>1</v>
      </c>
      <c r="H50" s="199">
        <v>1</v>
      </c>
      <c r="I50" s="199">
        <v>1</v>
      </c>
      <c r="J50" s="199">
        <v>1</v>
      </c>
      <c r="K50" s="199">
        <v>1</v>
      </c>
      <c r="L50" s="199">
        <v>1</v>
      </c>
      <c r="M50" s="199">
        <v>1</v>
      </c>
      <c r="N50" s="199">
        <v>1</v>
      </c>
      <c r="O50" s="199">
        <v>1</v>
      </c>
      <c r="P50" s="200">
        <v>1</v>
      </c>
      <c r="Q50" s="198">
        <v>1</v>
      </c>
      <c r="R50" s="199">
        <v>1</v>
      </c>
      <c r="S50" s="199">
        <v>1</v>
      </c>
      <c r="T50" s="199">
        <v>1</v>
      </c>
      <c r="U50" s="199">
        <v>1</v>
      </c>
      <c r="V50" s="199">
        <v>1</v>
      </c>
      <c r="W50" s="199">
        <v>1</v>
      </c>
      <c r="X50" s="200">
        <v>1</v>
      </c>
      <c r="Y50" s="171"/>
      <c r="Z50" s="172"/>
    </row>
    <row r="51" spans="1:26" outlineLevel="2">
      <c r="A51" s="18">
        <f t="shared" si="12"/>
        <v>13</v>
      </c>
      <c r="B51" s="147" t="s">
        <v>1217</v>
      </c>
      <c r="C51" s="155">
        <v>0.01</v>
      </c>
      <c r="D51" s="189">
        <f t="shared" si="11"/>
        <v>6.1210735553209061E-4</v>
      </c>
      <c r="E51" s="171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72"/>
      <c r="Q51" s="198">
        <v>1</v>
      </c>
      <c r="R51" s="199">
        <v>1</v>
      </c>
      <c r="S51" s="199">
        <v>1</v>
      </c>
      <c r="T51" s="199">
        <v>1</v>
      </c>
      <c r="U51" s="199">
        <v>1</v>
      </c>
      <c r="V51" s="199">
        <v>1</v>
      </c>
      <c r="W51" s="199">
        <v>1</v>
      </c>
      <c r="X51" s="200">
        <v>1</v>
      </c>
      <c r="Y51" s="171"/>
      <c r="Z51" s="172"/>
    </row>
    <row r="52" spans="1:26" ht="28.5" outlineLevel="2">
      <c r="A52" s="18">
        <f t="shared" si="12"/>
        <v>14</v>
      </c>
      <c r="B52" s="147" t="s">
        <v>1218</v>
      </c>
      <c r="C52" s="155">
        <v>0.05</v>
      </c>
      <c r="D52" s="189">
        <f t="shared" si="11"/>
        <v>3.0605367776604534E-3</v>
      </c>
      <c r="E52" s="198">
        <v>1</v>
      </c>
      <c r="F52" s="199">
        <v>1</v>
      </c>
      <c r="G52" s="199">
        <v>1</v>
      </c>
      <c r="H52" s="199">
        <v>1</v>
      </c>
      <c r="I52" s="199">
        <v>1</v>
      </c>
      <c r="J52" s="199">
        <v>1</v>
      </c>
      <c r="K52" s="199">
        <v>1</v>
      </c>
      <c r="L52" s="199">
        <v>1</v>
      </c>
      <c r="M52" s="199">
        <v>1</v>
      </c>
      <c r="N52" s="199">
        <v>1</v>
      </c>
      <c r="O52" s="199">
        <v>1</v>
      </c>
      <c r="P52" s="200">
        <v>1</v>
      </c>
      <c r="Q52" s="198">
        <v>1</v>
      </c>
      <c r="R52" s="199">
        <v>1</v>
      </c>
      <c r="S52" s="199">
        <v>1</v>
      </c>
      <c r="T52" s="199">
        <v>1</v>
      </c>
      <c r="U52" s="199">
        <v>1</v>
      </c>
      <c r="V52" s="199">
        <v>1</v>
      </c>
      <c r="W52" s="199">
        <v>1</v>
      </c>
      <c r="X52" s="200">
        <v>1</v>
      </c>
      <c r="Y52" s="171"/>
      <c r="Z52" s="172"/>
    </row>
    <row r="53" spans="1:26" ht="28.5" outlineLevel="2">
      <c r="A53" s="18">
        <f t="shared" si="12"/>
        <v>15</v>
      </c>
      <c r="B53" s="147" t="s">
        <v>1219</v>
      </c>
      <c r="C53" s="155">
        <v>0.05</v>
      </c>
      <c r="D53" s="189">
        <f t="shared" si="11"/>
        <v>3.0605367776604534E-3</v>
      </c>
      <c r="E53" s="198">
        <v>1</v>
      </c>
      <c r="F53" s="199">
        <v>1</v>
      </c>
      <c r="G53" s="199">
        <v>1</v>
      </c>
      <c r="H53" s="199">
        <v>1</v>
      </c>
      <c r="I53" s="199">
        <v>1</v>
      </c>
      <c r="J53" s="199">
        <v>1</v>
      </c>
      <c r="K53" s="199">
        <v>1</v>
      </c>
      <c r="L53" s="199">
        <v>1</v>
      </c>
      <c r="M53" s="199">
        <v>1</v>
      </c>
      <c r="N53" s="199">
        <v>1</v>
      </c>
      <c r="O53" s="199">
        <v>1</v>
      </c>
      <c r="P53" s="200">
        <v>1</v>
      </c>
      <c r="Q53" s="198">
        <v>1</v>
      </c>
      <c r="R53" s="199">
        <v>1</v>
      </c>
      <c r="S53" s="199">
        <v>1</v>
      </c>
      <c r="T53" s="199">
        <v>1</v>
      </c>
      <c r="U53" s="199">
        <v>1</v>
      </c>
      <c r="V53" s="199">
        <v>1</v>
      </c>
      <c r="W53" s="199">
        <v>1</v>
      </c>
      <c r="X53" s="200">
        <v>1</v>
      </c>
      <c r="Y53" s="171"/>
      <c r="Z53" s="172"/>
    </row>
    <row r="54" spans="1:26" ht="42.75" outlineLevel="2">
      <c r="A54" s="18">
        <f t="shared" si="12"/>
        <v>16</v>
      </c>
      <c r="B54" s="147" t="s">
        <v>1220</v>
      </c>
      <c r="C54" s="155">
        <v>0.01</v>
      </c>
      <c r="D54" s="189">
        <f t="shared" si="11"/>
        <v>6.1210735553209061E-4</v>
      </c>
      <c r="E54" s="198">
        <v>1</v>
      </c>
      <c r="F54" s="199">
        <v>1</v>
      </c>
      <c r="G54" s="199">
        <v>1</v>
      </c>
      <c r="H54" s="199">
        <v>1</v>
      </c>
      <c r="I54" s="199">
        <v>1</v>
      </c>
      <c r="J54" s="199">
        <v>1</v>
      </c>
      <c r="K54" s="199">
        <v>1</v>
      </c>
      <c r="L54" s="199">
        <v>1</v>
      </c>
      <c r="M54" s="199">
        <v>1</v>
      </c>
      <c r="N54" s="199">
        <v>1</v>
      </c>
      <c r="O54" s="199">
        <v>1</v>
      </c>
      <c r="P54" s="200">
        <v>1</v>
      </c>
      <c r="Q54" s="198">
        <v>1</v>
      </c>
      <c r="R54" s="199">
        <v>1</v>
      </c>
      <c r="S54" s="199">
        <v>1</v>
      </c>
      <c r="T54" s="199">
        <v>1</v>
      </c>
      <c r="U54" s="199">
        <v>1</v>
      </c>
      <c r="V54" s="199">
        <v>1</v>
      </c>
      <c r="W54" s="199">
        <v>1</v>
      </c>
      <c r="X54" s="200">
        <v>1</v>
      </c>
      <c r="Y54" s="171"/>
      <c r="Z54" s="172"/>
    </row>
    <row r="55" spans="1:26" ht="42.75" outlineLevel="2">
      <c r="A55" s="18">
        <f t="shared" si="12"/>
        <v>17</v>
      </c>
      <c r="B55" s="147" t="s">
        <v>1221</v>
      </c>
      <c r="C55" s="155">
        <v>0.01</v>
      </c>
      <c r="D55" s="189">
        <f t="shared" si="11"/>
        <v>6.1210735553209061E-4</v>
      </c>
      <c r="E55" s="198">
        <v>1</v>
      </c>
      <c r="F55" s="199">
        <v>1</v>
      </c>
      <c r="G55" s="199">
        <v>1</v>
      </c>
      <c r="H55" s="199">
        <v>1</v>
      </c>
      <c r="I55" s="199">
        <v>1</v>
      </c>
      <c r="J55" s="199">
        <v>1</v>
      </c>
      <c r="K55" s="199">
        <v>1</v>
      </c>
      <c r="L55" s="199">
        <v>1</v>
      </c>
      <c r="M55" s="199">
        <v>1</v>
      </c>
      <c r="N55" s="199">
        <v>1</v>
      </c>
      <c r="O55" s="199">
        <v>1</v>
      </c>
      <c r="P55" s="200">
        <v>1</v>
      </c>
      <c r="Q55" s="198">
        <v>1</v>
      </c>
      <c r="R55" s="199">
        <v>1</v>
      </c>
      <c r="S55" s="199">
        <v>1</v>
      </c>
      <c r="T55" s="199">
        <v>1</v>
      </c>
      <c r="U55" s="199">
        <v>1</v>
      </c>
      <c r="V55" s="199">
        <v>1</v>
      </c>
      <c r="W55" s="199">
        <v>1</v>
      </c>
      <c r="X55" s="200">
        <v>1</v>
      </c>
      <c r="Y55" s="171"/>
      <c r="Z55" s="172"/>
    </row>
    <row r="56" spans="1:26" ht="28.5" outlineLevel="2">
      <c r="A56" s="18">
        <f t="shared" si="12"/>
        <v>18</v>
      </c>
      <c r="B56" s="147" t="s">
        <v>1222</v>
      </c>
      <c r="C56" s="155">
        <v>5.0000000000000001E-3</v>
      </c>
      <c r="D56" s="189">
        <f t="shared" si="11"/>
        <v>3.0605367776604531E-4</v>
      </c>
      <c r="E56" s="198">
        <v>1</v>
      </c>
      <c r="F56" s="199">
        <v>1</v>
      </c>
      <c r="G56" s="199">
        <v>1</v>
      </c>
      <c r="H56" s="199">
        <v>1</v>
      </c>
      <c r="I56" s="199">
        <v>1</v>
      </c>
      <c r="J56" s="199">
        <v>1</v>
      </c>
      <c r="K56" s="199">
        <v>1</v>
      </c>
      <c r="L56" s="199">
        <v>1</v>
      </c>
      <c r="M56" s="199">
        <v>1</v>
      </c>
      <c r="N56" s="199">
        <v>1</v>
      </c>
      <c r="O56" s="199">
        <v>1</v>
      </c>
      <c r="P56" s="200">
        <v>1</v>
      </c>
      <c r="Q56" s="198">
        <v>1</v>
      </c>
      <c r="R56" s="199">
        <v>1</v>
      </c>
      <c r="S56" s="199">
        <v>1</v>
      </c>
      <c r="T56" s="199">
        <v>1</v>
      </c>
      <c r="U56" s="199">
        <v>1</v>
      </c>
      <c r="V56" s="199">
        <v>1</v>
      </c>
      <c r="W56" s="199">
        <v>1</v>
      </c>
      <c r="X56" s="200">
        <v>1</v>
      </c>
      <c r="Y56" s="171"/>
      <c r="Z56" s="172"/>
    </row>
    <row r="57" spans="1:26" ht="28.5" outlineLevel="2">
      <c r="A57" s="18">
        <f t="shared" si="12"/>
        <v>19</v>
      </c>
      <c r="B57" s="147" t="s">
        <v>1223</v>
      </c>
      <c r="C57" s="155">
        <v>0.01</v>
      </c>
      <c r="D57" s="189">
        <f t="shared" si="11"/>
        <v>6.1210735553209061E-4</v>
      </c>
      <c r="E57" s="198">
        <v>1</v>
      </c>
      <c r="F57" s="199">
        <v>1</v>
      </c>
      <c r="G57" s="199">
        <v>1</v>
      </c>
      <c r="H57" s="199">
        <v>1</v>
      </c>
      <c r="I57" s="199">
        <v>1</v>
      </c>
      <c r="J57" s="199">
        <v>1</v>
      </c>
      <c r="K57" s="199">
        <v>1</v>
      </c>
      <c r="L57" s="199">
        <v>1</v>
      </c>
      <c r="M57" s="199">
        <v>1</v>
      </c>
      <c r="N57" s="199">
        <v>1</v>
      </c>
      <c r="O57" s="199">
        <v>1</v>
      </c>
      <c r="P57" s="200">
        <v>1</v>
      </c>
      <c r="Q57" s="198">
        <v>1</v>
      </c>
      <c r="R57" s="199">
        <v>1</v>
      </c>
      <c r="S57" s="199">
        <v>1</v>
      </c>
      <c r="T57" s="199">
        <v>1</v>
      </c>
      <c r="U57" s="199">
        <v>1</v>
      </c>
      <c r="V57" s="199">
        <v>1</v>
      </c>
      <c r="W57" s="199">
        <v>1</v>
      </c>
      <c r="X57" s="200">
        <v>1</v>
      </c>
      <c r="Y57" s="171"/>
      <c r="Z57" s="172"/>
    </row>
    <row r="58" spans="1:26" ht="28.5" outlineLevel="2">
      <c r="A58" s="18">
        <f t="shared" si="12"/>
        <v>20</v>
      </c>
      <c r="B58" s="147" t="s">
        <v>1224</v>
      </c>
      <c r="C58" s="155">
        <v>5.0000000000000001E-3</v>
      </c>
      <c r="D58" s="189">
        <f t="shared" si="11"/>
        <v>3.0605367776604531E-4</v>
      </c>
      <c r="E58" s="198">
        <v>1</v>
      </c>
      <c r="F58" s="199">
        <v>1</v>
      </c>
      <c r="G58" s="199">
        <v>1</v>
      </c>
      <c r="H58" s="199">
        <v>1</v>
      </c>
      <c r="I58" s="199">
        <v>1</v>
      </c>
      <c r="J58" s="199">
        <v>1</v>
      </c>
      <c r="K58" s="199">
        <v>1</v>
      </c>
      <c r="L58" s="199">
        <v>1</v>
      </c>
      <c r="M58" s="199">
        <v>1</v>
      </c>
      <c r="N58" s="199">
        <v>1</v>
      </c>
      <c r="O58" s="199">
        <v>1</v>
      </c>
      <c r="P58" s="200">
        <v>1</v>
      </c>
      <c r="Q58" s="198">
        <v>1</v>
      </c>
      <c r="R58" s="199">
        <v>1</v>
      </c>
      <c r="S58" s="199">
        <v>1</v>
      </c>
      <c r="T58" s="199">
        <v>1</v>
      </c>
      <c r="U58" s="199">
        <v>1</v>
      </c>
      <c r="V58" s="199">
        <v>1</v>
      </c>
      <c r="W58" s="199">
        <v>1</v>
      </c>
      <c r="X58" s="200">
        <v>1</v>
      </c>
      <c r="Y58" s="171"/>
      <c r="Z58" s="172"/>
    </row>
    <row r="59" spans="1:26" ht="28.5" outlineLevel="2">
      <c r="A59" s="18">
        <f t="shared" si="12"/>
        <v>21</v>
      </c>
      <c r="B59" s="147" t="s">
        <v>1225</v>
      </c>
      <c r="C59" s="155">
        <v>5.0000000000000001E-3</v>
      </c>
      <c r="D59" s="189">
        <f t="shared" si="11"/>
        <v>3.0605367776604531E-4</v>
      </c>
      <c r="E59" s="198">
        <v>1</v>
      </c>
      <c r="F59" s="199">
        <v>1</v>
      </c>
      <c r="G59" s="199">
        <v>1</v>
      </c>
      <c r="H59" s="199">
        <v>1</v>
      </c>
      <c r="I59" s="199">
        <v>1</v>
      </c>
      <c r="J59" s="199">
        <v>1</v>
      </c>
      <c r="K59" s="199">
        <v>1</v>
      </c>
      <c r="L59" s="199">
        <v>1</v>
      </c>
      <c r="M59" s="199">
        <v>1</v>
      </c>
      <c r="N59" s="199">
        <v>1</v>
      </c>
      <c r="O59" s="199">
        <v>1</v>
      </c>
      <c r="P59" s="200">
        <v>1</v>
      </c>
      <c r="Q59" s="198">
        <v>1</v>
      </c>
      <c r="R59" s="199">
        <v>1</v>
      </c>
      <c r="S59" s="199">
        <v>1</v>
      </c>
      <c r="T59" s="199">
        <v>1</v>
      </c>
      <c r="U59" s="199">
        <v>1</v>
      </c>
      <c r="V59" s="199">
        <v>1</v>
      </c>
      <c r="W59" s="199">
        <v>1</v>
      </c>
      <c r="X59" s="200">
        <v>1</v>
      </c>
      <c r="Y59" s="171"/>
      <c r="Z59" s="172"/>
    </row>
    <row r="60" spans="1:26" ht="28.5" outlineLevel="2">
      <c r="A60" s="18">
        <f t="shared" si="12"/>
        <v>22</v>
      </c>
      <c r="B60" s="147" t="s">
        <v>1226</v>
      </c>
      <c r="C60" s="155">
        <v>0.05</v>
      </c>
      <c r="D60" s="189">
        <f t="shared" si="11"/>
        <v>3.0605367776604534E-3</v>
      </c>
      <c r="E60" s="198">
        <v>1</v>
      </c>
      <c r="F60" s="199">
        <v>1</v>
      </c>
      <c r="G60" s="199">
        <v>1</v>
      </c>
      <c r="H60" s="199">
        <v>1</v>
      </c>
      <c r="I60" s="199">
        <v>1</v>
      </c>
      <c r="J60" s="199">
        <v>1</v>
      </c>
      <c r="K60" s="199">
        <v>1</v>
      </c>
      <c r="L60" s="199">
        <v>1</v>
      </c>
      <c r="M60" s="199">
        <v>1</v>
      </c>
      <c r="N60" s="199">
        <v>1</v>
      </c>
      <c r="O60" s="199">
        <v>1</v>
      </c>
      <c r="P60" s="200">
        <v>1</v>
      </c>
      <c r="Q60" s="198">
        <v>1</v>
      </c>
      <c r="R60" s="199">
        <v>1</v>
      </c>
      <c r="S60" s="199">
        <v>1</v>
      </c>
      <c r="T60" s="199">
        <v>1</v>
      </c>
      <c r="U60" s="199">
        <v>1</v>
      </c>
      <c r="V60" s="199">
        <v>1</v>
      </c>
      <c r="W60" s="199">
        <v>1</v>
      </c>
      <c r="X60" s="200">
        <v>1</v>
      </c>
      <c r="Y60" s="171"/>
      <c r="Z60" s="172"/>
    </row>
    <row r="61" spans="1:26" ht="28.5" outlineLevel="2">
      <c r="A61" s="18">
        <f t="shared" si="12"/>
        <v>23</v>
      </c>
      <c r="B61" s="147" t="s">
        <v>1227</v>
      </c>
      <c r="C61" s="155">
        <v>0.02</v>
      </c>
      <c r="D61" s="189">
        <f t="shared" si="11"/>
        <v>1.2242147110641812E-3</v>
      </c>
      <c r="E61" s="198">
        <v>1</v>
      </c>
      <c r="F61" s="199">
        <v>1</v>
      </c>
      <c r="G61" s="199">
        <v>1</v>
      </c>
      <c r="H61" s="199">
        <v>1</v>
      </c>
      <c r="I61" s="199">
        <v>1</v>
      </c>
      <c r="J61" s="199">
        <v>1</v>
      </c>
      <c r="K61" s="199">
        <v>1</v>
      </c>
      <c r="L61" s="199">
        <v>1</v>
      </c>
      <c r="M61" s="199">
        <v>1</v>
      </c>
      <c r="N61" s="199">
        <v>1</v>
      </c>
      <c r="O61" s="199">
        <v>1</v>
      </c>
      <c r="P61" s="200">
        <v>1</v>
      </c>
      <c r="Q61" s="198">
        <v>1</v>
      </c>
      <c r="R61" s="199">
        <v>1</v>
      </c>
      <c r="S61" s="199">
        <v>1</v>
      </c>
      <c r="T61" s="199">
        <v>1</v>
      </c>
      <c r="U61" s="199">
        <v>1</v>
      </c>
      <c r="V61" s="199">
        <v>1</v>
      </c>
      <c r="W61" s="199">
        <v>1</v>
      </c>
      <c r="X61" s="200">
        <v>1</v>
      </c>
      <c r="Y61" s="171"/>
      <c r="Z61" s="172"/>
    </row>
    <row r="62" spans="1:26" outlineLevel="1">
      <c r="A62" s="187">
        <v>3</v>
      </c>
      <c r="B62" s="142" t="s">
        <v>1228</v>
      </c>
      <c r="C62" s="157"/>
      <c r="D62" s="188">
        <f>+'[2]Construction-87'!$L$58</f>
        <v>0.24247767513678134</v>
      </c>
      <c r="E62" s="17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74"/>
      <c r="Q62" s="173"/>
      <c r="R62" s="143"/>
      <c r="S62" s="143"/>
      <c r="T62" s="143"/>
      <c r="U62" s="143"/>
      <c r="V62" s="143"/>
      <c r="W62" s="143"/>
      <c r="X62" s="174"/>
      <c r="Y62" s="173"/>
      <c r="Z62" s="174"/>
    </row>
    <row r="63" spans="1:26" outlineLevel="2">
      <c r="A63" s="187">
        <v>3.1</v>
      </c>
      <c r="B63" s="142" t="s">
        <v>1229</v>
      </c>
      <c r="C63" s="157">
        <f>+SUM(C64:C73)</f>
        <v>1</v>
      </c>
      <c r="D63" s="188">
        <f>+D62/10</f>
        <v>2.4247767513678135E-2</v>
      </c>
      <c r="E63" s="17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74"/>
      <c r="Q63" s="173"/>
      <c r="R63" s="143"/>
      <c r="S63" s="143"/>
      <c r="T63" s="143"/>
      <c r="U63" s="143"/>
      <c r="V63" s="143"/>
      <c r="W63" s="143"/>
      <c r="X63" s="174"/>
      <c r="Y63" s="173"/>
      <c r="Z63" s="174"/>
    </row>
    <row r="64" spans="1:26" ht="57" outlineLevel="3">
      <c r="A64" s="18">
        <v>1</v>
      </c>
      <c r="B64" s="147" t="s">
        <v>1230</v>
      </c>
      <c r="C64" s="155">
        <v>0.43</v>
      </c>
      <c r="D64" s="189">
        <f t="shared" ref="D64:D73" si="13">+C64*$D$63</f>
        <v>1.0426540030881597E-2</v>
      </c>
      <c r="E64" s="198">
        <v>1</v>
      </c>
      <c r="F64" s="199">
        <v>1</v>
      </c>
      <c r="G64" s="199">
        <v>1</v>
      </c>
      <c r="H64" s="199">
        <v>1</v>
      </c>
      <c r="I64" s="199">
        <v>1</v>
      </c>
      <c r="J64" s="199">
        <v>1</v>
      </c>
      <c r="K64" s="199">
        <v>1</v>
      </c>
      <c r="L64" s="199">
        <v>1</v>
      </c>
      <c r="M64" s="199">
        <v>1</v>
      </c>
      <c r="N64" s="199">
        <v>1</v>
      </c>
      <c r="O64" s="199">
        <v>1</v>
      </c>
      <c r="P64" s="200">
        <v>1</v>
      </c>
      <c r="Q64" s="198">
        <v>1</v>
      </c>
      <c r="R64" s="199">
        <v>1</v>
      </c>
      <c r="S64" s="199">
        <v>1</v>
      </c>
      <c r="T64" s="199">
        <v>1</v>
      </c>
      <c r="U64" s="199">
        <v>1</v>
      </c>
      <c r="V64" s="199">
        <v>1</v>
      </c>
      <c r="W64" s="199">
        <v>1</v>
      </c>
      <c r="X64" s="200">
        <v>1</v>
      </c>
      <c r="Y64" s="171"/>
      <c r="Z64" s="172"/>
    </row>
    <row r="65" spans="1:26" outlineLevel="3">
      <c r="A65" s="190">
        <f>+A64+1</f>
        <v>2</v>
      </c>
      <c r="B65" s="162" t="s">
        <v>1231</v>
      </c>
      <c r="C65" s="163">
        <v>0.15</v>
      </c>
      <c r="D65" s="189">
        <f t="shared" si="13"/>
        <v>3.6371651270517202E-3</v>
      </c>
      <c r="E65" s="198">
        <v>1</v>
      </c>
      <c r="F65" s="199">
        <v>1</v>
      </c>
      <c r="G65" s="199">
        <v>1</v>
      </c>
      <c r="H65" s="199">
        <v>1</v>
      </c>
      <c r="I65" s="199">
        <v>1</v>
      </c>
      <c r="J65" s="199">
        <v>1</v>
      </c>
      <c r="K65" s="199">
        <v>1</v>
      </c>
      <c r="L65" s="199">
        <v>1</v>
      </c>
      <c r="M65" s="199">
        <v>1</v>
      </c>
      <c r="N65" s="199">
        <v>1</v>
      </c>
      <c r="O65" s="199">
        <v>1</v>
      </c>
      <c r="P65" s="200">
        <v>1</v>
      </c>
      <c r="Q65" s="198">
        <v>1</v>
      </c>
      <c r="R65" s="199">
        <v>1</v>
      </c>
      <c r="S65" s="199">
        <v>1</v>
      </c>
      <c r="T65" s="199">
        <v>1</v>
      </c>
      <c r="U65" s="199">
        <v>1</v>
      </c>
      <c r="V65" s="199">
        <v>1</v>
      </c>
      <c r="W65" s="199">
        <v>1</v>
      </c>
      <c r="X65" s="200">
        <v>1</v>
      </c>
      <c r="Y65" s="171"/>
      <c r="Z65" s="172"/>
    </row>
    <row r="66" spans="1:26" ht="28.5" outlineLevel="3">
      <c r="A66" s="18">
        <v>2</v>
      </c>
      <c r="B66" s="147" t="s">
        <v>1232</v>
      </c>
      <c r="C66" s="155">
        <v>0.2</v>
      </c>
      <c r="D66" s="189">
        <f t="shared" si="13"/>
        <v>4.8495535027356269E-3</v>
      </c>
      <c r="E66" s="198">
        <v>1</v>
      </c>
      <c r="F66" s="199">
        <v>1</v>
      </c>
      <c r="G66" s="199">
        <v>1</v>
      </c>
      <c r="H66" s="199">
        <v>1</v>
      </c>
      <c r="I66" s="199">
        <v>1</v>
      </c>
      <c r="J66" s="199">
        <v>1</v>
      </c>
      <c r="K66" s="199">
        <v>1</v>
      </c>
      <c r="L66" s="199">
        <v>1</v>
      </c>
      <c r="M66" s="199">
        <v>1</v>
      </c>
      <c r="N66" s="199">
        <v>1</v>
      </c>
      <c r="O66" s="199">
        <v>1</v>
      </c>
      <c r="P66" s="200">
        <v>1</v>
      </c>
      <c r="Q66" s="198">
        <v>1</v>
      </c>
      <c r="R66" s="199">
        <v>1</v>
      </c>
      <c r="S66" s="199">
        <v>1</v>
      </c>
      <c r="T66" s="199">
        <v>1</v>
      </c>
      <c r="U66" s="199">
        <v>1</v>
      </c>
      <c r="V66" s="199">
        <v>1</v>
      </c>
      <c r="W66" s="199">
        <v>1</v>
      </c>
      <c r="X66" s="200">
        <v>1</v>
      </c>
      <c r="Y66" s="171"/>
      <c r="Z66" s="172"/>
    </row>
    <row r="67" spans="1:26" outlineLevel="3">
      <c r="A67" s="190">
        <f t="shared" ref="A67" si="14">+A66+1</f>
        <v>3</v>
      </c>
      <c r="B67" s="162" t="s">
        <v>1233</v>
      </c>
      <c r="C67" s="155">
        <v>0.14000000000000001</v>
      </c>
      <c r="D67" s="189">
        <f t="shared" si="13"/>
        <v>3.394687451914939E-3</v>
      </c>
      <c r="E67" s="198">
        <v>1</v>
      </c>
      <c r="F67" s="199">
        <v>1</v>
      </c>
      <c r="G67" s="199">
        <v>1</v>
      </c>
      <c r="H67" s="199">
        <v>1</v>
      </c>
      <c r="I67" s="199">
        <v>1</v>
      </c>
      <c r="J67" s="199">
        <v>1</v>
      </c>
      <c r="K67" s="199">
        <v>1</v>
      </c>
      <c r="L67" s="199">
        <v>1</v>
      </c>
      <c r="M67" s="199">
        <v>1</v>
      </c>
      <c r="N67" s="199">
        <v>1</v>
      </c>
      <c r="O67" s="199">
        <v>1</v>
      </c>
      <c r="P67" s="200">
        <v>1</v>
      </c>
      <c r="Q67" s="198">
        <v>1</v>
      </c>
      <c r="R67" s="199">
        <v>1</v>
      </c>
      <c r="S67" s="199">
        <v>1</v>
      </c>
      <c r="T67" s="199">
        <v>1</v>
      </c>
      <c r="U67" s="199">
        <v>1</v>
      </c>
      <c r="V67" s="199">
        <v>1</v>
      </c>
      <c r="W67" s="199">
        <v>1</v>
      </c>
      <c r="X67" s="200">
        <v>1</v>
      </c>
      <c r="Y67" s="171"/>
      <c r="Z67" s="172"/>
    </row>
    <row r="68" spans="1:26" ht="42.75" outlineLevel="3">
      <c r="A68" s="18">
        <v>3</v>
      </c>
      <c r="B68" s="147" t="s">
        <v>1234</v>
      </c>
      <c r="C68" s="155">
        <v>0.01</v>
      </c>
      <c r="D68" s="189">
        <f t="shared" si="13"/>
        <v>2.4247767513678136E-4</v>
      </c>
      <c r="E68" s="198">
        <v>1</v>
      </c>
      <c r="F68" s="199">
        <v>1</v>
      </c>
      <c r="G68" s="199">
        <v>1</v>
      </c>
      <c r="H68" s="199">
        <v>1</v>
      </c>
      <c r="I68" s="199">
        <v>1</v>
      </c>
      <c r="J68" s="199">
        <v>1</v>
      </c>
      <c r="K68" s="199">
        <v>1</v>
      </c>
      <c r="L68" s="199">
        <v>1</v>
      </c>
      <c r="M68" s="199">
        <v>1</v>
      </c>
      <c r="N68" s="199">
        <v>1</v>
      </c>
      <c r="O68" s="199">
        <v>1</v>
      </c>
      <c r="P68" s="200">
        <v>1</v>
      </c>
      <c r="Q68" s="198">
        <v>1</v>
      </c>
      <c r="R68" s="199">
        <v>1</v>
      </c>
      <c r="S68" s="199">
        <v>1</v>
      </c>
      <c r="T68" s="199">
        <v>1</v>
      </c>
      <c r="U68" s="199">
        <v>1</v>
      </c>
      <c r="V68" s="199">
        <v>1</v>
      </c>
      <c r="W68" s="199">
        <v>1</v>
      </c>
      <c r="X68" s="200">
        <v>1</v>
      </c>
      <c r="Y68" s="171"/>
      <c r="Z68" s="172"/>
    </row>
    <row r="69" spans="1:26" ht="28.5" outlineLevel="3">
      <c r="A69" s="190">
        <f t="shared" ref="A69" si="15">+A68+1</f>
        <v>4</v>
      </c>
      <c r="B69" s="147" t="s">
        <v>1235</v>
      </c>
      <c r="C69" s="155">
        <v>5.0000000000000001E-3</v>
      </c>
      <c r="D69" s="189">
        <f t="shared" si="13"/>
        <v>1.2123883756839068E-4</v>
      </c>
      <c r="E69" s="198">
        <v>1</v>
      </c>
      <c r="F69" s="199">
        <v>1</v>
      </c>
      <c r="G69" s="199">
        <v>1</v>
      </c>
      <c r="H69" s="199">
        <v>1</v>
      </c>
      <c r="I69" s="199">
        <v>1</v>
      </c>
      <c r="J69" s="199">
        <v>1</v>
      </c>
      <c r="K69" s="199">
        <v>1</v>
      </c>
      <c r="L69" s="199">
        <v>1</v>
      </c>
      <c r="M69" s="199">
        <v>1</v>
      </c>
      <c r="N69" s="199">
        <v>1</v>
      </c>
      <c r="O69" s="199">
        <v>1</v>
      </c>
      <c r="P69" s="200">
        <v>1</v>
      </c>
      <c r="Q69" s="198">
        <v>1</v>
      </c>
      <c r="R69" s="199">
        <v>1</v>
      </c>
      <c r="S69" s="199">
        <v>1</v>
      </c>
      <c r="T69" s="199">
        <v>1</v>
      </c>
      <c r="U69" s="199">
        <v>1</v>
      </c>
      <c r="V69" s="199">
        <v>1</v>
      </c>
      <c r="W69" s="199">
        <v>1</v>
      </c>
      <c r="X69" s="200">
        <v>1</v>
      </c>
      <c r="Y69" s="171"/>
      <c r="Z69" s="172"/>
    </row>
    <row r="70" spans="1:26" ht="28.5" outlineLevel="3">
      <c r="A70" s="18">
        <v>4</v>
      </c>
      <c r="B70" s="147" t="s">
        <v>1236</v>
      </c>
      <c r="C70" s="155">
        <v>0.01</v>
      </c>
      <c r="D70" s="189">
        <f t="shared" si="13"/>
        <v>2.4247767513678136E-4</v>
      </c>
      <c r="E70" s="198">
        <v>1</v>
      </c>
      <c r="F70" s="199">
        <v>1</v>
      </c>
      <c r="G70" s="199">
        <v>1</v>
      </c>
      <c r="H70" s="199">
        <v>1</v>
      </c>
      <c r="I70" s="199">
        <v>1</v>
      </c>
      <c r="J70" s="199">
        <v>1</v>
      </c>
      <c r="K70" s="199">
        <v>1</v>
      </c>
      <c r="L70" s="199">
        <v>1</v>
      </c>
      <c r="M70" s="199">
        <v>1</v>
      </c>
      <c r="N70" s="199">
        <v>1</v>
      </c>
      <c r="O70" s="199">
        <v>1</v>
      </c>
      <c r="P70" s="200">
        <v>1</v>
      </c>
      <c r="Q70" s="198">
        <v>1</v>
      </c>
      <c r="R70" s="199">
        <v>1</v>
      </c>
      <c r="S70" s="199">
        <v>1</v>
      </c>
      <c r="T70" s="199">
        <v>1</v>
      </c>
      <c r="U70" s="199">
        <v>1</v>
      </c>
      <c r="V70" s="199">
        <v>1</v>
      </c>
      <c r="W70" s="199">
        <v>1</v>
      </c>
      <c r="X70" s="200">
        <v>1</v>
      </c>
      <c r="Y70" s="171"/>
      <c r="Z70" s="172"/>
    </row>
    <row r="71" spans="1:26" outlineLevel="3">
      <c r="A71" s="190">
        <f t="shared" ref="A71" si="16">+A70+1</f>
        <v>5</v>
      </c>
      <c r="B71" s="147" t="s">
        <v>1237</v>
      </c>
      <c r="C71" s="155">
        <v>5.0000000000000001E-3</v>
      </c>
      <c r="D71" s="189">
        <f t="shared" si="13"/>
        <v>1.2123883756839068E-4</v>
      </c>
      <c r="E71" s="198">
        <v>1</v>
      </c>
      <c r="F71" s="199">
        <v>1</v>
      </c>
      <c r="G71" s="199">
        <v>1</v>
      </c>
      <c r="H71" s="199">
        <v>1</v>
      </c>
      <c r="I71" s="199">
        <v>1</v>
      </c>
      <c r="J71" s="199">
        <v>1</v>
      </c>
      <c r="K71" s="199">
        <v>1</v>
      </c>
      <c r="L71" s="199">
        <v>1</v>
      </c>
      <c r="M71" s="199">
        <v>1</v>
      </c>
      <c r="N71" s="199">
        <v>1</v>
      </c>
      <c r="O71" s="199">
        <v>1</v>
      </c>
      <c r="P71" s="200">
        <v>1</v>
      </c>
      <c r="Q71" s="198">
        <v>1</v>
      </c>
      <c r="R71" s="199">
        <v>1</v>
      </c>
      <c r="S71" s="199">
        <v>1</v>
      </c>
      <c r="T71" s="199">
        <v>1</v>
      </c>
      <c r="U71" s="199">
        <v>1</v>
      </c>
      <c r="V71" s="199">
        <v>1</v>
      </c>
      <c r="W71" s="199">
        <v>1</v>
      </c>
      <c r="X71" s="200">
        <v>1</v>
      </c>
      <c r="Y71" s="171"/>
      <c r="Z71" s="172"/>
    </row>
    <row r="72" spans="1:26" ht="42.75" outlineLevel="3">
      <c r="A72" s="18">
        <v>5</v>
      </c>
      <c r="B72" s="147" t="s">
        <v>1238</v>
      </c>
      <c r="C72" s="155">
        <v>0.04</v>
      </c>
      <c r="D72" s="189">
        <f t="shared" si="13"/>
        <v>9.6991070054712545E-4</v>
      </c>
      <c r="E72" s="198">
        <v>1</v>
      </c>
      <c r="F72" s="199">
        <v>1</v>
      </c>
      <c r="G72" s="199">
        <v>1</v>
      </c>
      <c r="H72" s="199">
        <v>1</v>
      </c>
      <c r="I72" s="199">
        <v>1</v>
      </c>
      <c r="J72" s="199">
        <v>1</v>
      </c>
      <c r="K72" s="199">
        <v>1</v>
      </c>
      <c r="L72" s="199">
        <v>1</v>
      </c>
      <c r="M72" s="199">
        <v>1</v>
      </c>
      <c r="N72" s="199">
        <v>1</v>
      </c>
      <c r="O72" s="199">
        <v>1</v>
      </c>
      <c r="P72" s="200">
        <v>1</v>
      </c>
      <c r="Q72" s="198">
        <v>1</v>
      </c>
      <c r="R72" s="199">
        <v>1</v>
      </c>
      <c r="S72" s="199">
        <v>1</v>
      </c>
      <c r="T72" s="199">
        <v>1</v>
      </c>
      <c r="U72" s="199">
        <v>1</v>
      </c>
      <c r="V72" s="199">
        <v>1</v>
      </c>
      <c r="W72" s="199">
        <v>1</v>
      </c>
      <c r="X72" s="200">
        <v>1</v>
      </c>
      <c r="Y72" s="171"/>
      <c r="Z72" s="172"/>
    </row>
    <row r="73" spans="1:26" ht="28.5" outlineLevel="3">
      <c r="A73" s="190">
        <f t="shared" ref="A73" si="17">+A72+1</f>
        <v>6</v>
      </c>
      <c r="B73" s="147" t="s">
        <v>1239</v>
      </c>
      <c r="C73" s="155">
        <v>0.01</v>
      </c>
      <c r="D73" s="189">
        <f t="shared" si="13"/>
        <v>2.4247767513678136E-4</v>
      </c>
      <c r="E73" s="198">
        <v>1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>
        <v>1</v>
      </c>
      <c r="M73" s="199">
        <v>1</v>
      </c>
      <c r="N73" s="199">
        <v>1</v>
      </c>
      <c r="O73" s="199">
        <v>1</v>
      </c>
      <c r="P73" s="200">
        <v>1</v>
      </c>
      <c r="Q73" s="198">
        <v>1</v>
      </c>
      <c r="R73" s="199">
        <v>1</v>
      </c>
      <c r="S73" s="199">
        <v>1</v>
      </c>
      <c r="T73" s="199">
        <v>1</v>
      </c>
      <c r="U73" s="199">
        <v>1</v>
      </c>
      <c r="V73" s="199">
        <v>1</v>
      </c>
      <c r="W73" s="199">
        <v>1</v>
      </c>
      <c r="X73" s="200">
        <v>1</v>
      </c>
      <c r="Y73" s="171"/>
      <c r="Z73" s="172"/>
    </row>
    <row r="74" spans="1:26" outlineLevel="2">
      <c r="A74" s="187">
        <v>3.2</v>
      </c>
      <c r="B74" s="142" t="s">
        <v>1240</v>
      </c>
      <c r="C74" s="157">
        <f>+SUM(C75:C84)</f>
        <v>1</v>
      </c>
      <c r="D74" s="188">
        <f>+D63</f>
        <v>2.4247767513678135E-2</v>
      </c>
      <c r="E74" s="17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74"/>
      <c r="Q74" s="173"/>
      <c r="R74" s="143"/>
      <c r="S74" s="143"/>
      <c r="T74" s="143"/>
      <c r="U74" s="143"/>
      <c r="V74" s="143"/>
      <c r="W74" s="143"/>
      <c r="X74" s="174"/>
      <c r="Y74" s="173"/>
      <c r="Z74" s="174"/>
    </row>
    <row r="75" spans="1:26" ht="57" outlineLevel="3">
      <c r="A75" s="18">
        <v>1</v>
      </c>
      <c r="B75" s="147" t="s">
        <v>1230</v>
      </c>
      <c r="C75" s="155">
        <v>0.43</v>
      </c>
      <c r="D75" s="189">
        <f t="shared" ref="D75:D84" si="18">+C75*$D$63</f>
        <v>1.0426540030881597E-2</v>
      </c>
      <c r="E75" s="198">
        <v>1</v>
      </c>
      <c r="F75" s="199">
        <v>1</v>
      </c>
      <c r="G75" s="199">
        <v>1</v>
      </c>
      <c r="H75" s="199">
        <v>1</v>
      </c>
      <c r="I75" s="199">
        <v>1</v>
      </c>
      <c r="J75" s="199">
        <v>1</v>
      </c>
      <c r="K75" s="199">
        <v>1</v>
      </c>
      <c r="L75" s="199">
        <v>1</v>
      </c>
      <c r="M75" s="199">
        <v>1</v>
      </c>
      <c r="N75" s="199">
        <v>1</v>
      </c>
      <c r="O75" s="199">
        <v>1</v>
      </c>
      <c r="P75" s="200">
        <v>1</v>
      </c>
      <c r="Q75" s="198">
        <v>1</v>
      </c>
      <c r="R75" s="199">
        <v>1</v>
      </c>
      <c r="S75" s="199">
        <v>1</v>
      </c>
      <c r="T75" s="199">
        <v>1</v>
      </c>
      <c r="U75" s="199">
        <v>1</v>
      </c>
      <c r="V75" s="199">
        <v>1</v>
      </c>
      <c r="W75" s="199">
        <v>1</v>
      </c>
      <c r="X75" s="200">
        <v>1</v>
      </c>
      <c r="Y75" s="171"/>
      <c r="Z75" s="172"/>
    </row>
    <row r="76" spans="1:26" outlineLevel="3">
      <c r="A76" s="190">
        <f>+A75+1</f>
        <v>2</v>
      </c>
      <c r="B76" s="162" t="s">
        <v>1231</v>
      </c>
      <c r="C76" s="163">
        <v>0.15</v>
      </c>
      <c r="D76" s="189">
        <f t="shared" si="18"/>
        <v>3.6371651270517202E-3</v>
      </c>
      <c r="E76" s="198">
        <v>1</v>
      </c>
      <c r="F76" s="199">
        <v>1</v>
      </c>
      <c r="G76" s="199">
        <v>1</v>
      </c>
      <c r="H76" s="199">
        <v>1</v>
      </c>
      <c r="I76" s="199">
        <v>1</v>
      </c>
      <c r="J76" s="199">
        <v>1</v>
      </c>
      <c r="K76" s="199">
        <v>1</v>
      </c>
      <c r="L76" s="199">
        <v>1</v>
      </c>
      <c r="M76" s="199">
        <v>1</v>
      </c>
      <c r="N76" s="199">
        <v>1</v>
      </c>
      <c r="O76" s="199">
        <v>1</v>
      </c>
      <c r="P76" s="200">
        <v>1</v>
      </c>
      <c r="Q76" s="198">
        <v>1</v>
      </c>
      <c r="R76" s="199">
        <v>1</v>
      </c>
      <c r="S76" s="199">
        <v>1</v>
      </c>
      <c r="T76" s="199">
        <v>1</v>
      </c>
      <c r="U76" s="199">
        <v>1</v>
      </c>
      <c r="V76" s="199">
        <v>1</v>
      </c>
      <c r="W76" s="199">
        <v>1</v>
      </c>
      <c r="X76" s="200">
        <v>1</v>
      </c>
      <c r="Y76" s="171"/>
      <c r="Z76" s="172"/>
    </row>
    <row r="77" spans="1:26" ht="28.5" outlineLevel="3">
      <c r="A77" s="18">
        <v>2</v>
      </c>
      <c r="B77" s="147" t="s">
        <v>1232</v>
      </c>
      <c r="C77" s="155">
        <v>0.2</v>
      </c>
      <c r="D77" s="189">
        <f t="shared" si="18"/>
        <v>4.8495535027356269E-3</v>
      </c>
      <c r="E77" s="198">
        <v>1</v>
      </c>
      <c r="F77" s="199">
        <v>1</v>
      </c>
      <c r="G77" s="199">
        <v>1</v>
      </c>
      <c r="H77" s="199">
        <v>1</v>
      </c>
      <c r="I77" s="199">
        <v>1</v>
      </c>
      <c r="J77" s="199">
        <v>1</v>
      </c>
      <c r="K77" s="199">
        <v>1</v>
      </c>
      <c r="L77" s="199">
        <v>1</v>
      </c>
      <c r="M77" s="199">
        <v>1</v>
      </c>
      <c r="N77" s="199">
        <v>1</v>
      </c>
      <c r="O77" s="199">
        <v>1</v>
      </c>
      <c r="P77" s="200">
        <v>1</v>
      </c>
      <c r="Q77" s="198">
        <v>1</v>
      </c>
      <c r="R77" s="199">
        <v>1</v>
      </c>
      <c r="S77" s="199">
        <v>1</v>
      </c>
      <c r="T77" s="199">
        <v>1</v>
      </c>
      <c r="U77" s="199">
        <v>1</v>
      </c>
      <c r="V77" s="199">
        <v>1</v>
      </c>
      <c r="W77" s="199">
        <v>1</v>
      </c>
      <c r="X77" s="200">
        <v>1</v>
      </c>
      <c r="Y77" s="171"/>
      <c r="Z77" s="172"/>
    </row>
    <row r="78" spans="1:26" outlineLevel="3">
      <c r="A78" s="190">
        <f t="shared" ref="A78" si="19">+A77+1</f>
        <v>3</v>
      </c>
      <c r="B78" s="162" t="s">
        <v>1233</v>
      </c>
      <c r="C78" s="155">
        <v>0.14000000000000001</v>
      </c>
      <c r="D78" s="189">
        <f t="shared" si="18"/>
        <v>3.394687451914939E-3</v>
      </c>
      <c r="E78" s="198">
        <v>1</v>
      </c>
      <c r="F78" s="199">
        <v>1</v>
      </c>
      <c r="G78" s="199">
        <v>1</v>
      </c>
      <c r="H78" s="199">
        <v>1</v>
      </c>
      <c r="I78" s="199">
        <v>1</v>
      </c>
      <c r="J78" s="199">
        <v>1</v>
      </c>
      <c r="K78" s="199">
        <v>1</v>
      </c>
      <c r="L78" s="199">
        <v>1</v>
      </c>
      <c r="M78" s="199">
        <v>1</v>
      </c>
      <c r="N78" s="199">
        <v>1</v>
      </c>
      <c r="O78" s="199">
        <v>1</v>
      </c>
      <c r="P78" s="200">
        <v>1</v>
      </c>
      <c r="Q78" s="198">
        <v>1</v>
      </c>
      <c r="R78" s="199">
        <v>1</v>
      </c>
      <c r="S78" s="199">
        <v>1</v>
      </c>
      <c r="T78" s="199">
        <v>1</v>
      </c>
      <c r="U78" s="199">
        <v>1</v>
      </c>
      <c r="V78" s="199">
        <v>1</v>
      </c>
      <c r="W78" s="199">
        <v>1</v>
      </c>
      <c r="X78" s="200">
        <v>1</v>
      </c>
      <c r="Y78" s="171"/>
      <c r="Z78" s="172"/>
    </row>
    <row r="79" spans="1:26" ht="42.75" outlineLevel="3">
      <c r="A79" s="18">
        <v>3</v>
      </c>
      <c r="B79" s="147" t="s">
        <v>1234</v>
      </c>
      <c r="C79" s="155">
        <v>0.01</v>
      </c>
      <c r="D79" s="189">
        <f t="shared" si="18"/>
        <v>2.4247767513678136E-4</v>
      </c>
      <c r="E79" s="198">
        <v>1</v>
      </c>
      <c r="F79" s="199">
        <v>1</v>
      </c>
      <c r="G79" s="199">
        <v>1</v>
      </c>
      <c r="H79" s="199">
        <v>1</v>
      </c>
      <c r="I79" s="199">
        <v>1</v>
      </c>
      <c r="J79" s="199">
        <v>1</v>
      </c>
      <c r="K79" s="199">
        <v>1</v>
      </c>
      <c r="L79" s="199">
        <v>1</v>
      </c>
      <c r="M79" s="199">
        <v>1</v>
      </c>
      <c r="N79" s="199">
        <v>1</v>
      </c>
      <c r="O79" s="199">
        <v>1</v>
      </c>
      <c r="P79" s="200">
        <v>1</v>
      </c>
      <c r="Q79" s="198">
        <v>1</v>
      </c>
      <c r="R79" s="199">
        <v>1</v>
      </c>
      <c r="S79" s="199">
        <v>1</v>
      </c>
      <c r="T79" s="199">
        <v>1</v>
      </c>
      <c r="U79" s="199">
        <v>1</v>
      </c>
      <c r="V79" s="199">
        <v>1</v>
      </c>
      <c r="W79" s="199">
        <v>1</v>
      </c>
      <c r="X79" s="200">
        <v>1</v>
      </c>
      <c r="Y79" s="171"/>
      <c r="Z79" s="172"/>
    </row>
    <row r="80" spans="1:26" ht="28.5" outlineLevel="3">
      <c r="A80" s="190">
        <f t="shared" ref="A80" si="20">+A79+1</f>
        <v>4</v>
      </c>
      <c r="B80" s="147" t="s">
        <v>1235</v>
      </c>
      <c r="C80" s="155">
        <v>5.0000000000000001E-3</v>
      </c>
      <c r="D80" s="189">
        <f t="shared" si="18"/>
        <v>1.2123883756839068E-4</v>
      </c>
      <c r="E80" s="198">
        <v>1</v>
      </c>
      <c r="F80" s="199">
        <v>1</v>
      </c>
      <c r="G80" s="199">
        <v>1</v>
      </c>
      <c r="H80" s="199">
        <v>1</v>
      </c>
      <c r="I80" s="199">
        <v>1</v>
      </c>
      <c r="J80" s="199">
        <v>1</v>
      </c>
      <c r="K80" s="199">
        <v>1</v>
      </c>
      <c r="L80" s="199">
        <v>1</v>
      </c>
      <c r="M80" s="199">
        <v>1</v>
      </c>
      <c r="N80" s="199">
        <v>1</v>
      </c>
      <c r="O80" s="199">
        <v>1</v>
      </c>
      <c r="P80" s="200">
        <v>1</v>
      </c>
      <c r="Q80" s="198">
        <v>1</v>
      </c>
      <c r="R80" s="199">
        <v>1</v>
      </c>
      <c r="S80" s="199">
        <v>1</v>
      </c>
      <c r="T80" s="199">
        <v>1</v>
      </c>
      <c r="U80" s="199">
        <v>1</v>
      </c>
      <c r="V80" s="199">
        <v>1</v>
      </c>
      <c r="W80" s="199">
        <v>1</v>
      </c>
      <c r="X80" s="200">
        <v>1</v>
      </c>
      <c r="Y80" s="171"/>
      <c r="Z80" s="172"/>
    </row>
    <row r="81" spans="1:26" ht="28.5" outlineLevel="3">
      <c r="A81" s="18">
        <v>4</v>
      </c>
      <c r="B81" s="147" t="s">
        <v>1236</v>
      </c>
      <c r="C81" s="155">
        <v>0.01</v>
      </c>
      <c r="D81" s="189">
        <f t="shared" si="18"/>
        <v>2.4247767513678136E-4</v>
      </c>
      <c r="E81" s="198">
        <v>1</v>
      </c>
      <c r="F81" s="199">
        <v>1</v>
      </c>
      <c r="G81" s="199">
        <v>1</v>
      </c>
      <c r="H81" s="199">
        <v>1</v>
      </c>
      <c r="I81" s="199">
        <v>1</v>
      </c>
      <c r="J81" s="199">
        <v>1</v>
      </c>
      <c r="K81" s="199">
        <v>1</v>
      </c>
      <c r="L81" s="199">
        <v>1</v>
      </c>
      <c r="M81" s="199">
        <v>1</v>
      </c>
      <c r="N81" s="199">
        <v>1</v>
      </c>
      <c r="O81" s="199">
        <v>1</v>
      </c>
      <c r="P81" s="200">
        <v>1</v>
      </c>
      <c r="Q81" s="198">
        <v>1</v>
      </c>
      <c r="R81" s="199">
        <v>1</v>
      </c>
      <c r="S81" s="199">
        <v>1</v>
      </c>
      <c r="T81" s="199">
        <v>1</v>
      </c>
      <c r="U81" s="199">
        <v>1</v>
      </c>
      <c r="V81" s="199">
        <v>1</v>
      </c>
      <c r="W81" s="199">
        <v>1</v>
      </c>
      <c r="X81" s="200">
        <v>1</v>
      </c>
      <c r="Y81" s="171"/>
      <c r="Z81" s="172"/>
    </row>
    <row r="82" spans="1:26" outlineLevel="3">
      <c r="A82" s="190">
        <f t="shared" ref="A82" si="21">+A81+1</f>
        <v>5</v>
      </c>
      <c r="B82" s="147" t="s">
        <v>1237</v>
      </c>
      <c r="C82" s="155">
        <v>5.0000000000000001E-3</v>
      </c>
      <c r="D82" s="189">
        <f t="shared" si="18"/>
        <v>1.2123883756839068E-4</v>
      </c>
      <c r="E82" s="198">
        <v>1</v>
      </c>
      <c r="F82" s="199">
        <v>1</v>
      </c>
      <c r="G82" s="199">
        <v>1</v>
      </c>
      <c r="H82" s="199">
        <v>1</v>
      </c>
      <c r="I82" s="199">
        <v>1</v>
      </c>
      <c r="J82" s="199">
        <v>1</v>
      </c>
      <c r="K82" s="199">
        <v>1</v>
      </c>
      <c r="L82" s="199">
        <v>1</v>
      </c>
      <c r="M82" s="199">
        <v>1</v>
      </c>
      <c r="N82" s="199">
        <v>1</v>
      </c>
      <c r="O82" s="199">
        <v>1</v>
      </c>
      <c r="P82" s="200">
        <v>1</v>
      </c>
      <c r="Q82" s="198">
        <v>1</v>
      </c>
      <c r="R82" s="199">
        <v>1</v>
      </c>
      <c r="S82" s="199">
        <v>1</v>
      </c>
      <c r="T82" s="199">
        <v>1</v>
      </c>
      <c r="U82" s="199">
        <v>1</v>
      </c>
      <c r="V82" s="199">
        <v>1</v>
      </c>
      <c r="W82" s="199">
        <v>1</v>
      </c>
      <c r="X82" s="200">
        <v>1</v>
      </c>
      <c r="Y82" s="171"/>
      <c r="Z82" s="172"/>
    </row>
    <row r="83" spans="1:26" ht="42.75" outlineLevel="3">
      <c r="A83" s="18">
        <v>5</v>
      </c>
      <c r="B83" s="147" t="s">
        <v>1238</v>
      </c>
      <c r="C83" s="155">
        <v>0.04</v>
      </c>
      <c r="D83" s="189">
        <f t="shared" si="18"/>
        <v>9.6991070054712545E-4</v>
      </c>
      <c r="E83" s="198">
        <v>1</v>
      </c>
      <c r="F83" s="199">
        <v>1</v>
      </c>
      <c r="G83" s="199">
        <v>1</v>
      </c>
      <c r="H83" s="199">
        <v>1</v>
      </c>
      <c r="I83" s="199">
        <v>1</v>
      </c>
      <c r="J83" s="199">
        <v>1</v>
      </c>
      <c r="K83" s="199">
        <v>1</v>
      </c>
      <c r="L83" s="199">
        <v>1</v>
      </c>
      <c r="M83" s="199">
        <v>1</v>
      </c>
      <c r="N83" s="199">
        <v>1</v>
      </c>
      <c r="O83" s="199">
        <v>1</v>
      </c>
      <c r="P83" s="200">
        <v>1</v>
      </c>
      <c r="Q83" s="198">
        <v>1</v>
      </c>
      <c r="R83" s="199">
        <v>1</v>
      </c>
      <c r="S83" s="199">
        <v>1</v>
      </c>
      <c r="T83" s="199">
        <v>1</v>
      </c>
      <c r="U83" s="199">
        <v>1</v>
      </c>
      <c r="V83" s="199">
        <v>1</v>
      </c>
      <c r="W83" s="199">
        <v>1</v>
      </c>
      <c r="X83" s="200">
        <v>1</v>
      </c>
      <c r="Y83" s="171"/>
      <c r="Z83" s="172"/>
    </row>
    <row r="84" spans="1:26" ht="28.5" outlineLevel="3">
      <c r="A84" s="190">
        <f t="shared" ref="A84" si="22">+A83+1</f>
        <v>6</v>
      </c>
      <c r="B84" s="147" t="s">
        <v>1239</v>
      </c>
      <c r="C84" s="155">
        <v>0.01</v>
      </c>
      <c r="D84" s="189">
        <f t="shared" si="18"/>
        <v>2.4247767513678136E-4</v>
      </c>
      <c r="E84" s="198">
        <v>1</v>
      </c>
      <c r="F84" s="199">
        <v>1</v>
      </c>
      <c r="G84" s="199">
        <v>1</v>
      </c>
      <c r="H84" s="199">
        <v>1</v>
      </c>
      <c r="I84" s="199">
        <v>1</v>
      </c>
      <c r="J84" s="199">
        <v>1</v>
      </c>
      <c r="K84" s="199">
        <v>1</v>
      </c>
      <c r="L84" s="199">
        <v>1</v>
      </c>
      <c r="M84" s="199">
        <v>1</v>
      </c>
      <c r="N84" s="199">
        <v>1</v>
      </c>
      <c r="O84" s="199">
        <v>1</v>
      </c>
      <c r="P84" s="200">
        <v>1</v>
      </c>
      <c r="Q84" s="198">
        <v>1</v>
      </c>
      <c r="R84" s="199">
        <v>1</v>
      </c>
      <c r="S84" s="199">
        <v>1</v>
      </c>
      <c r="T84" s="199">
        <v>1</v>
      </c>
      <c r="U84" s="199">
        <v>1</v>
      </c>
      <c r="V84" s="199">
        <v>1</v>
      </c>
      <c r="W84" s="199">
        <v>1</v>
      </c>
      <c r="X84" s="200">
        <v>1</v>
      </c>
      <c r="Y84" s="171"/>
      <c r="Z84" s="172"/>
    </row>
    <row r="85" spans="1:26" outlineLevel="2">
      <c r="A85" s="187">
        <v>3.3</v>
      </c>
      <c r="B85" s="142" t="s">
        <v>1241</v>
      </c>
      <c r="C85" s="157">
        <f>+SUM(C86:C95)</f>
        <v>1</v>
      </c>
      <c r="D85" s="188">
        <f>+D74</f>
        <v>2.4247767513678135E-2</v>
      </c>
      <c r="E85" s="17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74"/>
      <c r="Q85" s="173"/>
      <c r="R85" s="143"/>
      <c r="S85" s="143"/>
      <c r="T85" s="143"/>
      <c r="U85" s="143"/>
      <c r="V85" s="143"/>
      <c r="W85" s="143"/>
      <c r="X85" s="174"/>
      <c r="Y85" s="173"/>
      <c r="Z85" s="174"/>
    </row>
    <row r="86" spans="1:26" ht="57" outlineLevel="3">
      <c r="A86" s="18">
        <v>1</v>
      </c>
      <c r="B86" s="147" t="s">
        <v>1230</v>
      </c>
      <c r="C86" s="155">
        <v>0.43</v>
      </c>
      <c r="D86" s="189">
        <f t="shared" ref="D86:D95" si="23">+C86*$D$63</f>
        <v>1.0426540030881597E-2</v>
      </c>
      <c r="E86" s="198">
        <v>1</v>
      </c>
      <c r="F86" s="199">
        <v>1</v>
      </c>
      <c r="G86" s="199">
        <v>1</v>
      </c>
      <c r="H86" s="199">
        <v>1</v>
      </c>
      <c r="I86" s="199">
        <v>1</v>
      </c>
      <c r="J86" s="199">
        <v>1</v>
      </c>
      <c r="K86" s="199">
        <v>1</v>
      </c>
      <c r="L86" s="199">
        <v>1</v>
      </c>
      <c r="M86" s="199">
        <v>1</v>
      </c>
      <c r="N86" s="199">
        <v>1</v>
      </c>
      <c r="O86" s="199">
        <v>1</v>
      </c>
      <c r="P86" s="200">
        <v>1</v>
      </c>
      <c r="Q86" s="198">
        <v>1</v>
      </c>
      <c r="R86" s="199">
        <v>1</v>
      </c>
      <c r="S86" s="199">
        <v>1</v>
      </c>
      <c r="T86" s="199">
        <v>1</v>
      </c>
      <c r="U86" s="199">
        <v>1</v>
      </c>
      <c r="V86" s="199">
        <v>1</v>
      </c>
      <c r="W86" s="199">
        <v>1</v>
      </c>
      <c r="X86" s="200">
        <v>1</v>
      </c>
      <c r="Y86" s="171"/>
      <c r="Z86" s="172"/>
    </row>
    <row r="87" spans="1:26" outlineLevel="3">
      <c r="A87" s="190">
        <f>+A86+1</f>
        <v>2</v>
      </c>
      <c r="B87" s="162" t="s">
        <v>1231</v>
      </c>
      <c r="C87" s="163">
        <v>0.15</v>
      </c>
      <c r="D87" s="189">
        <f t="shared" si="23"/>
        <v>3.6371651270517202E-3</v>
      </c>
      <c r="E87" s="198">
        <v>1</v>
      </c>
      <c r="F87" s="199">
        <v>1</v>
      </c>
      <c r="G87" s="199">
        <v>1</v>
      </c>
      <c r="H87" s="199">
        <v>1</v>
      </c>
      <c r="I87" s="199">
        <v>1</v>
      </c>
      <c r="J87" s="199">
        <v>1</v>
      </c>
      <c r="K87" s="199">
        <v>1</v>
      </c>
      <c r="L87" s="199">
        <v>1</v>
      </c>
      <c r="M87" s="199">
        <v>1</v>
      </c>
      <c r="N87" s="199">
        <v>1</v>
      </c>
      <c r="O87" s="199">
        <v>1</v>
      </c>
      <c r="P87" s="200">
        <v>1</v>
      </c>
      <c r="Q87" s="198">
        <v>1</v>
      </c>
      <c r="R87" s="199">
        <v>1</v>
      </c>
      <c r="S87" s="199">
        <v>1</v>
      </c>
      <c r="T87" s="199">
        <v>1</v>
      </c>
      <c r="U87" s="199">
        <v>1</v>
      </c>
      <c r="V87" s="199">
        <v>1</v>
      </c>
      <c r="W87" s="199">
        <v>1</v>
      </c>
      <c r="X87" s="200">
        <v>1</v>
      </c>
      <c r="Y87" s="171"/>
      <c r="Z87" s="172"/>
    </row>
    <row r="88" spans="1:26" ht="28.5" outlineLevel="3">
      <c r="A88" s="18">
        <v>2</v>
      </c>
      <c r="B88" s="147" t="s">
        <v>1232</v>
      </c>
      <c r="C88" s="155">
        <v>0.2</v>
      </c>
      <c r="D88" s="189">
        <f t="shared" si="23"/>
        <v>4.8495535027356269E-3</v>
      </c>
      <c r="E88" s="198">
        <v>1</v>
      </c>
      <c r="F88" s="199">
        <v>1</v>
      </c>
      <c r="G88" s="199">
        <v>1</v>
      </c>
      <c r="H88" s="199">
        <v>1</v>
      </c>
      <c r="I88" s="199">
        <v>1</v>
      </c>
      <c r="J88" s="199">
        <v>1</v>
      </c>
      <c r="K88" s="199">
        <v>1</v>
      </c>
      <c r="L88" s="199">
        <v>1</v>
      </c>
      <c r="M88" s="199">
        <v>1</v>
      </c>
      <c r="N88" s="199">
        <v>1</v>
      </c>
      <c r="O88" s="199">
        <v>1</v>
      </c>
      <c r="P88" s="200">
        <v>1</v>
      </c>
      <c r="Q88" s="198">
        <v>1</v>
      </c>
      <c r="R88" s="199">
        <v>1</v>
      </c>
      <c r="S88" s="199">
        <v>1</v>
      </c>
      <c r="T88" s="199">
        <v>1</v>
      </c>
      <c r="U88" s="199">
        <v>1</v>
      </c>
      <c r="V88" s="199">
        <v>1</v>
      </c>
      <c r="W88" s="199">
        <v>1</v>
      </c>
      <c r="X88" s="200">
        <v>1</v>
      </c>
      <c r="Y88" s="171"/>
      <c r="Z88" s="172"/>
    </row>
    <row r="89" spans="1:26" outlineLevel="3">
      <c r="A89" s="190">
        <f t="shared" ref="A89" si="24">+A88+1</f>
        <v>3</v>
      </c>
      <c r="B89" s="162" t="s">
        <v>1233</v>
      </c>
      <c r="C89" s="155">
        <v>0.14000000000000001</v>
      </c>
      <c r="D89" s="189">
        <f t="shared" si="23"/>
        <v>3.394687451914939E-3</v>
      </c>
      <c r="E89" s="198">
        <v>1</v>
      </c>
      <c r="F89" s="199">
        <v>1</v>
      </c>
      <c r="G89" s="199">
        <v>1</v>
      </c>
      <c r="H89" s="199">
        <v>1</v>
      </c>
      <c r="I89" s="199">
        <v>1</v>
      </c>
      <c r="J89" s="199">
        <v>1</v>
      </c>
      <c r="K89" s="199">
        <v>1</v>
      </c>
      <c r="L89" s="199">
        <v>1</v>
      </c>
      <c r="M89" s="199">
        <v>1</v>
      </c>
      <c r="N89" s="199">
        <v>1</v>
      </c>
      <c r="O89" s="199">
        <v>1</v>
      </c>
      <c r="P89" s="200">
        <v>1</v>
      </c>
      <c r="Q89" s="198">
        <v>1</v>
      </c>
      <c r="R89" s="199">
        <v>1</v>
      </c>
      <c r="S89" s="199">
        <v>1</v>
      </c>
      <c r="T89" s="199">
        <v>1</v>
      </c>
      <c r="U89" s="199">
        <v>1</v>
      </c>
      <c r="V89" s="199">
        <v>1</v>
      </c>
      <c r="W89" s="199">
        <v>1</v>
      </c>
      <c r="X89" s="200">
        <v>1</v>
      </c>
      <c r="Y89" s="171"/>
      <c r="Z89" s="172"/>
    </row>
    <row r="90" spans="1:26" ht="42.75" outlineLevel="3">
      <c r="A90" s="18">
        <v>3</v>
      </c>
      <c r="B90" s="147" t="s">
        <v>1234</v>
      </c>
      <c r="C90" s="155">
        <v>0.01</v>
      </c>
      <c r="D90" s="189">
        <f t="shared" si="23"/>
        <v>2.4247767513678136E-4</v>
      </c>
      <c r="E90" s="198">
        <v>1</v>
      </c>
      <c r="F90" s="199">
        <v>1</v>
      </c>
      <c r="G90" s="199">
        <v>1</v>
      </c>
      <c r="H90" s="199">
        <v>1</v>
      </c>
      <c r="I90" s="199">
        <v>1</v>
      </c>
      <c r="J90" s="199">
        <v>1</v>
      </c>
      <c r="K90" s="199">
        <v>1</v>
      </c>
      <c r="L90" s="199">
        <v>1</v>
      </c>
      <c r="M90" s="199">
        <v>1</v>
      </c>
      <c r="N90" s="199">
        <v>1</v>
      </c>
      <c r="O90" s="199">
        <v>1</v>
      </c>
      <c r="P90" s="200">
        <v>1</v>
      </c>
      <c r="Q90" s="198">
        <v>1</v>
      </c>
      <c r="R90" s="199">
        <v>1</v>
      </c>
      <c r="S90" s="199">
        <v>1</v>
      </c>
      <c r="T90" s="199">
        <v>1</v>
      </c>
      <c r="U90" s="199">
        <v>1</v>
      </c>
      <c r="V90" s="199">
        <v>1</v>
      </c>
      <c r="W90" s="199">
        <v>1</v>
      </c>
      <c r="X90" s="200">
        <v>1</v>
      </c>
      <c r="Y90" s="171"/>
      <c r="Z90" s="172"/>
    </row>
    <row r="91" spans="1:26" ht="28.5" outlineLevel="3">
      <c r="A91" s="190">
        <f t="shared" ref="A91" si="25">+A90+1</f>
        <v>4</v>
      </c>
      <c r="B91" s="147" t="s">
        <v>1235</v>
      </c>
      <c r="C91" s="155">
        <v>5.0000000000000001E-3</v>
      </c>
      <c r="D91" s="189">
        <f t="shared" si="23"/>
        <v>1.2123883756839068E-4</v>
      </c>
      <c r="E91" s="198">
        <v>1</v>
      </c>
      <c r="F91" s="199">
        <v>1</v>
      </c>
      <c r="G91" s="199">
        <v>1</v>
      </c>
      <c r="H91" s="199">
        <v>1</v>
      </c>
      <c r="I91" s="199">
        <v>1</v>
      </c>
      <c r="J91" s="199">
        <v>1</v>
      </c>
      <c r="K91" s="199">
        <v>1</v>
      </c>
      <c r="L91" s="199">
        <v>1</v>
      </c>
      <c r="M91" s="199">
        <v>1</v>
      </c>
      <c r="N91" s="199">
        <v>1</v>
      </c>
      <c r="O91" s="199">
        <v>1</v>
      </c>
      <c r="P91" s="200">
        <v>1</v>
      </c>
      <c r="Q91" s="198">
        <v>1</v>
      </c>
      <c r="R91" s="199">
        <v>1</v>
      </c>
      <c r="S91" s="199">
        <v>1</v>
      </c>
      <c r="T91" s="199">
        <v>1</v>
      </c>
      <c r="U91" s="199">
        <v>1</v>
      </c>
      <c r="V91" s="199">
        <v>1</v>
      </c>
      <c r="W91" s="199">
        <v>1</v>
      </c>
      <c r="X91" s="200">
        <v>1</v>
      </c>
      <c r="Y91" s="171"/>
      <c r="Z91" s="172"/>
    </row>
    <row r="92" spans="1:26" ht="28.5" outlineLevel="3">
      <c r="A92" s="18">
        <v>4</v>
      </c>
      <c r="B92" s="147" t="s">
        <v>1236</v>
      </c>
      <c r="C92" s="155">
        <v>0.01</v>
      </c>
      <c r="D92" s="189">
        <f t="shared" si="23"/>
        <v>2.4247767513678136E-4</v>
      </c>
      <c r="E92" s="198">
        <v>1</v>
      </c>
      <c r="F92" s="199">
        <v>1</v>
      </c>
      <c r="G92" s="199">
        <v>1</v>
      </c>
      <c r="H92" s="199">
        <v>1</v>
      </c>
      <c r="I92" s="199">
        <v>1</v>
      </c>
      <c r="J92" s="199">
        <v>1</v>
      </c>
      <c r="K92" s="199">
        <v>1</v>
      </c>
      <c r="L92" s="199">
        <v>1</v>
      </c>
      <c r="M92" s="199">
        <v>1</v>
      </c>
      <c r="N92" s="199">
        <v>1</v>
      </c>
      <c r="O92" s="199">
        <v>1</v>
      </c>
      <c r="P92" s="200">
        <v>1</v>
      </c>
      <c r="Q92" s="198">
        <v>1</v>
      </c>
      <c r="R92" s="199">
        <v>1</v>
      </c>
      <c r="S92" s="199">
        <v>1</v>
      </c>
      <c r="T92" s="199">
        <v>1</v>
      </c>
      <c r="U92" s="199">
        <v>1</v>
      </c>
      <c r="V92" s="199">
        <v>1</v>
      </c>
      <c r="W92" s="199">
        <v>1</v>
      </c>
      <c r="X92" s="200">
        <v>1</v>
      </c>
      <c r="Y92" s="171"/>
      <c r="Z92" s="172"/>
    </row>
    <row r="93" spans="1:26" outlineLevel="3">
      <c r="A93" s="190">
        <f t="shared" ref="A93" si="26">+A92+1</f>
        <v>5</v>
      </c>
      <c r="B93" s="147" t="s">
        <v>1237</v>
      </c>
      <c r="C93" s="155">
        <v>5.0000000000000001E-3</v>
      </c>
      <c r="D93" s="189">
        <f t="shared" si="23"/>
        <v>1.2123883756839068E-4</v>
      </c>
      <c r="E93" s="198">
        <v>1</v>
      </c>
      <c r="F93" s="199">
        <v>1</v>
      </c>
      <c r="G93" s="199">
        <v>1</v>
      </c>
      <c r="H93" s="199">
        <v>1</v>
      </c>
      <c r="I93" s="199">
        <v>1</v>
      </c>
      <c r="J93" s="199">
        <v>1</v>
      </c>
      <c r="K93" s="199">
        <v>1</v>
      </c>
      <c r="L93" s="199">
        <v>1</v>
      </c>
      <c r="M93" s="199">
        <v>1</v>
      </c>
      <c r="N93" s="199">
        <v>1</v>
      </c>
      <c r="O93" s="199">
        <v>1</v>
      </c>
      <c r="P93" s="200">
        <v>1</v>
      </c>
      <c r="Q93" s="198">
        <v>1</v>
      </c>
      <c r="R93" s="199">
        <v>1</v>
      </c>
      <c r="S93" s="199">
        <v>1</v>
      </c>
      <c r="T93" s="199">
        <v>1</v>
      </c>
      <c r="U93" s="199">
        <v>1</v>
      </c>
      <c r="V93" s="199">
        <v>1</v>
      </c>
      <c r="W93" s="199">
        <v>1</v>
      </c>
      <c r="X93" s="200">
        <v>1</v>
      </c>
      <c r="Y93" s="171"/>
      <c r="Z93" s="172"/>
    </row>
    <row r="94" spans="1:26" ht="42.75" outlineLevel="3">
      <c r="A94" s="18">
        <v>5</v>
      </c>
      <c r="B94" s="147" t="s">
        <v>1238</v>
      </c>
      <c r="C94" s="155">
        <v>0.04</v>
      </c>
      <c r="D94" s="189">
        <f t="shared" si="23"/>
        <v>9.6991070054712545E-4</v>
      </c>
      <c r="E94" s="198">
        <v>1</v>
      </c>
      <c r="F94" s="199">
        <v>1</v>
      </c>
      <c r="G94" s="199">
        <v>1</v>
      </c>
      <c r="H94" s="199">
        <v>1</v>
      </c>
      <c r="I94" s="199">
        <v>1</v>
      </c>
      <c r="J94" s="199">
        <v>1</v>
      </c>
      <c r="K94" s="199">
        <v>1</v>
      </c>
      <c r="L94" s="199">
        <v>1</v>
      </c>
      <c r="M94" s="199">
        <v>1</v>
      </c>
      <c r="N94" s="199">
        <v>1</v>
      </c>
      <c r="O94" s="199">
        <v>1</v>
      </c>
      <c r="P94" s="200">
        <v>1</v>
      </c>
      <c r="Q94" s="198">
        <v>1</v>
      </c>
      <c r="R94" s="199">
        <v>1</v>
      </c>
      <c r="S94" s="199">
        <v>1</v>
      </c>
      <c r="T94" s="199">
        <v>1</v>
      </c>
      <c r="U94" s="199">
        <v>1</v>
      </c>
      <c r="V94" s="199">
        <v>1</v>
      </c>
      <c r="W94" s="199">
        <v>1</v>
      </c>
      <c r="X94" s="200">
        <v>1</v>
      </c>
      <c r="Y94" s="171"/>
      <c r="Z94" s="172"/>
    </row>
    <row r="95" spans="1:26" ht="28.5" outlineLevel="3">
      <c r="A95" s="190">
        <f t="shared" ref="A95" si="27">+A94+1</f>
        <v>6</v>
      </c>
      <c r="B95" s="147" t="s">
        <v>1239</v>
      </c>
      <c r="C95" s="155">
        <v>0.01</v>
      </c>
      <c r="D95" s="189">
        <f t="shared" si="23"/>
        <v>2.4247767513678136E-4</v>
      </c>
      <c r="E95" s="198">
        <v>1</v>
      </c>
      <c r="F95" s="199">
        <v>1</v>
      </c>
      <c r="G95" s="199">
        <v>1</v>
      </c>
      <c r="H95" s="199">
        <v>1</v>
      </c>
      <c r="I95" s="199">
        <v>1</v>
      </c>
      <c r="J95" s="199">
        <v>1</v>
      </c>
      <c r="K95" s="199">
        <v>1</v>
      </c>
      <c r="L95" s="199">
        <v>1</v>
      </c>
      <c r="M95" s="199">
        <v>1</v>
      </c>
      <c r="N95" s="199">
        <v>1</v>
      </c>
      <c r="O95" s="199">
        <v>1</v>
      </c>
      <c r="P95" s="200">
        <v>1</v>
      </c>
      <c r="Q95" s="198">
        <v>1</v>
      </c>
      <c r="R95" s="199">
        <v>1</v>
      </c>
      <c r="S95" s="199">
        <v>1</v>
      </c>
      <c r="T95" s="199">
        <v>1</v>
      </c>
      <c r="U95" s="199">
        <v>1</v>
      </c>
      <c r="V95" s="199">
        <v>1</v>
      </c>
      <c r="W95" s="199">
        <v>1</v>
      </c>
      <c r="X95" s="200">
        <v>1</v>
      </c>
      <c r="Y95" s="171"/>
      <c r="Z95" s="172"/>
    </row>
    <row r="96" spans="1:26" outlineLevel="2">
      <c r="A96" s="187">
        <v>3.4</v>
      </c>
      <c r="B96" s="142" t="s">
        <v>1242</v>
      </c>
      <c r="C96" s="157">
        <f>+SUM(C97:C106)</f>
        <v>0</v>
      </c>
      <c r="D96" s="188">
        <f>+D85</f>
        <v>2.4247767513678135E-2</v>
      </c>
      <c r="E96" s="198">
        <v>1</v>
      </c>
      <c r="F96" s="199">
        <v>1</v>
      </c>
      <c r="G96" s="199">
        <v>1</v>
      </c>
      <c r="H96" s="199">
        <v>1</v>
      </c>
      <c r="I96" s="199">
        <v>1</v>
      </c>
      <c r="J96" s="199">
        <v>1</v>
      </c>
      <c r="K96" s="199">
        <v>1</v>
      </c>
      <c r="L96" s="199">
        <v>1</v>
      </c>
      <c r="M96" s="199">
        <v>1</v>
      </c>
      <c r="N96" s="199">
        <v>1</v>
      </c>
      <c r="O96" s="199">
        <v>1</v>
      </c>
      <c r="P96" s="200">
        <v>1</v>
      </c>
      <c r="Q96" s="198">
        <v>1</v>
      </c>
      <c r="R96" s="199">
        <v>1</v>
      </c>
      <c r="S96" s="199">
        <v>1</v>
      </c>
      <c r="T96" s="199">
        <v>1</v>
      </c>
      <c r="U96" s="199">
        <v>1</v>
      </c>
      <c r="V96" s="199">
        <v>1</v>
      </c>
      <c r="W96" s="199">
        <v>1</v>
      </c>
      <c r="X96" s="200">
        <v>1</v>
      </c>
      <c r="Y96" s="207"/>
      <c r="Z96" s="208"/>
    </row>
    <row r="97" spans="1:26" outlineLevel="2">
      <c r="A97" s="187">
        <v>3.5</v>
      </c>
      <c r="B97" s="142" t="s">
        <v>1243</v>
      </c>
      <c r="C97" s="157">
        <f>+SUM(C98:C107)</f>
        <v>0</v>
      </c>
      <c r="D97" s="188">
        <f t="shared" ref="D97:D102" si="28">+D96</f>
        <v>2.4247767513678135E-2</v>
      </c>
      <c r="E97" s="198">
        <v>1</v>
      </c>
      <c r="F97" s="199">
        <v>1</v>
      </c>
      <c r="G97" s="199">
        <v>1</v>
      </c>
      <c r="H97" s="199">
        <v>1</v>
      </c>
      <c r="I97" s="199">
        <v>1</v>
      </c>
      <c r="J97" s="199">
        <v>1</v>
      </c>
      <c r="K97" s="199">
        <v>1</v>
      </c>
      <c r="L97" s="199">
        <v>1</v>
      </c>
      <c r="M97" s="199">
        <v>1</v>
      </c>
      <c r="N97" s="199">
        <v>1</v>
      </c>
      <c r="O97" s="199">
        <v>1</v>
      </c>
      <c r="P97" s="200">
        <v>1</v>
      </c>
      <c r="Q97" s="198">
        <v>1</v>
      </c>
      <c r="R97" s="199">
        <v>1</v>
      </c>
      <c r="S97" s="199">
        <v>1</v>
      </c>
      <c r="T97" s="199">
        <v>1</v>
      </c>
      <c r="U97" s="199">
        <v>1</v>
      </c>
      <c r="V97" s="199">
        <v>1</v>
      </c>
      <c r="W97" s="199">
        <v>1</v>
      </c>
      <c r="X97" s="200">
        <v>1</v>
      </c>
      <c r="Y97" s="207"/>
      <c r="Z97" s="208"/>
    </row>
    <row r="98" spans="1:26" outlineLevel="2">
      <c r="A98" s="187">
        <v>3.6</v>
      </c>
      <c r="B98" s="142" t="s">
        <v>1244</v>
      </c>
      <c r="C98" s="157">
        <f>+SUM(C99:C108)</f>
        <v>0</v>
      </c>
      <c r="D98" s="188">
        <f t="shared" si="28"/>
        <v>2.4247767513678135E-2</v>
      </c>
      <c r="E98" s="198">
        <v>1</v>
      </c>
      <c r="F98" s="199">
        <v>1</v>
      </c>
      <c r="G98" s="199">
        <v>1</v>
      </c>
      <c r="H98" s="199">
        <v>1</v>
      </c>
      <c r="I98" s="199">
        <v>1</v>
      </c>
      <c r="J98" s="199">
        <v>1</v>
      </c>
      <c r="K98" s="199">
        <v>1</v>
      </c>
      <c r="L98" s="199">
        <v>1</v>
      </c>
      <c r="M98" s="199">
        <v>1</v>
      </c>
      <c r="N98" s="199">
        <v>1</v>
      </c>
      <c r="O98" s="199">
        <v>1</v>
      </c>
      <c r="P98" s="200">
        <v>1</v>
      </c>
      <c r="Q98" s="198">
        <v>1</v>
      </c>
      <c r="R98" s="199">
        <v>1</v>
      </c>
      <c r="S98" s="199">
        <v>1</v>
      </c>
      <c r="T98" s="199">
        <v>1</v>
      </c>
      <c r="U98" s="199">
        <v>1</v>
      </c>
      <c r="V98" s="199">
        <v>1</v>
      </c>
      <c r="W98" s="199">
        <v>1</v>
      </c>
      <c r="X98" s="200">
        <v>1</v>
      </c>
      <c r="Y98" s="207"/>
      <c r="Z98" s="208"/>
    </row>
    <row r="99" spans="1:26" outlineLevel="2">
      <c r="A99" s="187">
        <v>3.7</v>
      </c>
      <c r="B99" s="142" t="s">
        <v>1245</v>
      </c>
      <c r="C99" s="157">
        <f>+SUM(C100:C109)</f>
        <v>0</v>
      </c>
      <c r="D99" s="188">
        <f t="shared" si="28"/>
        <v>2.4247767513678135E-2</v>
      </c>
      <c r="E99" s="198">
        <v>1</v>
      </c>
      <c r="F99" s="199">
        <v>1</v>
      </c>
      <c r="G99" s="199">
        <v>1</v>
      </c>
      <c r="H99" s="199">
        <v>1</v>
      </c>
      <c r="I99" s="199">
        <v>1</v>
      </c>
      <c r="J99" s="199">
        <v>1</v>
      </c>
      <c r="K99" s="199">
        <v>1</v>
      </c>
      <c r="L99" s="199">
        <v>1</v>
      </c>
      <c r="M99" s="199">
        <v>1</v>
      </c>
      <c r="N99" s="199">
        <v>1</v>
      </c>
      <c r="O99" s="199">
        <v>1</v>
      </c>
      <c r="P99" s="200">
        <v>1</v>
      </c>
      <c r="Q99" s="198">
        <v>1</v>
      </c>
      <c r="R99" s="199">
        <v>1</v>
      </c>
      <c r="S99" s="199">
        <v>1</v>
      </c>
      <c r="T99" s="199">
        <v>1</v>
      </c>
      <c r="U99" s="199">
        <v>1</v>
      </c>
      <c r="V99" s="199">
        <v>1</v>
      </c>
      <c r="W99" s="199">
        <v>1</v>
      </c>
      <c r="X99" s="200">
        <v>1</v>
      </c>
      <c r="Y99" s="207"/>
      <c r="Z99" s="208"/>
    </row>
    <row r="100" spans="1:26" outlineLevel="2">
      <c r="A100" s="187">
        <v>3.8</v>
      </c>
      <c r="B100" s="142" t="s">
        <v>1246</v>
      </c>
      <c r="C100" s="157">
        <f>+SUM(C101:C110)</f>
        <v>0</v>
      </c>
      <c r="D100" s="188">
        <f t="shared" si="28"/>
        <v>2.4247767513678135E-2</v>
      </c>
      <c r="E100" s="198">
        <v>1</v>
      </c>
      <c r="F100" s="199">
        <v>1</v>
      </c>
      <c r="G100" s="199">
        <v>1</v>
      </c>
      <c r="H100" s="199">
        <v>1</v>
      </c>
      <c r="I100" s="199">
        <v>1</v>
      </c>
      <c r="J100" s="199">
        <v>1</v>
      </c>
      <c r="K100" s="199">
        <v>1</v>
      </c>
      <c r="L100" s="199">
        <v>1</v>
      </c>
      <c r="M100" s="199">
        <v>1</v>
      </c>
      <c r="N100" s="199">
        <v>1</v>
      </c>
      <c r="O100" s="199">
        <v>1</v>
      </c>
      <c r="P100" s="200">
        <v>1</v>
      </c>
      <c r="Q100" s="198">
        <v>1</v>
      </c>
      <c r="R100" s="199">
        <v>1</v>
      </c>
      <c r="S100" s="199">
        <v>1</v>
      </c>
      <c r="T100" s="199">
        <v>1</v>
      </c>
      <c r="U100" s="199">
        <v>1</v>
      </c>
      <c r="V100" s="199">
        <v>1</v>
      </c>
      <c r="W100" s="199">
        <v>1</v>
      </c>
      <c r="X100" s="200">
        <v>1</v>
      </c>
      <c r="Y100" s="207"/>
      <c r="Z100" s="208"/>
    </row>
    <row r="101" spans="1:26" outlineLevel="2">
      <c r="A101" s="187">
        <v>3.9</v>
      </c>
      <c r="B101" s="142" t="s">
        <v>1247</v>
      </c>
      <c r="C101" s="157">
        <v>0</v>
      </c>
      <c r="D101" s="188">
        <f t="shared" si="28"/>
        <v>2.4247767513678135E-2</v>
      </c>
      <c r="E101" s="198">
        <v>1</v>
      </c>
      <c r="F101" s="199">
        <v>1</v>
      </c>
      <c r="G101" s="199">
        <v>1</v>
      </c>
      <c r="H101" s="199">
        <v>1</v>
      </c>
      <c r="I101" s="199">
        <v>1</v>
      </c>
      <c r="J101" s="199">
        <v>1</v>
      </c>
      <c r="K101" s="199">
        <v>1</v>
      </c>
      <c r="L101" s="199">
        <v>1</v>
      </c>
      <c r="M101" s="199">
        <v>1</v>
      </c>
      <c r="N101" s="199">
        <v>1</v>
      </c>
      <c r="O101" s="199">
        <v>1</v>
      </c>
      <c r="P101" s="200">
        <v>1</v>
      </c>
      <c r="Q101" s="198">
        <v>1</v>
      </c>
      <c r="R101" s="199">
        <v>1</v>
      </c>
      <c r="S101" s="199">
        <v>1</v>
      </c>
      <c r="T101" s="199">
        <v>1</v>
      </c>
      <c r="U101" s="199">
        <v>1</v>
      </c>
      <c r="V101" s="199">
        <v>1</v>
      </c>
      <c r="W101" s="199">
        <v>1</v>
      </c>
      <c r="X101" s="200">
        <v>1</v>
      </c>
      <c r="Y101" s="207"/>
      <c r="Z101" s="208"/>
    </row>
    <row r="102" spans="1:26" outlineLevel="2">
      <c r="A102" s="191">
        <v>3.1</v>
      </c>
      <c r="B102" s="142" t="s">
        <v>1248</v>
      </c>
      <c r="C102" s="157">
        <v>0</v>
      </c>
      <c r="D102" s="188">
        <f t="shared" si="28"/>
        <v>2.4247767513678135E-2</v>
      </c>
      <c r="E102" s="198">
        <v>1</v>
      </c>
      <c r="F102" s="199">
        <v>1</v>
      </c>
      <c r="G102" s="199">
        <v>1</v>
      </c>
      <c r="H102" s="199">
        <v>1</v>
      </c>
      <c r="I102" s="199">
        <v>1</v>
      </c>
      <c r="J102" s="199">
        <v>1</v>
      </c>
      <c r="K102" s="199">
        <v>1</v>
      </c>
      <c r="L102" s="199">
        <v>1</v>
      </c>
      <c r="M102" s="199">
        <v>1</v>
      </c>
      <c r="N102" s="199">
        <v>1</v>
      </c>
      <c r="O102" s="199">
        <v>1</v>
      </c>
      <c r="P102" s="200">
        <v>1</v>
      </c>
      <c r="Q102" s="198">
        <v>1</v>
      </c>
      <c r="R102" s="199">
        <v>1</v>
      </c>
      <c r="S102" s="199">
        <v>1</v>
      </c>
      <c r="T102" s="199">
        <v>1</v>
      </c>
      <c r="U102" s="199">
        <v>1</v>
      </c>
      <c r="V102" s="199">
        <v>1</v>
      </c>
      <c r="W102" s="199">
        <v>1</v>
      </c>
      <c r="X102" s="200">
        <v>1</v>
      </c>
      <c r="Y102" s="207"/>
      <c r="Z102" s="208"/>
    </row>
    <row r="103" spans="1:26" outlineLevel="1">
      <c r="A103" s="187">
        <v>4</v>
      </c>
      <c r="B103" s="142" t="s">
        <v>1249</v>
      </c>
      <c r="C103" s="157"/>
      <c r="D103" s="188">
        <f>+'[2]Construction-87'!$L$72</f>
        <v>6.3205229478744906E-2</v>
      </c>
      <c r="E103" s="198">
        <v>1</v>
      </c>
      <c r="F103" s="199">
        <v>1</v>
      </c>
      <c r="G103" s="199">
        <v>1</v>
      </c>
      <c r="H103" s="199">
        <v>1</v>
      </c>
      <c r="I103" s="199">
        <v>1</v>
      </c>
      <c r="J103" s="199">
        <v>1</v>
      </c>
      <c r="K103" s="199">
        <v>1</v>
      </c>
      <c r="L103" s="199">
        <v>1</v>
      </c>
      <c r="M103" s="199">
        <v>1</v>
      </c>
      <c r="N103" s="199">
        <v>1</v>
      </c>
      <c r="O103" s="199">
        <v>1</v>
      </c>
      <c r="P103" s="200">
        <v>1</v>
      </c>
      <c r="Q103" s="198">
        <v>1</v>
      </c>
      <c r="R103" s="199">
        <v>1</v>
      </c>
      <c r="S103" s="199">
        <v>1</v>
      </c>
      <c r="T103" s="199">
        <v>1</v>
      </c>
      <c r="U103" s="199">
        <v>1</v>
      </c>
      <c r="V103" s="199">
        <v>1</v>
      </c>
      <c r="W103" s="199">
        <v>1</v>
      </c>
      <c r="X103" s="200">
        <v>1</v>
      </c>
      <c r="Y103" s="207"/>
      <c r="Z103" s="208"/>
    </row>
    <row r="104" spans="1:26" outlineLevel="1">
      <c r="A104" s="187">
        <v>5</v>
      </c>
      <c r="B104" s="142" t="s">
        <v>1250</v>
      </c>
      <c r="C104" s="157"/>
      <c r="D104" s="188">
        <f>+'[2]Construction-87'!$L$91</f>
        <v>4.2582686085125381E-2</v>
      </c>
      <c r="E104" s="198">
        <v>1</v>
      </c>
      <c r="F104" s="199">
        <v>1</v>
      </c>
      <c r="G104" s="199">
        <v>1</v>
      </c>
      <c r="H104" s="199">
        <v>1</v>
      </c>
      <c r="I104" s="199">
        <v>1</v>
      </c>
      <c r="J104" s="199">
        <v>1</v>
      </c>
      <c r="K104" s="199">
        <v>1</v>
      </c>
      <c r="L104" s="199">
        <v>1</v>
      </c>
      <c r="M104" s="199">
        <v>1</v>
      </c>
      <c r="N104" s="199">
        <v>1</v>
      </c>
      <c r="O104" s="199">
        <v>1</v>
      </c>
      <c r="P104" s="200">
        <v>1</v>
      </c>
      <c r="Q104" s="198">
        <v>1</v>
      </c>
      <c r="R104" s="199">
        <v>1</v>
      </c>
      <c r="S104" s="199">
        <v>1</v>
      </c>
      <c r="T104" s="199">
        <v>1</v>
      </c>
      <c r="U104" s="199">
        <v>1</v>
      </c>
      <c r="V104" s="199">
        <v>1</v>
      </c>
      <c r="W104" s="199">
        <v>1</v>
      </c>
      <c r="X104" s="200">
        <v>1</v>
      </c>
      <c r="Y104" s="207"/>
      <c r="Z104" s="208"/>
    </row>
    <row r="105" spans="1:26" outlineLevel="1">
      <c r="A105" s="187">
        <v>6</v>
      </c>
      <c r="B105" s="142" t="s">
        <v>1251</v>
      </c>
      <c r="C105" s="157"/>
      <c r="D105" s="188">
        <f>+'[2]Construction-87'!$L$116</f>
        <v>0.12716774352278401</v>
      </c>
      <c r="E105" s="198">
        <v>0.3</v>
      </c>
      <c r="F105" s="199">
        <v>0.3</v>
      </c>
      <c r="G105" s="199">
        <v>0.3</v>
      </c>
      <c r="H105" s="199">
        <v>0.3</v>
      </c>
      <c r="I105" s="199">
        <v>0.3</v>
      </c>
      <c r="J105" s="199">
        <v>0.3</v>
      </c>
      <c r="K105" s="199">
        <v>0.3</v>
      </c>
      <c r="L105" s="199">
        <v>0.3</v>
      </c>
      <c r="M105" s="199">
        <v>0.3</v>
      </c>
      <c r="N105" s="199">
        <v>0.3</v>
      </c>
      <c r="O105" s="199">
        <v>0.3</v>
      </c>
      <c r="P105" s="199">
        <v>0.3</v>
      </c>
      <c r="Q105" s="198">
        <v>0.3</v>
      </c>
      <c r="R105" s="199">
        <v>0.3</v>
      </c>
      <c r="S105" s="199">
        <v>0.3</v>
      </c>
      <c r="T105" s="199">
        <v>0.3</v>
      </c>
      <c r="U105" s="199">
        <v>0.3</v>
      </c>
      <c r="V105" s="199">
        <v>0.3</v>
      </c>
      <c r="W105" s="199">
        <v>0.3</v>
      </c>
      <c r="X105" s="199">
        <v>0.3</v>
      </c>
      <c r="Y105" s="207"/>
      <c r="Z105" s="208"/>
    </row>
    <row r="106" spans="1:26" outlineLevel="1">
      <c r="A106" s="187">
        <v>7</v>
      </c>
      <c r="B106" s="142" t="s">
        <v>1252</v>
      </c>
      <c r="C106" s="157"/>
      <c r="D106" s="188">
        <f>+'[2]Construction-87'!$L$128</f>
        <v>0.11641961008529496</v>
      </c>
      <c r="E106" s="198">
        <v>0.3</v>
      </c>
      <c r="F106" s="199">
        <v>0.3</v>
      </c>
      <c r="G106" s="199">
        <v>0.3</v>
      </c>
      <c r="H106" s="199">
        <v>0.3</v>
      </c>
      <c r="I106" s="199">
        <v>0.3</v>
      </c>
      <c r="J106" s="199">
        <v>0.3</v>
      </c>
      <c r="K106" s="199">
        <v>0.3</v>
      </c>
      <c r="L106" s="199">
        <v>0.3</v>
      </c>
      <c r="M106" s="199">
        <v>0.3</v>
      </c>
      <c r="N106" s="199">
        <v>0.3</v>
      </c>
      <c r="O106" s="199">
        <v>0.3</v>
      </c>
      <c r="P106" s="199">
        <v>0.3</v>
      </c>
      <c r="Q106" s="198">
        <v>0.3</v>
      </c>
      <c r="R106" s="199">
        <v>0.3</v>
      </c>
      <c r="S106" s="199">
        <v>0.3</v>
      </c>
      <c r="T106" s="199">
        <v>0.3</v>
      </c>
      <c r="U106" s="199">
        <v>0.3</v>
      </c>
      <c r="V106" s="199">
        <v>0.3</v>
      </c>
      <c r="W106" s="199">
        <v>0.3</v>
      </c>
      <c r="X106" s="199">
        <v>0.3</v>
      </c>
      <c r="Y106" s="207"/>
      <c r="Z106" s="208"/>
    </row>
    <row r="107" spans="1:26" outlineLevel="1">
      <c r="A107" s="187">
        <v>8</v>
      </c>
      <c r="B107" s="142" t="s">
        <v>1253</v>
      </c>
      <c r="C107" s="157"/>
      <c r="D107" s="188">
        <f>+'[2]Construction-87'!$L$142</f>
        <v>1.3681965792231715E-2</v>
      </c>
      <c r="E107" s="198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200"/>
      <c r="Q107" s="198"/>
      <c r="R107" s="199"/>
      <c r="S107" s="199"/>
      <c r="T107" s="199"/>
      <c r="U107" s="199"/>
      <c r="V107" s="199"/>
      <c r="W107" s="199"/>
      <c r="X107" s="200"/>
      <c r="Y107" s="207"/>
      <c r="Z107" s="208"/>
    </row>
    <row r="108" spans="1:26" outlineLevel="1">
      <c r="A108" s="187">
        <v>9</v>
      </c>
      <c r="B108" s="142" t="s">
        <v>1254</v>
      </c>
      <c r="C108" s="157"/>
      <c r="D108" s="188">
        <f>+'[2]Construction-87'!$L$158</f>
        <v>5.786109169643297E-2</v>
      </c>
      <c r="E108" s="198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200"/>
      <c r="Q108" s="198"/>
      <c r="R108" s="199"/>
      <c r="S108" s="199"/>
      <c r="T108" s="199"/>
      <c r="U108" s="199"/>
      <c r="V108" s="199"/>
      <c r="W108" s="199"/>
      <c r="X108" s="200"/>
      <c r="Y108" s="207"/>
      <c r="Z108" s="208"/>
    </row>
    <row r="109" spans="1:26" outlineLevel="1">
      <c r="A109" s="187">
        <v>10</v>
      </c>
      <c r="B109" s="142" t="s">
        <v>1255</v>
      </c>
      <c r="C109" s="157"/>
      <c r="D109" s="188">
        <f>+'[2]Construction-87'!$L$198</f>
        <v>2.0061047628275569E-2</v>
      </c>
      <c r="E109" s="198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200"/>
      <c r="Q109" s="198"/>
      <c r="R109" s="199"/>
      <c r="S109" s="199"/>
      <c r="T109" s="199"/>
      <c r="U109" s="199"/>
      <c r="V109" s="199"/>
      <c r="W109" s="199"/>
      <c r="X109" s="200"/>
      <c r="Y109" s="207"/>
      <c r="Z109" s="208"/>
    </row>
    <row r="110" spans="1:26" outlineLevel="1">
      <c r="A110" s="187">
        <v>11</v>
      </c>
      <c r="B110" s="142" t="s">
        <v>1256</v>
      </c>
      <c r="C110" s="157"/>
      <c r="D110" s="188">
        <v>1.5500101461830878E-2</v>
      </c>
      <c r="E110" s="198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200"/>
      <c r="Q110" s="198"/>
      <c r="R110" s="199"/>
      <c r="S110" s="199"/>
      <c r="T110" s="199"/>
      <c r="U110" s="199"/>
      <c r="V110" s="199"/>
      <c r="W110" s="199"/>
      <c r="X110" s="200"/>
      <c r="Y110" s="207"/>
      <c r="Z110" s="208"/>
    </row>
    <row r="111" spans="1:26" ht="30">
      <c r="A111" s="187" t="s">
        <v>1257</v>
      </c>
      <c r="B111" s="164" t="s">
        <v>1258</v>
      </c>
      <c r="C111" s="157"/>
      <c r="D111" s="188">
        <f>+[3]Sheet1!$F$64</f>
        <v>5.4015010687157541E-2</v>
      </c>
      <c r="E111" s="198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200"/>
      <c r="Q111" s="198"/>
      <c r="R111" s="199"/>
      <c r="S111" s="199"/>
      <c r="T111" s="199"/>
      <c r="U111" s="199"/>
      <c r="V111" s="199"/>
      <c r="W111" s="199"/>
      <c r="X111" s="200"/>
      <c r="Y111" s="207"/>
      <c r="Z111" s="208"/>
    </row>
    <row r="112" spans="1:26">
      <c r="A112" s="187" t="s">
        <v>1259</v>
      </c>
      <c r="B112" s="142" t="s">
        <v>1260</v>
      </c>
      <c r="C112" s="157"/>
      <c r="D112" s="188">
        <f>+[3]Sheet1!$G$64</f>
        <v>7.4079718315516491E-2</v>
      </c>
      <c r="E112" s="198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200"/>
      <c r="Q112" s="198"/>
      <c r="R112" s="199"/>
      <c r="S112" s="199"/>
      <c r="T112" s="199"/>
      <c r="U112" s="199"/>
      <c r="V112" s="199"/>
      <c r="W112" s="199"/>
      <c r="X112" s="200"/>
      <c r="Y112" s="207"/>
      <c r="Z112" s="208"/>
    </row>
    <row r="113" spans="1:26">
      <c r="A113" s="187" t="s">
        <v>1261</v>
      </c>
      <c r="B113" s="142" t="s">
        <v>1262</v>
      </c>
      <c r="C113" s="157"/>
      <c r="D113" s="188">
        <f>+[3]Sheet1!$H$64</f>
        <v>6.5857853469214273E-2</v>
      </c>
      <c r="E113" s="198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200"/>
      <c r="Q113" s="198"/>
      <c r="R113" s="199"/>
      <c r="S113" s="199"/>
      <c r="T113" s="199"/>
      <c r="U113" s="199"/>
      <c r="V113" s="199"/>
      <c r="W113" s="199"/>
      <c r="X113" s="200"/>
      <c r="Y113" s="207"/>
      <c r="Z113" s="208"/>
    </row>
    <row r="114" spans="1:26" ht="15.75" thickBot="1">
      <c r="A114" s="192" t="s">
        <v>1263</v>
      </c>
      <c r="B114" s="193" t="s">
        <v>1264</v>
      </c>
      <c r="C114" s="194"/>
      <c r="D114" s="195">
        <f>+[3]Sheet1!$I$64</f>
        <v>2.3108713090593817E-2</v>
      </c>
      <c r="E114" s="211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3"/>
      <c r="Q114" s="211"/>
      <c r="R114" s="212"/>
      <c r="S114" s="212"/>
      <c r="T114" s="212"/>
      <c r="U114" s="212"/>
      <c r="V114" s="212"/>
      <c r="W114" s="212"/>
      <c r="X114" s="213"/>
      <c r="Y114" s="209"/>
      <c r="Z114" s="210"/>
    </row>
    <row r="116" spans="1:26">
      <c r="B116" s="197"/>
    </row>
    <row r="117" spans="1:26">
      <c r="B117" s="197"/>
      <c r="D117" s="151"/>
    </row>
    <row r="119" spans="1:26">
      <c r="D119" s="196"/>
    </row>
  </sheetData>
  <mergeCells count="24">
    <mergeCell ref="Z7:Z9"/>
    <mergeCell ref="E8:P8"/>
    <mergeCell ref="Q8:X8"/>
    <mergeCell ref="P4:X4"/>
    <mergeCell ref="E5:F5"/>
    <mergeCell ref="G5:K5"/>
    <mergeCell ref="L5:N5"/>
    <mergeCell ref="P5:X5"/>
    <mergeCell ref="A6:Y6"/>
    <mergeCell ref="A7:A9"/>
    <mergeCell ref="B7:B9"/>
    <mergeCell ref="C7:D9"/>
    <mergeCell ref="E7:X7"/>
    <mergeCell ref="Y7:Y9"/>
    <mergeCell ref="A1:Z1"/>
    <mergeCell ref="A2:Z2"/>
    <mergeCell ref="B3:B5"/>
    <mergeCell ref="E3:F3"/>
    <mergeCell ref="G3:K3"/>
    <mergeCell ref="L3:N3"/>
    <mergeCell ref="P3:X3"/>
    <mergeCell ref="E4:F4"/>
    <mergeCell ref="G4:K4"/>
    <mergeCell ref="L4:N4"/>
  </mergeCells>
  <pageMargins left="0.7" right="0.7" top="0.75" bottom="0.75" header="0.3" footer="0.3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6EC9-7AC4-45F0-B47B-4C346ED89C76}">
  <dimension ref="A1:Z119"/>
  <sheetViews>
    <sheetView zoomScale="85" zoomScaleNormal="85" workbookViewId="0">
      <pane xSplit="2" ySplit="9" topLeftCell="C10" activePane="bottomRight" state="frozen"/>
      <selection pane="bottomRight" activeCell="Z116" sqref="Z116"/>
      <selection pane="bottomLeft" activeCell="A10" sqref="A10"/>
      <selection pane="topRight" activeCell="C1" sqref="C1"/>
    </sheetView>
  </sheetViews>
  <sheetFormatPr defaultColWidth="9" defaultRowHeight="15" outlineLevelRow="3" outlineLevelCol="1"/>
  <cols>
    <col min="1" max="1" width="6.42578125" style="141" customWidth="1"/>
    <col min="2" max="2" width="36.140625" style="141" customWidth="1"/>
    <col min="3" max="3" width="8.85546875" style="158" customWidth="1"/>
    <col min="4" max="4" width="9.28515625" style="161" customWidth="1"/>
    <col min="5" max="16" width="8.7109375" style="141" customWidth="1"/>
    <col min="17" max="24" width="9" style="141" customWidth="1" outlineLevel="1"/>
    <col min="25" max="26" width="13.140625" style="141" customWidth="1"/>
    <col min="27" max="16384" width="9" style="141"/>
  </cols>
  <sheetData>
    <row r="1" spans="1:26" s="10" customFormat="1" ht="14.25" customHeight="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</row>
    <row r="2" spans="1:26" s="10" customFormat="1" ht="24" customHeight="1">
      <c r="A2" s="466" t="s">
        <v>1137</v>
      </c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</row>
    <row r="3" spans="1:26" s="10" customFormat="1" ht="18.75" hidden="1" customHeight="1" outlineLevel="1">
      <c r="A3" s="137"/>
      <c r="B3" s="467"/>
      <c r="C3" s="152"/>
      <c r="D3" s="159"/>
      <c r="E3" s="468" t="s">
        <v>1138</v>
      </c>
      <c r="F3" s="468"/>
      <c r="G3" s="469" t="s">
        <v>1139</v>
      </c>
      <c r="H3" s="469"/>
      <c r="I3" s="469"/>
      <c r="J3" s="469"/>
      <c r="K3" s="469"/>
      <c r="L3" s="468" t="s">
        <v>1140</v>
      </c>
      <c r="M3" s="468"/>
      <c r="N3" s="468"/>
      <c r="O3" s="138"/>
      <c r="P3" s="470"/>
      <c r="Q3" s="470"/>
      <c r="R3" s="470"/>
      <c r="S3" s="470"/>
      <c r="T3" s="470"/>
      <c r="U3" s="470"/>
      <c r="V3" s="470"/>
      <c r="W3" s="470"/>
      <c r="X3" s="470"/>
      <c r="Y3" s="66"/>
    </row>
    <row r="4" spans="1:26" s="10" customFormat="1" ht="18" hidden="1" customHeight="1" outlineLevel="1">
      <c r="A4" s="137"/>
      <c r="B4" s="467"/>
      <c r="C4" s="153"/>
      <c r="D4" s="160"/>
      <c r="E4" s="471" t="s">
        <v>1141</v>
      </c>
      <c r="F4" s="472"/>
      <c r="G4" s="469" t="s">
        <v>1142</v>
      </c>
      <c r="H4" s="469"/>
      <c r="I4" s="469"/>
      <c r="J4" s="469"/>
      <c r="K4" s="469"/>
      <c r="L4" s="468" t="s">
        <v>1143</v>
      </c>
      <c r="M4" s="468"/>
      <c r="N4" s="468"/>
      <c r="O4" s="138"/>
      <c r="P4" s="482"/>
      <c r="Q4" s="482"/>
      <c r="R4" s="482"/>
      <c r="S4" s="482"/>
      <c r="T4" s="482"/>
      <c r="U4" s="482"/>
      <c r="V4" s="482"/>
      <c r="W4" s="482"/>
      <c r="X4" s="482"/>
      <c r="Y4" s="139"/>
    </row>
    <row r="5" spans="1:26" s="10" customFormat="1" ht="21" hidden="1" customHeight="1" outlineLevel="1">
      <c r="A5" s="137"/>
      <c r="B5" s="467"/>
      <c r="C5" s="153"/>
      <c r="D5" s="160"/>
      <c r="E5" s="471" t="s">
        <v>1144</v>
      </c>
      <c r="F5" s="472"/>
      <c r="G5" s="468" t="s">
        <v>1145</v>
      </c>
      <c r="H5" s="468"/>
      <c r="I5" s="468"/>
      <c r="J5" s="468"/>
      <c r="K5" s="468"/>
      <c r="L5" s="468" t="s">
        <v>1146</v>
      </c>
      <c r="M5" s="468"/>
      <c r="N5" s="468"/>
      <c r="O5" s="138"/>
      <c r="P5" s="482"/>
      <c r="Q5" s="482"/>
      <c r="R5" s="482"/>
      <c r="S5" s="482"/>
      <c r="T5" s="482"/>
      <c r="U5" s="482"/>
      <c r="V5" s="482"/>
      <c r="W5" s="482"/>
      <c r="X5" s="482"/>
      <c r="Y5" s="139"/>
    </row>
    <row r="6" spans="1:26" s="10" customFormat="1" ht="18.75" collapsed="1" thickBot="1">
      <c r="A6" s="483"/>
      <c r="B6" s="483"/>
      <c r="C6" s="483"/>
      <c r="D6" s="483"/>
      <c r="E6" s="483"/>
      <c r="F6" s="483"/>
      <c r="G6" s="483"/>
      <c r="H6" s="483"/>
      <c r="I6" s="483"/>
      <c r="J6" s="483"/>
      <c r="K6" s="483"/>
      <c r="L6" s="483"/>
      <c r="M6" s="483"/>
      <c r="N6" s="483"/>
      <c r="O6" s="483"/>
      <c r="P6" s="483"/>
      <c r="Q6" s="483"/>
      <c r="R6" s="483"/>
      <c r="S6" s="483"/>
      <c r="T6" s="483"/>
      <c r="U6" s="483"/>
      <c r="V6" s="483"/>
      <c r="W6" s="483"/>
      <c r="X6" s="483"/>
      <c r="Y6" s="483"/>
    </row>
    <row r="7" spans="1:26" s="137" customFormat="1" ht="21.75" customHeight="1" thickBot="1">
      <c r="A7" s="484" t="s">
        <v>1147</v>
      </c>
      <c r="B7" s="487" t="s">
        <v>1148</v>
      </c>
      <c r="C7" s="490" t="s">
        <v>1149</v>
      </c>
      <c r="D7" s="491"/>
      <c r="E7" s="496" t="s">
        <v>1150</v>
      </c>
      <c r="F7" s="497"/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8"/>
      <c r="Y7" s="496" t="s">
        <v>1151</v>
      </c>
      <c r="Z7" s="473" t="s">
        <v>1152</v>
      </c>
    </row>
    <row r="8" spans="1:26" s="137" customFormat="1" ht="21.75" customHeight="1">
      <c r="A8" s="485"/>
      <c r="B8" s="488"/>
      <c r="C8" s="492"/>
      <c r="D8" s="493"/>
      <c r="E8" s="476" t="s">
        <v>1153</v>
      </c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8"/>
      <c r="Q8" s="501" t="s">
        <v>1154</v>
      </c>
      <c r="R8" s="480"/>
      <c r="S8" s="480"/>
      <c r="T8" s="480"/>
      <c r="U8" s="480"/>
      <c r="V8" s="480"/>
      <c r="W8" s="480"/>
      <c r="X8" s="502"/>
      <c r="Y8" s="499"/>
      <c r="Z8" s="474"/>
    </row>
    <row r="9" spans="1:26" s="140" customFormat="1" ht="36.75" customHeight="1" thickBot="1">
      <c r="A9" s="486"/>
      <c r="B9" s="489"/>
      <c r="C9" s="494"/>
      <c r="D9" s="495"/>
      <c r="E9" s="149" t="s">
        <v>1155</v>
      </c>
      <c r="F9" s="131" t="s">
        <v>1156</v>
      </c>
      <c r="G9" s="131" t="s">
        <v>1157</v>
      </c>
      <c r="H9" s="131" t="s">
        <v>1158</v>
      </c>
      <c r="I9" s="131" t="s">
        <v>1159</v>
      </c>
      <c r="J9" s="131" t="s">
        <v>1160</v>
      </c>
      <c r="K9" s="131" t="s">
        <v>1161</v>
      </c>
      <c r="L9" s="131" t="s">
        <v>1162</v>
      </c>
      <c r="M9" s="131" t="s">
        <v>1163</v>
      </c>
      <c r="N9" s="131" t="s">
        <v>1164</v>
      </c>
      <c r="O9" s="131" t="s">
        <v>1165</v>
      </c>
      <c r="P9" s="133" t="s">
        <v>1166</v>
      </c>
      <c r="Q9" s="150" t="s">
        <v>1167</v>
      </c>
      <c r="R9" s="134" t="s">
        <v>1168</v>
      </c>
      <c r="S9" s="134" t="s">
        <v>1169</v>
      </c>
      <c r="T9" s="134" t="s">
        <v>1170</v>
      </c>
      <c r="U9" s="134" t="s">
        <v>1171</v>
      </c>
      <c r="V9" s="134" t="s">
        <v>1172</v>
      </c>
      <c r="W9" s="134" t="s">
        <v>1173</v>
      </c>
      <c r="X9" s="214" t="s">
        <v>1174</v>
      </c>
      <c r="Y9" s="500"/>
      <c r="Z9" s="475"/>
    </row>
    <row r="10" spans="1:26">
      <c r="A10" s="183" t="s">
        <v>1175</v>
      </c>
      <c r="B10" s="148"/>
      <c r="C10" s="157">
        <f>+SUM(C11:C18)</f>
        <v>1</v>
      </c>
      <c r="D10" s="184">
        <f>+SUM(D11:D18)</f>
        <v>1</v>
      </c>
      <c r="E10" s="168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70"/>
      <c r="Q10" s="181"/>
      <c r="R10" s="148"/>
      <c r="S10" s="148"/>
      <c r="T10" s="148"/>
      <c r="U10" s="148"/>
      <c r="V10" s="148"/>
      <c r="W10" s="148"/>
      <c r="X10" s="182"/>
      <c r="Y10" s="181"/>
      <c r="Z10" s="182"/>
    </row>
    <row r="11" spans="1:26" outlineLevel="1">
      <c r="A11" s="18">
        <v>1</v>
      </c>
      <c r="B11" s="144" t="s">
        <v>1176</v>
      </c>
      <c r="C11" s="154">
        <v>0.1</v>
      </c>
      <c r="D11" s="185">
        <v>0.1</v>
      </c>
      <c r="E11" s="198">
        <v>1</v>
      </c>
      <c r="F11" s="199">
        <v>1</v>
      </c>
      <c r="G11" s="199">
        <v>1</v>
      </c>
      <c r="H11" s="199">
        <v>1</v>
      </c>
      <c r="I11" s="199">
        <v>1</v>
      </c>
      <c r="J11" s="199">
        <v>1</v>
      </c>
      <c r="K11" s="199">
        <v>1</v>
      </c>
      <c r="L11" s="199">
        <v>1</v>
      </c>
      <c r="M11" s="199">
        <v>1</v>
      </c>
      <c r="N11" s="199">
        <v>1</v>
      </c>
      <c r="O11" s="199">
        <v>1</v>
      </c>
      <c r="P11" s="200">
        <v>1</v>
      </c>
      <c r="Q11" s="198">
        <v>1</v>
      </c>
      <c r="R11" s="199">
        <v>1</v>
      </c>
      <c r="S11" s="199">
        <v>1</v>
      </c>
      <c r="T11" s="199">
        <v>1</v>
      </c>
      <c r="U11" s="199">
        <v>1</v>
      </c>
      <c r="V11" s="199">
        <v>1</v>
      </c>
      <c r="W11" s="199">
        <v>1</v>
      </c>
      <c r="X11" s="200">
        <v>1</v>
      </c>
      <c r="Y11" s="171"/>
      <c r="Z11" s="172"/>
    </row>
    <row r="12" spans="1:26" outlineLevel="1">
      <c r="A12" s="18">
        <v>2</v>
      </c>
      <c r="B12" s="144" t="s">
        <v>1177</v>
      </c>
      <c r="C12" s="154">
        <v>0.15</v>
      </c>
      <c r="D12" s="185">
        <v>0.15</v>
      </c>
      <c r="E12" s="198">
        <v>1</v>
      </c>
      <c r="F12" s="199">
        <v>1</v>
      </c>
      <c r="G12" s="199">
        <v>1</v>
      </c>
      <c r="H12" s="199">
        <v>1</v>
      </c>
      <c r="I12" s="199">
        <v>1</v>
      </c>
      <c r="J12" s="199">
        <v>1</v>
      </c>
      <c r="K12" s="199">
        <v>1</v>
      </c>
      <c r="L12" s="199">
        <v>1</v>
      </c>
      <c r="M12" s="199">
        <v>1</v>
      </c>
      <c r="N12" s="199">
        <v>1</v>
      </c>
      <c r="O12" s="199">
        <v>1</v>
      </c>
      <c r="P12" s="200">
        <v>1</v>
      </c>
      <c r="Q12" s="198">
        <v>1</v>
      </c>
      <c r="R12" s="199">
        <v>1</v>
      </c>
      <c r="S12" s="199">
        <v>1</v>
      </c>
      <c r="T12" s="199">
        <v>1</v>
      </c>
      <c r="U12" s="199">
        <v>1</v>
      </c>
      <c r="V12" s="199">
        <v>1</v>
      </c>
      <c r="W12" s="199">
        <v>1</v>
      </c>
      <c r="X12" s="200">
        <v>1</v>
      </c>
      <c r="Y12" s="171"/>
      <c r="Z12" s="172"/>
    </row>
    <row r="13" spans="1:26" outlineLevel="1">
      <c r="A13" s="18">
        <v>3</v>
      </c>
      <c r="B13" s="144" t="s">
        <v>1178</v>
      </c>
      <c r="C13" s="154">
        <v>0.15</v>
      </c>
      <c r="D13" s="185">
        <v>0.15</v>
      </c>
      <c r="E13" s="198">
        <v>1</v>
      </c>
      <c r="F13" s="199">
        <v>1</v>
      </c>
      <c r="G13" s="199">
        <v>1</v>
      </c>
      <c r="H13" s="199">
        <v>1</v>
      </c>
      <c r="I13" s="199">
        <v>1</v>
      </c>
      <c r="J13" s="199">
        <v>1</v>
      </c>
      <c r="K13" s="199">
        <v>1</v>
      </c>
      <c r="L13" s="199">
        <v>1</v>
      </c>
      <c r="M13" s="199">
        <v>1</v>
      </c>
      <c r="N13" s="199">
        <v>1</v>
      </c>
      <c r="O13" s="199">
        <v>1</v>
      </c>
      <c r="P13" s="200">
        <v>1</v>
      </c>
      <c r="Q13" s="198">
        <v>1</v>
      </c>
      <c r="R13" s="199">
        <v>1</v>
      </c>
      <c r="S13" s="199">
        <v>1</v>
      </c>
      <c r="T13" s="199">
        <v>1</v>
      </c>
      <c r="U13" s="199">
        <v>1</v>
      </c>
      <c r="V13" s="199">
        <v>1</v>
      </c>
      <c r="W13" s="199">
        <v>1</v>
      </c>
      <c r="X13" s="200">
        <v>1</v>
      </c>
      <c r="Y13" s="171"/>
      <c r="Z13" s="172"/>
    </row>
    <row r="14" spans="1:26" outlineLevel="1">
      <c r="A14" s="18">
        <v>4</v>
      </c>
      <c r="B14" s="144" t="s">
        <v>1179</v>
      </c>
      <c r="C14" s="154">
        <v>0.15</v>
      </c>
      <c r="D14" s="185">
        <v>0.15</v>
      </c>
      <c r="E14" s="198">
        <v>1</v>
      </c>
      <c r="F14" s="199">
        <v>1</v>
      </c>
      <c r="G14" s="199">
        <v>1</v>
      </c>
      <c r="H14" s="199">
        <v>1</v>
      </c>
      <c r="I14" s="199">
        <v>1</v>
      </c>
      <c r="J14" s="199">
        <v>1</v>
      </c>
      <c r="K14" s="199">
        <v>1</v>
      </c>
      <c r="L14" s="199">
        <v>1</v>
      </c>
      <c r="M14" s="199">
        <v>1</v>
      </c>
      <c r="N14" s="199">
        <v>1</v>
      </c>
      <c r="O14" s="199">
        <v>1</v>
      </c>
      <c r="P14" s="200">
        <v>1</v>
      </c>
      <c r="Q14" s="198">
        <v>1</v>
      </c>
      <c r="R14" s="199">
        <v>1</v>
      </c>
      <c r="S14" s="199">
        <v>1</v>
      </c>
      <c r="T14" s="199">
        <v>1</v>
      </c>
      <c r="U14" s="199">
        <v>1</v>
      </c>
      <c r="V14" s="199">
        <v>1</v>
      </c>
      <c r="W14" s="199">
        <v>1</v>
      </c>
      <c r="X14" s="200">
        <v>1</v>
      </c>
      <c r="Y14" s="171"/>
      <c r="Z14" s="172"/>
    </row>
    <row r="15" spans="1:26" outlineLevel="1">
      <c r="A15" s="18">
        <v>5</v>
      </c>
      <c r="B15" s="146" t="s">
        <v>1180</v>
      </c>
      <c r="C15" s="155">
        <v>0.1</v>
      </c>
      <c r="D15" s="186">
        <v>0.1</v>
      </c>
      <c r="E15" s="198">
        <v>1</v>
      </c>
      <c r="F15" s="199">
        <v>1</v>
      </c>
      <c r="G15" s="199">
        <v>1</v>
      </c>
      <c r="H15" s="199">
        <v>1</v>
      </c>
      <c r="I15" s="199">
        <v>1</v>
      </c>
      <c r="J15" s="199">
        <v>1</v>
      </c>
      <c r="K15" s="199">
        <v>1</v>
      </c>
      <c r="L15" s="199">
        <v>1</v>
      </c>
      <c r="M15" s="199">
        <v>1</v>
      </c>
      <c r="N15" s="199">
        <v>1</v>
      </c>
      <c r="O15" s="199">
        <v>1</v>
      </c>
      <c r="P15" s="200">
        <v>1</v>
      </c>
      <c r="Q15" s="198">
        <v>1</v>
      </c>
      <c r="R15" s="199">
        <v>1</v>
      </c>
      <c r="S15" s="199">
        <v>1</v>
      </c>
      <c r="T15" s="199">
        <v>1</v>
      </c>
      <c r="U15" s="199">
        <v>1</v>
      </c>
      <c r="V15" s="199">
        <v>1</v>
      </c>
      <c r="W15" s="199">
        <v>1</v>
      </c>
      <c r="X15" s="200">
        <v>1</v>
      </c>
      <c r="Y15" s="171"/>
      <c r="Z15" s="172"/>
    </row>
    <row r="16" spans="1:26" outlineLevel="1">
      <c r="A16" s="18">
        <v>6</v>
      </c>
      <c r="B16" s="146" t="s">
        <v>1181</v>
      </c>
      <c r="C16" s="155">
        <v>0.15</v>
      </c>
      <c r="D16" s="186">
        <v>0.15</v>
      </c>
      <c r="E16" s="198">
        <v>1</v>
      </c>
      <c r="F16" s="199">
        <v>1</v>
      </c>
      <c r="G16" s="199">
        <v>1</v>
      </c>
      <c r="H16" s="199">
        <v>1</v>
      </c>
      <c r="I16" s="199">
        <v>1</v>
      </c>
      <c r="J16" s="199">
        <v>1</v>
      </c>
      <c r="K16" s="199">
        <v>1</v>
      </c>
      <c r="L16" s="199">
        <v>1</v>
      </c>
      <c r="M16" s="199">
        <v>1</v>
      </c>
      <c r="N16" s="199">
        <v>1</v>
      </c>
      <c r="O16" s="199">
        <v>1</v>
      </c>
      <c r="P16" s="200">
        <v>1</v>
      </c>
      <c r="Q16" s="198">
        <v>1</v>
      </c>
      <c r="R16" s="199">
        <v>1</v>
      </c>
      <c r="S16" s="199">
        <v>1</v>
      </c>
      <c r="T16" s="199">
        <v>1</v>
      </c>
      <c r="U16" s="199">
        <v>1</v>
      </c>
      <c r="V16" s="199">
        <v>1</v>
      </c>
      <c r="W16" s="199">
        <v>1</v>
      </c>
      <c r="X16" s="200">
        <v>1</v>
      </c>
      <c r="Y16" s="171"/>
      <c r="Z16" s="172"/>
    </row>
    <row r="17" spans="1:26" outlineLevel="1">
      <c r="A17" s="18">
        <v>7</v>
      </c>
      <c r="B17" s="146" t="s">
        <v>1182</v>
      </c>
      <c r="C17" s="155">
        <v>0.1</v>
      </c>
      <c r="D17" s="186">
        <v>0.1</v>
      </c>
      <c r="E17" s="198">
        <v>1</v>
      </c>
      <c r="F17" s="199">
        <v>1</v>
      </c>
      <c r="G17" s="199">
        <v>1</v>
      </c>
      <c r="H17" s="199">
        <v>1</v>
      </c>
      <c r="I17" s="199">
        <v>1</v>
      </c>
      <c r="J17" s="199">
        <v>1</v>
      </c>
      <c r="K17" s="199">
        <v>1</v>
      </c>
      <c r="L17" s="199">
        <v>1</v>
      </c>
      <c r="M17" s="199">
        <v>1</v>
      </c>
      <c r="N17" s="199">
        <v>1</v>
      </c>
      <c r="O17" s="199">
        <v>1</v>
      </c>
      <c r="P17" s="200">
        <v>1</v>
      </c>
      <c r="Q17" s="198">
        <v>1</v>
      </c>
      <c r="R17" s="199">
        <v>1</v>
      </c>
      <c r="S17" s="199">
        <v>1</v>
      </c>
      <c r="T17" s="199">
        <v>1</v>
      </c>
      <c r="U17" s="199">
        <v>1</v>
      </c>
      <c r="V17" s="199">
        <v>1</v>
      </c>
      <c r="W17" s="199">
        <v>1</v>
      </c>
      <c r="X17" s="200">
        <v>1</v>
      </c>
      <c r="Y17" s="171"/>
      <c r="Z17" s="172"/>
    </row>
    <row r="18" spans="1:26" outlineLevel="1">
      <c r="A18" s="18">
        <v>8</v>
      </c>
      <c r="B18" s="146" t="s">
        <v>1183</v>
      </c>
      <c r="C18" s="155">
        <v>0.1</v>
      </c>
      <c r="D18" s="186">
        <v>0.1</v>
      </c>
      <c r="E18" s="198">
        <v>1</v>
      </c>
      <c r="F18" s="199">
        <v>1</v>
      </c>
      <c r="G18" s="199">
        <v>1</v>
      </c>
      <c r="H18" s="199">
        <v>1</v>
      </c>
      <c r="I18" s="199">
        <v>1</v>
      </c>
      <c r="J18" s="199">
        <v>1</v>
      </c>
      <c r="K18" s="199">
        <v>1</v>
      </c>
      <c r="L18" s="199">
        <v>1</v>
      </c>
      <c r="M18" s="199">
        <v>1</v>
      </c>
      <c r="N18" s="199">
        <v>1</v>
      </c>
      <c r="O18" s="199">
        <v>1</v>
      </c>
      <c r="P18" s="200">
        <v>1</v>
      </c>
      <c r="Q18" s="198">
        <v>1</v>
      </c>
      <c r="R18" s="199">
        <v>1</v>
      </c>
      <c r="S18" s="199">
        <v>1</v>
      </c>
      <c r="T18" s="199">
        <v>1</v>
      </c>
      <c r="U18" s="199">
        <v>1</v>
      </c>
      <c r="V18" s="199">
        <v>1</v>
      </c>
      <c r="W18" s="199">
        <v>1</v>
      </c>
      <c r="X18" s="200">
        <v>1</v>
      </c>
      <c r="Y18" s="171"/>
      <c r="Z18" s="172"/>
    </row>
    <row r="19" spans="1:26">
      <c r="A19" s="187" t="s">
        <v>1184</v>
      </c>
      <c r="B19" s="143"/>
      <c r="C19" s="156"/>
      <c r="D19" s="188">
        <f>+D20+D111+D112+D113+D114</f>
        <v>0.99999999999999989</v>
      </c>
      <c r="E19" s="204">
        <f>+$D20*E20+$D111*E111+$D112*E112+$D113*E113+$D114*E114</f>
        <v>0.68264909851192523</v>
      </c>
      <c r="F19" s="201">
        <f t="shared" ref="F19:P19" si="0">+$D20*F20+$D111*F111+$D112*F112+$D113*F113+$D114*F114</f>
        <v>0.68264909851192523</v>
      </c>
      <c r="G19" s="201">
        <f t="shared" si="0"/>
        <v>0.68264909851192523</v>
      </c>
      <c r="H19" s="201">
        <f t="shared" si="0"/>
        <v>0.68264909851192523</v>
      </c>
      <c r="I19" s="201">
        <f t="shared" si="0"/>
        <v>0.68264909851192523</v>
      </c>
      <c r="J19" s="201">
        <f t="shared" si="0"/>
        <v>0.68264909851192523</v>
      </c>
      <c r="K19" s="201">
        <f t="shared" si="0"/>
        <v>0.68264909851192523</v>
      </c>
      <c r="L19" s="201">
        <f t="shared" si="0"/>
        <v>0.68264909851192523</v>
      </c>
      <c r="M19" s="201">
        <f t="shared" si="0"/>
        <v>0.68264909851192523</v>
      </c>
      <c r="N19" s="201">
        <f t="shared" si="0"/>
        <v>0.68264909851192523</v>
      </c>
      <c r="O19" s="201">
        <f t="shared" si="0"/>
        <v>0.68264909851192523</v>
      </c>
      <c r="P19" s="202">
        <f t="shared" si="0"/>
        <v>0.68264909851192523</v>
      </c>
      <c r="Q19" s="204">
        <f>+$D20*Q20+$D111*Q111+$D112*Q112+$D113*Q113+$D114*Q114</f>
        <v>0.68264909851192523</v>
      </c>
      <c r="R19" s="201">
        <f t="shared" ref="R19:X19" si="1">+$D20*R20+$D111*R111+$D112*R112+$D113*R113+$D114*R114</f>
        <v>0.68264909851192523</v>
      </c>
      <c r="S19" s="201">
        <f t="shared" si="1"/>
        <v>0.68264909851192523</v>
      </c>
      <c r="T19" s="201">
        <f t="shared" si="1"/>
        <v>0.68264909851192523</v>
      </c>
      <c r="U19" s="201">
        <f t="shared" si="1"/>
        <v>0.68264909851192523</v>
      </c>
      <c r="V19" s="201">
        <f t="shared" si="1"/>
        <v>0.68264909851192523</v>
      </c>
      <c r="W19" s="201">
        <f t="shared" si="1"/>
        <v>0.68264909851192523</v>
      </c>
      <c r="X19" s="202">
        <f t="shared" si="1"/>
        <v>0.68264909851192523</v>
      </c>
      <c r="Y19" s="173"/>
      <c r="Z19" s="174"/>
    </row>
    <row r="20" spans="1:26">
      <c r="A20" s="187" t="s">
        <v>1185</v>
      </c>
      <c r="B20" s="142" t="s">
        <v>1186</v>
      </c>
      <c r="C20" s="157"/>
      <c r="D20" s="188">
        <f>+D21+D38+D62+D103+D104+D105+D106+D107+D108+D109+D110</f>
        <v>0.78293870443751779</v>
      </c>
      <c r="E20" s="204">
        <f>+(+$D21*E21+$D38*E38+$D62*E62+$D103*E103+$D104*E104+$D105*E105+$D106*E106+$D107*E107+$D108*E108+$D109*E109+$D110*E110)/$D20</f>
        <v>0.59466699029004155</v>
      </c>
      <c r="F20" s="201">
        <f t="shared" ref="F20:P20" si="2">+(+$D21*F21+$D38*F38+$D62*F62+$D103*F103+$D104*F104+$D105*F105+$D106*F106+$D107*F107+$D108*F108+$D109*F109+$D110*F110)/$D20</f>
        <v>0.59466699029004155</v>
      </c>
      <c r="G20" s="201">
        <f t="shared" si="2"/>
        <v>0.59466699029004155</v>
      </c>
      <c r="H20" s="201">
        <f t="shared" si="2"/>
        <v>0.59466699029004155</v>
      </c>
      <c r="I20" s="201">
        <f t="shared" si="2"/>
        <v>0.59466699029004155</v>
      </c>
      <c r="J20" s="201">
        <f t="shared" si="2"/>
        <v>0.59466699029004155</v>
      </c>
      <c r="K20" s="201">
        <f t="shared" si="2"/>
        <v>0.59466699029004155</v>
      </c>
      <c r="L20" s="201">
        <f t="shared" si="2"/>
        <v>0.59466699029004155</v>
      </c>
      <c r="M20" s="201">
        <f t="shared" si="2"/>
        <v>0.59466699029004155</v>
      </c>
      <c r="N20" s="201">
        <f t="shared" si="2"/>
        <v>0.59466699029004155</v>
      </c>
      <c r="O20" s="201">
        <f t="shared" si="2"/>
        <v>0.59466699029004155</v>
      </c>
      <c r="P20" s="202">
        <f t="shared" si="2"/>
        <v>0.59466699029004155</v>
      </c>
      <c r="Q20" s="204">
        <f>+(+$D21*Q21+$D38*Q38+$D62*Q62+$D103*Q103+$D104*Q104+$D105*Q105+$D106*Q106+$D107*Q107+$D108*Q108+$D109*Q109+$D110*Q110)/$D20</f>
        <v>0.59466699029004155</v>
      </c>
      <c r="R20" s="201">
        <f t="shared" ref="R20:X20" si="3">+(+$D21*R21+$D38*R38+$D62*R62+$D103*R103+$D104*R104+$D105*R105+$D106*R106+$D107*R107+$D108*R108+$D109*R109+$D110*R110)/$D20</f>
        <v>0.59466699029004155</v>
      </c>
      <c r="S20" s="201">
        <f t="shared" si="3"/>
        <v>0.59466699029004155</v>
      </c>
      <c r="T20" s="201">
        <f t="shared" si="3"/>
        <v>0.59466699029004155</v>
      </c>
      <c r="U20" s="201">
        <f t="shared" si="3"/>
        <v>0.59466699029004155</v>
      </c>
      <c r="V20" s="201">
        <f t="shared" si="3"/>
        <v>0.59466699029004155</v>
      </c>
      <c r="W20" s="201">
        <f t="shared" si="3"/>
        <v>0.59466699029004155</v>
      </c>
      <c r="X20" s="202">
        <f t="shared" si="3"/>
        <v>0.59466699029004155</v>
      </c>
      <c r="Y20" s="173"/>
      <c r="Z20" s="174"/>
    </row>
    <row r="21" spans="1:26" outlineLevel="1">
      <c r="A21" s="187">
        <v>1</v>
      </c>
      <c r="B21" s="142" t="s">
        <v>1187</v>
      </c>
      <c r="C21" s="157"/>
      <c r="D21" s="188">
        <f>+'[2]Construction-87'!$L$16</f>
        <v>2.2770817996807045E-2</v>
      </c>
      <c r="E21" s="204">
        <f>+(E22*$D22+$D29*E29+$D33*E33)/$D21</f>
        <v>0.4</v>
      </c>
      <c r="F21" s="201">
        <f t="shared" ref="F21:P21" si="4">+(F22*$D22+$D29*F29+$D33*F33)/$D21</f>
        <v>0.4</v>
      </c>
      <c r="G21" s="201">
        <f t="shared" si="4"/>
        <v>0.4</v>
      </c>
      <c r="H21" s="201">
        <f t="shared" si="4"/>
        <v>0.4</v>
      </c>
      <c r="I21" s="201">
        <f t="shared" si="4"/>
        <v>0.4</v>
      </c>
      <c r="J21" s="201">
        <f t="shared" si="4"/>
        <v>0.4</v>
      </c>
      <c r="K21" s="201">
        <f t="shared" si="4"/>
        <v>0.4</v>
      </c>
      <c r="L21" s="201">
        <f t="shared" si="4"/>
        <v>0.4</v>
      </c>
      <c r="M21" s="201">
        <f t="shared" si="4"/>
        <v>0.4</v>
      </c>
      <c r="N21" s="201">
        <f t="shared" si="4"/>
        <v>0.4</v>
      </c>
      <c r="O21" s="201">
        <f t="shared" si="4"/>
        <v>0.4</v>
      </c>
      <c r="P21" s="202">
        <f t="shared" si="4"/>
        <v>0.4</v>
      </c>
      <c r="Q21" s="204">
        <f>+(Q22*$D22+$D29*Q29+$D33*Q33)/$D21</f>
        <v>0.4</v>
      </c>
      <c r="R21" s="201">
        <f t="shared" ref="R21:X21" si="5">+(R22*$D22+$D29*R29+$D33*R33)/$D21</f>
        <v>0.4</v>
      </c>
      <c r="S21" s="201">
        <f t="shared" si="5"/>
        <v>0.4</v>
      </c>
      <c r="T21" s="201">
        <f t="shared" si="5"/>
        <v>0.4</v>
      </c>
      <c r="U21" s="201">
        <f t="shared" si="5"/>
        <v>0.4</v>
      </c>
      <c r="V21" s="201">
        <f t="shared" si="5"/>
        <v>0.4</v>
      </c>
      <c r="W21" s="201">
        <f t="shared" si="5"/>
        <v>0.4</v>
      </c>
      <c r="X21" s="202">
        <f t="shared" si="5"/>
        <v>0.4</v>
      </c>
      <c r="Y21" s="173"/>
      <c r="Z21" s="174"/>
    </row>
    <row r="22" spans="1:26" outlineLevel="2">
      <c r="A22" s="187">
        <v>1.1000000000000001</v>
      </c>
      <c r="B22" s="142" t="s">
        <v>1188</v>
      </c>
      <c r="C22" s="157">
        <f>+SUM(C23:C28)</f>
        <v>1</v>
      </c>
      <c r="D22" s="188">
        <f>+D21*40%</f>
        <v>9.1083271987228188E-3</v>
      </c>
      <c r="E22" s="204">
        <f>+SUMPRODUCT($C23:$C28,E23:E28)</f>
        <v>1</v>
      </c>
      <c r="F22" s="201">
        <f>+SUMPRODUCT($C23:$C28,F23:F28)</f>
        <v>1</v>
      </c>
      <c r="G22" s="201">
        <f t="shared" ref="G22:P22" si="6">+SUMPRODUCT($C23:$C28,G23:G28)</f>
        <v>1</v>
      </c>
      <c r="H22" s="201">
        <f t="shared" si="6"/>
        <v>1</v>
      </c>
      <c r="I22" s="201">
        <f t="shared" si="6"/>
        <v>1</v>
      </c>
      <c r="J22" s="201">
        <f t="shared" si="6"/>
        <v>1</v>
      </c>
      <c r="K22" s="201">
        <f t="shared" si="6"/>
        <v>1</v>
      </c>
      <c r="L22" s="201">
        <f t="shared" si="6"/>
        <v>1</v>
      </c>
      <c r="M22" s="201">
        <f t="shared" si="6"/>
        <v>1</v>
      </c>
      <c r="N22" s="201">
        <f t="shared" si="6"/>
        <v>1</v>
      </c>
      <c r="O22" s="201">
        <f t="shared" si="6"/>
        <v>1</v>
      </c>
      <c r="P22" s="202">
        <f t="shared" si="6"/>
        <v>1</v>
      </c>
      <c r="Q22" s="204">
        <f>+SUMPRODUCT($C23:$C28,Q23:Q28)</f>
        <v>1</v>
      </c>
      <c r="R22" s="201">
        <f>+SUMPRODUCT($C23:$C28,R23:R28)</f>
        <v>1</v>
      </c>
      <c r="S22" s="201">
        <f t="shared" ref="S22" si="7">+SUMPRODUCT($C23:$C28,S23:S28)</f>
        <v>1</v>
      </c>
      <c r="T22" s="201">
        <f>+SUMPRODUCT($C23:$C28,T23:T28)</f>
        <v>1</v>
      </c>
      <c r="U22" s="201">
        <f>+SUMPRODUCT($C23:$C28,U23:U28)</f>
        <v>1</v>
      </c>
      <c r="V22" s="201">
        <f>+SUMPRODUCT($C23:$C28,V23:V28)</f>
        <v>1</v>
      </c>
      <c r="W22" s="201">
        <f>+SUMPRODUCT($C23:$C28,W23:W28)</f>
        <v>1</v>
      </c>
      <c r="X22" s="202">
        <f>+SUMPRODUCT($C23:$C28,X23:X28)</f>
        <v>1</v>
      </c>
      <c r="Y22" s="173"/>
      <c r="Z22" s="174"/>
    </row>
    <row r="23" spans="1:26" ht="28.5" outlineLevel="3">
      <c r="A23" s="18">
        <v>1</v>
      </c>
      <c r="B23" s="146" t="s">
        <v>1189</v>
      </c>
      <c r="C23" s="155">
        <v>0.05</v>
      </c>
      <c r="D23" s="189">
        <f>+C23*$D$22</f>
        <v>4.5541635993614094E-4</v>
      </c>
      <c r="E23" s="205">
        <v>1</v>
      </c>
      <c r="F23" s="199">
        <v>1</v>
      </c>
      <c r="G23" s="199">
        <v>1</v>
      </c>
      <c r="H23" s="199">
        <v>1</v>
      </c>
      <c r="I23" s="199">
        <v>1</v>
      </c>
      <c r="J23" s="199">
        <v>1</v>
      </c>
      <c r="K23" s="199">
        <v>1</v>
      </c>
      <c r="L23" s="199">
        <v>1</v>
      </c>
      <c r="M23" s="199">
        <v>1</v>
      </c>
      <c r="N23" s="199">
        <v>1</v>
      </c>
      <c r="O23" s="199">
        <v>1</v>
      </c>
      <c r="P23" s="200">
        <v>1</v>
      </c>
      <c r="Q23" s="205">
        <v>1</v>
      </c>
      <c r="R23" s="199">
        <v>1</v>
      </c>
      <c r="S23" s="199">
        <v>1</v>
      </c>
      <c r="T23" s="199">
        <v>1</v>
      </c>
      <c r="U23" s="199">
        <v>1</v>
      </c>
      <c r="V23" s="199">
        <v>1</v>
      </c>
      <c r="W23" s="199">
        <v>1</v>
      </c>
      <c r="X23" s="200">
        <v>1</v>
      </c>
      <c r="Y23" s="171"/>
      <c r="Z23" s="172"/>
    </row>
    <row r="24" spans="1:26" outlineLevel="3">
      <c r="A24" s="18">
        <v>2</v>
      </c>
      <c r="B24" s="146" t="s">
        <v>1190</v>
      </c>
      <c r="C24" s="155">
        <v>0.6</v>
      </c>
      <c r="D24" s="189">
        <f t="shared" ref="D24:D28" si="8">+C24*$D$22</f>
        <v>5.4649963192336913E-3</v>
      </c>
      <c r="E24" s="198">
        <v>1</v>
      </c>
      <c r="F24" s="199">
        <v>1</v>
      </c>
      <c r="G24" s="199">
        <v>1</v>
      </c>
      <c r="H24" s="199">
        <v>1</v>
      </c>
      <c r="I24" s="199">
        <v>1</v>
      </c>
      <c r="J24" s="199">
        <v>1</v>
      </c>
      <c r="K24" s="199">
        <v>1</v>
      </c>
      <c r="L24" s="199">
        <v>1</v>
      </c>
      <c r="M24" s="199">
        <v>1</v>
      </c>
      <c r="N24" s="199">
        <v>1</v>
      </c>
      <c r="O24" s="199">
        <v>1</v>
      </c>
      <c r="P24" s="200">
        <v>1</v>
      </c>
      <c r="Q24" s="198">
        <v>1</v>
      </c>
      <c r="R24" s="199">
        <v>1</v>
      </c>
      <c r="S24" s="199">
        <v>1</v>
      </c>
      <c r="T24" s="199">
        <v>1</v>
      </c>
      <c r="U24" s="199">
        <v>1</v>
      </c>
      <c r="V24" s="199">
        <v>1</v>
      </c>
      <c r="W24" s="199">
        <v>1</v>
      </c>
      <c r="X24" s="200">
        <v>1</v>
      </c>
      <c r="Y24" s="171"/>
      <c r="Z24" s="172"/>
    </row>
    <row r="25" spans="1:26" ht="28.5" outlineLevel="3">
      <c r="A25" s="18">
        <v>3</v>
      </c>
      <c r="B25" s="146" t="s">
        <v>1191</v>
      </c>
      <c r="C25" s="155">
        <v>0.05</v>
      </c>
      <c r="D25" s="189">
        <f t="shared" si="8"/>
        <v>4.5541635993614094E-4</v>
      </c>
      <c r="E25" s="198">
        <v>1</v>
      </c>
      <c r="F25" s="199">
        <v>1</v>
      </c>
      <c r="G25" s="199">
        <v>1</v>
      </c>
      <c r="H25" s="199">
        <v>1</v>
      </c>
      <c r="I25" s="199">
        <v>1</v>
      </c>
      <c r="J25" s="199">
        <v>1</v>
      </c>
      <c r="K25" s="199">
        <v>1</v>
      </c>
      <c r="L25" s="199">
        <v>1</v>
      </c>
      <c r="M25" s="199">
        <v>1</v>
      </c>
      <c r="N25" s="199">
        <v>1</v>
      </c>
      <c r="O25" s="199">
        <v>1</v>
      </c>
      <c r="P25" s="200">
        <v>1</v>
      </c>
      <c r="Q25" s="198">
        <v>1</v>
      </c>
      <c r="R25" s="199">
        <v>1</v>
      </c>
      <c r="S25" s="199">
        <v>1</v>
      </c>
      <c r="T25" s="199">
        <v>1</v>
      </c>
      <c r="U25" s="199">
        <v>1</v>
      </c>
      <c r="V25" s="199">
        <v>1</v>
      </c>
      <c r="W25" s="199">
        <v>1</v>
      </c>
      <c r="X25" s="200">
        <v>1</v>
      </c>
      <c r="Y25" s="171"/>
      <c r="Z25" s="172"/>
    </row>
    <row r="26" spans="1:26" outlineLevel="3">
      <c r="A26" s="18">
        <v>4</v>
      </c>
      <c r="B26" s="146" t="s">
        <v>1192</v>
      </c>
      <c r="C26" s="155">
        <v>0.1</v>
      </c>
      <c r="D26" s="189">
        <f t="shared" si="8"/>
        <v>9.1083271987228188E-4</v>
      </c>
      <c r="E26" s="198">
        <v>1</v>
      </c>
      <c r="F26" s="199">
        <v>1</v>
      </c>
      <c r="G26" s="199">
        <v>1</v>
      </c>
      <c r="H26" s="199">
        <v>1</v>
      </c>
      <c r="I26" s="199">
        <v>1</v>
      </c>
      <c r="J26" s="199">
        <v>1</v>
      </c>
      <c r="K26" s="199">
        <v>1</v>
      </c>
      <c r="L26" s="199">
        <v>1</v>
      </c>
      <c r="M26" s="199">
        <v>1</v>
      </c>
      <c r="N26" s="199">
        <v>1</v>
      </c>
      <c r="O26" s="199">
        <v>1</v>
      </c>
      <c r="P26" s="200">
        <v>1</v>
      </c>
      <c r="Q26" s="198">
        <v>1</v>
      </c>
      <c r="R26" s="199">
        <v>1</v>
      </c>
      <c r="S26" s="199">
        <v>1</v>
      </c>
      <c r="T26" s="199">
        <v>1</v>
      </c>
      <c r="U26" s="199">
        <v>1</v>
      </c>
      <c r="V26" s="199">
        <v>1</v>
      </c>
      <c r="W26" s="199">
        <v>1</v>
      </c>
      <c r="X26" s="200">
        <v>1</v>
      </c>
      <c r="Y26" s="171"/>
      <c r="Z26" s="172"/>
    </row>
    <row r="27" spans="1:26" outlineLevel="3">
      <c r="A27" s="18">
        <v>5</v>
      </c>
      <c r="B27" s="146" t="s">
        <v>1193</v>
      </c>
      <c r="C27" s="155">
        <v>0.15</v>
      </c>
      <c r="D27" s="189">
        <f t="shared" si="8"/>
        <v>1.3662490798084228E-3</v>
      </c>
      <c r="E27" s="198">
        <v>1</v>
      </c>
      <c r="F27" s="199">
        <v>1</v>
      </c>
      <c r="G27" s="199">
        <v>1</v>
      </c>
      <c r="H27" s="199">
        <v>1</v>
      </c>
      <c r="I27" s="199">
        <v>1</v>
      </c>
      <c r="J27" s="199">
        <v>1</v>
      </c>
      <c r="K27" s="199">
        <v>1</v>
      </c>
      <c r="L27" s="199">
        <v>1</v>
      </c>
      <c r="M27" s="199">
        <v>1</v>
      </c>
      <c r="N27" s="199">
        <v>1</v>
      </c>
      <c r="O27" s="199">
        <v>1</v>
      </c>
      <c r="P27" s="200">
        <v>1</v>
      </c>
      <c r="Q27" s="198">
        <v>1</v>
      </c>
      <c r="R27" s="199">
        <v>1</v>
      </c>
      <c r="S27" s="199">
        <v>1</v>
      </c>
      <c r="T27" s="199">
        <v>1</v>
      </c>
      <c r="U27" s="199">
        <v>1</v>
      </c>
      <c r="V27" s="199">
        <v>1</v>
      </c>
      <c r="W27" s="199">
        <v>1</v>
      </c>
      <c r="X27" s="200">
        <v>1</v>
      </c>
      <c r="Y27" s="171"/>
      <c r="Z27" s="172"/>
    </row>
    <row r="28" spans="1:26" outlineLevel="3">
      <c r="A28" s="18">
        <v>6</v>
      </c>
      <c r="B28" s="146" t="s">
        <v>1194</v>
      </c>
      <c r="C28" s="155">
        <v>0.05</v>
      </c>
      <c r="D28" s="189">
        <f t="shared" si="8"/>
        <v>4.5541635993614094E-4</v>
      </c>
      <c r="E28" s="198">
        <v>1</v>
      </c>
      <c r="F28" s="199">
        <v>1</v>
      </c>
      <c r="G28" s="199">
        <v>1</v>
      </c>
      <c r="H28" s="199">
        <v>1</v>
      </c>
      <c r="I28" s="199">
        <v>1</v>
      </c>
      <c r="J28" s="199">
        <v>1</v>
      </c>
      <c r="K28" s="199">
        <v>1</v>
      </c>
      <c r="L28" s="199">
        <v>1</v>
      </c>
      <c r="M28" s="199">
        <v>1</v>
      </c>
      <c r="N28" s="199">
        <v>1</v>
      </c>
      <c r="O28" s="199">
        <v>1</v>
      </c>
      <c r="P28" s="200">
        <v>1</v>
      </c>
      <c r="Q28" s="198">
        <v>1</v>
      </c>
      <c r="R28" s="199">
        <v>1</v>
      </c>
      <c r="S28" s="199">
        <v>1</v>
      </c>
      <c r="T28" s="199">
        <v>1</v>
      </c>
      <c r="U28" s="199">
        <v>1</v>
      </c>
      <c r="V28" s="199">
        <v>1</v>
      </c>
      <c r="W28" s="199">
        <v>1</v>
      </c>
      <c r="X28" s="200">
        <v>1</v>
      </c>
      <c r="Y28" s="171"/>
      <c r="Z28" s="172"/>
    </row>
    <row r="29" spans="1:26" outlineLevel="2">
      <c r="A29" s="187">
        <v>1.2</v>
      </c>
      <c r="B29" s="142" t="s">
        <v>1195</v>
      </c>
      <c r="C29" s="157">
        <f>+SUM(C30:C32)</f>
        <v>1</v>
      </c>
      <c r="D29" s="188">
        <f>+D21*25%</f>
        <v>5.6927044992017613E-3</v>
      </c>
      <c r="E29" s="17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74"/>
      <c r="Q29" s="173"/>
      <c r="R29" s="143"/>
      <c r="S29" s="143"/>
      <c r="T29" s="143"/>
      <c r="U29" s="143"/>
      <c r="V29" s="143"/>
      <c r="W29" s="143"/>
      <c r="X29" s="174"/>
      <c r="Y29" s="173"/>
      <c r="Z29" s="174"/>
    </row>
    <row r="30" spans="1:26" ht="28.5" outlineLevel="3">
      <c r="A30" s="18">
        <v>1</v>
      </c>
      <c r="B30" s="146" t="s">
        <v>1196</v>
      </c>
      <c r="C30" s="155">
        <v>0.5</v>
      </c>
      <c r="D30" s="189">
        <f>+C30*$D$29</f>
        <v>2.8463522496008807E-3</v>
      </c>
      <c r="E30" s="205">
        <v>1</v>
      </c>
      <c r="F30" s="199">
        <v>1</v>
      </c>
      <c r="G30" s="199">
        <v>1</v>
      </c>
      <c r="H30" s="199">
        <v>1</v>
      </c>
      <c r="I30" s="199">
        <v>1</v>
      </c>
      <c r="J30" s="199">
        <v>1</v>
      </c>
      <c r="K30" s="199">
        <v>1</v>
      </c>
      <c r="L30" s="199">
        <v>1</v>
      </c>
      <c r="M30" s="199">
        <v>1</v>
      </c>
      <c r="N30" s="199">
        <v>1</v>
      </c>
      <c r="O30" s="199">
        <v>1</v>
      </c>
      <c r="P30" s="200">
        <v>1</v>
      </c>
      <c r="Q30" s="205">
        <v>1</v>
      </c>
      <c r="R30" s="199">
        <v>1</v>
      </c>
      <c r="S30" s="199">
        <v>1</v>
      </c>
      <c r="T30" s="199">
        <v>1</v>
      </c>
      <c r="U30" s="199">
        <v>1</v>
      </c>
      <c r="V30" s="199">
        <v>1</v>
      </c>
      <c r="W30" s="199">
        <v>1</v>
      </c>
      <c r="X30" s="200">
        <v>1</v>
      </c>
      <c r="Y30" s="171"/>
      <c r="Z30" s="172"/>
    </row>
    <row r="31" spans="1:26" outlineLevel="3">
      <c r="A31" s="18">
        <v>2</v>
      </c>
      <c r="B31" s="146" t="s">
        <v>1197</v>
      </c>
      <c r="C31" s="155">
        <v>0.2</v>
      </c>
      <c r="D31" s="189">
        <f t="shared" ref="D31:D32" si="9">+C31*$D$29</f>
        <v>1.1385408998403524E-3</v>
      </c>
      <c r="E31" s="198">
        <v>1</v>
      </c>
      <c r="F31" s="199">
        <v>1</v>
      </c>
      <c r="G31" s="199">
        <v>1</v>
      </c>
      <c r="H31" s="199">
        <v>1</v>
      </c>
      <c r="I31" s="199">
        <v>1</v>
      </c>
      <c r="J31" s="199">
        <v>1</v>
      </c>
      <c r="K31" s="199">
        <v>1</v>
      </c>
      <c r="L31" s="199">
        <v>1</v>
      </c>
      <c r="M31" s="199">
        <v>1</v>
      </c>
      <c r="N31" s="199">
        <v>1</v>
      </c>
      <c r="O31" s="199">
        <v>1</v>
      </c>
      <c r="P31" s="200">
        <v>1</v>
      </c>
      <c r="Q31" s="205">
        <v>1</v>
      </c>
      <c r="R31" s="199">
        <v>1</v>
      </c>
      <c r="S31" s="199">
        <v>1</v>
      </c>
      <c r="T31" s="199">
        <v>1</v>
      </c>
      <c r="U31" s="199">
        <v>1</v>
      </c>
      <c r="V31" s="199">
        <v>1</v>
      </c>
      <c r="W31" s="199">
        <v>1</v>
      </c>
      <c r="X31" s="200">
        <v>1</v>
      </c>
      <c r="Y31" s="171"/>
      <c r="Z31" s="172"/>
    </row>
    <row r="32" spans="1:26" outlineLevel="3">
      <c r="A32" s="18">
        <v>3</v>
      </c>
      <c r="B32" s="146" t="s">
        <v>1198</v>
      </c>
      <c r="C32" s="155">
        <v>0.3</v>
      </c>
      <c r="D32" s="189">
        <f t="shared" si="9"/>
        <v>1.7078113497605283E-3</v>
      </c>
      <c r="E32" s="198">
        <v>1</v>
      </c>
      <c r="F32" s="199">
        <v>1</v>
      </c>
      <c r="G32" s="199">
        <v>1</v>
      </c>
      <c r="H32" s="199">
        <v>1</v>
      </c>
      <c r="I32" s="199">
        <v>1</v>
      </c>
      <c r="J32" s="199">
        <v>1</v>
      </c>
      <c r="K32" s="199">
        <v>1</v>
      </c>
      <c r="L32" s="199">
        <v>1</v>
      </c>
      <c r="M32" s="199">
        <v>1</v>
      </c>
      <c r="N32" s="199">
        <v>1</v>
      </c>
      <c r="O32" s="199">
        <v>1</v>
      </c>
      <c r="P32" s="200">
        <v>1</v>
      </c>
      <c r="Q32" s="205">
        <v>1</v>
      </c>
      <c r="R32" s="199">
        <v>1</v>
      </c>
      <c r="S32" s="199">
        <v>1</v>
      </c>
      <c r="T32" s="199">
        <v>1</v>
      </c>
      <c r="U32" s="199">
        <v>1</v>
      </c>
      <c r="V32" s="199">
        <v>1</v>
      </c>
      <c r="W32" s="199">
        <v>1</v>
      </c>
      <c r="X32" s="200">
        <v>1</v>
      </c>
      <c r="Y32" s="171"/>
      <c r="Z32" s="172"/>
    </row>
    <row r="33" spans="1:26" outlineLevel="2">
      <c r="A33" s="187">
        <v>1.3</v>
      </c>
      <c r="B33" s="142" t="s">
        <v>1199</v>
      </c>
      <c r="C33" s="157">
        <f>+SUM(C34:C37)</f>
        <v>1</v>
      </c>
      <c r="D33" s="188">
        <f>+D21-D22-D29</f>
        <v>7.9697862988824652E-3</v>
      </c>
      <c r="E33" s="17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74"/>
      <c r="Q33" s="173"/>
      <c r="R33" s="143"/>
      <c r="S33" s="143"/>
      <c r="T33" s="143"/>
      <c r="U33" s="143"/>
      <c r="V33" s="143"/>
      <c r="W33" s="143"/>
      <c r="X33" s="174"/>
      <c r="Y33" s="173"/>
      <c r="Z33" s="174"/>
    </row>
    <row r="34" spans="1:26" ht="28.5" outlineLevel="2">
      <c r="A34" s="18">
        <v>1</v>
      </c>
      <c r="B34" s="146" t="s">
        <v>1200</v>
      </c>
      <c r="C34" s="155">
        <v>0.1</v>
      </c>
      <c r="D34" s="189">
        <f>+C34*$D$33</f>
        <v>7.9697862988824654E-4</v>
      </c>
      <c r="E34" s="205">
        <v>1</v>
      </c>
      <c r="F34" s="199">
        <v>1</v>
      </c>
      <c r="G34" s="199">
        <v>1</v>
      </c>
      <c r="H34" s="199">
        <v>1</v>
      </c>
      <c r="I34" s="199">
        <v>1</v>
      </c>
      <c r="J34" s="199">
        <v>1</v>
      </c>
      <c r="K34" s="199">
        <v>1</v>
      </c>
      <c r="L34" s="199">
        <v>1</v>
      </c>
      <c r="M34" s="199">
        <v>1</v>
      </c>
      <c r="N34" s="199">
        <v>1</v>
      </c>
      <c r="O34" s="199">
        <v>1</v>
      </c>
      <c r="P34" s="200">
        <v>1</v>
      </c>
      <c r="Q34" s="205">
        <v>1</v>
      </c>
      <c r="R34" s="199">
        <v>1</v>
      </c>
      <c r="S34" s="199">
        <v>1</v>
      </c>
      <c r="T34" s="199">
        <v>1</v>
      </c>
      <c r="U34" s="199">
        <v>1</v>
      </c>
      <c r="V34" s="199">
        <v>1</v>
      </c>
      <c r="W34" s="199">
        <v>1</v>
      </c>
      <c r="X34" s="200">
        <v>1</v>
      </c>
      <c r="Y34" s="171"/>
      <c r="Z34" s="172"/>
    </row>
    <row r="35" spans="1:26" ht="28.5" outlineLevel="2">
      <c r="A35" s="18">
        <v>2</v>
      </c>
      <c r="B35" s="146" t="s">
        <v>1201</v>
      </c>
      <c r="C35" s="155">
        <v>0.02</v>
      </c>
      <c r="D35" s="189">
        <f t="shared" ref="D35:D37" si="10">+C35*$D$33</f>
        <v>1.5939572597764931E-4</v>
      </c>
      <c r="E35" s="205">
        <v>1</v>
      </c>
      <c r="F35" s="199">
        <v>1</v>
      </c>
      <c r="G35" s="199">
        <v>1</v>
      </c>
      <c r="H35" s="199">
        <v>1</v>
      </c>
      <c r="I35" s="199">
        <v>1</v>
      </c>
      <c r="J35" s="199">
        <v>1</v>
      </c>
      <c r="K35" s="199">
        <v>1</v>
      </c>
      <c r="L35" s="199">
        <v>1</v>
      </c>
      <c r="M35" s="199">
        <v>1</v>
      </c>
      <c r="N35" s="199">
        <v>1</v>
      </c>
      <c r="O35" s="199">
        <v>1</v>
      </c>
      <c r="P35" s="200">
        <v>1</v>
      </c>
      <c r="Q35" s="205">
        <v>1</v>
      </c>
      <c r="R35" s="199">
        <v>1</v>
      </c>
      <c r="S35" s="199">
        <v>1</v>
      </c>
      <c r="T35" s="199">
        <v>1</v>
      </c>
      <c r="U35" s="199">
        <v>1</v>
      </c>
      <c r="V35" s="199">
        <v>1</v>
      </c>
      <c r="W35" s="199">
        <v>1</v>
      </c>
      <c r="X35" s="200">
        <v>1</v>
      </c>
      <c r="Y35" s="171"/>
      <c r="Z35" s="172"/>
    </row>
    <row r="36" spans="1:26" ht="28.5" outlineLevel="2">
      <c r="A36" s="18">
        <v>3</v>
      </c>
      <c r="B36" s="146" t="s">
        <v>1202</v>
      </c>
      <c r="C36" s="155">
        <v>0.05</v>
      </c>
      <c r="D36" s="189">
        <f t="shared" si="10"/>
        <v>3.9848931494412327E-4</v>
      </c>
      <c r="E36" s="205">
        <v>1</v>
      </c>
      <c r="F36" s="199">
        <v>1</v>
      </c>
      <c r="G36" s="199">
        <v>1</v>
      </c>
      <c r="H36" s="199">
        <v>1</v>
      </c>
      <c r="I36" s="199">
        <v>1</v>
      </c>
      <c r="J36" s="199">
        <v>1</v>
      </c>
      <c r="K36" s="199">
        <v>1</v>
      </c>
      <c r="L36" s="199">
        <v>1</v>
      </c>
      <c r="M36" s="199">
        <v>1</v>
      </c>
      <c r="N36" s="199">
        <v>1</v>
      </c>
      <c r="O36" s="199">
        <v>1</v>
      </c>
      <c r="P36" s="200">
        <v>1</v>
      </c>
      <c r="Q36" s="205">
        <v>1</v>
      </c>
      <c r="R36" s="199">
        <v>1</v>
      </c>
      <c r="S36" s="199">
        <v>1</v>
      </c>
      <c r="T36" s="199">
        <v>1</v>
      </c>
      <c r="U36" s="199">
        <v>1</v>
      </c>
      <c r="V36" s="199">
        <v>1</v>
      </c>
      <c r="W36" s="199">
        <v>1</v>
      </c>
      <c r="X36" s="200">
        <v>1</v>
      </c>
      <c r="Y36" s="171"/>
      <c r="Z36" s="172"/>
    </row>
    <row r="37" spans="1:26" outlineLevel="2">
      <c r="A37" s="18">
        <v>4</v>
      </c>
      <c r="B37" s="146" t="s">
        <v>1203</v>
      </c>
      <c r="C37" s="155">
        <v>0.83</v>
      </c>
      <c r="D37" s="189">
        <f t="shared" si="10"/>
        <v>6.6149226280724461E-3</v>
      </c>
      <c r="E37" s="205">
        <v>1</v>
      </c>
      <c r="F37" s="199">
        <v>1</v>
      </c>
      <c r="G37" s="199">
        <v>1</v>
      </c>
      <c r="H37" s="199">
        <v>1</v>
      </c>
      <c r="I37" s="199">
        <v>1</v>
      </c>
      <c r="J37" s="199">
        <v>1</v>
      </c>
      <c r="K37" s="199">
        <v>1</v>
      </c>
      <c r="L37" s="199">
        <v>1</v>
      </c>
      <c r="M37" s="199">
        <v>1</v>
      </c>
      <c r="N37" s="199">
        <v>1</v>
      </c>
      <c r="O37" s="199">
        <v>1</v>
      </c>
      <c r="P37" s="200">
        <v>1</v>
      </c>
      <c r="Q37" s="205">
        <v>1</v>
      </c>
      <c r="R37" s="199">
        <v>1</v>
      </c>
      <c r="S37" s="199">
        <v>1</v>
      </c>
      <c r="T37" s="199">
        <v>1</v>
      </c>
      <c r="U37" s="199">
        <v>1</v>
      </c>
      <c r="V37" s="199">
        <v>1</v>
      </c>
      <c r="W37" s="199">
        <v>1</v>
      </c>
      <c r="X37" s="200">
        <v>1</v>
      </c>
      <c r="Y37" s="171"/>
      <c r="Z37" s="172"/>
    </row>
    <row r="38" spans="1:26" outlineLevel="1">
      <c r="A38" s="187">
        <v>2</v>
      </c>
      <c r="B38" s="142" t="s">
        <v>1204</v>
      </c>
      <c r="C38" s="157">
        <f>+SUM(C39:C61)</f>
        <v>1.0000000000000002</v>
      </c>
      <c r="D38" s="188">
        <f>+'[2]Construction-87'!$L$42</f>
        <v>6.1210735553209064E-2</v>
      </c>
      <c r="E38" s="17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74"/>
      <c r="Q38" s="173"/>
      <c r="R38" s="143"/>
      <c r="S38" s="143"/>
      <c r="T38" s="143"/>
      <c r="U38" s="143"/>
      <c r="V38" s="143"/>
      <c r="W38" s="143"/>
      <c r="X38" s="174"/>
      <c r="Y38" s="173"/>
      <c r="Z38" s="174"/>
    </row>
    <row r="39" spans="1:26" ht="28.5" outlineLevel="2">
      <c r="A39" s="18">
        <v>1</v>
      </c>
      <c r="B39" s="146" t="s">
        <v>1205</v>
      </c>
      <c r="C39" s="155">
        <v>5.0000000000000001E-3</v>
      </c>
      <c r="D39" s="189">
        <f>+C39*$D$38</f>
        <v>3.0605367776604531E-4</v>
      </c>
      <c r="E39" s="205">
        <v>1</v>
      </c>
      <c r="F39" s="199">
        <v>1</v>
      </c>
      <c r="G39" s="199">
        <v>1</v>
      </c>
      <c r="H39" s="199">
        <v>1</v>
      </c>
      <c r="I39" s="199">
        <v>1</v>
      </c>
      <c r="J39" s="199">
        <v>1</v>
      </c>
      <c r="K39" s="199">
        <v>1</v>
      </c>
      <c r="L39" s="199">
        <v>1</v>
      </c>
      <c r="M39" s="199">
        <v>1</v>
      </c>
      <c r="N39" s="199">
        <v>1</v>
      </c>
      <c r="O39" s="199">
        <v>1</v>
      </c>
      <c r="P39" s="200">
        <v>1</v>
      </c>
      <c r="Q39" s="198">
        <v>1</v>
      </c>
      <c r="R39" s="199">
        <v>1</v>
      </c>
      <c r="S39" s="199">
        <v>1</v>
      </c>
      <c r="T39" s="199">
        <v>1</v>
      </c>
      <c r="U39" s="199">
        <v>1</v>
      </c>
      <c r="V39" s="199">
        <v>1</v>
      </c>
      <c r="W39" s="199">
        <v>1</v>
      </c>
      <c r="X39" s="200">
        <v>1</v>
      </c>
      <c r="Y39" s="171"/>
      <c r="Z39" s="172"/>
    </row>
    <row r="40" spans="1:26" outlineLevel="2">
      <c r="A40" s="18">
        <f>+A39+1</f>
        <v>2</v>
      </c>
      <c r="B40" s="146" t="s">
        <v>1206</v>
      </c>
      <c r="C40" s="155">
        <v>0.01</v>
      </c>
      <c r="D40" s="189">
        <f t="shared" ref="D40:D61" si="11">+C40*$D$38</f>
        <v>6.1210735553209061E-4</v>
      </c>
      <c r="E40" s="198">
        <v>1</v>
      </c>
      <c r="F40" s="199">
        <v>1</v>
      </c>
      <c r="G40" s="199">
        <v>1</v>
      </c>
      <c r="H40" s="199">
        <v>1</v>
      </c>
      <c r="I40" s="199">
        <v>1</v>
      </c>
      <c r="J40" s="199">
        <v>1</v>
      </c>
      <c r="K40" s="199">
        <v>1</v>
      </c>
      <c r="L40" s="199">
        <v>1</v>
      </c>
      <c r="M40" s="199">
        <v>1</v>
      </c>
      <c r="N40" s="199">
        <v>1</v>
      </c>
      <c r="O40" s="199">
        <v>1</v>
      </c>
      <c r="P40" s="200">
        <v>1</v>
      </c>
      <c r="Q40" s="198">
        <v>1</v>
      </c>
      <c r="R40" s="199">
        <v>1</v>
      </c>
      <c r="S40" s="199">
        <v>1</v>
      </c>
      <c r="T40" s="199">
        <v>1</v>
      </c>
      <c r="U40" s="199">
        <v>1</v>
      </c>
      <c r="V40" s="199">
        <v>1</v>
      </c>
      <c r="W40" s="199">
        <v>1</v>
      </c>
      <c r="X40" s="200">
        <v>1</v>
      </c>
      <c r="Y40" s="171"/>
      <c r="Z40" s="172"/>
    </row>
    <row r="41" spans="1:26" ht="28.5" outlineLevel="2">
      <c r="A41" s="18">
        <f>+A40+1</f>
        <v>3</v>
      </c>
      <c r="B41" s="147" t="s">
        <v>1207</v>
      </c>
      <c r="C41" s="155">
        <v>2.5000000000000001E-2</v>
      </c>
      <c r="D41" s="189">
        <f t="shared" si="11"/>
        <v>1.5302683888302267E-3</v>
      </c>
      <c r="E41" s="198">
        <v>1</v>
      </c>
      <c r="F41" s="199">
        <v>1</v>
      </c>
      <c r="G41" s="199">
        <v>1</v>
      </c>
      <c r="H41" s="199">
        <v>1</v>
      </c>
      <c r="I41" s="199">
        <v>1</v>
      </c>
      <c r="J41" s="199">
        <v>1</v>
      </c>
      <c r="K41" s="199">
        <v>1</v>
      </c>
      <c r="L41" s="199">
        <v>1</v>
      </c>
      <c r="M41" s="199">
        <v>1</v>
      </c>
      <c r="N41" s="199">
        <v>1</v>
      </c>
      <c r="O41" s="199">
        <v>1</v>
      </c>
      <c r="P41" s="200">
        <v>1</v>
      </c>
      <c r="Q41" s="198">
        <v>1</v>
      </c>
      <c r="R41" s="199">
        <v>1</v>
      </c>
      <c r="S41" s="199">
        <v>1</v>
      </c>
      <c r="T41" s="199">
        <v>1</v>
      </c>
      <c r="U41" s="199">
        <v>1</v>
      </c>
      <c r="V41" s="199">
        <v>1</v>
      </c>
      <c r="W41" s="199">
        <v>1</v>
      </c>
      <c r="X41" s="200">
        <v>1</v>
      </c>
      <c r="Y41" s="171"/>
      <c r="Z41" s="172"/>
    </row>
    <row r="42" spans="1:26" outlineLevel="2">
      <c r="A42" s="18">
        <f t="shared" ref="A42:A61" si="12">+A41+1</f>
        <v>4</v>
      </c>
      <c r="B42" s="147" t="s">
        <v>1208</v>
      </c>
      <c r="C42" s="155">
        <v>5.0000000000000001E-3</v>
      </c>
      <c r="D42" s="189">
        <f t="shared" si="11"/>
        <v>3.0605367776604531E-4</v>
      </c>
      <c r="E42" s="198">
        <v>1</v>
      </c>
      <c r="F42" s="199">
        <v>1</v>
      </c>
      <c r="G42" s="199">
        <v>1</v>
      </c>
      <c r="H42" s="199">
        <v>1</v>
      </c>
      <c r="I42" s="199">
        <v>1</v>
      </c>
      <c r="J42" s="199">
        <v>1</v>
      </c>
      <c r="K42" s="199">
        <v>1</v>
      </c>
      <c r="L42" s="199">
        <v>1</v>
      </c>
      <c r="M42" s="199">
        <v>1</v>
      </c>
      <c r="N42" s="199">
        <v>1</v>
      </c>
      <c r="O42" s="199">
        <v>1</v>
      </c>
      <c r="P42" s="200">
        <v>1</v>
      </c>
      <c r="Q42" s="198">
        <v>1</v>
      </c>
      <c r="R42" s="199">
        <v>1</v>
      </c>
      <c r="S42" s="199">
        <v>1</v>
      </c>
      <c r="T42" s="199">
        <v>1</v>
      </c>
      <c r="U42" s="199">
        <v>1</v>
      </c>
      <c r="V42" s="199">
        <v>1</v>
      </c>
      <c r="W42" s="199">
        <v>1</v>
      </c>
      <c r="X42" s="200">
        <v>1</v>
      </c>
      <c r="Y42" s="171"/>
      <c r="Z42" s="172"/>
    </row>
    <row r="43" spans="1:26" outlineLevel="2">
      <c r="A43" s="18">
        <f t="shared" si="12"/>
        <v>5</v>
      </c>
      <c r="B43" s="147" t="s">
        <v>1209</v>
      </c>
      <c r="C43" s="155">
        <v>0.01</v>
      </c>
      <c r="D43" s="189">
        <f t="shared" si="11"/>
        <v>6.1210735553209061E-4</v>
      </c>
      <c r="E43" s="198">
        <v>1</v>
      </c>
      <c r="F43" s="199">
        <v>1</v>
      </c>
      <c r="G43" s="199">
        <v>1</v>
      </c>
      <c r="H43" s="199">
        <v>1</v>
      </c>
      <c r="I43" s="199">
        <v>1</v>
      </c>
      <c r="J43" s="199">
        <v>1</v>
      </c>
      <c r="K43" s="199">
        <v>1</v>
      </c>
      <c r="L43" s="199">
        <v>1</v>
      </c>
      <c r="M43" s="199">
        <v>1</v>
      </c>
      <c r="N43" s="199">
        <v>1</v>
      </c>
      <c r="O43" s="199">
        <v>1</v>
      </c>
      <c r="P43" s="200">
        <v>1</v>
      </c>
      <c r="Q43" s="198">
        <v>1</v>
      </c>
      <c r="R43" s="199">
        <v>1</v>
      </c>
      <c r="S43" s="199">
        <v>1</v>
      </c>
      <c r="T43" s="199">
        <v>1</v>
      </c>
      <c r="U43" s="199">
        <v>1</v>
      </c>
      <c r="V43" s="199">
        <v>1</v>
      </c>
      <c r="W43" s="199">
        <v>1</v>
      </c>
      <c r="X43" s="200">
        <v>1</v>
      </c>
      <c r="Y43" s="171"/>
      <c r="Z43" s="172"/>
    </row>
    <row r="44" spans="1:26" ht="28.5" outlineLevel="2">
      <c r="A44" s="18">
        <f t="shared" si="12"/>
        <v>6</v>
      </c>
      <c r="B44" s="147" t="s">
        <v>1210</v>
      </c>
      <c r="C44" s="155">
        <v>5.0000000000000001E-3</v>
      </c>
      <c r="D44" s="189">
        <f t="shared" si="11"/>
        <v>3.0605367776604531E-4</v>
      </c>
      <c r="E44" s="198">
        <v>1</v>
      </c>
      <c r="F44" s="199">
        <v>1</v>
      </c>
      <c r="G44" s="199">
        <v>1</v>
      </c>
      <c r="H44" s="199">
        <v>1</v>
      </c>
      <c r="I44" s="199">
        <v>1</v>
      </c>
      <c r="J44" s="199">
        <v>1</v>
      </c>
      <c r="K44" s="199">
        <v>1</v>
      </c>
      <c r="L44" s="199">
        <v>1</v>
      </c>
      <c r="M44" s="199">
        <v>1</v>
      </c>
      <c r="N44" s="199">
        <v>1</v>
      </c>
      <c r="O44" s="199">
        <v>1</v>
      </c>
      <c r="P44" s="200">
        <v>1</v>
      </c>
      <c r="Q44" s="198">
        <v>1</v>
      </c>
      <c r="R44" s="199">
        <v>1</v>
      </c>
      <c r="S44" s="199">
        <v>1</v>
      </c>
      <c r="T44" s="199">
        <v>1</v>
      </c>
      <c r="U44" s="199">
        <v>1</v>
      </c>
      <c r="V44" s="199">
        <v>1</v>
      </c>
      <c r="W44" s="199">
        <v>1</v>
      </c>
      <c r="X44" s="200">
        <v>1</v>
      </c>
      <c r="Y44" s="171"/>
      <c r="Z44" s="172"/>
    </row>
    <row r="45" spans="1:26" outlineLevel="2">
      <c r="A45" s="18">
        <f t="shared" si="12"/>
        <v>7</v>
      </c>
      <c r="B45" s="147" t="s">
        <v>1211</v>
      </c>
      <c r="C45" s="155">
        <v>0.52</v>
      </c>
      <c r="D45" s="189">
        <f t="shared" si="11"/>
        <v>3.1829582487668713E-2</v>
      </c>
      <c r="E45" s="198">
        <v>1</v>
      </c>
      <c r="F45" s="199">
        <v>1</v>
      </c>
      <c r="G45" s="199">
        <v>1</v>
      </c>
      <c r="H45" s="199">
        <v>1</v>
      </c>
      <c r="I45" s="199">
        <v>1</v>
      </c>
      <c r="J45" s="199">
        <v>1</v>
      </c>
      <c r="K45" s="199">
        <v>1</v>
      </c>
      <c r="L45" s="199">
        <v>1</v>
      </c>
      <c r="M45" s="199">
        <v>1</v>
      </c>
      <c r="N45" s="199">
        <v>1</v>
      </c>
      <c r="O45" s="199">
        <v>1</v>
      </c>
      <c r="P45" s="200">
        <v>1</v>
      </c>
      <c r="Q45" s="198">
        <v>1</v>
      </c>
      <c r="R45" s="199">
        <v>1</v>
      </c>
      <c r="S45" s="199">
        <v>1</v>
      </c>
      <c r="T45" s="199">
        <v>1</v>
      </c>
      <c r="U45" s="199">
        <v>1</v>
      </c>
      <c r="V45" s="199">
        <v>1</v>
      </c>
      <c r="W45" s="199">
        <v>1</v>
      </c>
      <c r="X45" s="200">
        <v>1</v>
      </c>
      <c r="Y45" s="171"/>
      <c r="Z45" s="172"/>
    </row>
    <row r="46" spans="1:26" outlineLevel="2">
      <c r="A46" s="18">
        <f t="shared" si="12"/>
        <v>8</v>
      </c>
      <c r="B46" s="147" t="s">
        <v>1212</v>
      </c>
      <c r="C46" s="155">
        <v>0.1</v>
      </c>
      <c r="D46" s="189">
        <f t="shared" si="11"/>
        <v>6.1210735553209068E-3</v>
      </c>
      <c r="E46" s="198">
        <v>1</v>
      </c>
      <c r="F46" s="199">
        <v>1</v>
      </c>
      <c r="G46" s="199">
        <v>1</v>
      </c>
      <c r="H46" s="199">
        <v>1</v>
      </c>
      <c r="I46" s="199">
        <v>1</v>
      </c>
      <c r="J46" s="199">
        <v>1</v>
      </c>
      <c r="K46" s="199">
        <v>1</v>
      </c>
      <c r="L46" s="199">
        <v>1</v>
      </c>
      <c r="M46" s="199">
        <v>1</v>
      </c>
      <c r="N46" s="199">
        <v>1</v>
      </c>
      <c r="O46" s="199">
        <v>1</v>
      </c>
      <c r="P46" s="200">
        <v>1</v>
      </c>
      <c r="Q46" s="198">
        <v>1</v>
      </c>
      <c r="R46" s="199">
        <v>1</v>
      </c>
      <c r="S46" s="199">
        <v>1</v>
      </c>
      <c r="T46" s="199">
        <v>1</v>
      </c>
      <c r="U46" s="199">
        <v>1</v>
      </c>
      <c r="V46" s="199">
        <v>1</v>
      </c>
      <c r="W46" s="199">
        <v>1</v>
      </c>
      <c r="X46" s="200">
        <v>1</v>
      </c>
      <c r="Y46" s="171"/>
      <c r="Z46" s="172"/>
    </row>
    <row r="47" spans="1:26" ht="29.25" outlineLevel="2">
      <c r="A47" s="18">
        <f t="shared" si="12"/>
        <v>9</v>
      </c>
      <c r="B47" s="147" t="s">
        <v>1213</v>
      </c>
      <c r="C47" s="155">
        <v>1.4999999999999999E-2</v>
      </c>
      <c r="D47" s="189">
        <f t="shared" si="11"/>
        <v>9.1816103329813597E-4</v>
      </c>
      <c r="E47" s="198">
        <v>1</v>
      </c>
      <c r="F47" s="199">
        <v>1</v>
      </c>
      <c r="G47" s="199">
        <v>1</v>
      </c>
      <c r="H47" s="199">
        <v>1</v>
      </c>
      <c r="I47" s="199">
        <v>1</v>
      </c>
      <c r="J47" s="199">
        <v>1</v>
      </c>
      <c r="K47" s="199">
        <v>1</v>
      </c>
      <c r="L47" s="199">
        <v>1</v>
      </c>
      <c r="M47" s="199">
        <v>1</v>
      </c>
      <c r="N47" s="199">
        <v>1</v>
      </c>
      <c r="O47" s="199">
        <v>1</v>
      </c>
      <c r="P47" s="200">
        <v>1</v>
      </c>
      <c r="Q47" s="198">
        <v>1</v>
      </c>
      <c r="R47" s="199">
        <v>1</v>
      </c>
      <c r="S47" s="199">
        <v>1</v>
      </c>
      <c r="T47" s="199">
        <v>1</v>
      </c>
      <c r="U47" s="199">
        <v>1</v>
      </c>
      <c r="V47" s="199">
        <v>1</v>
      </c>
      <c r="W47" s="199">
        <v>1</v>
      </c>
      <c r="X47" s="200">
        <v>1</v>
      </c>
      <c r="Y47" s="171"/>
      <c r="Z47" s="172"/>
    </row>
    <row r="48" spans="1:26" ht="28.5" outlineLevel="2">
      <c r="A48" s="18">
        <f t="shared" si="12"/>
        <v>10</v>
      </c>
      <c r="B48" s="147" t="s">
        <v>1214</v>
      </c>
      <c r="C48" s="155">
        <v>0.06</v>
      </c>
      <c r="D48" s="189">
        <f t="shared" si="11"/>
        <v>3.6726441331925439E-3</v>
      </c>
      <c r="E48" s="198">
        <v>1</v>
      </c>
      <c r="F48" s="199">
        <v>1</v>
      </c>
      <c r="G48" s="199">
        <v>1</v>
      </c>
      <c r="H48" s="199">
        <v>1</v>
      </c>
      <c r="I48" s="199">
        <v>1</v>
      </c>
      <c r="J48" s="199">
        <v>1</v>
      </c>
      <c r="K48" s="199">
        <v>1</v>
      </c>
      <c r="L48" s="199">
        <v>1</v>
      </c>
      <c r="M48" s="199">
        <v>1</v>
      </c>
      <c r="N48" s="199">
        <v>1</v>
      </c>
      <c r="O48" s="199">
        <v>1</v>
      </c>
      <c r="P48" s="200">
        <v>1</v>
      </c>
      <c r="Q48" s="198">
        <v>1</v>
      </c>
      <c r="R48" s="199">
        <v>1</v>
      </c>
      <c r="S48" s="199">
        <v>1</v>
      </c>
      <c r="T48" s="199">
        <v>1</v>
      </c>
      <c r="U48" s="199">
        <v>1</v>
      </c>
      <c r="V48" s="199">
        <v>1</v>
      </c>
      <c r="W48" s="199">
        <v>1</v>
      </c>
      <c r="X48" s="200">
        <v>1</v>
      </c>
      <c r="Y48" s="171"/>
      <c r="Z48" s="172"/>
    </row>
    <row r="49" spans="1:26" ht="28.5" outlineLevel="2">
      <c r="A49" s="18">
        <f t="shared" si="12"/>
        <v>11</v>
      </c>
      <c r="B49" s="147" t="s">
        <v>1215</v>
      </c>
      <c r="C49" s="155">
        <v>0.01</v>
      </c>
      <c r="D49" s="189">
        <f t="shared" si="11"/>
        <v>6.1210735553209061E-4</v>
      </c>
      <c r="E49" s="198">
        <v>1</v>
      </c>
      <c r="F49" s="199">
        <v>1</v>
      </c>
      <c r="G49" s="199">
        <v>1</v>
      </c>
      <c r="H49" s="199">
        <v>1</v>
      </c>
      <c r="I49" s="199">
        <v>1</v>
      </c>
      <c r="J49" s="199">
        <v>1</v>
      </c>
      <c r="K49" s="199">
        <v>1</v>
      </c>
      <c r="L49" s="199">
        <v>1</v>
      </c>
      <c r="M49" s="199">
        <v>1</v>
      </c>
      <c r="N49" s="199">
        <v>1</v>
      </c>
      <c r="O49" s="199">
        <v>1</v>
      </c>
      <c r="P49" s="200">
        <v>1</v>
      </c>
      <c r="Q49" s="198">
        <v>1</v>
      </c>
      <c r="R49" s="199">
        <v>1</v>
      </c>
      <c r="S49" s="199">
        <v>1</v>
      </c>
      <c r="T49" s="199">
        <v>1</v>
      </c>
      <c r="U49" s="199">
        <v>1</v>
      </c>
      <c r="V49" s="199">
        <v>1</v>
      </c>
      <c r="W49" s="199">
        <v>1</v>
      </c>
      <c r="X49" s="200">
        <v>1</v>
      </c>
      <c r="Y49" s="171"/>
      <c r="Z49" s="172"/>
    </row>
    <row r="50" spans="1:26" ht="42.75" outlineLevel="2">
      <c r="A50" s="18">
        <f t="shared" si="12"/>
        <v>12</v>
      </c>
      <c r="B50" s="147" t="s">
        <v>1216</v>
      </c>
      <c r="C50" s="155">
        <v>0.01</v>
      </c>
      <c r="D50" s="189">
        <f t="shared" si="11"/>
        <v>6.1210735553209061E-4</v>
      </c>
      <c r="E50" s="198">
        <v>1</v>
      </c>
      <c r="F50" s="199">
        <v>1</v>
      </c>
      <c r="G50" s="199">
        <v>1</v>
      </c>
      <c r="H50" s="199">
        <v>1</v>
      </c>
      <c r="I50" s="199">
        <v>1</v>
      </c>
      <c r="J50" s="199">
        <v>1</v>
      </c>
      <c r="K50" s="199">
        <v>1</v>
      </c>
      <c r="L50" s="199">
        <v>1</v>
      </c>
      <c r="M50" s="199">
        <v>1</v>
      </c>
      <c r="N50" s="199">
        <v>1</v>
      </c>
      <c r="O50" s="199">
        <v>1</v>
      </c>
      <c r="P50" s="200">
        <v>1</v>
      </c>
      <c r="Q50" s="198">
        <v>1</v>
      </c>
      <c r="R50" s="199">
        <v>1</v>
      </c>
      <c r="S50" s="199">
        <v>1</v>
      </c>
      <c r="T50" s="199">
        <v>1</v>
      </c>
      <c r="U50" s="199">
        <v>1</v>
      </c>
      <c r="V50" s="199">
        <v>1</v>
      </c>
      <c r="W50" s="199">
        <v>1</v>
      </c>
      <c r="X50" s="200">
        <v>1</v>
      </c>
      <c r="Y50" s="171"/>
      <c r="Z50" s="172"/>
    </row>
    <row r="51" spans="1:26" outlineLevel="2">
      <c r="A51" s="18">
        <f t="shared" si="12"/>
        <v>13</v>
      </c>
      <c r="B51" s="147" t="s">
        <v>1217</v>
      </c>
      <c r="C51" s="155">
        <v>0.01</v>
      </c>
      <c r="D51" s="189">
        <f t="shared" si="11"/>
        <v>6.1210735553209061E-4</v>
      </c>
      <c r="E51" s="171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72"/>
      <c r="Q51" s="198">
        <v>1</v>
      </c>
      <c r="R51" s="199">
        <v>1</v>
      </c>
      <c r="S51" s="199">
        <v>1</v>
      </c>
      <c r="T51" s="199">
        <v>1</v>
      </c>
      <c r="U51" s="199">
        <v>1</v>
      </c>
      <c r="V51" s="199">
        <v>1</v>
      </c>
      <c r="W51" s="199">
        <v>1</v>
      </c>
      <c r="X51" s="200">
        <v>1</v>
      </c>
      <c r="Y51" s="171"/>
      <c r="Z51" s="172"/>
    </row>
    <row r="52" spans="1:26" ht="28.5" outlineLevel="2">
      <c r="A52" s="18">
        <f t="shared" si="12"/>
        <v>14</v>
      </c>
      <c r="B52" s="147" t="s">
        <v>1218</v>
      </c>
      <c r="C52" s="155">
        <v>0.05</v>
      </c>
      <c r="D52" s="189">
        <f t="shared" si="11"/>
        <v>3.0605367776604534E-3</v>
      </c>
      <c r="E52" s="198">
        <v>1</v>
      </c>
      <c r="F52" s="199">
        <v>1</v>
      </c>
      <c r="G52" s="199">
        <v>1</v>
      </c>
      <c r="H52" s="199">
        <v>1</v>
      </c>
      <c r="I52" s="199">
        <v>1</v>
      </c>
      <c r="J52" s="199">
        <v>1</v>
      </c>
      <c r="K52" s="199">
        <v>1</v>
      </c>
      <c r="L52" s="199">
        <v>1</v>
      </c>
      <c r="M52" s="199">
        <v>1</v>
      </c>
      <c r="N52" s="199">
        <v>1</v>
      </c>
      <c r="O52" s="199">
        <v>1</v>
      </c>
      <c r="P52" s="200">
        <v>1</v>
      </c>
      <c r="Q52" s="198">
        <v>1</v>
      </c>
      <c r="R52" s="199">
        <v>1</v>
      </c>
      <c r="S52" s="199">
        <v>1</v>
      </c>
      <c r="T52" s="199">
        <v>1</v>
      </c>
      <c r="U52" s="199">
        <v>1</v>
      </c>
      <c r="V52" s="199">
        <v>1</v>
      </c>
      <c r="W52" s="199">
        <v>1</v>
      </c>
      <c r="X52" s="200">
        <v>1</v>
      </c>
      <c r="Y52" s="171"/>
      <c r="Z52" s="172"/>
    </row>
    <row r="53" spans="1:26" ht="28.5" outlineLevel="2">
      <c r="A53" s="18">
        <f t="shared" si="12"/>
        <v>15</v>
      </c>
      <c r="B53" s="147" t="s">
        <v>1219</v>
      </c>
      <c r="C53" s="155">
        <v>0.05</v>
      </c>
      <c r="D53" s="189">
        <f t="shared" si="11"/>
        <v>3.0605367776604534E-3</v>
      </c>
      <c r="E53" s="198">
        <v>1</v>
      </c>
      <c r="F53" s="199">
        <v>1</v>
      </c>
      <c r="G53" s="199">
        <v>1</v>
      </c>
      <c r="H53" s="199">
        <v>1</v>
      </c>
      <c r="I53" s="199">
        <v>1</v>
      </c>
      <c r="J53" s="199">
        <v>1</v>
      </c>
      <c r="K53" s="199">
        <v>1</v>
      </c>
      <c r="L53" s="199">
        <v>1</v>
      </c>
      <c r="M53" s="199">
        <v>1</v>
      </c>
      <c r="N53" s="199">
        <v>1</v>
      </c>
      <c r="O53" s="199">
        <v>1</v>
      </c>
      <c r="P53" s="200">
        <v>1</v>
      </c>
      <c r="Q53" s="198">
        <v>1</v>
      </c>
      <c r="R53" s="199">
        <v>1</v>
      </c>
      <c r="S53" s="199">
        <v>1</v>
      </c>
      <c r="T53" s="199">
        <v>1</v>
      </c>
      <c r="U53" s="199">
        <v>1</v>
      </c>
      <c r="V53" s="199">
        <v>1</v>
      </c>
      <c r="W53" s="199">
        <v>1</v>
      </c>
      <c r="X53" s="200">
        <v>1</v>
      </c>
      <c r="Y53" s="171"/>
      <c r="Z53" s="172"/>
    </row>
    <row r="54" spans="1:26" ht="42.75" outlineLevel="2">
      <c r="A54" s="18">
        <f t="shared" si="12"/>
        <v>16</v>
      </c>
      <c r="B54" s="147" t="s">
        <v>1220</v>
      </c>
      <c r="C54" s="155">
        <v>0.01</v>
      </c>
      <c r="D54" s="189">
        <f t="shared" si="11"/>
        <v>6.1210735553209061E-4</v>
      </c>
      <c r="E54" s="198">
        <v>1</v>
      </c>
      <c r="F54" s="199">
        <v>1</v>
      </c>
      <c r="G54" s="199">
        <v>1</v>
      </c>
      <c r="H54" s="199">
        <v>1</v>
      </c>
      <c r="I54" s="199">
        <v>1</v>
      </c>
      <c r="J54" s="199">
        <v>1</v>
      </c>
      <c r="K54" s="199">
        <v>1</v>
      </c>
      <c r="L54" s="199">
        <v>1</v>
      </c>
      <c r="M54" s="199">
        <v>1</v>
      </c>
      <c r="N54" s="199">
        <v>1</v>
      </c>
      <c r="O54" s="199">
        <v>1</v>
      </c>
      <c r="P54" s="200">
        <v>1</v>
      </c>
      <c r="Q54" s="198">
        <v>1</v>
      </c>
      <c r="R54" s="199">
        <v>1</v>
      </c>
      <c r="S54" s="199">
        <v>1</v>
      </c>
      <c r="T54" s="199">
        <v>1</v>
      </c>
      <c r="U54" s="199">
        <v>1</v>
      </c>
      <c r="V54" s="199">
        <v>1</v>
      </c>
      <c r="W54" s="199">
        <v>1</v>
      </c>
      <c r="X54" s="200">
        <v>1</v>
      </c>
      <c r="Y54" s="171"/>
      <c r="Z54" s="172"/>
    </row>
    <row r="55" spans="1:26" ht="42.75" outlineLevel="2">
      <c r="A55" s="18">
        <f t="shared" si="12"/>
        <v>17</v>
      </c>
      <c r="B55" s="147" t="s">
        <v>1221</v>
      </c>
      <c r="C55" s="155">
        <v>0.01</v>
      </c>
      <c r="D55" s="189">
        <f t="shared" si="11"/>
        <v>6.1210735553209061E-4</v>
      </c>
      <c r="E55" s="198">
        <v>1</v>
      </c>
      <c r="F55" s="199">
        <v>1</v>
      </c>
      <c r="G55" s="199">
        <v>1</v>
      </c>
      <c r="H55" s="199">
        <v>1</v>
      </c>
      <c r="I55" s="199">
        <v>1</v>
      </c>
      <c r="J55" s="199">
        <v>1</v>
      </c>
      <c r="K55" s="199">
        <v>1</v>
      </c>
      <c r="L55" s="199">
        <v>1</v>
      </c>
      <c r="M55" s="199">
        <v>1</v>
      </c>
      <c r="N55" s="199">
        <v>1</v>
      </c>
      <c r="O55" s="199">
        <v>1</v>
      </c>
      <c r="P55" s="200">
        <v>1</v>
      </c>
      <c r="Q55" s="198">
        <v>1</v>
      </c>
      <c r="R55" s="199">
        <v>1</v>
      </c>
      <c r="S55" s="199">
        <v>1</v>
      </c>
      <c r="T55" s="199">
        <v>1</v>
      </c>
      <c r="U55" s="199">
        <v>1</v>
      </c>
      <c r="V55" s="199">
        <v>1</v>
      </c>
      <c r="W55" s="199">
        <v>1</v>
      </c>
      <c r="X55" s="200">
        <v>1</v>
      </c>
      <c r="Y55" s="171"/>
      <c r="Z55" s="172"/>
    </row>
    <row r="56" spans="1:26" ht="28.5" outlineLevel="2">
      <c r="A56" s="18">
        <f t="shared" si="12"/>
        <v>18</v>
      </c>
      <c r="B56" s="147" t="s">
        <v>1222</v>
      </c>
      <c r="C56" s="155">
        <v>5.0000000000000001E-3</v>
      </c>
      <c r="D56" s="189">
        <f t="shared" si="11"/>
        <v>3.0605367776604531E-4</v>
      </c>
      <c r="E56" s="198">
        <v>1</v>
      </c>
      <c r="F56" s="199">
        <v>1</v>
      </c>
      <c r="G56" s="199">
        <v>1</v>
      </c>
      <c r="H56" s="199">
        <v>1</v>
      </c>
      <c r="I56" s="199">
        <v>1</v>
      </c>
      <c r="J56" s="199">
        <v>1</v>
      </c>
      <c r="K56" s="199">
        <v>1</v>
      </c>
      <c r="L56" s="199">
        <v>1</v>
      </c>
      <c r="M56" s="199">
        <v>1</v>
      </c>
      <c r="N56" s="199">
        <v>1</v>
      </c>
      <c r="O56" s="199">
        <v>1</v>
      </c>
      <c r="P56" s="200">
        <v>1</v>
      </c>
      <c r="Q56" s="198">
        <v>1</v>
      </c>
      <c r="R56" s="199">
        <v>1</v>
      </c>
      <c r="S56" s="199">
        <v>1</v>
      </c>
      <c r="T56" s="199">
        <v>1</v>
      </c>
      <c r="U56" s="199">
        <v>1</v>
      </c>
      <c r="V56" s="199">
        <v>1</v>
      </c>
      <c r="W56" s="199">
        <v>1</v>
      </c>
      <c r="X56" s="200">
        <v>1</v>
      </c>
      <c r="Y56" s="171"/>
      <c r="Z56" s="172"/>
    </row>
    <row r="57" spans="1:26" ht="28.5" outlineLevel="2">
      <c r="A57" s="18">
        <f t="shared" si="12"/>
        <v>19</v>
      </c>
      <c r="B57" s="147" t="s">
        <v>1223</v>
      </c>
      <c r="C57" s="155">
        <v>0.01</v>
      </c>
      <c r="D57" s="189">
        <f t="shared" si="11"/>
        <v>6.1210735553209061E-4</v>
      </c>
      <c r="E57" s="198">
        <v>1</v>
      </c>
      <c r="F57" s="199">
        <v>1</v>
      </c>
      <c r="G57" s="199">
        <v>1</v>
      </c>
      <c r="H57" s="199">
        <v>1</v>
      </c>
      <c r="I57" s="199">
        <v>1</v>
      </c>
      <c r="J57" s="199">
        <v>1</v>
      </c>
      <c r="K57" s="199">
        <v>1</v>
      </c>
      <c r="L57" s="199">
        <v>1</v>
      </c>
      <c r="M57" s="199">
        <v>1</v>
      </c>
      <c r="N57" s="199">
        <v>1</v>
      </c>
      <c r="O57" s="199">
        <v>1</v>
      </c>
      <c r="P57" s="200">
        <v>1</v>
      </c>
      <c r="Q57" s="198">
        <v>1</v>
      </c>
      <c r="R57" s="199">
        <v>1</v>
      </c>
      <c r="S57" s="199">
        <v>1</v>
      </c>
      <c r="T57" s="199">
        <v>1</v>
      </c>
      <c r="U57" s="199">
        <v>1</v>
      </c>
      <c r="V57" s="199">
        <v>1</v>
      </c>
      <c r="W57" s="199">
        <v>1</v>
      </c>
      <c r="X57" s="200">
        <v>1</v>
      </c>
      <c r="Y57" s="171"/>
      <c r="Z57" s="172"/>
    </row>
    <row r="58" spans="1:26" ht="28.5" outlineLevel="2">
      <c r="A58" s="18">
        <f t="shared" si="12"/>
        <v>20</v>
      </c>
      <c r="B58" s="147" t="s">
        <v>1224</v>
      </c>
      <c r="C58" s="155">
        <v>5.0000000000000001E-3</v>
      </c>
      <c r="D58" s="189">
        <f t="shared" si="11"/>
        <v>3.0605367776604531E-4</v>
      </c>
      <c r="E58" s="198">
        <v>1</v>
      </c>
      <c r="F58" s="199">
        <v>1</v>
      </c>
      <c r="G58" s="199">
        <v>1</v>
      </c>
      <c r="H58" s="199">
        <v>1</v>
      </c>
      <c r="I58" s="199">
        <v>1</v>
      </c>
      <c r="J58" s="199">
        <v>1</v>
      </c>
      <c r="K58" s="199">
        <v>1</v>
      </c>
      <c r="L58" s="199">
        <v>1</v>
      </c>
      <c r="M58" s="199">
        <v>1</v>
      </c>
      <c r="N58" s="199">
        <v>1</v>
      </c>
      <c r="O58" s="199">
        <v>1</v>
      </c>
      <c r="P58" s="200">
        <v>1</v>
      </c>
      <c r="Q58" s="198">
        <v>1</v>
      </c>
      <c r="R58" s="199">
        <v>1</v>
      </c>
      <c r="S58" s="199">
        <v>1</v>
      </c>
      <c r="T58" s="199">
        <v>1</v>
      </c>
      <c r="U58" s="199">
        <v>1</v>
      </c>
      <c r="V58" s="199">
        <v>1</v>
      </c>
      <c r="W58" s="199">
        <v>1</v>
      </c>
      <c r="X58" s="200">
        <v>1</v>
      </c>
      <c r="Y58" s="171"/>
      <c r="Z58" s="172"/>
    </row>
    <row r="59" spans="1:26" ht="28.5" outlineLevel="2">
      <c r="A59" s="18">
        <f t="shared" si="12"/>
        <v>21</v>
      </c>
      <c r="B59" s="147" t="s">
        <v>1225</v>
      </c>
      <c r="C59" s="155">
        <v>5.0000000000000001E-3</v>
      </c>
      <c r="D59" s="189">
        <f t="shared" si="11"/>
        <v>3.0605367776604531E-4</v>
      </c>
      <c r="E59" s="198">
        <v>1</v>
      </c>
      <c r="F59" s="199">
        <v>1</v>
      </c>
      <c r="G59" s="199">
        <v>1</v>
      </c>
      <c r="H59" s="199">
        <v>1</v>
      </c>
      <c r="I59" s="199">
        <v>1</v>
      </c>
      <c r="J59" s="199">
        <v>1</v>
      </c>
      <c r="K59" s="199">
        <v>1</v>
      </c>
      <c r="L59" s="199">
        <v>1</v>
      </c>
      <c r="M59" s="199">
        <v>1</v>
      </c>
      <c r="N59" s="199">
        <v>1</v>
      </c>
      <c r="O59" s="199">
        <v>1</v>
      </c>
      <c r="P59" s="200">
        <v>1</v>
      </c>
      <c r="Q59" s="198">
        <v>1</v>
      </c>
      <c r="R59" s="199">
        <v>1</v>
      </c>
      <c r="S59" s="199">
        <v>1</v>
      </c>
      <c r="T59" s="199">
        <v>1</v>
      </c>
      <c r="U59" s="199">
        <v>1</v>
      </c>
      <c r="V59" s="199">
        <v>1</v>
      </c>
      <c r="W59" s="199">
        <v>1</v>
      </c>
      <c r="X59" s="200">
        <v>1</v>
      </c>
      <c r="Y59" s="171"/>
      <c r="Z59" s="172"/>
    </row>
    <row r="60" spans="1:26" ht="28.5" outlineLevel="2">
      <c r="A60" s="18">
        <f t="shared" si="12"/>
        <v>22</v>
      </c>
      <c r="B60" s="147" t="s">
        <v>1226</v>
      </c>
      <c r="C60" s="155">
        <v>0.05</v>
      </c>
      <c r="D60" s="189">
        <f t="shared" si="11"/>
        <v>3.0605367776604534E-3</v>
      </c>
      <c r="E60" s="198">
        <v>1</v>
      </c>
      <c r="F60" s="199">
        <v>1</v>
      </c>
      <c r="G60" s="199">
        <v>1</v>
      </c>
      <c r="H60" s="199">
        <v>1</v>
      </c>
      <c r="I60" s="199">
        <v>1</v>
      </c>
      <c r="J60" s="199">
        <v>1</v>
      </c>
      <c r="K60" s="199">
        <v>1</v>
      </c>
      <c r="L60" s="199">
        <v>1</v>
      </c>
      <c r="M60" s="199">
        <v>1</v>
      </c>
      <c r="N60" s="199">
        <v>1</v>
      </c>
      <c r="O60" s="199">
        <v>1</v>
      </c>
      <c r="P60" s="200">
        <v>1</v>
      </c>
      <c r="Q60" s="198">
        <v>1</v>
      </c>
      <c r="R60" s="199">
        <v>1</v>
      </c>
      <c r="S60" s="199">
        <v>1</v>
      </c>
      <c r="T60" s="199">
        <v>1</v>
      </c>
      <c r="U60" s="199">
        <v>1</v>
      </c>
      <c r="V60" s="199">
        <v>1</v>
      </c>
      <c r="W60" s="199">
        <v>1</v>
      </c>
      <c r="X60" s="200">
        <v>1</v>
      </c>
      <c r="Y60" s="171"/>
      <c r="Z60" s="172"/>
    </row>
    <row r="61" spans="1:26" ht="28.5" outlineLevel="2">
      <c r="A61" s="18">
        <f t="shared" si="12"/>
        <v>23</v>
      </c>
      <c r="B61" s="147" t="s">
        <v>1227</v>
      </c>
      <c r="C61" s="155">
        <v>0.02</v>
      </c>
      <c r="D61" s="189">
        <f t="shared" si="11"/>
        <v>1.2242147110641812E-3</v>
      </c>
      <c r="E61" s="198">
        <v>1</v>
      </c>
      <c r="F61" s="199">
        <v>1</v>
      </c>
      <c r="G61" s="199">
        <v>1</v>
      </c>
      <c r="H61" s="199">
        <v>1</v>
      </c>
      <c r="I61" s="199">
        <v>1</v>
      </c>
      <c r="J61" s="199">
        <v>1</v>
      </c>
      <c r="K61" s="199">
        <v>1</v>
      </c>
      <c r="L61" s="199">
        <v>1</v>
      </c>
      <c r="M61" s="199">
        <v>1</v>
      </c>
      <c r="N61" s="199">
        <v>1</v>
      </c>
      <c r="O61" s="199">
        <v>1</v>
      </c>
      <c r="P61" s="200">
        <v>1</v>
      </c>
      <c r="Q61" s="198">
        <v>1</v>
      </c>
      <c r="R61" s="199">
        <v>1</v>
      </c>
      <c r="S61" s="199">
        <v>1</v>
      </c>
      <c r="T61" s="199">
        <v>1</v>
      </c>
      <c r="U61" s="199">
        <v>1</v>
      </c>
      <c r="V61" s="199">
        <v>1</v>
      </c>
      <c r="W61" s="199">
        <v>1</v>
      </c>
      <c r="X61" s="200">
        <v>1</v>
      </c>
      <c r="Y61" s="171"/>
      <c r="Z61" s="172"/>
    </row>
    <row r="62" spans="1:26" outlineLevel="1">
      <c r="A62" s="187">
        <v>3</v>
      </c>
      <c r="B62" s="142" t="s">
        <v>1228</v>
      </c>
      <c r="C62" s="157"/>
      <c r="D62" s="188">
        <f>+'[2]Construction-87'!$L$58</f>
        <v>0.24247767513678134</v>
      </c>
      <c r="E62" s="17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74"/>
      <c r="Q62" s="173"/>
      <c r="R62" s="143"/>
      <c r="S62" s="143"/>
      <c r="T62" s="143"/>
      <c r="U62" s="143"/>
      <c r="V62" s="143"/>
      <c r="W62" s="143"/>
      <c r="X62" s="174"/>
      <c r="Y62" s="173"/>
      <c r="Z62" s="174"/>
    </row>
    <row r="63" spans="1:26" outlineLevel="2">
      <c r="A63" s="187">
        <v>3.1</v>
      </c>
      <c r="B63" s="142" t="s">
        <v>1229</v>
      </c>
      <c r="C63" s="157">
        <f>+SUM(C64:C73)</f>
        <v>1</v>
      </c>
      <c r="D63" s="188">
        <f>+D62/10</f>
        <v>2.4247767513678135E-2</v>
      </c>
      <c r="E63" s="17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74"/>
      <c r="Q63" s="173"/>
      <c r="R63" s="143"/>
      <c r="S63" s="143"/>
      <c r="T63" s="143"/>
      <c r="U63" s="143"/>
      <c r="V63" s="143"/>
      <c r="W63" s="143"/>
      <c r="X63" s="174"/>
      <c r="Y63" s="173"/>
      <c r="Z63" s="174"/>
    </row>
    <row r="64" spans="1:26" ht="57" outlineLevel="3">
      <c r="A64" s="18">
        <v>1</v>
      </c>
      <c r="B64" s="147" t="s">
        <v>1230</v>
      </c>
      <c r="C64" s="155">
        <v>0.43</v>
      </c>
      <c r="D64" s="189">
        <f t="shared" ref="D64:D73" si="13">+C64*$D$63</f>
        <v>1.0426540030881597E-2</v>
      </c>
      <c r="E64" s="198">
        <v>1</v>
      </c>
      <c r="F64" s="199">
        <v>1</v>
      </c>
      <c r="G64" s="199">
        <v>1</v>
      </c>
      <c r="H64" s="199">
        <v>1</v>
      </c>
      <c r="I64" s="199">
        <v>1</v>
      </c>
      <c r="J64" s="199">
        <v>1</v>
      </c>
      <c r="K64" s="199">
        <v>1</v>
      </c>
      <c r="L64" s="199">
        <v>1</v>
      </c>
      <c r="M64" s="199">
        <v>1</v>
      </c>
      <c r="N64" s="199">
        <v>1</v>
      </c>
      <c r="O64" s="199">
        <v>1</v>
      </c>
      <c r="P64" s="200">
        <v>1</v>
      </c>
      <c r="Q64" s="198">
        <v>1</v>
      </c>
      <c r="R64" s="199">
        <v>1</v>
      </c>
      <c r="S64" s="199">
        <v>1</v>
      </c>
      <c r="T64" s="199">
        <v>1</v>
      </c>
      <c r="U64" s="199">
        <v>1</v>
      </c>
      <c r="V64" s="199">
        <v>1</v>
      </c>
      <c r="W64" s="199">
        <v>1</v>
      </c>
      <c r="X64" s="200">
        <v>1</v>
      </c>
      <c r="Y64" s="171"/>
      <c r="Z64" s="172"/>
    </row>
    <row r="65" spans="1:26" outlineLevel="3">
      <c r="A65" s="190">
        <f>+A64+1</f>
        <v>2</v>
      </c>
      <c r="B65" s="162" t="s">
        <v>1231</v>
      </c>
      <c r="C65" s="163">
        <v>0.15</v>
      </c>
      <c r="D65" s="189">
        <f t="shared" si="13"/>
        <v>3.6371651270517202E-3</v>
      </c>
      <c r="E65" s="198">
        <v>1</v>
      </c>
      <c r="F65" s="199">
        <v>1</v>
      </c>
      <c r="G65" s="199">
        <v>1</v>
      </c>
      <c r="H65" s="199">
        <v>1</v>
      </c>
      <c r="I65" s="199">
        <v>1</v>
      </c>
      <c r="J65" s="199">
        <v>1</v>
      </c>
      <c r="K65" s="199">
        <v>1</v>
      </c>
      <c r="L65" s="199">
        <v>1</v>
      </c>
      <c r="M65" s="199">
        <v>1</v>
      </c>
      <c r="N65" s="199">
        <v>1</v>
      </c>
      <c r="O65" s="199">
        <v>1</v>
      </c>
      <c r="P65" s="200">
        <v>1</v>
      </c>
      <c r="Q65" s="198">
        <v>1</v>
      </c>
      <c r="R65" s="199">
        <v>1</v>
      </c>
      <c r="S65" s="199">
        <v>1</v>
      </c>
      <c r="T65" s="199">
        <v>1</v>
      </c>
      <c r="U65" s="199">
        <v>1</v>
      </c>
      <c r="V65" s="199">
        <v>1</v>
      </c>
      <c r="W65" s="199">
        <v>1</v>
      </c>
      <c r="X65" s="200">
        <v>1</v>
      </c>
      <c r="Y65" s="171"/>
      <c r="Z65" s="172"/>
    </row>
    <row r="66" spans="1:26" ht="28.5" outlineLevel="3">
      <c r="A66" s="18">
        <v>2</v>
      </c>
      <c r="B66" s="147" t="s">
        <v>1232</v>
      </c>
      <c r="C66" s="155">
        <v>0.2</v>
      </c>
      <c r="D66" s="189">
        <f t="shared" si="13"/>
        <v>4.8495535027356269E-3</v>
      </c>
      <c r="E66" s="198">
        <v>1</v>
      </c>
      <c r="F66" s="199">
        <v>1</v>
      </c>
      <c r="G66" s="199">
        <v>1</v>
      </c>
      <c r="H66" s="199">
        <v>1</v>
      </c>
      <c r="I66" s="199">
        <v>1</v>
      </c>
      <c r="J66" s="199">
        <v>1</v>
      </c>
      <c r="K66" s="199">
        <v>1</v>
      </c>
      <c r="L66" s="199">
        <v>1</v>
      </c>
      <c r="M66" s="199">
        <v>1</v>
      </c>
      <c r="N66" s="199">
        <v>1</v>
      </c>
      <c r="O66" s="199">
        <v>1</v>
      </c>
      <c r="P66" s="200">
        <v>1</v>
      </c>
      <c r="Q66" s="198">
        <v>1</v>
      </c>
      <c r="R66" s="199">
        <v>1</v>
      </c>
      <c r="S66" s="199">
        <v>1</v>
      </c>
      <c r="T66" s="199">
        <v>1</v>
      </c>
      <c r="U66" s="199">
        <v>1</v>
      </c>
      <c r="V66" s="199">
        <v>1</v>
      </c>
      <c r="W66" s="199">
        <v>1</v>
      </c>
      <c r="X66" s="200">
        <v>1</v>
      </c>
      <c r="Y66" s="171"/>
      <c r="Z66" s="172"/>
    </row>
    <row r="67" spans="1:26" outlineLevel="3">
      <c r="A67" s="190">
        <f t="shared" ref="A67" si="14">+A66+1</f>
        <v>3</v>
      </c>
      <c r="B67" s="162" t="s">
        <v>1233</v>
      </c>
      <c r="C67" s="155">
        <v>0.14000000000000001</v>
      </c>
      <c r="D67" s="189">
        <f t="shared" si="13"/>
        <v>3.394687451914939E-3</v>
      </c>
      <c r="E67" s="198">
        <v>1</v>
      </c>
      <c r="F67" s="199">
        <v>1</v>
      </c>
      <c r="G67" s="199">
        <v>1</v>
      </c>
      <c r="H67" s="199">
        <v>1</v>
      </c>
      <c r="I67" s="199">
        <v>1</v>
      </c>
      <c r="J67" s="199">
        <v>1</v>
      </c>
      <c r="K67" s="199">
        <v>1</v>
      </c>
      <c r="L67" s="199">
        <v>1</v>
      </c>
      <c r="M67" s="199">
        <v>1</v>
      </c>
      <c r="N67" s="199">
        <v>1</v>
      </c>
      <c r="O67" s="199">
        <v>1</v>
      </c>
      <c r="P67" s="200">
        <v>1</v>
      </c>
      <c r="Q67" s="198">
        <v>1</v>
      </c>
      <c r="R67" s="199">
        <v>1</v>
      </c>
      <c r="S67" s="199">
        <v>1</v>
      </c>
      <c r="T67" s="199">
        <v>1</v>
      </c>
      <c r="U67" s="199">
        <v>1</v>
      </c>
      <c r="V67" s="199">
        <v>1</v>
      </c>
      <c r="W67" s="199">
        <v>1</v>
      </c>
      <c r="X67" s="200">
        <v>1</v>
      </c>
      <c r="Y67" s="171"/>
      <c r="Z67" s="172"/>
    </row>
    <row r="68" spans="1:26" ht="42.75" outlineLevel="3">
      <c r="A68" s="18">
        <v>3</v>
      </c>
      <c r="B68" s="147" t="s">
        <v>1234</v>
      </c>
      <c r="C68" s="155">
        <v>0.01</v>
      </c>
      <c r="D68" s="189">
        <f t="shared" si="13"/>
        <v>2.4247767513678136E-4</v>
      </c>
      <c r="E68" s="198">
        <v>1</v>
      </c>
      <c r="F68" s="199">
        <v>1</v>
      </c>
      <c r="G68" s="199">
        <v>1</v>
      </c>
      <c r="H68" s="199">
        <v>1</v>
      </c>
      <c r="I68" s="199">
        <v>1</v>
      </c>
      <c r="J68" s="199">
        <v>1</v>
      </c>
      <c r="K68" s="199">
        <v>1</v>
      </c>
      <c r="L68" s="199">
        <v>1</v>
      </c>
      <c r="M68" s="199">
        <v>1</v>
      </c>
      <c r="N68" s="199">
        <v>1</v>
      </c>
      <c r="O68" s="199">
        <v>1</v>
      </c>
      <c r="P68" s="200">
        <v>1</v>
      </c>
      <c r="Q68" s="198">
        <v>1</v>
      </c>
      <c r="R68" s="199">
        <v>1</v>
      </c>
      <c r="S68" s="199">
        <v>1</v>
      </c>
      <c r="T68" s="199">
        <v>1</v>
      </c>
      <c r="U68" s="199">
        <v>1</v>
      </c>
      <c r="V68" s="199">
        <v>1</v>
      </c>
      <c r="W68" s="199">
        <v>1</v>
      </c>
      <c r="X68" s="200">
        <v>1</v>
      </c>
      <c r="Y68" s="171"/>
      <c r="Z68" s="172"/>
    </row>
    <row r="69" spans="1:26" ht="28.5" outlineLevel="3">
      <c r="A69" s="190">
        <f t="shared" ref="A69" si="15">+A68+1</f>
        <v>4</v>
      </c>
      <c r="B69" s="147" t="s">
        <v>1235</v>
      </c>
      <c r="C69" s="155">
        <v>5.0000000000000001E-3</v>
      </c>
      <c r="D69" s="189">
        <f t="shared" si="13"/>
        <v>1.2123883756839068E-4</v>
      </c>
      <c r="E69" s="198">
        <v>1</v>
      </c>
      <c r="F69" s="199">
        <v>1</v>
      </c>
      <c r="G69" s="199">
        <v>1</v>
      </c>
      <c r="H69" s="199">
        <v>1</v>
      </c>
      <c r="I69" s="199">
        <v>1</v>
      </c>
      <c r="J69" s="199">
        <v>1</v>
      </c>
      <c r="K69" s="199">
        <v>1</v>
      </c>
      <c r="L69" s="199">
        <v>1</v>
      </c>
      <c r="M69" s="199">
        <v>1</v>
      </c>
      <c r="N69" s="199">
        <v>1</v>
      </c>
      <c r="O69" s="199">
        <v>1</v>
      </c>
      <c r="P69" s="200">
        <v>1</v>
      </c>
      <c r="Q69" s="198">
        <v>1</v>
      </c>
      <c r="R69" s="199">
        <v>1</v>
      </c>
      <c r="S69" s="199">
        <v>1</v>
      </c>
      <c r="T69" s="199">
        <v>1</v>
      </c>
      <c r="U69" s="199">
        <v>1</v>
      </c>
      <c r="V69" s="199">
        <v>1</v>
      </c>
      <c r="W69" s="199">
        <v>1</v>
      </c>
      <c r="X69" s="200">
        <v>1</v>
      </c>
      <c r="Y69" s="171"/>
      <c r="Z69" s="172"/>
    </row>
    <row r="70" spans="1:26" ht="28.5" outlineLevel="3">
      <c r="A70" s="18">
        <v>4</v>
      </c>
      <c r="B70" s="147" t="s">
        <v>1236</v>
      </c>
      <c r="C70" s="155">
        <v>0.01</v>
      </c>
      <c r="D70" s="189">
        <f t="shared" si="13"/>
        <v>2.4247767513678136E-4</v>
      </c>
      <c r="E70" s="198">
        <v>1</v>
      </c>
      <c r="F70" s="199">
        <v>1</v>
      </c>
      <c r="G70" s="199">
        <v>1</v>
      </c>
      <c r="H70" s="199">
        <v>1</v>
      </c>
      <c r="I70" s="199">
        <v>1</v>
      </c>
      <c r="J70" s="199">
        <v>1</v>
      </c>
      <c r="K70" s="199">
        <v>1</v>
      </c>
      <c r="L70" s="199">
        <v>1</v>
      </c>
      <c r="M70" s="199">
        <v>1</v>
      </c>
      <c r="N70" s="199">
        <v>1</v>
      </c>
      <c r="O70" s="199">
        <v>1</v>
      </c>
      <c r="P70" s="200">
        <v>1</v>
      </c>
      <c r="Q70" s="198">
        <v>1</v>
      </c>
      <c r="R70" s="199">
        <v>1</v>
      </c>
      <c r="S70" s="199">
        <v>1</v>
      </c>
      <c r="T70" s="199">
        <v>1</v>
      </c>
      <c r="U70" s="199">
        <v>1</v>
      </c>
      <c r="V70" s="199">
        <v>1</v>
      </c>
      <c r="W70" s="199">
        <v>1</v>
      </c>
      <c r="X70" s="200">
        <v>1</v>
      </c>
      <c r="Y70" s="171"/>
      <c r="Z70" s="172"/>
    </row>
    <row r="71" spans="1:26" outlineLevel="3">
      <c r="A71" s="190">
        <f t="shared" ref="A71" si="16">+A70+1</f>
        <v>5</v>
      </c>
      <c r="B71" s="147" t="s">
        <v>1237</v>
      </c>
      <c r="C71" s="155">
        <v>5.0000000000000001E-3</v>
      </c>
      <c r="D71" s="189">
        <f t="shared" si="13"/>
        <v>1.2123883756839068E-4</v>
      </c>
      <c r="E71" s="198">
        <v>1</v>
      </c>
      <c r="F71" s="199">
        <v>1</v>
      </c>
      <c r="G71" s="199">
        <v>1</v>
      </c>
      <c r="H71" s="199">
        <v>1</v>
      </c>
      <c r="I71" s="199">
        <v>1</v>
      </c>
      <c r="J71" s="199">
        <v>1</v>
      </c>
      <c r="K71" s="199">
        <v>1</v>
      </c>
      <c r="L71" s="199">
        <v>1</v>
      </c>
      <c r="M71" s="199">
        <v>1</v>
      </c>
      <c r="N71" s="199">
        <v>1</v>
      </c>
      <c r="O71" s="199">
        <v>1</v>
      </c>
      <c r="P71" s="200">
        <v>1</v>
      </c>
      <c r="Q71" s="198">
        <v>1</v>
      </c>
      <c r="R71" s="199">
        <v>1</v>
      </c>
      <c r="S71" s="199">
        <v>1</v>
      </c>
      <c r="T71" s="199">
        <v>1</v>
      </c>
      <c r="U71" s="199">
        <v>1</v>
      </c>
      <c r="V71" s="199">
        <v>1</v>
      </c>
      <c r="W71" s="199">
        <v>1</v>
      </c>
      <c r="X71" s="200">
        <v>1</v>
      </c>
      <c r="Y71" s="171"/>
      <c r="Z71" s="172"/>
    </row>
    <row r="72" spans="1:26" ht="42.75" outlineLevel="3">
      <c r="A72" s="18">
        <v>5</v>
      </c>
      <c r="B72" s="147" t="s">
        <v>1238</v>
      </c>
      <c r="C72" s="155">
        <v>0.04</v>
      </c>
      <c r="D72" s="189">
        <f t="shared" si="13"/>
        <v>9.6991070054712545E-4</v>
      </c>
      <c r="E72" s="198">
        <v>1</v>
      </c>
      <c r="F72" s="199">
        <v>1</v>
      </c>
      <c r="G72" s="199">
        <v>1</v>
      </c>
      <c r="H72" s="199">
        <v>1</v>
      </c>
      <c r="I72" s="199">
        <v>1</v>
      </c>
      <c r="J72" s="199">
        <v>1</v>
      </c>
      <c r="K72" s="199">
        <v>1</v>
      </c>
      <c r="L72" s="199">
        <v>1</v>
      </c>
      <c r="M72" s="199">
        <v>1</v>
      </c>
      <c r="N72" s="199">
        <v>1</v>
      </c>
      <c r="O72" s="199">
        <v>1</v>
      </c>
      <c r="P72" s="200">
        <v>1</v>
      </c>
      <c r="Q72" s="198">
        <v>1</v>
      </c>
      <c r="R72" s="199">
        <v>1</v>
      </c>
      <c r="S72" s="199">
        <v>1</v>
      </c>
      <c r="T72" s="199">
        <v>1</v>
      </c>
      <c r="U72" s="199">
        <v>1</v>
      </c>
      <c r="V72" s="199">
        <v>1</v>
      </c>
      <c r="W72" s="199">
        <v>1</v>
      </c>
      <c r="X72" s="200">
        <v>1</v>
      </c>
      <c r="Y72" s="171"/>
      <c r="Z72" s="172"/>
    </row>
    <row r="73" spans="1:26" ht="28.5" outlineLevel="3">
      <c r="A73" s="190">
        <f t="shared" ref="A73" si="17">+A72+1</f>
        <v>6</v>
      </c>
      <c r="B73" s="147" t="s">
        <v>1239</v>
      </c>
      <c r="C73" s="155">
        <v>0.01</v>
      </c>
      <c r="D73" s="189">
        <f t="shared" si="13"/>
        <v>2.4247767513678136E-4</v>
      </c>
      <c r="E73" s="198">
        <v>1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>
        <v>1</v>
      </c>
      <c r="M73" s="199">
        <v>1</v>
      </c>
      <c r="N73" s="199">
        <v>1</v>
      </c>
      <c r="O73" s="199">
        <v>1</v>
      </c>
      <c r="P73" s="200">
        <v>1</v>
      </c>
      <c r="Q73" s="198">
        <v>1</v>
      </c>
      <c r="R73" s="199">
        <v>1</v>
      </c>
      <c r="S73" s="199">
        <v>1</v>
      </c>
      <c r="T73" s="199">
        <v>1</v>
      </c>
      <c r="U73" s="199">
        <v>1</v>
      </c>
      <c r="V73" s="199">
        <v>1</v>
      </c>
      <c r="W73" s="199">
        <v>1</v>
      </c>
      <c r="X73" s="200">
        <v>1</v>
      </c>
      <c r="Y73" s="171"/>
      <c r="Z73" s="172"/>
    </row>
    <row r="74" spans="1:26" outlineLevel="2">
      <c r="A74" s="187">
        <v>3.2</v>
      </c>
      <c r="B74" s="142" t="s">
        <v>1240</v>
      </c>
      <c r="C74" s="157">
        <f>+SUM(C75:C84)</f>
        <v>1</v>
      </c>
      <c r="D74" s="188">
        <f>+D63</f>
        <v>2.4247767513678135E-2</v>
      </c>
      <c r="E74" s="17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74"/>
      <c r="Q74" s="173"/>
      <c r="R74" s="143"/>
      <c r="S74" s="143"/>
      <c r="T74" s="143"/>
      <c r="U74" s="143"/>
      <c r="V74" s="143"/>
      <c r="W74" s="143"/>
      <c r="X74" s="174"/>
      <c r="Y74" s="173"/>
      <c r="Z74" s="174"/>
    </row>
    <row r="75" spans="1:26" ht="57" outlineLevel="3">
      <c r="A75" s="18">
        <v>1</v>
      </c>
      <c r="B75" s="147" t="s">
        <v>1230</v>
      </c>
      <c r="C75" s="155">
        <v>0.43</v>
      </c>
      <c r="D75" s="189">
        <f t="shared" ref="D75:D84" si="18">+C75*$D$63</f>
        <v>1.0426540030881597E-2</v>
      </c>
      <c r="E75" s="198">
        <v>1</v>
      </c>
      <c r="F75" s="199">
        <v>1</v>
      </c>
      <c r="G75" s="199">
        <v>1</v>
      </c>
      <c r="H75" s="199">
        <v>1</v>
      </c>
      <c r="I75" s="199">
        <v>1</v>
      </c>
      <c r="J75" s="199">
        <v>1</v>
      </c>
      <c r="K75" s="199">
        <v>1</v>
      </c>
      <c r="L75" s="199">
        <v>1</v>
      </c>
      <c r="M75" s="199">
        <v>1</v>
      </c>
      <c r="N75" s="199">
        <v>1</v>
      </c>
      <c r="O75" s="199">
        <v>1</v>
      </c>
      <c r="P75" s="200">
        <v>1</v>
      </c>
      <c r="Q75" s="198">
        <v>1</v>
      </c>
      <c r="R75" s="199">
        <v>1</v>
      </c>
      <c r="S75" s="199">
        <v>1</v>
      </c>
      <c r="T75" s="199">
        <v>1</v>
      </c>
      <c r="U75" s="199">
        <v>1</v>
      </c>
      <c r="V75" s="199">
        <v>1</v>
      </c>
      <c r="W75" s="199">
        <v>1</v>
      </c>
      <c r="X75" s="200">
        <v>1</v>
      </c>
      <c r="Y75" s="171"/>
      <c r="Z75" s="172"/>
    </row>
    <row r="76" spans="1:26" outlineLevel="3">
      <c r="A76" s="190">
        <f>+A75+1</f>
        <v>2</v>
      </c>
      <c r="B76" s="162" t="s">
        <v>1231</v>
      </c>
      <c r="C76" s="163">
        <v>0.15</v>
      </c>
      <c r="D76" s="189">
        <f t="shared" si="18"/>
        <v>3.6371651270517202E-3</v>
      </c>
      <c r="E76" s="198">
        <v>1</v>
      </c>
      <c r="F76" s="199">
        <v>1</v>
      </c>
      <c r="G76" s="199">
        <v>1</v>
      </c>
      <c r="H76" s="199">
        <v>1</v>
      </c>
      <c r="I76" s="199">
        <v>1</v>
      </c>
      <c r="J76" s="199">
        <v>1</v>
      </c>
      <c r="K76" s="199">
        <v>1</v>
      </c>
      <c r="L76" s="199">
        <v>1</v>
      </c>
      <c r="M76" s="199">
        <v>1</v>
      </c>
      <c r="N76" s="199">
        <v>1</v>
      </c>
      <c r="O76" s="199">
        <v>1</v>
      </c>
      <c r="P76" s="200">
        <v>1</v>
      </c>
      <c r="Q76" s="198">
        <v>1</v>
      </c>
      <c r="R76" s="199">
        <v>1</v>
      </c>
      <c r="S76" s="199">
        <v>1</v>
      </c>
      <c r="T76" s="199">
        <v>1</v>
      </c>
      <c r="U76" s="199">
        <v>1</v>
      </c>
      <c r="V76" s="199">
        <v>1</v>
      </c>
      <c r="W76" s="199">
        <v>1</v>
      </c>
      <c r="X76" s="200">
        <v>1</v>
      </c>
      <c r="Y76" s="171"/>
      <c r="Z76" s="172"/>
    </row>
    <row r="77" spans="1:26" ht="28.5" outlineLevel="3">
      <c r="A77" s="18">
        <v>2</v>
      </c>
      <c r="B77" s="147" t="s">
        <v>1232</v>
      </c>
      <c r="C77" s="155">
        <v>0.2</v>
      </c>
      <c r="D77" s="189">
        <f t="shared" si="18"/>
        <v>4.8495535027356269E-3</v>
      </c>
      <c r="E77" s="198">
        <v>1</v>
      </c>
      <c r="F77" s="199">
        <v>1</v>
      </c>
      <c r="G77" s="199">
        <v>1</v>
      </c>
      <c r="H77" s="199">
        <v>1</v>
      </c>
      <c r="I77" s="199">
        <v>1</v>
      </c>
      <c r="J77" s="199">
        <v>1</v>
      </c>
      <c r="K77" s="199">
        <v>1</v>
      </c>
      <c r="L77" s="199">
        <v>1</v>
      </c>
      <c r="M77" s="199">
        <v>1</v>
      </c>
      <c r="N77" s="199">
        <v>1</v>
      </c>
      <c r="O77" s="199">
        <v>1</v>
      </c>
      <c r="P77" s="200">
        <v>1</v>
      </c>
      <c r="Q77" s="198">
        <v>1</v>
      </c>
      <c r="R77" s="199">
        <v>1</v>
      </c>
      <c r="S77" s="199">
        <v>1</v>
      </c>
      <c r="T77" s="199">
        <v>1</v>
      </c>
      <c r="U77" s="199">
        <v>1</v>
      </c>
      <c r="V77" s="199">
        <v>1</v>
      </c>
      <c r="W77" s="199">
        <v>1</v>
      </c>
      <c r="X77" s="200">
        <v>1</v>
      </c>
      <c r="Y77" s="171"/>
      <c r="Z77" s="172"/>
    </row>
    <row r="78" spans="1:26" outlineLevel="3">
      <c r="A78" s="190">
        <f t="shared" ref="A78" si="19">+A77+1</f>
        <v>3</v>
      </c>
      <c r="B78" s="162" t="s">
        <v>1233</v>
      </c>
      <c r="C78" s="155">
        <v>0.14000000000000001</v>
      </c>
      <c r="D78" s="189">
        <f t="shared" si="18"/>
        <v>3.394687451914939E-3</v>
      </c>
      <c r="E78" s="198">
        <v>1</v>
      </c>
      <c r="F78" s="199">
        <v>1</v>
      </c>
      <c r="G78" s="199">
        <v>1</v>
      </c>
      <c r="H78" s="199">
        <v>1</v>
      </c>
      <c r="I78" s="199">
        <v>1</v>
      </c>
      <c r="J78" s="199">
        <v>1</v>
      </c>
      <c r="K78" s="199">
        <v>1</v>
      </c>
      <c r="L78" s="199">
        <v>1</v>
      </c>
      <c r="M78" s="199">
        <v>1</v>
      </c>
      <c r="N78" s="199">
        <v>1</v>
      </c>
      <c r="O78" s="199">
        <v>1</v>
      </c>
      <c r="P78" s="200">
        <v>1</v>
      </c>
      <c r="Q78" s="198">
        <v>1</v>
      </c>
      <c r="R78" s="199">
        <v>1</v>
      </c>
      <c r="S78" s="199">
        <v>1</v>
      </c>
      <c r="T78" s="199">
        <v>1</v>
      </c>
      <c r="U78" s="199">
        <v>1</v>
      </c>
      <c r="V78" s="199">
        <v>1</v>
      </c>
      <c r="W78" s="199">
        <v>1</v>
      </c>
      <c r="X78" s="200">
        <v>1</v>
      </c>
      <c r="Y78" s="171"/>
      <c r="Z78" s="172"/>
    </row>
    <row r="79" spans="1:26" ht="42.75" outlineLevel="3">
      <c r="A79" s="18">
        <v>3</v>
      </c>
      <c r="B79" s="147" t="s">
        <v>1234</v>
      </c>
      <c r="C79" s="155">
        <v>0.01</v>
      </c>
      <c r="D79" s="189">
        <f t="shared" si="18"/>
        <v>2.4247767513678136E-4</v>
      </c>
      <c r="E79" s="198">
        <v>1</v>
      </c>
      <c r="F79" s="199">
        <v>1</v>
      </c>
      <c r="G79" s="199">
        <v>1</v>
      </c>
      <c r="H79" s="199">
        <v>1</v>
      </c>
      <c r="I79" s="199">
        <v>1</v>
      </c>
      <c r="J79" s="199">
        <v>1</v>
      </c>
      <c r="K79" s="199">
        <v>1</v>
      </c>
      <c r="L79" s="199">
        <v>1</v>
      </c>
      <c r="M79" s="199">
        <v>1</v>
      </c>
      <c r="N79" s="199">
        <v>1</v>
      </c>
      <c r="O79" s="199">
        <v>1</v>
      </c>
      <c r="P79" s="200">
        <v>1</v>
      </c>
      <c r="Q79" s="198">
        <v>1</v>
      </c>
      <c r="R79" s="199">
        <v>1</v>
      </c>
      <c r="S79" s="199">
        <v>1</v>
      </c>
      <c r="T79" s="199">
        <v>1</v>
      </c>
      <c r="U79" s="199">
        <v>1</v>
      </c>
      <c r="V79" s="199">
        <v>1</v>
      </c>
      <c r="W79" s="199">
        <v>1</v>
      </c>
      <c r="X79" s="200">
        <v>1</v>
      </c>
      <c r="Y79" s="171"/>
      <c r="Z79" s="172"/>
    </row>
    <row r="80" spans="1:26" ht="28.5" outlineLevel="3">
      <c r="A80" s="190">
        <f t="shared" ref="A80" si="20">+A79+1</f>
        <v>4</v>
      </c>
      <c r="B80" s="147" t="s">
        <v>1235</v>
      </c>
      <c r="C80" s="155">
        <v>5.0000000000000001E-3</v>
      </c>
      <c r="D80" s="189">
        <f t="shared" si="18"/>
        <v>1.2123883756839068E-4</v>
      </c>
      <c r="E80" s="198">
        <v>1</v>
      </c>
      <c r="F80" s="199">
        <v>1</v>
      </c>
      <c r="G80" s="199">
        <v>1</v>
      </c>
      <c r="H80" s="199">
        <v>1</v>
      </c>
      <c r="I80" s="199">
        <v>1</v>
      </c>
      <c r="J80" s="199">
        <v>1</v>
      </c>
      <c r="K80" s="199">
        <v>1</v>
      </c>
      <c r="L80" s="199">
        <v>1</v>
      </c>
      <c r="M80" s="199">
        <v>1</v>
      </c>
      <c r="N80" s="199">
        <v>1</v>
      </c>
      <c r="O80" s="199">
        <v>1</v>
      </c>
      <c r="P80" s="200">
        <v>1</v>
      </c>
      <c r="Q80" s="198">
        <v>1</v>
      </c>
      <c r="R80" s="199">
        <v>1</v>
      </c>
      <c r="S80" s="199">
        <v>1</v>
      </c>
      <c r="T80" s="199">
        <v>1</v>
      </c>
      <c r="U80" s="199">
        <v>1</v>
      </c>
      <c r="V80" s="199">
        <v>1</v>
      </c>
      <c r="W80" s="199">
        <v>1</v>
      </c>
      <c r="X80" s="200">
        <v>1</v>
      </c>
      <c r="Y80" s="171"/>
      <c r="Z80" s="172"/>
    </row>
    <row r="81" spans="1:26" ht="28.5" outlineLevel="3">
      <c r="A81" s="18">
        <v>4</v>
      </c>
      <c r="B81" s="147" t="s">
        <v>1236</v>
      </c>
      <c r="C81" s="155">
        <v>0.01</v>
      </c>
      <c r="D81" s="189">
        <f t="shared" si="18"/>
        <v>2.4247767513678136E-4</v>
      </c>
      <c r="E81" s="198">
        <v>1</v>
      </c>
      <c r="F81" s="199">
        <v>1</v>
      </c>
      <c r="G81" s="199">
        <v>1</v>
      </c>
      <c r="H81" s="199">
        <v>1</v>
      </c>
      <c r="I81" s="199">
        <v>1</v>
      </c>
      <c r="J81" s="199">
        <v>1</v>
      </c>
      <c r="K81" s="199">
        <v>1</v>
      </c>
      <c r="L81" s="199">
        <v>1</v>
      </c>
      <c r="M81" s="199">
        <v>1</v>
      </c>
      <c r="N81" s="199">
        <v>1</v>
      </c>
      <c r="O81" s="199">
        <v>1</v>
      </c>
      <c r="P81" s="200">
        <v>1</v>
      </c>
      <c r="Q81" s="198">
        <v>1</v>
      </c>
      <c r="R81" s="199">
        <v>1</v>
      </c>
      <c r="S81" s="199">
        <v>1</v>
      </c>
      <c r="T81" s="199">
        <v>1</v>
      </c>
      <c r="U81" s="199">
        <v>1</v>
      </c>
      <c r="V81" s="199">
        <v>1</v>
      </c>
      <c r="W81" s="199">
        <v>1</v>
      </c>
      <c r="X81" s="200">
        <v>1</v>
      </c>
      <c r="Y81" s="171"/>
      <c r="Z81" s="172"/>
    </row>
    <row r="82" spans="1:26" outlineLevel="3">
      <c r="A82" s="190">
        <f t="shared" ref="A82" si="21">+A81+1</f>
        <v>5</v>
      </c>
      <c r="B82" s="147" t="s">
        <v>1237</v>
      </c>
      <c r="C82" s="155">
        <v>5.0000000000000001E-3</v>
      </c>
      <c r="D82" s="189">
        <f t="shared" si="18"/>
        <v>1.2123883756839068E-4</v>
      </c>
      <c r="E82" s="198">
        <v>1</v>
      </c>
      <c r="F82" s="199">
        <v>1</v>
      </c>
      <c r="G82" s="199">
        <v>1</v>
      </c>
      <c r="H82" s="199">
        <v>1</v>
      </c>
      <c r="I82" s="199">
        <v>1</v>
      </c>
      <c r="J82" s="199">
        <v>1</v>
      </c>
      <c r="K82" s="199">
        <v>1</v>
      </c>
      <c r="L82" s="199">
        <v>1</v>
      </c>
      <c r="M82" s="199">
        <v>1</v>
      </c>
      <c r="N82" s="199">
        <v>1</v>
      </c>
      <c r="O82" s="199">
        <v>1</v>
      </c>
      <c r="P82" s="200">
        <v>1</v>
      </c>
      <c r="Q82" s="198">
        <v>1</v>
      </c>
      <c r="R82" s="199">
        <v>1</v>
      </c>
      <c r="S82" s="199">
        <v>1</v>
      </c>
      <c r="T82" s="199">
        <v>1</v>
      </c>
      <c r="U82" s="199">
        <v>1</v>
      </c>
      <c r="V82" s="199">
        <v>1</v>
      </c>
      <c r="W82" s="199">
        <v>1</v>
      </c>
      <c r="X82" s="200">
        <v>1</v>
      </c>
      <c r="Y82" s="171"/>
      <c r="Z82" s="172"/>
    </row>
    <row r="83" spans="1:26" ht="42.75" outlineLevel="3">
      <c r="A83" s="18">
        <v>5</v>
      </c>
      <c r="B83" s="147" t="s">
        <v>1238</v>
      </c>
      <c r="C83" s="155">
        <v>0.04</v>
      </c>
      <c r="D83" s="189">
        <f t="shared" si="18"/>
        <v>9.6991070054712545E-4</v>
      </c>
      <c r="E83" s="198">
        <v>1</v>
      </c>
      <c r="F83" s="199">
        <v>1</v>
      </c>
      <c r="G83" s="199">
        <v>1</v>
      </c>
      <c r="H83" s="199">
        <v>1</v>
      </c>
      <c r="I83" s="199">
        <v>1</v>
      </c>
      <c r="J83" s="199">
        <v>1</v>
      </c>
      <c r="K83" s="199">
        <v>1</v>
      </c>
      <c r="L83" s="199">
        <v>1</v>
      </c>
      <c r="M83" s="199">
        <v>1</v>
      </c>
      <c r="N83" s="199">
        <v>1</v>
      </c>
      <c r="O83" s="199">
        <v>1</v>
      </c>
      <c r="P83" s="200">
        <v>1</v>
      </c>
      <c r="Q83" s="198">
        <v>1</v>
      </c>
      <c r="R83" s="199">
        <v>1</v>
      </c>
      <c r="S83" s="199">
        <v>1</v>
      </c>
      <c r="T83" s="199">
        <v>1</v>
      </c>
      <c r="U83" s="199">
        <v>1</v>
      </c>
      <c r="V83" s="199">
        <v>1</v>
      </c>
      <c r="W83" s="199">
        <v>1</v>
      </c>
      <c r="X83" s="200">
        <v>1</v>
      </c>
      <c r="Y83" s="171"/>
      <c r="Z83" s="172"/>
    </row>
    <row r="84" spans="1:26" ht="28.5" outlineLevel="3">
      <c r="A84" s="190">
        <f t="shared" ref="A84" si="22">+A83+1</f>
        <v>6</v>
      </c>
      <c r="B84" s="147" t="s">
        <v>1239</v>
      </c>
      <c r="C84" s="155">
        <v>0.01</v>
      </c>
      <c r="D84" s="189">
        <f t="shared" si="18"/>
        <v>2.4247767513678136E-4</v>
      </c>
      <c r="E84" s="198">
        <v>1</v>
      </c>
      <c r="F84" s="199">
        <v>1</v>
      </c>
      <c r="G84" s="199">
        <v>1</v>
      </c>
      <c r="H84" s="199">
        <v>1</v>
      </c>
      <c r="I84" s="199">
        <v>1</v>
      </c>
      <c r="J84" s="199">
        <v>1</v>
      </c>
      <c r="K84" s="199">
        <v>1</v>
      </c>
      <c r="L84" s="199">
        <v>1</v>
      </c>
      <c r="M84" s="199">
        <v>1</v>
      </c>
      <c r="N84" s="199">
        <v>1</v>
      </c>
      <c r="O84" s="199">
        <v>1</v>
      </c>
      <c r="P84" s="200">
        <v>1</v>
      </c>
      <c r="Q84" s="198">
        <v>1</v>
      </c>
      <c r="R84" s="199">
        <v>1</v>
      </c>
      <c r="S84" s="199">
        <v>1</v>
      </c>
      <c r="T84" s="199">
        <v>1</v>
      </c>
      <c r="U84" s="199">
        <v>1</v>
      </c>
      <c r="V84" s="199">
        <v>1</v>
      </c>
      <c r="W84" s="199">
        <v>1</v>
      </c>
      <c r="X84" s="200">
        <v>1</v>
      </c>
      <c r="Y84" s="171"/>
      <c r="Z84" s="172"/>
    </row>
    <row r="85" spans="1:26" outlineLevel="2">
      <c r="A85" s="187">
        <v>3.3</v>
      </c>
      <c r="B85" s="142" t="s">
        <v>1241</v>
      </c>
      <c r="C85" s="157">
        <f>+SUM(C86:C95)</f>
        <v>1</v>
      </c>
      <c r="D85" s="188">
        <f>+D74</f>
        <v>2.4247767513678135E-2</v>
      </c>
      <c r="E85" s="17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74"/>
      <c r="Q85" s="173"/>
      <c r="R85" s="143"/>
      <c r="S85" s="143"/>
      <c r="T85" s="143"/>
      <c r="U85" s="143"/>
      <c r="V85" s="143"/>
      <c r="W85" s="143"/>
      <c r="X85" s="174"/>
      <c r="Y85" s="173"/>
      <c r="Z85" s="174"/>
    </row>
    <row r="86" spans="1:26" ht="57" outlineLevel="3">
      <c r="A86" s="18">
        <v>1</v>
      </c>
      <c r="B86" s="147" t="s">
        <v>1230</v>
      </c>
      <c r="C86" s="155">
        <v>0.43</v>
      </c>
      <c r="D86" s="189">
        <f t="shared" ref="D86:D95" si="23">+C86*$D$63</f>
        <v>1.0426540030881597E-2</v>
      </c>
      <c r="E86" s="198">
        <v>1</v>
      </c>
      <c r="F86" s="199">
        <v>1</v>
      </c>
      <c r="G86" s="199">
        <v>1</v>
      </c>
      <c r="H86" s="199">
        <v>1</v>
      </c>
      <c r="I86" s="199">
        <v>1</v>
      </c>
      <c r="J86" s="199">
        <v>1</v>
      </c>
      <c r="K86" s="199">
        <v>1</v>
      </c>
      <c r="L86" s="199">
        <v>1</v>
      </c>
      <c r="M86" s="199">
        <v>1</v>
      </c>
      <c r="N86" s="199">
        <v>1</v>
      </c>
      <c r="O86" s="199">
        <v>1</v>
      </c>
      <c r="P86" s="200">
        <v>1</v>
      </c>
      <c r="Q86" s="198">
        <v>1</v>
      </c>
      <c r="R86" s="199">
        <v>1</v>
      </c>
      <c r="S86" s="199">
        <v>1</v>
      </c>
      <c r="T86" s="199">
        <v>1</v>
      </c>
      <c r="U86" s="199">
        <v>1</v>
      </c>
      <c r="V86" s="199">
        <v>1</v>
      </c>
      <c r="W86" s="199">
        <v>1</v>
      </c>
      <c r="X86" s="200">
        <v>1</v>
      </c>
      <c r="Y86" s="171"/>
      <c r="Z86" s="172"/>
    </row>
    <row r="87" spans="1:26" outlineLevel="3">
      <c r="A87" s="190">
        <f>+A86+1</f>
        <v>2</v>
      </c>
      <c r="B87" s="162" t="s">
        <v>1231</v>
      </c>
      <c r="C87" s="163">
        <v>0.15</v>
      </c>
      <c r="D87" s="189">
        <f t="shared" si="23"/>
        <v>3.6371651270517202E-3</v>
      </c>
      <c r="E87" s="198">
        <v>1</v>
      </c>
      <c r="F87" s="199">
        <v>1</v>
      </c>
      <c r="G87" s="199">
        <v>1</v>
      </c>
      <c r="H87" s="199">
        <v>1</v>
      </c>
      <c r="I87" s="199">
        <v>1</v>
      </c>
      <c r="J87" s="199">
        <v>1</v>
      </c>
      <c r="K87" s="199">
        <v>1</v>
      </c>
      <c r="L87" s="199">
        <v>1</v>
      </c>
      <c r="M87" s="199">
        <v>1</v>
      </c>
      <c r="N87" s="199">
        <v>1</v>
      </c>
      <c r="O87" s="199">
        <v>1</v>
      </c>
      <c r="P87" s="200">
        <v>1</v>
      </c>
      <c r="Q87" s="198">
        <v>1</v>
      </c>
      <c r="R87" s="199">
        <v>1</v>
      </c>
      <c r="S87" s="199">
        <v>1</v>
      </c>
      <c r="T87" s="199">
        <v>1</v>
      </c>
      <c r="U87" s="199">
        <v>1</v>
      </c>
      <c r="V87" s="199">
        <v>1</v>
      </c>
      <c r="W87" s="199">
        <v>1</v>
      </c>
      <c r="X87" s="200">
        <v>1</v>
      </c>
      <c r="Y87" s="171"/>
      <c r="Z87" s="172"/>
    </row>
    <row r="88" spans="1:26" ht="28.5" outlineLevel="3">
      <c r="A88" s="18">
        <v>2</v>
      </c>
      <c r="B88" s="147" t="s">
        <v>1232</v>
      </c>
      <c r="C88" s="155">
        <v>0.2</v>
      </c>
      <c r="D88" s="189">
        <f t="shared" si="23"/>
        <v>4.8495535027356269E-3</v>
      </c>
      <c r="E88" s="198">
        <v>1</v>
      </c>
      <c r="F88" s="199">
        <v>1</v>
      </c>
      <c r="G88" s="199">
        <v>1</v>
      </c>
      <c r="H88" s="199">
        <v>1</v>
      </c>
      <c r="I88" s="199">
        <v>1</v>
      </c>
      <c r="J88" s="199">
        <v>1</v>
      </c>
      <c r="K88" s="199">
        <v>1</v>
      </c>
      <c r="L88" s="199">
        <v>1</v>
      </c>
      <c r="M88" s="199">
        <v>1</v>
      </c>
      <c r="N88" s="199">
        <v>1</v>
      </c>
      <c r="O88" s="199">
        <v>1</v>
      </c>
      <c r="P88" s="200">
        <v>1</v>
      </c>
      <c r="Q88" s="198">
        <v>1</v>
      </c>
      <c r="R88" s="199">
        <v>1</v>
      </c>
      <c r="S88" s="199">
        <v>1</v>
      </c>
      <c r="T88" s="199">
        <v>1</v>
      </c>
      <c r="U88" s="199">
        <v>1</v>
      </c>
      <c r="V88" s="199">
        <v>1</v>
      </c>
      <c r="W88" s="199">
        <v>1</v>
      </c>
      <c r="X88" s="200">
        <v>1</v>
      </c>
      <c r="Y88" s="171"/>
      <c r="Z88" s="172"/>
    </row>
    <row r="89" spans="1:26" outlineLevel="3">
      <c r="A89" s="190">
        <f t="shared" ref="A89" si="24">+A88+1</f>
        <v>3</v>
      </c>
      <c r="B89" s="162" t="s">
        <v>1233</v>
      </c>
      <c r="C89" s="155">
        <v>0.14000000000000001</v>
      </c>
      <c r="D89" s="189">
        <f t="shared" si="23"/>
        <v>3.394687451914939E-3</v>
      </c>
      <c r="E89" s="198">
        <v>1</v>
      </c>
      <c r="F89" s="199">
        <v>1</v>
      </c>
      <c r="G89" s="199">
        <v>1</v>
      </c>
      <c r="H89" s="199">
        <v>1</v>
      </c>
      <c r="I89" s="199">
        <v>1</v>
      </c>
      <c r="J89" s="199">
        <v>1</v>
      </c>
      <c r="K89" s="199">
        <v>1</v>
      </c>
      <c r="L89" s="199">
        <v>1</v>
      </c>
      <c r="M89" s="199">
        <v>1</v>
      </c>
      <c r="N89" s="199">
        <v>1</v>
      </c>
      <c r="O89" s="199">
        <v>1</v>
      </c>
      <c r="P89" s="200">
        <v>1</v>
      </c>
      <c r="Q89" s="198">
        <v>1</v>
      </c>
      <c r="R89" s="199">
        <v>1</v>
      </c>
      <c r="S89" s="199">
        <v>1</v>
      </c>
      <c r="T89" s="199">
        <v>1</v>
      </c>
      <c r="U89" s="199">
        <v>1</v>
      </c>
      <c r="V89" s="199">
        <v>1</v>
      </c>
      <c r="W89" s="199">
        <v>1</v>
      </c>
      <c r="X89" s="200">
        <v>1</v>
      </c>
      <c r="Y89" s="171"/>
      <c r="Z89" s="172"/>
    </row>
    <row r="90" spans="1:26" ht="42.75" outlineLevel="3">
      <c r="A90" s="18">
        <v>3</v>
      </c>
      <c r="B90" s="147" t="s">
        <v>1234</v>
      </c>
      <c r="C90" s="155">
        <v>0.01</v>
      </c>
      <c r="D90" s="189">
        <f t="shared" si="23"/>
        <v>2.4247767513678136E-4</v>
      </c>
      <c r="E90" s="198">
        <v>1</v>
      </c>
      <c r="F90" s="199">
        <v>1</v>
      </c>
      <c r="G90" s="199">
        <v>1</v>
      </c>
      <c r="H90" s="199">
        <v>1</v>
      </c>
      <c r="I90" s="199">
        <v>1</v>
      </c>
      <c r="J90" s="199">
        <v>1</v>
      </c>
      <c r="K90" s="199">
        <v>1</v>
      </c>
      <c r="L90" s="199">
        <v>1</v>
      </c>
      <c r="M90" s="199">
        <v>1</v>
      </c>
      <c r="N90" s="199">
        <v>1</v>
      </c>
      <c r="O90" s="199">
        <v>1</v>
      </c>
      <c r="P90" s="200">
        <v>1</v>
      </c>
      <c r="Q90" s="198">
        <v>1</v>
      </c>
      <c r="R90" s="199">
        <v>1</v>
      </c>
      <c r="S90" s="199">
        <v>1</v>
      </c>
      <c r="T90" s="199">
        <v>1</v>
      </c>
      <c r="U90" s="199">
        <v>1</v>
      </c>
      <c r="V90" s="199">
        <v>1</v>
      </c>
      <c r="W90" s="199">
        <v>1</v>
      </c>
      <c r="X90" s="200">
        <v>1</v>
      </c>
      <c r="Y90" s="171"/>
      <c r="Z90" s="172"/>
    </row>
    <row r="91" spans="1:26" ht="28.5" outlineLevel="3">
      <c r="A91" s="190">
        <f t="shared" ref="A91" si="25">+A90+1</f>
        <v>4</v>
      </c>
      <c r="B91" s="147" t="s">
        <v>1235</v>
      </c>
      <c r="C91" s="155">
        <v>5.0000000000000001E-3</v>
      </c>
      <c r="D91" s="189">
        <f t="shared" si="23"/>
        <v>1.2123883756839068E-4</v>
      </c>
      <c r="E91" s="198">
        <v>1</v>
      </c>
      <c r="F91" s="199">
        <v>1</v>
      </c>
      <c r="G91" s="199">
        <v>1</v>
      </c>
      <c r="H91" s="199">
        <v>1</v>
      </c>
      <c r="I91" s="199">
        <v>1</v>
      </c>
      <c r="J91" s="199">
        <v>1</v>
      </c>
      <c r="K91" s="199">
        <v>1</v>
      </c>
      <c r="L91" s="199">
        <v>1</v>
      </c>
      <c r="M91" s="199">
        <v>1</v>
      </c>
      <c r="N91" s="199">
        <v>1</v>
      </c>
      <c r="O91" s="199">
        <v>1</v>
      </c>
      <c r="P91" s="200">
        <v>1</v>
      </c>
      <c r="Q91" s="198">
        <v>1</v>
      </c>
      <c r="R91" s="199">
        <v>1</v>
      </c>
      <c r="S91" s="199">
        <v>1</v>
      </c>
      <c r="T91" s="199">
        <v>1</v>
      </c>
      <c r="U91" s="199">
        <v>1</v>
      </c>
      <c r="V91" s="199">
        <v>1</v>
      </c>
      <c r="W91" s="199">
        <v>1</v>
      </c>
      <c r="X91" s="200">
        <v>1</v>
      </c>
      <c r="Y91" s="171"/>
      <c r="Z91" s="172"/>
    </row>
    <row r="92" spans="1:26" ht="28.5" outlineLevel="3">
      <c r="A92" s="18">
        <v>4</v>
      </c>
      <c r="B92" s="147" t="s">
        <v>1236</v>
      </c>
      <c r="C92" s="155">
        <v>0.01</v>
      </c>
      <c r="D92" s="189">
        <f t="shared" si="23"/>
        <v>2.4247767513678136E-4</v>
      </c>
      <c r="E92" s="198">
        <v>1</v>
      </c>
      <c r="F92" s="199">
        <v>1</v>
      </c>
      <c r="G92" s="199">
        <v>1</v>
      </c>
      <c r="H92" s="199">
        <v>1</v>
      </c>
      <c r="I92" s="199">
        <v>1</v>
      </c>
      <c r="J92" s="199">
        <v>1</v>
      </c>
      <c r="K92" s="199">
        <v>1</v>
      </c>
      <c r="L92" s="199">
        <v>1</v>
      </c>
      <c r="M92" s="199">
        <v>1</v>
      </c>
      <c r="N92" s="199">
        <v>1</v>
      </c>
      <c r="O92" s="199">
        <v>1</v>
      </c>
      <c r="P92" s="200">
        <v>1</v>
      </c>
      <c r="Q92" s="198">
        <v>1</v>
      </c>
      <c r="R92" s="199">
        <v>1</v>
      </c>
      <c r="S92" s="199">
        <v>1</v>
      </c>
      <c r="T92" s="199">
        <v>1</v>
      </c>
      <c r="U92" s="199">
        <v>1</v>
      </c>
      <c r="V92" s="199">
        <v>1</v>
      </c>
      <c r="W92" s="199">
        <v>1</v>
      </c>
      <c r="X92" s="200">
        <v>1</v>
      </c>
      <c r="Y92" s="171"/>
      <c r="Z92" s="172"/>
    </row>
    <row r="93" spans="1:26" outlineLevel="3">
      <c r="A93" s="190">
        <f t="shared" ref="A93" si="26">+A92+1</f>
        <v>5</v>
      </c>
      <c r="B93" s="147" t="s">
        <v>1237</v>
      </c>
      <c r="C93" s="155">
        <v>5.0000000000000001E-3</v>
      </c>
      <c r="D93" s="189">
        <f t="shared" si="23"/>
        <v>1.2123883756839068E-4</v>
      </c>
      <c r="E93" s="198">
        <v>1</v>
      </c>
      <c r="F93" s="199">
        <v>1</v>
      </c>
      <c r="G93" s="199">
        <v>1</v>
      </c>
      <c r="H93" s="199">
        <v>1</v>
      </c>
      <c r="I93" s="199">
        <v>1</v>
      </c>
      <c r="J93" s="199">
        <v>1</v>
      </c>
      <c r="K93" s="199">
        <v>1</v>
      </c>
      <c r="L93" s="199">
        <v>1</v>
      </c>
      <c r="M93" s="199">
        <v>1</v>
      </c>
      <c r="N93" s="199">
        <v>1</v>
      </c>
      <c r="O93" s="199">
        <v>1</v>
      </c>
      <c r="P93" s="200">
        <v>1</v>
      </c>
      <c r="Q93" s="198">
        <v>1</v>
      </c>
      <c r="R93" s="199">
        <v>1</v>
      </c>
      <c r="S93" s="199">
        <v>1</v>
      </c>
      <c r="T93" s="199">
        <v>1</v>
      </c>
      <c r="U93" s="199">
        <v>1</v>
      </c>
      <c r="V93" s="199">
        <v>1</v>
      </c>
      <c r="W93" s="199">
        <v>1</v>
      </c>
      <c r="X93" s="200">
        <v>1</v>
      </c>
      <c r="Y93" s="171"/>
      <c r="Z93" s="172"/>
    </row>
    <row r="94" spans="1:26" ht="42.75" outlineLevel="3">
      <c r="A94" s="18">
        <v>5</v>
      </c>
      <c r="B94" s="147" t="s">
        <v>1238</v>
      </c>
      <c r="C94" s="155">
        <v>0.04</v>
      </c>
      <c r="D94" s="189">
        <f t="shared" si="23"/>
        <v>9.6991070054712545E-4</v>
      </c>
      <c r="E94" s="198">
        <v>1</v>
      </c>
      <c r="F94" s="199">
        <v>1</v>
      </c>
      <c r="G94" s="199">
        <v>1</v>
      </c>
      <c r="H94" s="199">
        <v>1</v>
      </c>
      <c r="I94" s="199">
        <v>1</v>
      </c>
      <c r="J94" s="199">
        <v>1</v>
      </c>
      <c r="K94" s="199">
        <v>1</v>
      </c>
      <c r="L94" s="199">
        <v>1</v>
      </c>
      <c r="M94" s="199">
        <v>1</v>
      </c>
      <c r="N94" s="199">
        <v>1</v>
      </c>
      <c r="O94" s="199">
        <v>1</v>
      </c>
      <c r="P94" s="200">
        <v>1</v>
      </c>
      <c r="Q94" s="198">
        <v>1</v>
      </c>
      <c r="R94" s="199">
        <v>1</v>
      </c>
      <c r="S94" s="199">
        <v>1</v>
      </c>
      <c r="T94" s="199">
        <v>1</v>
      </c>
      <c r="U94" s="199">
        <v>1</v>
      </c>
      <c r="V94" s="199">
        <v>1</v>
      </c>
      <c r="W94" s="199">
        <v>1</v>
      </c>
      <c r="X94" s="200">
        <v>1</v>
      </c>
      <c r="Y94" s="171"/>
      <c r="Z94" s="172"/>
    </row>
    <row r="95" spans="1:26" ht="28.5" outlineLevel="3">
      <c r="A95" s="190">
        <f t="shared" ref="A95" si="27">+A94+1</f>
        <v>6</v>
      </c>
      <c r="B95" s="147" t="s">
        <v>1239</v>
      </c>
      <c r="C95" s="155">
        <v>0.01</v>
      </c>
      <c r="D95" s="189">
        <f t="shared" si="23"/>
        <v>2.4247767513678136E-4</v>
      </c>
      <c r="E95" s="198">
        <v>1</v>
      </c>
      <c r="F95" s="199">
        <v>1</v>
      </c>
      <c r="G95" s="199">
        <v>1</v>
      </c>
      <c r="H95" s="199">
        <v>1</v>
      </c>
      <c r="I95" s="199">
        <v>1</v>
      </c>
      <c r="J95" s="199">
        <v>1</v>
      </c>
      <c r="K95" s="199">
        <v>1</v>
      </c>
      <c r="L95" s="199">
        <v>1</v>
      </c>
      <c r="M95" s="199">
        <v>1</v>
      </c>
      <c r="N95" s="199">
        <v>1</v>
      </c>
      <c r="O95" s="199">
        <v>1</v>
      </c>
      <c r="P95" s="200">
        <v>1</v>
      </c>
      <c r="Q95" s="198">
        <v>1</v>
      </c>
      <c r="R95" s="199">
        <v>1</v>
      </c>
      <c r="S95" s="199">
        <v>1</v>
      </c>
      <c r="T95" s="199">
        <v>1</v>
      </c>
      <c r="U95" s="199">
        <v>1</v>
      </c>
      <c r="V95" s="199">
        <v>1</v>
      </c>
      <c r="W95" s="199">
        <v>1</v>
      </c>
      <c r="X95" s="200">
        <v>1</v>
      </c>
      <c r="Y95" s="171"/>
      <c r="Z95" s="172"/>
    </row>
    <row r="96" spans="1:26" outlineLevel="2">
      <c r="A96" s="187">
        <v>3.4</v>
      </c>
      <c r="B96" s="142" t="s">
        <v>1242</v>
      </c>
      <c r="C96" s="157">
        <f>+SUM(C97:C106)</f>
        <v>0</v>
      </c>
      <c r="D96" s="188">
        <f>+D85</f>
        <v>2.4247767513678135E-2</v>
      </c>
      <c r="E96" s="198">
        <v>1</v>
      </c>
      <c r="F96" s="199">
        <v>1</v>
      </c>
      <c r="G96" s="199">
        <v>1</v>
      </c>
      <c r="H96" s="199">
        <v>1</v>
      </c>
      <c r="I96" s="199">
        <v>1</v>
      </c>
      <c r="J96" s="199">
        <v>1</v>
      </c>
      <c r="K96" s="199">
        <v>1</v>
      </c>
      <c r="L96" s="199">
        <v>1</v>
      </c>
      <c r="M96" s="199">
        <v>1</v>
      </c>
      <c r="N96" s="199">
        <v>1</v>
      </c>
      <c r="O96" s="199">
        <v>1</v>
      </c>
      <c r="P96" s="200">
        <v>1</v>
      </c>
      <c r="Q96" s="198">
        <v>1</v>
      </c>
      <c r="R96" s="199">
        <v>1</v>
      </c>
      <c r="S96" s="199">
        <v>1</v>
      </c>
      <c r="T96" s="199">
        <v>1</v>
      </c>
      <c r="U96" s="199">
        <v>1</v>
      </c>
      <c r="V96" s="199">
        <v>1</v>
      </c>
      <c r="W96" s="199">
        <v>1</v>
      </c>
      <c r="X96" s="200">
        <v>1</v>
      </c>
      <c r="Y96" s="207"/>
      <c r="Z96" s="208"/>
    </row>
    <row r="97" spans="1:26" outlineLevel="2">
      <c r="A97" s="187">
        <v>3.5</v>
      </c>
      <c r="B97" s="142" t="s">
        <v>1243</v>
      </c>
      <c r="C97" s="157">
        <f>+SUM(C98:C107)</f>
        <v>0</v>
      </c>
      <c r="D97" s="188">
        <f t="shared" ref="D97:D102" si="28">+D96</f>
        <v>2.4247767513678135E-2</v>
      </c>
      <c r="E97" s="198">
        <v>1</v>
      </c>
      <c r="F97" s="199">
        <v>1</v>
      </c>
      <c r="G97" s="199">
        <v>1</v>
      </c>
      <c r="H97" s="199">
        <v>1</v>
      </c>
      <c r="I97" s="199">
        <v>1</v>
      </c>
      <c r="J97" s="199">
        <v>1</v>
      </c>
      <c r="K97" s="199">
        <v>1</v>
      </c>
      <c r="L97" s="199">
        <v>1</v>
      </c>
      <c r="M97" s="199">
        <v>1</v>
      </c>
      <c r="N97" s="199">
        <v>1</v>
      </c>
      <c r="O97" s="199">
        <v>1</v>
      </c>
      <c r="P97" s="200">
        <v>1</v>
      </c>
      <c r="Q97" s="198">
        <v>1</v>
      </c>
      <c r="R97" s="199">
        <v>1</v>
      </c>
      <c r="S97" s="199">
        <v>1</v>
      </c>
      <c r="T97" s="199">
        <v>1</v>
      </c>
      <c r="U97" s="199">
        <v>1</v>
      </c>
      <c r="V97" s="199">
        <v>1</v>
      </c>
      <c r="W97" s="199">
        <v>1</v>
      </c>
      <c r="X97" s="200">
        <v>1</v>
      </c>
      <c r="Y97" s="207"/>
      <c r="Z97" s="208"/>
    </row>
    <row r="98" spans="1:26" outlineLevel="2">
      <c r="A98" s="187">
        <v>3.6</v>
      </c>
      <c r="B98" s="142" t="s">
        <v>1244</v>
      </c>
      <c r="C98" s="157">
        <f>+SUM(C99:C108)</f>
        <v>0</v>
      </c>
      <c r="D98" s="188">
        <f t="shared" si="28"/>
        <v>2.4247767513678135E-2</v>
      </c>
      <c r="E98" s="198">
        <v>1</v>
      </c>
      <c r="F98" s="199">
        <v>1</v>
      </c>
      <c r="G98" s="199">
        <v>1</v>
      </c>
      <c r="H98" s="199">
        <v>1</v>
      </c>
      <c r="I98" s="199">
        <v>1</v>
      </c>
      <c r="J98" s="199">
        <v>1</v>
      </c>
      <c r="K98" s="199">
        <v>1</v>
      </c>
      <c r="L98" s="199">
        <v>1</v>
      </c>
      <c r="M98" s="199">
        <v>1</v>
      </c>
      <c r="N98" s="199">
        <v>1</v>
      </c>
      <c r="O98" s="199">
        <v>1</v>
      </c>
      <c r="P98" s="200">
        <v>1</v>
      </c>
      <c r="Q98" s="198">
        <v>1</v>
      </c>
      <c r="R98" s="199">
        <v>1</v>
      </c>
      <c r="S98" s="199">
        <v>1</v>
      </c>
      <c r="T98" s="199">
        <v>1</v>
      </c>
      <c r="U98" s="199">
        <v>1</v>
      </c>
      <c r="V98" s="199">
        <v>1</v>
      </c>
      <c r="W98" s="199">
        <v>1</v>
      </c>
      <c r="X98" s="200">
        <v>1</v>
      </c>
      <c r="Y98" s="207"/>
      <c r="Z98" s="208"/>
    </row>
    <row r="99" spans="1:26" outlineLevel="2">
      <c r="A99" s="187">
        <v>3.7</v>
      </c>
      <c r="B99" s="142" t="s">
        <v>1245</v>
      </c>
      <c r="C99" s="157">
        <f>+SUM(C100:C109)</f>
        <v>0</v>
      </c>
      <c r="D99" s="188">
        <f t="shared" si="28"/>
        <v>2.4247767513678135E-2</v>
      </c>
      <c r="E99" s="198">
        <v>1</v>
      </c>
      <c r="F99" s="199">
        <v>1</v>
      </c>
      <c r="G99" s="199">
        <v>1</v>
      </c>
      <c r="H99" s="199">
        <v>1</v>
      </c>
      <c r="I99" s="199">
        <v>1</v>
      </c>
      <c r="J99" s="199">
        <v>1</v>
      </c>
      <c r="K99" s="199">
        <v>1</v>
      </c>
      <c r="L99" s="199">
        <v>1</v>
      </c>
      <c r="M99" s="199">
        <v>1</v>
      </c>
      <c r="N99" s="199">
        <v>1</v>
      </c>
      <c r="O99" s="199">
        <v>1</v>
      </c>
      <c r="P99" s="200">
        <v>1</v>
      </c>
      <c r="Q99" s="198">
        <v>1</v>
      </c>
      <c r="R99" s="199">
        <v>1</v>
      </c>
      <c r="S99" s="199">
        <v>1</v>
      </c>
      <c r="T99" s="199">
        <v>1</v>
      </c>
      <c r="U99" s="199">
        <v>1</v>
      </c>
      <c r="V99" s="199">
        <v>1</v>
      </c>
      <c r="W99" s="199">
        <v>1</v>
      </c>
      <c r="X99" s="200">
        <v>1</v>
      </c>
      <c r="Y99" s="207"/>
      <c r="Z99" s="208"/>
    </row>
    <row r="100" spans="1:26" outlineLevel="2">
      <c r="A100" s="187">
        <v>3.8</v>
      </c>
      <c r="B100" s="142" t="s">
        <v>1246</v>
      </c>
      <c r="C100" s="157">
        <f>+SUM(C101:C110)</f>
        <v>0</v>
      </c>
      <c r="D100" s="188">
        <f t="shared" si="28"/>
        <v>2.4247767513678135E-2</v>
      </c>
      <c r="E100" s="198">
        <v>1</v>
      </c>
      <c r="F100" s="199">
        <v>1</v>
      </c>
      <c r="G100" s="199">
        <v>1</v>
      </c>
      <c r="H100" s="199">
        <v>1</v>
      </c>
      <c r="I100" s="199">
        <v>1</v>
      </c>
      <c r="J100" s="199">
        <v>1</v>
      </c>
      <c r="K100" s="199">
        <v>1</v>
      </c>
      <c r="L100" s="199">
        <v>1</v>
      </c>
      <c r="M100" s="199">
        <v>1</v>
      </c>
      <c r="N100" s="199">
        <v>1</v>
      </c>
      <c r="O100" s="199">
        <v>1</v>
      </c>
      <c r="P100" s="200">
        <v>1</v>
      </c>
      <c r="Q100" s="198">
        <v>1</v>
      </c>
      <c r="R100" s="199">
        <v>1</v>
      </c>
      <c r="S100" s="199">
        <v>1</v>
      </c>
      <c r="T100" s="199">
        <v>1</v>
      </c>
      <c r="U100" s="199">
        <v>1</v>
      </c>
      <c r="V100" s="199">
        <v>1</v>
      </c>
      <c r="W100" s="199">
        <v>1</v>
      </c>
      <c r="X100" s="200">
        <v>1</v>
      </c>
      <c r="Y100" s="207"/>
      <c r="Z100" s="208"/>
    </row>
    <row r="101" spans="1:26" outlineLevel="2">
      <c r="A101" s="187">
        <v>3.9</v>
      </c>
      <c r="B101" s="142" t="s">
        <v>1247</v>
      </c>
      <c r="C101" s="157">
        <v>0</v>
      </c>
      <c r="D101" s="188">
        <f t="shared" si="28"/>
        <v>2.4247767513678135E-2</v>
      </c>
      <c r="E101" s="198">
        <v>1</v>
      </c>
      <c r="F101" s="199">
        <v>1</v>
      </c>
      <c r="G101" s="199">
        <v>1</v>
      </c>
      <c r="H101" s="199">
        <v>1</v>
      </c>
      <c r="I101" s="199">
        <v>1</v>
      </c>
      <c r="J101" s="199">
        <v>1</v>
      </c>
      <c r="K101" s="199">
        <v>1</v>
      </c>
      <c r="L101" s="199">
        <v>1</v>
      </c>
      <c r="M101" s="199">
        <v>1</v>
      </c>
      <c r="N101" s="199">
        <v>1</v>
      </c>
      <c r="O101" s="199">
        <v>1</v>
      </c>
      <c r="P101" s="200">
        <v>1</v>
      </c>
      <c r="Q101" s="198">
        <v>1</v>
      </c>
      <c r="R101" s="199">
        <v>1</v>
      </c>
      <c r="S101" s="199">
        <v>1</v>
      </c>
      <c r="T101" s="199">
        <v>1</v>
      </c>
      <c r="U101" s="199">
        <v>1</v>
      </c>
      <c r="V101" s="199">
        <v>1</v>
      </c>
      <c r="W101" s="199">
        <v>1</v>
      </c>
      <c r="X101" s="200">
        <v>1</v>
      </c>
      <c r="Y101" s="207"/>
      <c r="Z101" s="208"/>
    </row>
    <row r="102" spans="1:26" outlineLevel="2">
      <c r="A102" s="191">
        <v>3.1</v>
      </c>
      <c r="B102" s="142" t="s">
        <v>1248</v>
      </c>
      <c r="C102" s="157">
        <v>0</v>
      </c>
      <c r="D102" s="188">
        <f t="shared" si="28"/>
        <v>2.4247767513678135E-2</v>
      </c>
      <c r="E102" s="198">
        <v>1</v>
      </c>
      <c r="F102" s="199">
        <v>1</v>
      </c>
      <c r="G102" s="199">
        <v>1</v>
      </c>
      <c r="H102" s="199">
        <v>1</v>
      </c>
      <c r="I102" s="199">
        <v>1</v>
      </c>
      <c r="J102" s="199">
        <v>1</v>
      </c>
      <c r="K102" s="199">
        <v>1</v>
      </c>
      <c r="L102" s="199">
        <v>1</v>
      </c>
      <c r="M102" s="199">
        <v>1</v>
      </c>
      <c r="N102" s="199">
        <v>1</v>
      </c>
      <c r="O102" s="199">
        <v>1</v>
      </c>
      <c r="P102" s="200">
        <v>1</v>
      </c>
      <c r="Q102" s="198">
        <v>1</v>
      </c>
      <c r="R102" s="199">
        <v>1</v>
      </c>
      <c r="S102" s="199">
        <v>1</v>
      </c>
      <c r="T102" s="199">
        <v>1</v>
      </c>
      <c r="U102" s="199">
        <v>1</v>
      </c>
      <c r="V102" s="199">
        <v>1</v>
      </c>
      <c r="W102" s="199">
        <v>1</v>
      </c>
      <c r="X102" s="200">
        <v>1</v>
      </c>
      <c r="Y102" s="207"/>
      <c r="Z102" s="208"/>
    </row>
    <row r="103" spans="1:26" outlineLevel="1">
      <c r="A103" s="187">
        <v>4</v>
      </c>
      <c r="B103" s="142" t="s">
        <v>1249</v>
      </c>
      <c r="C103" s="157"/>
      <c r="D103" s="188">
        <f>+'[2]Construction-87'!$L$72</f>
        <v>6.3205229478744906E-2</v>
      </c>
      <c r="E103" s="198">
        <v>1</v>
      </c>
      <c r="F103" s="199">
        <v>1</v>
      </c>
      <c r="G103" s="199">
        <v>1</v>
      </c>
      <c r="H103" s="199">
        <v>1</v>
      </c>
      <c r="I103" s="199">
        <v>1</v>
      </c>
      <c r="J103" s="199">
        <v>1</v>
      </c>
      <c r="K103" s="199">
        <v>1</v>
      </c>
      <c r="L103" s="199">
        <v>1</v>
      </c>
      <c r="M103" s="199">
        <v>1</v>
      </c>
      <c r="N103" s="199">
        <v>1</v>
      </c>
      <c r="O103" s="199">
        <v>1</v>
      </c>
      <c r="P103" s="200">
        <v>1</v>
      </c>
      <c r="Q103" s="198">
        <v>1</v>
      </c>
      <c r="R103" s="199">
        <v>1</v>
      </c>
      <c r="S103" s="199">
        <v>1</v>
      </c>
      <c r="T103" s="199">
        <v>1</v>
      </c>
      <c r="U103" s="199">
        <v>1</v>
      </c>
      <c r="V103" s="199">
        <v>1</v>
      </c>
      <c r="W103" s="199">
        <v>1</v>
      </c>
      <c r="X103" s="200">
        <v>1</v>
      </c>
      <c r="Y103" s="207"/>
      <c r="Z103" s="208"/>
    </row>
    <row r="104" spans="1:26" outlineLevel="1">
      <c r="A104" s="187">
        <v>5</v>
      </c>
      <c r="B104" s="142" t="s">
        <v>1250</v>
      </c>
      <c r="C104" s="157"/>
      <c r="D104" s="188">
        <f>+'[2]Construction-87'!$L$91</f>
        <v>4.2582686085125381E-2</v>
      </c>
      <c r="E104" s="198">
        <v>1</v>
      </c>
      <c r="F104" s="199">
        <v>1</v>
      </c>
      <c r="G104" s="199">
        <v>1</v>
      </c>
      <c r="H104" s="199">
        <v>1</v>
      </c>
      <c r="I104" s="199">
        <v>1</v>
      </c>
      <c r="J104" s="199">
        <v>1</v>
      </c>
      <c r="K104" s="199">
        <v>1</v>
      </c>
      <c r="L104" s="199">
        <v>1</v>
      </c>
      <c r="M104" s="199">
        <v>1</v>
      </c>
      <c r="N104" s="199">
        <v>1</v>
      </c>
      <c r="O104" s="199">
        <v>1</v>
      </c>
      <c r="P104" s="200">
        <v>1</v>
      </c>
      <c r="Q104" s="198">
        <v>1</v>
      </c>
      <c r="R104" s="199">
        <v>1</v>
      </c>
      <c r="S104" s="199">
        <v>1</v>
      </c>
      <c r="T104" s="199">
        <v>1</v>
      </c>
      <c r="U104" s="199">
        <v>1</v>
      </c>
      <c r="V104" s="199">
        <v>1</v>
      </c>
      <c r="W104" s="199">
        <v>1</v>
      </c>
      <c r="X104" s="200">
        <v>1</v>
      </c>
      <c r="Y104" s="207"/>
      <c r="Z104" s="208"/>
    </row>
    <row r="105" spans="1:26" outlineLevel="1">
      <c r="A105" s="187">
        <v>6</v>
      </c>
      <c r="B105" s="142" t="s">
        <v>1251</v>
      </c>
      <c r="C105" s="157"/>
      <c r="D105" s="188">
        <f>+'[2]Construction-87'!$L$116</f>
        <v>0.12716774352278401</v>
      </c>
      <c r="E105" s="198">
        <v>1</v>
      </c>
      <c r="F105" s="199">
        <v>1</v>
      </c>
      <c r="G105" s="199">
        <v>1</v>
      </c>
      <c r="H105" s="199">
        <v>1</v>
      </c>
      <c r="I105" s="199">
        <v>1</v>
      </c>
      <c r="J105" s="199">
        <v>1</v>
      </c>
      <c r="K105" s="199">
        <v>1</v>
      </c>
      <c r="L105" s="199">
        <v>1</v>
      </c>
      <c r="M105" s="199">
        <v>1</v>
      </c>
      <c r="N105" s="199">
        <v>1</v>
      </c>
      <c r="O105" s="199">
        <v>1</v>
      </c>
      <c r="P105" s="200">
        <v>1</v>
      </c>
      <c r="Q105" s="198">
        <v>1</v>
      </c>
      <c r="R105" s="199">
        <v>1</v>
      </c>
      <c r="S105" s="199">
        <v>1</v>
      </c>
      <c r="T105" s="199">
        <v>1</v>
      </c>
      <c r="U105" s="199">
        <v>1</v>
      </c>
      <c r="V105" s="199">
        <v>1</v>
      </c>
      <c r="W105" s="199">
        <v>1</v>
      </c>
      <c r="X105" s="200">
        <v>1</v>
      </c>
      <c r="Y105" s="207"/>
      <c r="Z105" s="208"/>
    </row>
    <row r="106" spans="1:26" outlineLevel="1">
      <c r="A106" s="187">
        <v>7</v>
      </c>
      <c r="B106" s="142" t="s">
        <v>1252</v>
      </c>
      <c r="C106" s="157"/>
      <c r="D106" s="188">
        <f>+'[2]Construction-87'!$L$128</f>
        <v>0.11641961008529496</v>
      </c>
      <c r="E106" s="198">
        <v>1</v>
      </c>
      <c r="F106" s="199">
        <v>1</v>
      </c>
      <c r="G106" s="199">
        <v>1</v>
      </c>
      <c r="H106" s="199">
        <v>1</v>
      </c>
      <c r="I106" s="199">
        <v>1</v>
      </c>
      <c r="J106" s="199">
        <v>1</v>
      </c>
      <c r="K106" s="199">
        <v>1</v>
      </c>
      <c r="L106" s="199">
        <v>1</v>
      </c>
      <c r="M106" s="199">
        <v>1</v>
      </c>
      <c r="N106" s="199">
        <v>1</v>
      </c>
      <c r="O106" s="199">
        <v>1</v>
      </c>
      <c r="P106" s="200">
        <v>1</v>
      </c>
      <c r="Q106" s="198">
        <v>1</v>
      </c>
      <c r="R106" s="199">
        <v>1</v>
      </c>
      <c r="S106" s="199">
        <v>1</v>
      </c>
      <c r="T106" s="199">
        <v>1</v>
      </c>
      <c r="U106" s="199">
        <v>1</v>
      </c>
      <c r="V106" s="199">
        <v>1</v>
      </c>
      <c r="W106" s="199">
        <v>1</v>
      </c>
      <c r="X106" s="200">
        <v>1</v>
      </c>
      <c r="Y106" s="207"/>
      <c r="Z106" s="208"/>
    </row>
    <row r="107" spans="1:26" outlineLevel="1">
      <c r="A107" s="187">
        <v>8</v>
      </c>
      <c r="B107" s="142" t="s">
        <v>1253</v>
      </c>
      <c r="C107" s="157"/>
      <c r="D107" s="188">
        <f>+'[2]Construction-87'!$L$142</f>
        <v>1.3681965792231715E-2</v>
      </c>
      <c r="E107" s="198">
        <v>1</v>
      </c>
      <c r="F107" s="199">
        <v>1</v>
      </c>
      <c r="G107" s="199">
        <v>1</v>
      </c>
      <c r="H107" s="199">
        <v>1</v>
      </c>
      <c r="I107" s="199">
        <v>1</v>
      </c>
      <c r="J107" s="199">
        <v>1</v>
      </c>
      <c r="K107" s="199">
        <v>1</v>
      </c>
      <c r="L107" s="199">
        <v>1</v>
      </c>
      <c r="M107" s="199">
        <v>1</v>
      </c>
      <c r="N107" s="199">
        <v>1</v>
      </c>
      <c r="O107" s="199">
        <v>1</v>
      </c>
      <c r="P107" s="200">
        <v>1</v>
      </c>
      <c r="Q107" s="198">
        <v>1</v>
      </c>
      <c r="R107" s="199">
        <v>1</v>
      </c>
      <c r="S107" s="199">
        <v>1</v>
      </c>
      <c r="T107" s="199">
        <v>1</v>
      </c>
      <c r="U107" s="199">
        <v>1</v>
      </c>
      <c r="V107" s="199">
        <v>1</v>
      </c>
      <c r="W107" s="199">
        <v>1</v>
      </c>
      <c r="X107" s="200">
        <v>1</v>
      </c>
      <c r="Y107" s="207"/>
      <c r="Z107" s="208"/>
    </row>
    <row r="108" spans="1:26" outlineLevel="1">
      <c r="A108" s="187">
        <v>9</v>
      </c>
      <c r="B108" s="142" t="s">
        <v>1254</v>
      </c>
      <c r="C108" s="157"/>
      <c r="D108" s="188">
        <f>+'[2]Construction-87'!$L$158</f>
        <v>5.786109169643297E-2</v>
      </c>
      <c r="E108" s="198">
        <v>1</v>
      </c>
      <c r="F108" s="199">
        <v>1</v>
      </c>
      <c r="G108" s="199">
        <v>1</v>
      </c>
      <c r="H108" s="199">
        <v>1</v>
      </c>
      <c r="I108" s="199">
        <v>1</v>
      </c>
      <c r="J108" s="199">
        <v>1</v>
      </c>
      <c r="K108" s="199">
        <v>1</v>
      </c>
      <c r="L108" s="199">
        <v>1</v>
      </c>
      <c r="M108" s="199">
        <v>1</v>
      </c>
      <c r="N108" s="199">
        <v>1</v>
      </c>
      <c r="O108" s="199">
        <v>1</v>
      </c>
      <c r="P108" s="200">
        <v>1</v>
      </c>
      <c r="Q108" s="198">
        <v>1</v>
      </c>
      <c r="R108" s="199">
        <v>1</v>
      </c>
      <c r="S108" s="199">
        <v>1</v>
      </c>
      <c r="T108" s="199">
        <v>1</v>
      </c>
      <c r="U108" s="199">
        <v>1</v>
      </c>
      <c r="V108" s="199">
        <v>1</v>
      </c>
      <c r="W108" s="199">
        <v>1</v>
      </c>
      <c r="X108" s="200">
        <v>1</v>
      </c>
      <c r="Y108" s="207"/>
      <c r="Z108" s="208"/>
    </row>
    <row r="109" spans="1:26" outlineLevel="1">
      <c r="A109" s="187">
        <v>10</v>
      </c>
      <c r="B109" s="142" t="s">
        <v>1255</v>
      </c>
      <c r="C109" s="157"/>
      <c r="D109" s="188">
        <f>+'[2]Construction-87'!$L$198</f>
        <v>2.0061047628275569E-2</v>
      </c>
      <c r="E109" s="198">
        <v>1</v>
      </c>
      <c r="F109" s="199">
        <v>1</v>
      </c>
      <c r="G109" s="199">
        <v>1</v>
      </c>
      <c r="H109" s="199">
        <v>1</v>
      </c>
      <c r="I109" s="199">
        <v>1</v>
      </c>
      <c r="J109" s="199">
        <v>1</v>
      </c>
      <c r="K109" s="199">
        <v>1</v>
      </c>
      <c r="L109" s="199">
        <v>1</v>
      </c>
      <c r="M109" s="199">
        <v>1</v>
      </c>
      <c r="N109" s="199">
        <v>1</v>
      </c>
      <c r="O109" s="199">
        <v>1</v>
      </c>
      <c r="P109" s="200">
        <v>1</v>
      </c>
      <c r="Q109" s="198">
        <v>1</v>
      </c>
      <c r="R109" s="199">
        <v>1</v>
      </c>
      <c r="S109" s="199">
        <v>1</v>
      </c>
      <c r="T109" s="199">
        <v>1</v>
      </c>
      <c r="U109" s="199">
        <v>1</v>
      </c>
      <c r="V109" s="199">
        <v>1</v>
      </c>
      <c r="W109" s="199">
        <v>1</v>
      </c>
      <c r="X109" s="200">
        <v>1</v>
      </c>
      <c r="Y109" s="207"/>
      <c r="Z109" s="208"/>
    </row>
    <row r="110" spans="1:26" outlineLevel="1">
      <c r="A110" s="187">
        <v>11</v>
      </c>
      <c r="B110" s="142" t="s">
        <v>1256</v>
      </c>
      <c r="C110" s="157"/>
      <c r="D110" s="188">
        <v>1.5500101461830878E-2</v>
      </c>
      <c r="E110" s="198">
        <v>1</v>
      </c>
      <c r="F110" s="199">
        <v>1</v>
      </c>
      <c r="G110" s="199">
        <v>1</v>
      </c>
      <c r="H110" s="199">
        <v>1</v>
      </c>
      <c r="I110" s="199">
        <v>1</v>
      </c>
      <c r="J110" s="199">
        <v>1</v>
      </c>
      <c r="K110" s="199">
        <v>1</v>
      </c>
      <c r="L110" s="199">
        <v>1</v>
      </c>
      <c r="M110" s="199">
        <v>1</v>
      </c>
      <c r="N110" s="199">
        <v>1</v>
      </c>
      <c r="O110" s="199">
        <v>1</v>
      </c>
      <c r="P110" s="200">
        <v>1</v>
      </c>
      <c r="Q110" s="198">
        <v>1</v>
      </c>
      <c r="R110" s="199">
        <v>1</v>
      </c>
      <c r="S110" s="199">
        <v>1</v>
      </c>
      <c r="T110" s="199">
        <v>1</v>
      </c>
      <c r="U110" s="199">
        <v>1</v>
      </c>
      <c r="V110" s="199">
        <v>1</v>
      </c>
      <c r="W110" s="199">
        <v>1</v>
      </c>
      <c r="X110" s="200">
        <v>1</v>
      </c>
      <c r="Y110" s="207"/>
      <c r="Z110" s="208"/>
    </row>
    <row r="111" spans="1:26" ht="30">
      <c r="A111" s="187" t="s">
        <v>1257</v>
      </c>
      <c r="B111" s="164" t="s">
        <v>1258</v>
      </c>
      <c r="C111" s="157"/>
      <c r="D111" s="188">
        <f>+[3]Sheet1!$F$64</f>
        <v>5.4015010687157541E-2</v>
      </c>
      <c r="E111" s="198">
        <v>1</v>
      </c>
      <c r="F111" s="199">
        <v>1</v>
      </c>
      <c r="G111" s="199">
        <v>1</v>
      </c>
      <c r="H111" s="199">
        <v>1</v>
      </c>
      <c r="I111" s="199">
        <v>1</v>
      </c>
      <c r="J111" s="199">
        <v>1</v>
      </c>
      <c r="K111" s="199">
        <v>1</v>
      </c>
      <c r="L111" s="199">
        <v>1</v>
      </c>
      <c r="M111" s="199">
        <v>1</v>
      </c>
      <c r="N111" s="199">
        <v>1</v>
      </c>
      <c r="O111" s="199">
        <v>1</v>
      </c>
      <c r="P111" s="200">
        <v>1</v>
      </c>
      <c r="Q111" s="198">
        <v>1</v>
      </c>
      <c r="R111" s="199">
        <v>1</v>
      </c>
      <c r="S111" s="199">
        <v>1</v>
      </c>
      <c r="T111" s="199">
        <v>1</v>
      </c>
      <c r="U111" s="199">
        <v>1</v>
      </c>
      <c r="V111" s="199">
        <v>1</v>
      </c>
      <c r="W111" s="199">
        <v>1</v>
      </c>
      <c r="X111" s="200">
        <v>1</v>
      </c>
      <c r="Y111" s="207"/>
      <c r="Z111" s="208"/>
    </row>
    <row r="112" spans="1:26">
      <c r="A112" s="187" t="s">
        <v>1259</v>
      </c>
      <c r="B112" s="142" t="s">
        <v>1260</v>
      </c>
      <c r="C112" s="157"/>
      <c r="D112" s="188">
        <f>+[3]Sheet1!$G$64</f>
        <v>7.4079718315516491E-2</v>
      </c>
      <c r="E112" s="198">
        <v>1</v>
      </c>
      <c r="F112" s="199">
        <v>1</v>
      </c>
      <c r="G112" s="199">
        <v>1</v>
      </c>
      <c r="H112" s="199">
        <v>1</v>
      </c>
      <c r="I112" s="199">
        <v>1</v>
      </c>
      <c r="J112" s="199">
        <v>1</v>
      </c>
      <c r="K112" s="199">
        <v>1</v>
      </c>
      <c r="L112" s="199">
        <v>1</v>
      </c>
      <c r="M112" s="199">
        <v>1</v>
      </c>
      <c r="N112" s="199">
        <v>1</v>
      </c>
      <c r="O112" s="199">
        <v>1</v>
      </c>
      <c r="P112" s="200">
        <v>1</v>
      </c>
      <c r="Q112" s="198">
        <v>1</v>
      </c>
      <c r="R112" s="199">
        <v>1</v>
      </c>
      <c r="S112" s="199">
        <v>1</v>
      </c>
      <c r="T112" s="199">
        <v>1</v>
      </c>
      <c r="U112" s="199">
        <v>1</v>
      </c>
      <c r="V112" s="199">
        <v>1</v>
      </c>
      <c r="W112" s="199">
        <v>1</v>
      </c>
      <c r="X112" s="200">
        <v>1</v>
      </c>
      <c r="Y112" s="207"/>
      <c r="Z112" s="208"/>
    </row>
    <row r="113" spans="1:26">
      <c r="A113" s="187" t="s">
        <v>1261</v>
      </c>
      <c r="B113" s="142" t="s">
        <v>1262</v>
      </c>
      <c r="C113" s="157"/>
      <c r="D113" s="188">
        <f>+[3]Sheet1!$H$64</f>
        <v>6.5857853469214273E-2</v>
      </c>
      <c r="E113" s="198">
        <v>1</v>
      </c>
      <c r="F113" s="199">
        <v>1</v>
      </c>
      <c r="G113" s="199">
        <v>1</v>
      </c>
      <c r="H113" s="199">
        <v>1</v>
      </c>
      <c r="I113" s="199">
        <v>1</v>
      </c>
      <c r="J113" s="199">
        <v>1</v>
      </c>
      <c r="K113" s="199">
        <v>1</v>
      </c>
      <c r="L113" s="199">
        <v>1</v>
      </c>
      <c r="M113" s="199">
        <v>1</v>
      </c>
      <c r="N113" s="199">
        <v>1</v>
      </c>
      <c r="O113" s="199">
        <v>1</v>
      </c>
      <c r="P113" s="200">
        <v>1</v>
      </c>
      <c r="Q113" s="198">
        <v>1</v>
      </c>
      <c r="R113" s="199">
        <v>1</v>
      </c>
      <c r="S113" s="199">
        <v>1</v>
      </c>
      <c r="T113" s="199">
        <v>1</v>
      </c>
      <c r="U113" s="199">
        <v>1</v>
      </c>
      <c r="V113" s="199">
        <v>1</v>
      </c>
      <c r="W113" s="199">
        <v>1</v>
      </c>
      <c r="X113" s="200">
        <v>1</v>
      </c>
      <c r="Y113" s="207"/>
      <c r="Z113" s="208"/>
    </row>
    <row r="114" spans="1:26" ht="15.75" thickBot="1">
      <c r="A114" s="192" t="s">
        <v>1263</v>
      </c>
      <c r="B114" s="193" t="s">
        <v>1264</v>
      </c>
      <c r="C114" s="194"/>
      <c r="D114" s="195">
        <f>+[3]Sheet1!$I$64</f>
        <v>2.3108713090593817E-2</v>
      </c>
      <c r="E114" s="211">
        <v>1</v>
      </c>
      <c r="F114" s="212">
        <v>1</v>
      </c>
      <c r="G114" s="212">
        <v>1</v>
      </c>
      <c r="H114" s="212">
        <v>1</v>
      </c>
      <c r="I114" s="212">
        <v>1</v>
      </c>
      <c r="J114" s="212">
        <v>1</v>
      </c>
      <c r="K114" s="212">
        <v>1</v>
      </c>
      <c r="L114" s="212">
        <v>1</v>
      </c>
      <c r="M114" s="212">
        <v>1</v>
      </c>
      <c r="N114" s="212">
        <v>1</v>
      </c>
      <c r="O114" s="212">
        <v>1</v>
      </c>
      <c r="P114" s="212">
        <v>1</v>
      </c>
      <c r="Q114" s="211">
        <v>1</v>
      </c>
      <c r="R114" s="212">
        <v>1</v>
      </c>
      <c r="S114" s="212">
        <v>1</v>
      </c>
      <c r="T114" s="212">
        <v>1</v>
      </c>
      <c r="U114" s="212">
        <v>1</v>
      </c>
      <c r="V114" s="212">
        <v>1</v>
      </c>
      <c r="W114" s="212">
        <v>1</v>
      </c>
      <c r="X114" s="212">
        <v>1</v>
      </c>
      <c r="Y114" s="209"/>
      <c r="Z114" s="210"/>
    </row>
    <row r="116" spans="1:26">
      <c r="B116" s="197"/>
    </row>
    <row r="117" spans="1:26">
      <c r="B117" s="197"/>
      <c r="D117" s="151"/>
    </row>
    <row r="119" spans="1:26">
      <c r="D119" s="196"/>
    </row>
  </sheetData>
  <mergeCells count="24">
    <mergeCell ref="Z7:Z9"/>
    <mergeCell ref="E8:P8"/>
    <mergeCell ref="Q8:X8"/>
    <mergeCell ref="P4:X4"/>
    <mergeCell ref="E5:F5"/>
    <mergeCell ref="G5:K5"/>
    <mergeCell ref="L5:N5"/>
    <mergeCell ref="P5:X5"/>
    <mergeCell ref="A6:Y6"/>
    <mergeCell ref="A7:A9"/>
    <mergeCell ref="B7:B9"/>
    <mergeCell ref="C7:D9"/>
    <mergeCell ref="E7:X7"/>
    <mergeCell ref="Y7:Y9"/>
    <mergeCell ref="A1:Z1"/>
    <mergeCell ref="A2:Z2"/>
    <mergeCell ref="B3:B5"/>
    <mergeCell ref="E3:F3"/>
    <mergeCell ref="G3:K3"/>
    <mergeCell ref="L3:N3"/>
    <mergeCell ref="P3:X3"/>
    <mergeCell ref="E4:F4"/>
    <mergeCell ref="G4:K4"/>
    <mergeCell ref="L4:N4"/>
  </mergeCells>
  <pageMargins left="0.7" right="0.7" top="0.75" bottom="0.75" header="0.3" footer="0.3"/>
  <pageSetup paperSize="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3DCB-3DB8-41CE-9B09-C64CC6AB222D}">
  <dimension ref="A1:Y91"/>
  <sheetViews>
    <sheetView view="pageBreakPreview" zoomScale="70" zoomScaleNormal="55" zoomScaleSheetLayoutView="70" workbookViewId="0">
      <pane xSplit="3" ySplit="10" topLeftCell="D35" activePane="bottomRight" state="frozen"/>
      <selection pane="bottomRight" activeCell="A11" sqref="A11:C46"/>
      <selection pane="bottomLeft" activeCell="A15" sqref="A15"/>
      <selection pane="topRight" activeCell="D6" sqref="D6"/>
    </sheetView>
  </sheetViews>
  <sheetFormatPr defaultColWidth="9.140625" defaultRowHeight="21.75" customHeight="1" outlineLevelCol="1"/>
  <cols>
    <col min="1" max="1" width="4.42578125" style="1" customWidth="1"/>
    <col min="2" max="2" width="22.85546875" style="1" hidden="1" customWidth="1" outlineLevel="1"/>
    <col min="3" max="3" width="55.28515625" style="2" customWidth="1" collapsed="1"/>
    <col min="4" max="23" width="11" style="9" customWidth="1" outlineLevel="1"/>
    <col min="24" max="24" width="13.42578125" style="4" customWidth="1"/>
    <col min="25" max="25" width="14.85546875" style="4" customWidth="1"/>
    <col min="26" max="16384" width="9.140625" style="4"/>
  </cols>
  <sheetData>
    <row r="1" spans="1:25" ht="21.75" customHeight="1">
      <c r="A1" s="4"/>
      <c r="B1" s="4"/>
    </row>
    <row r="2" spans="1:25" ht="21.75" customHeight="1">
      <c r="A2" s="4"/>
      <c r="B2" s="4"/>
    </row>
    <row r="3" spans="1:25" ht="21.75" customHeight="1">
      <c r="A3" s="7"/>
      <c r="B3" s="7"/>
      <c r="C3" s="503" t="s">
        <v>1265</v>
      </c>
      <c r="D3" s="504" t="s">
        <v>1138</v>
      </c>
      <c r="E3" s="504"/>
      <c r="F3" s="526" t="s">
        <v>1139</v>
      </c>
      <c r="G3" s="526"/>
      <c r="H3" s="526"/>
      <c r="I3" s="526"/>
      <c r="J3" s="526"/>
      <c r="K3" s="504" t="s">
        <v>1140</v>
      </c>
      <c r="L3" s="504"/>
      <c r="M3" s="504"/>
      <c r="N3" s="14"/>
      <c r="O3" s="470"/>
      <c r="P3" s="470"/>
      <c r="Q3" s="470"/>
      <c r="R3" s="470"/>
      <c r="S3" s="470"/>
      <c r="T3" s="470"/>
      <c r="U3" s="470"/>
      <c r="V3" s="470"/>
      <c r="W3" s="470"/>
      <c r="X3" s="66"/>
    </row>
    <row r="4" spans="1:25" ht="21.75" customHeight="1">
      <c r="A4" s="7"/>
      <c r="B4" s="7"/>
      <c r="C4" s="503"/>
      <c r="D4" s="524" t="s">
        <v>1141</v>
      </c>
      <c r="E4" s="525"/>
      <c r="F4" s="526" t="s">
        <v>1142</v>
      </c>
      <c r="G4" s="526"/>
      <c r="H4" s="526"/>
      <c r="I4" s="526"/>
      <c r="J4" s="526"/>
      <c r="K4" s="504" t="s">
        <v>1143</v>
      </c>
      <c r="L4" s="504"/>
      <c r="M4" s="504"/>
      <c r="N4" s="14"/>
      <c r="O4" s="528" t="s">
        <v>1266</v>
      </c>
      <c r="P4" s="528"/>
      <c r="Q4" s="528"/>
      <c r="R4" s="528"/>
      <c r="S4" s="528"/>
      <c r="T4" s="528"/>
      <c r="U4" s="528"/>
      <c r="V4" s="528"/>
      <c r="W4" s="528"/>
      <c r="X4" s="67"/>
    </row>
    <row r="5" spans="1:25" ht="21.75" customHeight="1">
      <c r="A5" s="7"/>
      <c r="B5" s="7"/>
      <c r="C5" s="503"/>
      <c r="D5" s="524" t="s">
        <v>1144</v>
      </c>
      <c r="E5" s="525"/>
      <c r="F5" s="504" t="s">
        <v>1145</v>
      </c>
      <c r="G5" s="504"/>
      <c r="H5" s="504"/>
      <c r="I5" s="504"/>
      <c r="J5" s="504"/>
      <c r="K5" s="504" t="s">
        <v>1146</v>
      </c>
      <c r="L5" s="504"/>
      <c r="M5" s="504"/>
      <c r="N5" s="14"/>
      <c r="O5" s="528" t="s">
        <v>1267</v>
      </c>
      <c r="P5" s="528"/>
      <c r="Q5" s="528"/>
      <c r="R5" s="528"/>
      <c r="S5" s="528"/>
      <c r="T5" s="528"/>
      <c r="U5" s="528"/>
      <c r="V5" s="528"/>
      <c r="W5" s="528"/>
      <c r="X5" s="67"/>
    </row>
    <row r="6" spans="1:25" ht="21.75" customHeight="1" thickBot="1">
      <c r="A6" s="510"/>
      <c r="B6" s="510"/>
      <c r="C6" s="510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</row>
    <row r="7" spans="1:25" s="8" customFormat="1" ht="21.75" customHeight="1" thickBot="1">
      <c r="A7" s="484" t="s">
        <v>1147</v>
      </c>
      <c r="B7" s="518" t="s">
        <v>1268</v>
      </c>
      <c r="C7" s="511" t="s">
        <v>1269</v>
      </c>
      <c r="D7" s="507" t="s">
        <v>1270</v>
      </c>
      <c r="E7" s="508"/>
      <c r="F7" s="508"/>
      <c r="G7" s="508"/>
      <c r="H7" s="508"/>
      <c r="I7" s="508"/>
      <c r="J7" s="508"/>
      <c r="K7" s="508"/>
      <c r="L7" s="508"/>
      <c r="M7" s="508"/>
      <c r="N7" s="508"/>
      <c r="O7" s="508"/>
      <c r="P7" s="508"/>
      <c r="Q7" s="508"/>
      <c r="R7" s="508"/>
      <c r="S7" s="508"/>
      <c r="T7" s="508"/>
      <c r="U7" s="508"/>
      <c r="V7" s="508"/>
      <c r="W7" s="509"/>
      <c r="X7" s="521" t="s">
        <v>1151</v>
      </c>
      <c r="Y7" s="505" t="s">
        <v>1152</v>
      </c>
    </row>
    <row r="8" spans="1:25" s="8" customFormat="1" ht="21.75" customHeight="1" thickBot="1">
      <c r="A8" s="485"/>
      <c r="B8" s="519"/>
      <c r="C8" s="512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22"/>
      <c r="X8" s="522"/>
      <c r="Y8" s="506"/>
    </row>
    <row r="9" spans="1:25" s="8" customFormat="1" ht="21.75" customHeight="1">
      <c r="A9" s="485"/>
      <c r="B9" s="519"/>
      <c r="C9" s="512"/>
      <c r="D9" s="514" t="s">
        <v>1153</v>
      </c>
      <c r="E9" s="477"/>
      <c r="F9" s="477"/>
      <c r="G9" s="477"/>
      <c r="H9" s="477"/>
      <c r="I9" s="477"/>
      <c r="J9" s="477"/>
      <c r="K9" s="477"/>
      <c r="L9" s="477"/>
      <c r="M9" s="477"/>
      <c r="N9" s="515"/>
      <c r="O9" s="478"/>
      <c r="P9" s="480" t="s">
        <v>1154</v>
      </c>
      <c r="Q9" s="480"/>
      <c r="R9" s="480"/>
      <c r="S9" s="480"/>
      <c r="T9" s="480"/>
      <c r="U9" s="480"/>
      <c r="V9" s="480"/>
      <c r="W9" s="481"/>
      <c r="X9" s="522"/>
      <c r="Y9" s="506"/>
    </row>
    <row r="10" spans="1:25" s="136" customFormat="1" ht="21.75" customHeight="1" thickBot="1">
      <c r="A10" s="486"/>
      <c r="B10" s="520"/>
      <c r="C10" s="513"/>
      <c r="D10" s="130" t="s">
        <v>1155</v>
      </c>
      <c r="E10" s="131" t="s">
        <v>1156</v>
      </c>
      <c r="F10" s="131" t="s">
        <v>1157</v>
      </c>
      <c r="G10" s="131" t="s">
        <v>1158</v>
      </c>
      <c r="H10" s="131" t="s">
        <v>1159</v>
      </c>
      <c r="I10" s="131" t="s">
        <v>1160</v>
      </c>
      <c r="J10" s="131" t="s">
        <v>1161</v>
      </c>
      <c r="K10" s="131" t="s">
        <v>1162</v>
      </c>
      <c r="L10" s="131" t="s">
        <v>1163</v>
      </c>
      <c r="M10" s="131" t="s">
        <v>1164</v>
      </c>
      <c r="N10" s="132" t="s">
        <v>1165</v>
      </c>
      <c r="O10" s="133" t="s">
        <v>1166</v>
      </c>
      <c r="P10" s="134" t="s">
        <v>1167</v>
      </c>
      <c r="Q10" s="134" t="s">
        <v>1168</v>
      </c>
      <c r="R10" s="134" t="s">
        <v>1169</v>
      </c>
      <c r="S10" s="134" t="s">
        <v>1170</v>
      </c>
      <c r="T10" s="134" t="s">
        <v>1171</v>
      </c>
      <c r="U10" s="134" t="s">
        <v>1172</v>
      </c>
      <c r="V10" s="134" t="s">
        <v>1173</v>
      </c>
      <c r="W10" s="135" t="s">
        <v>1174</v>
      </c>
      <c r="X10" s="523"/>
      <c r="Y10" s="506"/>
    </row>
    <row r="11" spans="1:25" ht="21.75" customHeight="1" thickBot="1">
      <c r="A11" s="24" t="s">
        <v>1271</v>
      </c>
      <c r="B11" s="25"/>
      <c r="C11" s="26"/>
      <c r="D11" s="527"/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27"/>
      <c r="Q11" s="527"/>
      <c r="R11" s="527"/>
      <c r="S11" s="527"/>
      <c r="T11" s="527"/>
      <c r="U11" s="527"/>
      <c r="V11" s="527"/>
      <c r="W11" s="527"/>
      <c r="X11" s="33" t="e">
        <f>SUM(X12:X90)/A90</f>
        <v>#DIV/0!</v>
      </c>
      <c r="Y11" s="34" t="e">
        <f>SUM(Y12:Y90)/A90</f>
        <v>#DIV/0!</v>
      </c>
    </row>
    <row r="12" spans="1:25" ht="21.75" customHeight="1">
      <c r="A12" s="27">
        <v>1</v>
      </c>
      <c r="B12" s="35" t="s">
        <v>1272</v>
      </c>
      <c r="C12" s="31" t="s">
        <v>1176</v>
      </c>
      <c r="D12" s="70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2"/>
      <c r="P12" s="88"/>
      <c r="Q12" s="88"/>
      <c r="R12" s="88"/>
      <c r="S12" s="88"/>
      <c r="T12" s="88"/>
      <c r="U12" s="88"/>
      <c r="V12" s="88"/>
      <c r="W12" s="89"/>
      <c r="X12" s="28">
        <v>0.85</v>
      </c>
      <c r="Y12" s="29">
        <f>1-X12</f>
        <v>0.15000000000000002</v>
      </c>
    </row>
    <row r="13" spans="1:25" ht="21.75" customHeight="1">
      <c r="A13" s="18">
        <v>2</v>
      </c>
      <c r="B13" s="15" t="s">
        <v>1272</v>
      </c>
      <c r="C13" s="61" t="s">
        <v>1177</v>
      </c>
      <c r="D13" s="73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90"/>
      <c r="Q13" s="90"/>
      <c r="R13" s="90"/>
      <c r="S13" s="90"/>
      <c r="T13" s="90"/>
      <c r="U13" s="90"/>
      <c r="V13" s="90"/>
      <c r="W13" s="91"/>
      <c r="X13" s="23">
        <v>0.05</v>
      </c>
      <c r="Y13" s="30">
        <f t="shared" ref="Y13:Y90" si="0">1-X13</f>
        <v>0.95</v>
      </c>
    </row>
    <row r="14" spans="1:25" ht="21.75" customHeight="1">
      <c r="A14" s="18">
        <v>3</v>
      </c>
      <c r="B14" s="15" t="s">
        <v>1272</v>
      </c>
      <c r="C14" s="65" t="s">
        <v>1178</v>
      </c>
      <c r="D14" s="73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90"/>
      <c r="Q14" s="90"/>
      <c r="R14" s="90"/>
      <c r="S14" s="90"/>
      <c r="T14" s="90"/>
      <c r="U14" s="90"/>
      <c r="V14" s="90"/>
      <c r="W14" s="91"/>
      <c r="X14" s="23" t="e">
        <f>COUNTIF(D14:W14,1)/COUNTA(D14:W14)</f>
        <v>#DIV/0!</v>
      </c>
      <c r="Y14" s="30" t="e">
        <f t="shared" si="0"/>
        <v>#DIV/0!</v>
      </c>
    </row>
    <row r="15" spans="1:25" ht="21.75" customHeight="1">
      <c r="A15" s="18">
        <v>4</v>
      </c>
      <c r="B15" s="15" t="s">
        <v>1272</v>
      </c>
      <c r="C15" s="64" t="s">
        <v>1179</v>
      </c>
      <c r="D15" s="73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5"/>
      <c r="P15" s="90"/>
      <c r="Q15" s="90"/>
      <c r="R15" s="90"/>
      <c r="S15" s="90"/>
      <c r="T15" s="90"/>
      <c r="U15" s="90"/>
      <c r="V15" s="90"/>
      <c r="W15" s="91"/>
      <c r="X15" s="23">
        <v>0.25</v>
      </c>
      <c r="Y15" s="30">
        <f t="shared" si="0"/>
        <v>0.75</v>
      </c>
    </row>
    <row r="16" spans="1:25" ht="21.75" customHeight="1">
      <c r="A16" s="18">
        <v>5</v>
      </c>
      <c r="B16" s="15" t="s">
        <v>1272</v>
      </c>
      <c r="C16" s="63" t="s">
        <v>1180</v>
      </c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90"/>
      <c r="Q16" s="90"/>
      <c r="R16" s="90"/>
      <c r="S16" s="90"/>
      <c r="T16" s="90"/>
      <c r="U16" s="90"/>
      <c r="V16" s="90"/>
      <c r="W16" s="91"/>
      <c r="X16" s="23">
        <v>0.5</v>
      </c>
      <c r="Y16" s="30">
        <f t="shared" si="0"/>
        <v>0.5</v>
      </c>
    </row>
    <row r="17" spans="1:25" ht="21.75" customHeight="1">
      <c r="A17" s="18">
        <v>6</v>
      </c>
      <c r="B17" s="15" t="s">
        <v>1272</v>
      </c>
      <c r="C17" s="19" t="s">
        <v>1181</v>
      </c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92"/>
      <c r="Q17" s="92"/>
      <c r="R17" s="92"/>
      <c r="S17" s="92"/>
      <c r="T17" s="92"/>
      <c r="U17" s="92"/>
      <c r="V17" s="92"/>
      <c r="W17" s="93"/>
      <c r="X17" s="23">
        <v>0.1</v>
      </c>
      <c r="Y17" s="30">
        <f t="shared" si="0"/>
        <v>0.9</v>
      </c>
    </row>
    <row r="18" spans="1:25" ht="21.75" customHeight="1" thickBot="1">
      <c r="A18" s="38">
        <v>7</v>
      </c>
      <c r="B18" s="46" t="s">
        <v>1272</v>
      </c>
      <c r="C18" s="62" t="s">
        <v>1182</v>
      </c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92"/>
      <c r="Q18" s="92"/>
      <c r="R18" s="92"/>
      <c r="S18" s="92"/>
      <c r="T18" s="92"/>
      <c r="U18" s="92"/>
      <c r="V18" s="92"/>
      <c r="W18" s="93"/>
      <c r="X18" s="39">
        <v>0.15</v>
      </c>
      <c r="Y18" s="40">
        <f t="shared" si="0"/>
        <v>0.85</v>
      </c>
    </row>
    <row r="19" spans="1:25" ht="21.75" customHeight="1">
      <c r="A19" s="59">
        <v>8</v>
      </c>
      <c r="B19" s="41" t="s">
        <v>1273</v>
      </c>
      <c r="C19" s="42" t="s">
        <v>1189</v>
      </c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88"/>
      <c r="Q19" s="88"/>
      <c r="R19" s="88"/>
      <c r="S19" s="88"/>
      <c r="T19" s="88"/>
      <c r="U19" s="88"/>
      <c r="V19" s="88"/>
      <c r="W19" s="89"/>
      <c r="X19" s="43" t="e">
        <f t="shared" ref="X19:X51" si="1">COUNTIF(D19:W19,1)/COUNTA(D19:W19)</f>
        <v>#DIV/0!</v>
      </c>
      <c r="Y19" s="44" t="e">
        <f t="shared" si="0"/>
        <v>#DIV/0!</v>
      </c>
    </row>
    <row r="20" spans="1:25" ht="21.75" customHeight="1">
      <c r="A20" s="18">
        <v>9</v>
      </c>
      <c r="B20" s="15" t="s">
        <v>1273</v>
      </c>
      <c r="C20" s="19" t="s">
        <v>1190</v>
      </c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90"/>
      <c r="Q20" s="90"/>
      <c r="R20" s="90"/>
      <c r="S20" s="90"/>
      <c r="T20" s="90"/>
      <c r="U20" s="90"/>
      <c r="V20" s="90"/>
      <c r="W20" s="91"/>
      <c r="X20" s="23" t="e">
        <f t="shared" si="1"/>
        <v>#DIV/0!</v>
      </c>
      <c r="Y20" s="45" t="e">
        <f t="shared" si="0"/>
        <v>#DIV/0!</v>
      </c>
    </row>
    <row r="21" spans="1:25" ht="21.75" customHeight="1">
      <c r="A21" s="18">
        <v>10</v>
      </c>
      <c r="B21" s="15" t="s">
        <v>1273</v>
      </c>
      <c r="C21" s="19" t="s">
        <v>1191</v>
      </c>
      <c r="D21" s="73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90"/>
      <c r="Q21" s="90"/>
      <c r="R21" s="90"/>
      <c r="S21" s="90"/>
      <c r="T21" s="90"/>
      <c r="U21" s="90"/>
      <c r="V21" s="90"/>
      <c r="W21" s="91"/>
      <c r="X21" s="23" t="e">
        <f t="shared" si="1"/>
        <v>#DIV/0!</v>
      </c>
      <c r="Y21" s="45" t="e">
        <f t="shared" si="0"/>
        <v>#DIV/0!</v>
      </c>
    </row>
    <row r="22" spans="1:25" ht="21.75" customHeight="1">
      <c r="A22" s="18">
        <v>11</v>
      </c>
      <c r="B22" s="15" t="s">
        <v>1273</v>
      </c>
      <c r="C22" s="19" t="s">
        <v>1193</v>
      </c>
      <c r="D22" s="73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90"/>
      <c r="Q22" s="90"/>
      <c r="R22" s="90"/>
      <c r="S22" s="90"/>
      <c r="T22" s="90"/>
      <c r="U22" s="90"/>
      <c r="V22" s="90"/>
      <c r="W22" s="91"/>
      <c r="X22" s="23" t="e">
        <f t="shared" si="1"/>
        <v>#DIV/0!</v>
      </c>
      <c r="Y22" s="45" t="e">
        <f t="shared" si="0"/>
        <v>#DIV/0!</v>
      </c>
    </row>
    <row r="23" spans="1:25" ht="21.75" customHeight="1">
      <c r="A23" s="18">
        <v>12</v>
      </c>
      <c r="B23" s="15" t="s">
        <v>1273</v>
      </c>
      <c r="C23" s="19" t="s">
        <v>1194</v>
      </c>
      <c r="D23" s="73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90"/>
      <c r="Q23" s="90"/>
      <c r="R23" s="90"/>
      <c r="S23" s="90"/>
      <c r="T23" s="90"/>
      <c r="U23" s="90"/>
      <c r="V23" s="90"/>
      <c r="W23" s="91"/>
      <c r="X23" s="23" t="e">
        <f t="shared" si="1"/>
        <v>#DIV/0!</v>
      </c>
      <c r="Y23" s="45" t="e">
        <f t="shared" si="0"/>
        <v>#DIV/0!</v>
      </c>
    </row>
    <row r="24" spans="1:25" ht="21.75" customHeight="1">
      <c r="A24" s="60">
        <v>13</v>
      </c>
      <c r="B24" s="46" t="s">
        <v>1273</v>
      </c>
      <c r="C24" s="47" t="s">
        <v>1192</v>
      </c>
      <c r="D24" s="76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8"/>
      <c r="P24" s="92"/>
      <c r="Q24" s="92"/>
      <c r="R24" s="92"/>
      <c r="S24" s="92"/>
      <c r="T24" s="92"/>
      <c r="U24" s="92"/>
      <c r="V24" s="92"/>
      <c r="W24" s="93"/>
      <c r="X24" s="48" t="e">
        <f t="shared" si="1"/>
        <v>#DIV/0!</v>
      </c>
      <c r="Y24" s="49" t="e">
        <f t="shared" si="0"/>
        <v>#DIV/0!</v>
      </c>
    </row>
    <row r="25" spans="1:25" ht="21.75" customHeight="1">
      <c r="A25" s="59">
        <v>14</v>
      </c>
      <c r="B25" s="41" t="s">
        <v>1274</v>
      </c>
      <c r="C25" s="42" t="s">
        <v>1205</v>
      </c>
      <c r="D25" s="79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1"/>
      <c r="P25" s="94"/>
      <c r="Q25" s="94"/>
      <c r="R25" s="94"/>
      <c r="S25" s="94"/>
      <c r="T25" s="94"/>
      <c r="U25" s="94"/>
      <c r="V25" s="94"/>
      <c r="W25" s="95"/>
      <c r="X25" s="43" t="e">
        <f t="shared" si="1"/>
        <v>#DIV/0!</v>
      </c>
      <c r="Y25" s="44" t="e">
        <f t="shared" si="0"/>
        <v>#DIV/0!</v>
      </c>
    </row>
    <row r="26" spans="1:25" ht="21.75" customHeight="1">
      <c r="A26" s="18">
        <v>15</v>
      </c>
      <c r="B26" s="15" t="s">
        <v>1274</v>
      </c>
      <c r="C26" s="19" t="s">
        <v>1206</v>
      </c>
      <c r="D26" s="73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90"/>
      <c r="Q26" s="90"/>
      <c r="R26" s="90"/>
      <c r="S26" s="90"/>
      <c r="T26" s="90"/>
      <c r="U26" s="90"/>
      <c r="V26" s="90"/>
      <c r="W26" s="91"/>
      <c r="X26" s="23" t="e">
        <f t="shared" si="1"/>
        <v>#DIV/0!</v>
      </c>
      <c r="Y26" s="45" t="e">
        <f t="shared" si="0"/>
        <v>#DIV/0!</v>
      </c>
    </row>
    <row r="27" spans="1:25" ht="21.75" customHeight="1">
      <c r="A27" s="60">
        <v>16</v>
      </c>
      <c r="B27" s="46" t="s">
        <v>1274</v>
      </c>
      <c r="C27" s="50" t="s">
        <v>1275</v>
      </c>
      <c r="D27" s="76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8"/>
      <c r="P27" s="92"/>
      <c r="Q27" s="92"/>
      <c r="R27" s="92"/>
      <c r="S27" s="92"/>
      <c r="T27" s="92"/>
      <c r="U27" s="92"/>
      <c r="V27" s="92"/>
      <c r="W27" s="93"/>
      <c r="X27" s="48" t="e">
        <f t="shared" si="1"/>
        <v>#DIV/0!</v>
      </c>
      <c r="Y27" s="49" t="e">
        <f t="shared" si="0"/>
        <v>#DIV/0!</v>
      </c>
    </row>
    <row r="28" spans="1:25" ht="21.75" customHeight="1">
      <c r="A28" s="59">
        <v>17</v>
      </c>
      <c r="B28" s="41" t="s">
        <v>1276</v>
      </c>
      <c r="C28" s="51" t="s">
        <v>1208</v>
      </c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1"/>
      <c r="P28" s="94"/>
      <c r="Q28" s="94"/>
      <c r="R28" s="94"/>
      <c r="S28" s="94"/>
      <c r="T28" s="94"/>
      <c r="U28" s="94"/>
      <c r="V28" s="94"/>
      <c r="W28" s="95"/>
      <c r="X28" s="43" t="e">
        <f t="shared" si="1"/>
        <v>#DIV/0!</v>
      </c>
      <c r="Y28" s="44" t="e">
        <f t="shared" si="0"/>
        <v>#DIV/0!</v>
      </c>
    </row>
    <row r="29" spans="1:25" ht="21.75" customHeight="1">
      <c r="A29" s="18">
        <v>18</v>
      </c>
      <c r="B29" s="15" t="s">
        <v>1276</v>
      </c>
      <c r="C29" s="20" t="s">
        <v>1277</v>
      </c>
      <c r="D29" s="73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90"/>
      <c r="Q29" s="90"/>
      <c r="R29" s="90"/>
      <c r="S29" s="90"/>
      <c r="T29" s="90"/>
      <c r="U29" s="90"/>
      <c r="V29" s="90"/>
      <c r="W29" s="91"/>
      <c r="X29" s="23" t="e">
        <f t="shared" si="1"/>
        <v>#DIV/0!</v>
      </c>
      <c r="Y29" s="45" t="e">
        <f t="shared" si="0"/>
        <v>#DIV/0!</v>
      </c>
    </row>
    <row r="30" spans="1:25" ht="21.75" customHeight="1">
      <c r="A30" s="38"/>
      <c r="B30" s="32" t="s">
        <v>1276</v>
      </c>
      <c r="C30" s="56" t="s">
        <v>1278</v>
      </c>
      <c r="D30" s="73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/>
      <c r="P30" s="90"/>
      <c r="Q30" s="90"/>
      <c r="R30" s="90"/>
      <c r="S30" s="90"/>
      <c r="T30" s="90"/>
      <c r="U30" s="90"/>
      <c r="V30" s="90"/>
      <c r="W30" s="91"/>
      <c r="X30" s="23" t="e">
        <f t="shared" ref="X30" si="2">COUNTIF(D30:W30,1)/COUNTA(D30:W30)</f>
        <v>#DIV/0!</v>
      </c>
      <c r="Y30" s="45" t="e">
        <f t="shared" ref="Y30" si="3">1-X30</f>
        <v>#DIV/0!</v>
      </c>
    </row>
    <row r="31" spans="1:25" ht="21.75" customHeight="1">
      <c r="A31" s="60">
        <v>19</v>
      </c>
      <c r="B31" s="46" t="s">
        <v>1276</v>
      </c>
      <c r="C31" s="50" t="s">
        <v>1279</v>
      </c>
      <c r="D31" s="76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8"/>
      <c r="P31" s="92"/>
      <c r="Q31" s="92"/>
      <c r="R31" s="92"/>
      <c r="S31" s="92"/>
      <c r="T31" s="92"/>
      <c r="U31" s="92"/>
      <c r="V31" s="92"/>
      <c r="W31" s="93"/>
      <c r="X31" s="48" t="e">
        <f t="shared" si="1"/>
        <v>#DIV/0!</v>
      </c>
      <c r="Y31" s="49" t="e">
        <f t="shared" si="0"/>
        <v>#DIV/0!</v>
      </c>
    </row>
    <row r="32" spans="1:25" ht="21.75" customHeight="1">
      <c r="A32" s="59">
        <v>20</v>
      </c>
      <c r="B32" s="41" t="s">
        <v>1280</v>
      </c>
      <c r="C32" s="51" t="s">
        <v>1281</v>
      </c>
      <c r="D32" s="73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90"/>
      <c r="Q32" s="90"/>
      <c r="R32" s="90"/>
      <c r="S32" s="90"/>
      <c r="T32" s="90"/>
      <c r="U32" s="90"/>
      <c r="V32" s="90"/>
      <c r="W32" s="91"/>
      <c r="X32" s="23" t="e">
        <f t="shared" si="1"/>
        <v>#DIV/0!</v>
      </c>
      <c r="Y32" s="45" t="e">
        <f t="shared" si="0"/>
        <v>#DIV/0!</v>
      </c>
    </row>
    <row r="33" spans="1:25" ht="21.75" customHeight="1">
      <c r="A33" s="18">
        <v>21</v>
      </c>
      <c r="B33" s="15" t="s">
        <v>1280</v>
      </c>
      <c r="C33" s="20" t="s">
        <v>1282</v>
      </c>
      <c r="D33" s="73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90"/>
      <c r="Q33" s="90"/>
      <c r="R33" s="90"/>
      <c r="S33" s="90"/>
      <c r="T33" s="90"/>
      <c r="U33" s="90"/>
      <c r="V33" s="90"/>
      <c r="W33" s="91"/>
      <c r="X33" s="23" t="e">
        <f t="shared" si="1"/>
        <v>#DIV/0!</v>
      </c>
      <c r="Y33" s="45" t="e">
        <f t="shared" si="0"/>
        <v>#DIV/0!</v>
      </c>
    </row>
    <row r="34" spans="1:25" ht="21.75" customHeight="1">
      <c r="A34" s="18">
        <v>22</v>
      </c>
      <c r="B34" s="15" t="s">
        <v>1280</v>
      </c>
      <c r="C34" s="20" t="s">
        <v>1283</v>
      </c>
      <c r="D34" s="73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/>
      <c r="P34" s="90"/>
      <c r="Q34" s="90"/>
      <c r="R34" s="90"/>
      <c r="S34" s="90"/>
      <c r="T34" s="90"/>
      <c r="U34" s="90"/>
      <c r="V34" s="90"/>
      <c r="W34" s="91"/>
      <c r="X34" s="23" t="e">
        <f t="shared" si="1"/>
        <v>#DIV/0!</v>
      </c>
      <c r="Y34" s="45" t="e">
        <f t="shared" si="0"/>
        <v>#DIV/0!</v>
      </c>
    </row>
    <row r="35" spans="1:25" ht="21.75" customHeight="1">
      <c r="A35" s="60">
        <v>23</v>
      </c>
      <c r="B35" s="46" t="s">
        <v>1280</v>
      </c>
      <c r="C35" s="50" t="s">
        <v>1284</v>
      </c>
      <c r="D35" s="76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8"/>
      <c r="P35" s="92"/>
      <c r="Q35" s="92"/>
      <c r="R35" s="92"/>
      <c r="S35" s="92"/>
      <c r="T35" s="92"/>
      <c r="U35" s="92"/>
      <c r="V35" s="92"/>
      <c r="W35" s="93"/>
      <c r="X35" s="48" t="e">
        <f t="shared" si="1"/>
        <v>#DIV/0!</v>
      </c>
      <c r="Y35" s="49" t="e">
        <f t="shared" si="0"/>
        <v>#DIV/0!</v>
      </c>
    </row>
    <row r="36" spans="1:25" ht="21.75" customHeight="1">
      <c r="A36" s="59">
        <v>24</v>
      </c>
      <c r="B36" s="41" t="s">
        <v>1285</v>
      </c>
      <c r="C36" s="51" t="s">
        <v>1286</v>
      </c>
      <c r="D36" s="79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1"/>
      <c r="P36" s="94"/>
      <c r="Q36" s="94"/>
      <c r="R36" s="94"/>
      <c r="S36" s="94"/>
      <c r="T36" s="94"/>
      <c r="U36" s="94"/>
      <c r="V36" s="94"/>
      <c r="W36" s="95"/>
      <c r="X36" s="43" t="e">
        <f t="shared" si="1"/>
        <v>#DIV/0!</v>
      </c>
      <c r="Y36" s="44" t="e">
        <f t="shared" si="0"/>
        <v>#DIV/0!</v>
      </c>
    </row>
    <row r="37" spans="1:25" ht="21.75" customHeight="1">
      <c r="A37" s="18">
        <v>25</v>
      </c>
      <c r="B37" s="15" t="s">
        <v>1285</v>
      </c>
      <c r="C37" s="20" t="s">
        <v>1287</v>
      </c>
      <c r="D37" s="73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/>
      <c r="P37" s="90"/>
      <c r="Q37" s="90"/>
      <c r="R37" s="90"/>
      <c r="S37" s="90"/>
      <c r="T37" s="90"/>
      <c r="U37" s="90"/>
      <c r="V37" s="90"/>
      <c r="W37" s="91"/>
      <c r="X37" s="23" t="e">
        <f t="shared" si="1"/>
        <v>#DIV/0!</v>
      </c>
      <c r="Y37" s="45" t="e">
        <f t="shared" si="0"/>
        <v>#DIV/0!</v>
      </c>
    </row>
    <row r="38" spans="1:25" ht="21.75" customHeight="1">
      <c r="A38" s="60">
        <v>26</v>
      </c>
      <c r="B38" s="46" t="s">
        <v>1285</v>
      </c>
      <c r="C38" s="50" t="s">
        <v>1288</v>
      </c>
      <c r="D38" s="7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8"/>
      <c r="P38" s="92"/>
      <c r="Q38" s="92"/>
      <c r="R38" s="92"/>
      <c r="S38" s="92"/>
      <c r="T38" s="92"/>
      <c r="U38" s="92"/>
      <c r="V38" s="92"/>
      <c r="W38" s="93"/>
      <c r="X38" s="48" t="e">
        <f t="shared" si="1"/>
        <v>#DIV/0!</v>
      </c>
      <c r="Y38" s="49" t="e">
        <f t="shared" si="0"/>
        <v>#DIV/0!</v>
      </c>
    </row>
    <row r="39" spans="1:25" ht="21.75" customHeight="1">
      <c r="A39" s="59">
        <v>27</v>
      </c>
      <c r="B39" s="41" t="s">
        <v>1289</v>
      </c>
      <c r="C39" s="51" t="s">
        <v>1290</v>
      </c>
      <c r="D39" s="79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1"/>
      <c r="P39" s="94"/>
      <c r="Q39" s="94"/>
      <c r="R39" s="94"/>
      <c r="S39" s="94"/>
      <c r="T39" s="94"/>
      <c r="U39" s="94"/>
      <c r="V39" s="94"/>
      <c r="W39" s="95"/>
      <c r="X39" s="43" t="e">
        <f t="shared" si="1"/>
        <v>#DIV/0!</v>
      </c>
      <c r="Y39" s="44" t="e">
        <f t="shared" si="0"/>
        <v>#DIV/0!</v>
      </c>
    </row>
    <row r="40" spans="1:25" ht="21.75" customHeight="1">
      <c r="A40" s="18">
        <v>28</v>
      </c>
      <c r="B40" s="15" t="s">
        <v>1289</v>
      </c>
      <c r="C40" s="20" t="s">
        <v>1291</v>
      </c>
      <c r="D40" s="73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/>
      <c r="P40" s="90"/>
      <c r="Q40" s="90"/>
      <c r="R40" s="90"/>
      <c r="S40" s="90"/>
      <c r="T40" s="90"/>
      <c r="U40" s="90"/>
      <c r="V40" s="90"/>
      <c r="W40" s="91"/>
      <c r="X40" s="23" t="e">
        <f t="shared" si="1"/>
        <v>#DIV/0!</v>
      </c>
      <c r="Y40" s="45" t="e">
        <f t="shared" si="0"/>
        <v>#DIV/0!</v>
      </c>
    </row>
    <row r="41" spans="1:25" ht="21.75" customHeight="1">
      <c r="A41" s="18">
        <v>29</v>
      </c>
      <c r="B41" s="15" t="s">
        <v>1289</v>
      </c>
      <c r="C41" s="20" t="s">
        <v>1292</v>
      </c>
      <c r="D41" s="73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90"/>
      <c r="Q41" s="90"/>
      <c r="R41" s="90"/>
      <c r="S41" s="90"/>
      <c r="T41" s="90"/>
      <c r="U41" s="90"/>
      <c r="V41" s="90"/>
      <c r="W41" s="91"/>
      <c r="X41" s="23" t="e">
        <f t="shared" si="1"/>
        <v>#DIV/0!</v>
      </c>
      <c r="Y41" s="45" t="e">
        <f t="shared" si="0"/>
        <v>#DIV/0!</v>
      </c>
    </row>
    <row r="42" spans="1:25" ht="21.75" customHeight="1">
      <c r="A42" s="60">
        <v>30</v>
      </c>
      <c r="B42" s="46" t="s">
        <v>1289</v>
      </c>
      <c r="C42" s="50" t="s">
        <v>1293</v>
      </c>
      <c r="D42" s="76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8"/>
      <c r="P42" s="92"/>
      <c r="Q42" s="92"/>
      <c r="R42" s="92"/>
      <c r="S42" s="92"/>
      <c r="T42" s="92"/>
      <c r="U42" s="92"/>
      <c r="V42" s="92"/>
      <c r="W42" s="93"/>
      <c r="X42" s="48" t="e">
        <f t="shared" si="1"/>
        <v>#DIV/0!</v>
      </c>
      <c r="Y42" s="49" t="e">
        <f t="shared" si="0"/>
        <v>#DIV/0!</v>
      </c>
    </row>
    <row r="43" spans="1:25" ht="21.75" customHeight="1">
      <c r="A43" s="59">
        <v>31</v>
      </c>
      <c r="B43" s="41" t="s">
        <v>1294</v>
      </c>
      <c r="C43" s="51" t="s">
        <v>1295</v>
      </c>
      <c r="D43" s="79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1"/>
      <c r="P43" s="94"/>
      <c r="Q43" s="94"/>
      <c r="R43" s="94"/>
      <c r="S43" s="94"/>
      <c r="T43" s="94"/>
      <c r="U43" s="94"/>
      <c r="V43" s="94"/>
      <c r="W43" s="95"/>
      <c r="X43" s="43" t="e">
        <f t="shared" si="1"/>
        <v>#DIV/0!</v>
      </c>
      <c r="Y43" s="44" t="e">
        <f t="shared" si="0"/>
        <v>#DIV/0!</v>
      </c>
    </row>
    <row r="44" spans="1:25" ht="21.75" customHeight="1">
      <c r="A44" s="18">
        <v>32</v>
      </c>
      <c r="B44" s="15" t="s">
        <v>1294</v>
      </c>
      <c r="C44" s="20" t="s">
        <v>1296</v>
      </c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90"/>
      <c r="Q44" s="90"/>
      <c r="R44" s="90"/>
      <c r="S44" s="90"/>
      <c r="T44" s="90"/>
      <c r="U44" s="90"/>
      <c r="V44" s="90"/>
      <c r="W44" s="91"/>
      <c r="X44" s="23" t="e">
        <f t="shared" si="1"/>
        <v>#DIV/0!</v>
      </c>
      <c r="Y44" s="45" t="e">
        <f t="shared" si="0"/>
        <v>#DIV/0!</v>
      </c>
    </row>
    <row r="45" spans="1:25" ht="21.75" customHeight="1">
      <c r="A45" s="18">
        <v>33</v>
      </c>
      <c r="B45" s="15" t="s">
        <v>1294</v>
      </c>
      <c r="C45" s="20" t="s">
        <v>1297</v>
      </c>
      <c r="D45" s="73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90"/>
      <c r="Q45" s="90"/>
      <c r="R45" s="90"/>
      <c r="S45" s="90"/>
      <c r="T45" s="90"/>
      <c r="U45" s="90"/>
      <c r="V45" s="90"/>
      <c r="W45" s="91"/>
      <c r="X45" s="23" t="e">
        <f t="shared" si="1"/>
        <v>#DIV/0!</v>
      </c>
      <c r="Y45" s="45" t="e">
        <f t="shared" si="0"/>
        <v>#DIV/0!</v>
      </c>
    </row>
    <row r="46" spans="1:25" ht="21.75" customHeight="1">
      <c r="A46" s="60">
        <v>34</v>
      </c>
      <c r="B46" s="46" t="s">
        <v>1294</v>
      </c>
      <c r="C46" s="50" t="s">
        <v>1298</v>
      </c>
      <c r="D46" s="76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8"/>
      <c r="P46" s="92"/>
      <c r="Q46" s="92"/>
      <c r="R46" s="92"/>
      <c r="S46" s="92"/>
      <c r="T46" s="92"/>
      <c r="U46" s="92"/>
      <c r="V46" s="92"/>
      <c r="W46" s="93"/>
      <c r="X46" s="48" t="e">
        <f t="shared" si="1"/>
        <v>#DIV/0!</v>
      </c>
      <c r="Y46" s="49" t="e">
        <f t="shared" si="0"/>
        <v>#DIV/0!</v>
      </c>
    </row>
    <row r="47" spans="1:25" ht="21.75" customHeight="1">
      <c r="A47" s="59">
        <v>35</v>
      </c>
      <c r="B47" s="41" t="s">
        <v>1299</v>
      </c>
      <c r="C47" s="51" t="s">
        <v>1300</v>
      </c>
      <c r="D47" s="79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1"/>
      <c r="P47" s="94"/>
      <c r="Q47" s="94"/>
      <c r="R47" s="94"/>
      <c r="S47" s="94"/>
      <c r="T47" s="94"/>
      <c r="U47" s="94"/>
      <c r="V47" s="94"/>
      <c r="W47" s="95"/>
      <c r="X47" s="43" t="e">
        <f t="shared" si="1"/>
        <v>#DIV/0!</v>
      </c>
      <c r="Y47" s="44" t="e">
        <f t="shared" si="0"/>
        <v>#DIV/0!</v>
      </c>
    </row>
    <row r="48" spans="1:25" s="10" customFormat="1" ht="21.75" customHeight="1">
      <c r="A48" s="18">
        <v>36</v>
      </c>
      <c r="B48" s="15" t="s">
        <v>1299</v>
      </c>
      <c r="C48" s="20" t="s">
        <v>1301</v>
      </c>
      <c r="D48" s="73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  <c r="P48" s="90"/>
      <c r="Q48" s="90"/>
      <c r="R48" s="90"/>
      <c r="S48" s="90"/>
      <c r="T48" s="90"/>
      <c r="U48" s="90"/>
      <c r="V48" s="90"/>
      <c r="W48" s="91"/>
      <c r="X48" s="23" t="e">
        <f t="shared" si="1"/>
        <v>#DIV/0!</v>
      </c>
      <c r="Y48" s="45" t="e">
        <f t="shared" si="0"/>
        <v>#DIV/0!</v>
      </c>
    </row>
    <row r="49" spans="1:25" s="10" customFormat="1" ht="21.75" customHeight="1">
      <c r="A49" s="18">
        <v>37</v>
      </c>
      <c r="B49" s="15" t="s">
        <v>1299</v>
      </c>
      <c r="C49" s="20" t="s">
        <v>1302</v>
      </c>
      <c r="D49" s="73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  <c r="P49" s="90"/>
      <c r="Q49" s="90"/>
      <c r="R49" s="90"/>
      <c r="S49" s="90"/>
      <c r="T49" s="90"/>
      <c r="U49" s="90"/>
      <c r="V49" s="90"/>
      <c r="W49" s="91"/>
      <c r="X49" s="23" t="e">
        <f t="shared" si="1"/>
        <v>#DIV/0!</v>
      </c>
      <c r="Y49" s="45" t="e">
        <f t="shared" si="0"/>
        <v>#DIV/0!</v>
      </c>
    </row>
    <row r="50" spans="1:25" s="10" customFormat="1" ht="21.75" customHeight="1">
      <c r="A50" s="60">
        <v>38</v>
      </c>
      <c r="B50" s="46" t="s">
        <v>1299</v>
      </c>
      <c r="C50" s="50" t="s">
        <v>1303</v>
      </c>
      <c r="D50" s="7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8"/>
      <c r="P50" s="92"/>
      <c r="Q50" s="92"/>
      <c r="R50" s="92"/>
      <c r="S50" s="92"/>
      <c r="T50" s="92"/>
      <c r="U50" s="92"/>
      <c r="V50" s="92"/>
      <c r="W50" s="93"/>
      <c r="X50" s="48" t="e">
        <f t="shared" si="1"/>
        <v>#DIV/0!</v>
      </c>
      <c r="Y50" s="49" t="e">
        <f t="shared" si="0"/>
        <v>#DIV/0!</v>
      </c>
    </row>
    <row r="51" spans="1:25" s="10" customFormat="1" ht="21.75" customHeight="1">
      <c r="A51" s="59">
        <v>39</v>
      </c>
      <c r="B51" s="41" t="s">
        <v>1304</v>
      </c>
      <c r="C51" s="51" t="s">
        <v>1305</v>
      </c>
      <c r="D51" s="79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1"/>
      <c r="P51" s="94"/>
      <c r="Q51" s="94"/>
      <c r="R51" s="94"/>
      <c r="S51" s="94"/>
      <c r="T51" s="94"/>
      <c r="U51" s="94"/>
      <c r="V51" s="94"/>
      <c r="W51" s="95"/>
      <c r="X51" s="43" t="e">
        <f t="shared" si="1"/>
        <v>#DIV/0!</v>
      </c>
      <c r="Y51" s="44" t="e">
        <f t="shared" si="0"/>
        <v>#DIV/0!</v>
      </c>
    </row>
    <row r="52" spans="1:25" s="10" customFormat="1" ht="21.75" customHeight="1">
      <c r="A52" s="18">
        <v>40</v>
      </c>
      <c r="B52" s="15" t="s">
        <v>1304</v>
      </c>
      <c r="C52" s="20" t="s">
        <v>1306</v>
      </c>
      <c r="D52" s="73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/>
      <c r="P52" s="90"/>
      <c r="Q52" s="90"/>
      <c r="R52" s="90"/>
      <c r="S52" s="90"/>
      <c r="T52" s="90"/>
      <c r="U52" s="90"/>
      <c r="V52" s="90"/>
      <c r="W52" s="91"/>
      <c r="X52" s="23" t="e">
        <f t="shared" ref="X52:X70" si="4">COUNTIF(D52:W52,1)/COUNTA(D52:W52)</f>
        <v>#DIV/0!</v>
      </c>
      <c r="Y52" s="45" t="e">
        <f t="shared" si="0"/>
        <v>#DIV/0!</v>
      </c>
    </row>
    <row r="53" spans="1:25" s="10" customFormat="1" ht="21.75" customHeight="1">
      <c r="A53" s="18">
        <v>41</v>
      </c>
      <c r="B53" s="15" t="s">
        <v>1304</v>
      </c>
      <c r="C53" s="20" t="s">
        <v>1307</v>
      </c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/>
      <c r="P53" s="90"/>
      <c r="Q53" s="90"/>
      <c r="R53" s="90"/>
      <c r="S53" s="90"/>
      <c r="T53" s="90"/>
      <c r="U53" s="90"/>
      <c r="V53" s="90"/>
      <c r="W53" s="91"/>
      <c r="X53" s="23" t="e">
        <f t="shared" si="4"/>
        <v>#DIV/0!</v>
      </c>
      <c r="Y53" s="45" t="e">
        <f t="shared" si="0"/>
        <v>#DIV/0!</v>
      </c>
    </row>
    <row r="54" spans="1:25" ht="21.75" customHeight="1">
      <c r="A54" s="60">
        <v>42</v>
      </c>
      <c r="B54" s="46" t="s">
        <v>1304</v>
      </c>
      <c r="C54" s="50" t="s">
        <v>1308</v>
      </c>
      <c r="D54" s="76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8"/>
      <c r="P54" s="92"/>
      <c r="Q54" s="92"/>
      <c r="R54" s="92"/>
      <c r="S54" s="92"/>
      <c r="T54" s="92"/>
      <c r="U54" s="92"/>
      <c r="V54" s="92"/>
      <c r="W54" s="93"/>
      <c r="X54" s="48" t="e">
        <f t="shared" si="4"/>
        <v>#DIV/0!</v>
      </c>
      <c r="Y54" s="49" t="e">
        <f t="shared" si="0"/>
        <v>#DIV/0!</v>
      </c>
    </row>
    <row r="55" spans="1:25" s="11" customFormat="1" ht="21.75" customHeight="1">
      <c r="A55" s="59">
        <v>43</v>
      </c>
      <c r="B55" s="41" t="s">
        <v>1309</v>
      </c>
      <c r="C55" s="51" t="s">
        <v>1310</v>
      </c>
      <c r="D55" s="79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1"/>
      <c r="P55" s="94"/>
      <c r="Q55" s="94"/>
      <c r="R55" s="94"/>
      <c r="S55" s="94"/>
      <c r="T55" s="94"/>
      <c r="U55" s="94"/>
      <c r="V55" s="94"/>
      <c r="W55" s="95"/>
      <c r="X55" s="43" t="e">
        <f t="shared" si="4"/>
        <v>#DIV/0!</v>
      </c>
      <c r="Y55" s="44" t="e">
        <f t="shared" si="0"/>
        <v>#DIV/0!</v>
      </c>
    </row>
    <row r="56" spans="1:25" s="11" customFormat="1" ht="21.75" customHeight="1">
      <c r="A56" s="18">
        <v>44</v>
      </c>
      <c r="B56" s="15" t="s">
        <v>1309</v>
      </c>
      <c r="C56" s="20" t="s">
        <v>1311</v>
      </c>
      <c r="D56" s="73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/>
      <c r="P56" s="90"/>
      <c r="Q56" s="90"/>
      <c r="R56" s="90"/>
      <c r="S56" s="90"/>
      <c r="T56" s="90"/>
      <c r="U56" s="90"/>
      <c r="V56" s="90"/>
      <c r="W56" s="91"/>
      <c r="X56" s="23" t="e">
        <f t="shared" si="4"/>
        <v>#DIV/0!</v>
      </c>
      <c r="Y56" s="45" t="e">
        <f t="shared" si="0"/>
        <v>#DIV/0!</v>
      </c>
    </row>
    <row r="57" spans="1:25" s="11" customFormat="1" ht="21.75" customHeight="1">
      <c r="A57" s="18">
        <v>45</v>
      </c>
      <c r="B57" s="15" t="s">
        <v>1309</v>
      </c>
      <c r="C57" s="20" t="s">
        <v>1312</v>
      </c>
      <c r="D57" s="73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/>
      <c r="P57" s="90"/>
      <c r="Q57" s="90"/>
      <c r="R57" s="90"/>
      <c r="S57" s="90"/>
      <c r="T57" s="90"/>
      <c r="U57" s="90"/>
      <c r="V57" s="90"/>
      <c r="W57" s="91"/>
      <c r="X57" s="23" t="e">
        <f t="shared" si="4"/>
        <v>#DIV/0!</v>
      </c>
      <c r="Y57" s="45" t="e">
        <f t="shared" si="0"/>
        <v>#DIV/0!</v>
      </c>
    </row>
    <row r="58" spans="1:25" s="11" customFormat="1" ht="21.75" customHeight="1">
      <c r="A58" s="60">
        <v>46</v>
      </c>
      <c r="B58" s="46" t="s">
        <v>1309</v>
      </c>
      <c r="C58" s="50" t="s">
        <v>1313</v>
      </c>
      <c r="D58" s="76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8"/>
      <c r="P58" s="92"/>
      <c r="Q58" s="92"/>
      <c r="R58" s="92"/>
      <c r="S58" s="92"/>
      <c r="T58" s="92"/>
      <c r="U58" s="92"/>
      <c r="V58" s="92"/>
      <c r="W58" s="93"/>
      <c r="X58" s="48" t="e">
        <f t="shared" si="4"/>
        <v>#DIV/0!</v>
      </c>
      <c r="Y58" s="49" t="e">
        <f t="shared" si="0"/>
        <v>#DIV/0!</v>
      </c>
    </row>
    <row r="59" spans="1:25" ht="21.75" customHeight="1">
      <c r="A59" s="59">
        <v>47</v>
      </c>
      <c r="B59" s="41" t="s">
        <v>1314</v>
      </c>
      <c r="C59" s="51" t="s">
        <v>1315</v>
      </c>
      <c r="D59" s="79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1"/>
      <c r="P59" s="94"/>
      <c r="Q59" s="94"/>
      <c r="R59" s="94"/>
      <c r="S59" s="94"/>
      <c r="T59" s="94"/>
      <c r="U59" s="94"/>
      <c r="V59" s="94"/>
      <c r="W59" s="95"/>
      <c r="X59" s="43" t="e">
        <f t="shared" si="4"/>
        <v>#DIV/0!</v>
      </c>
      <c r="Y59" s="44" t="e">
        <f t="shared" si="0"/>
        <v>#DIV/0!</v>
      </c>
    </row>
    <row r="60" spans="1:25" ht="21.75" customHeight="1">
      <c r="A60" s="18">
        <v>48</v>
      </c>
      <c r="B60" s="15" t="s">
        <v>1314</v>
      </c>
      <c r="C60" s="20" t="s">
        <v>1316</v>
      </c>
      <c r="D60" s="73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/>
      <c r="P60" s="90"/>
      <c r="Q60" s="90"/>
      <c r="R60" s="90"/>
      <c r="S60" s="90"/>
      <c r="T60" s="90"/>
      <c r="U60" s="90"/>
      <c r="V60" s="90"/>
      <c r="W60" s="91"/>
      <c r="X60" s="23" t="e">
        <f t="shared" si="4"/>
        <v>#DIV/0!</v>
      </c>
      <c r="Y60" s="45" t="e">
        <f t="shared" si="0"/>
        <v>#DIV/0!</v>
      </c>
    </row>
    <row r="61" spans="1:25" s="12" customFormat="1" ht="21.75" customHeight="1">
      <c r="A61" s="18">
        <v>49</v>
      </c>
      <c r="B61" s="15" t="s">
        <v>1314</v>
      </c>
      <c r="C61" s="20" t="s">
        <v>1317</v>
      </c>
      <c r="D61" s="73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/>
      <c r="P61" s="90"/>
      <c r="Q61" s="90"/>
      <c r="R61" s="90"/>
      <c r="S61" s="90"/>
      <c r="T61" s="90"/>
      <c r="U61" s="90"/>
      <c r="V61" s="90"/>
      <c r="W61" s="91"/>
      <c r="X61" s="23" t="e">
        <f t="shared" si="4"/>
        <v>#DIV/0!</v>
      </c>
      <c r="Y61" s="45" t="e">
        <f t="shared" si="0"/>
        <v>#DIV/0!</v>
      </c>
    </row>
    <row r="62" spans="1:25" s="12" customFormat="1" ht="21.75" customHeight="1">
      <c r="A62" s="60">
        <v>50</v>
      </c>
      <c r="B62" s="46" t="s">
        <v>1314</v>
      </c>
      <c r="C62" s="50" t="s">
        <v>1318</v>
      </c>
      <c r="D62" s="76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8"/>
      <c r="P62" s="92"/>
      <c r="Q62" s="92"/>
      <c r="R62" s="92"/>
      <c r="S62" s="92"/>
      <c r="T62" s="92"/>
      <c r="U62" s="92"/>
      <c r="V62" s="92"/>
      <c r="W62" s="93"/>
      <c r="X62" s="48" t="e">
        <f t="shared" si="4"/>
        <v>#DIV/0!</v>
      </c>
      <c r="Y62" s="49" t="e">
        <f t="shared" si="0"/>
        <v>#DIV/0!</v>
      </c>
    </row>
    <row r="63" spans="1:25" ht="21.75" customHeight="1">
      <c r="A63" s="59">
        <v>51</v>
      </c>
      <c r="B63" s="41" t="s">
        <v>1319</v>
      </c>
      <c r="C63" s="51" t="s">
        <v>1320</v>
      </c>
      <c r="D63" s="79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1"/>
      <c r="P63" s="94"/>
      <c r="Q63" s="94"/>
      <c r="R63" s="94"/>
      <c r="S63" s="94"/>
      <c r="T63" s="94"/>
      <c r="U63" s="94"/>
      <c r="V63" s="94"/>
      <c r="W63" s="95"/>
      <c r="X63" s="43" t="e">
        <f t="shared" si="4"/>
        <v>#DIV/0!</v>
      </c>
      <c r="Y63" s="44" t="e">
        <f t="shared" si="0"/>
        <v>#DIV/0!</v>
      </c>
    </row>
    <row r="64" spans="1:25" s="10" customFormat="1" ht="21.75" customHeight="1">
      <c r="A64" s="18">
        <v>52</v>
      </c>
      <c r="B64" s="15" t="s">
        <v>1319</v>
      </c>
      <c r="C64" s="20" t="s">
        <v>1321</v>
      </c>
      <c r="D64" s="73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/>
      <c r="P64" s="90"/>
      <c r="Q64" s="90"/>
      <c r="R64" s="90"/>
      <c r="S64" s="90"/>
      <c r="T64" s="90"/>
      <c r="U64" s="90"/>
      <c r="V64" s="90"/>
      <c r="W64" s="91"/>
      <c r="X64" s="23" t="e">
        <f t="shared" si="4"/>
        <v>#DIV/0!</v>
      </c>
      <c r="Y64" s="45" t="e">
        <f t="shared" si="0"/>
        <v>#DIV/0!</v>
      </c>
    </row>
    <row r="65" spans="1:25" s="10" customFormat="1" ht="21.75" customHeight="1">
      <c r="A65" s="18">
        <v>53</v>
      </c>
      <c r="B65" s="15" t="s">
        <v>1319</v>
      </c>
      <c r="C65" s="20" t="s">
        <v>1322</v>
      </c>
      <c r="D65" s="73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/>
      <c r="P65" s="90"/>
      <c r="Q65" s="90"/>
      <c r="R65" s="90"/>
      <c r="S65" s="90"/>
      <c r="T65" s="90"/>
      <c r="U65" s="90"/>
      <c r="V65" s="90"/>
      <c r="W65" s="91"/>
      <c r="X65" s="23" t="e">
        <f t="shared" si="4"/>
        <v>#DIV/0!</v>
      </c>
      <c r="Y65" s="45" t="e">
        <f t="shared" si="0"/>
        <v>#DIV/0!</v>
      </c>
    </row>
    <row r="66" spans="1:25" ht="21.75" customHeight="1">
      <c r="A66" s="60">
        <v>54</v>
      </c>
      <c r="B66" s="46" t="s">
        <v>1319</v>
      </c>
      <c r="C66" s="50" t="s">
        <v>1323</v>
      </c>
      <c r="D66" s="76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8"/>
      <c r="P66" s="92"/>
      <c r="Q66" s="92"/>
      <c r="R66" s="92"/>
      <c r="S66" s="92"/>
      <c r="T66" s="92"/>
      <c r="U66" s="92"/>
      <c r="V66" s="92"/>
      <c r="W66" s="93"/>
      <c r="X66" s="48" t="e">
        <f t="shared" si="4"/>
        <v>#DIV/0!</v>
      </c>
      <c r="Y66" s="49" t="e">
        <f t="shared" si="0"/>
        <v>#DIV/0!</v>
      </c>
    </row>
    <row r="67" spans="1:25" s="11" customFormat="1" ht="21.75" customHeight="1">
      <c r="A67" s="59">
        <v>55</v>
      </c>
      <c r="B67" s="41" t="s">
        <v>1324</v>
      </c>
      <c r="C67" s="51" t="s">
        <v>1325</v>
      </c>
      <c r="D67" s="79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1"/>
      <c r="P67" s="94"/>
      <c r="Q67" s="94"/>
      <c r="R67" s="94"/>
      <c r="S67" s="94"/>
      <c r="T67" s="94"/>
      <c r="U67" s="94"/>
      <c r="V67" s="94"/>
      <c r="W67" s="95"/>
      <c r="X67" s="54" t="e">
        <f t="shared" si="4"/>
        <v>#DIV/0!</v>
      </c>
      <c r="Y67" s="52" t="e">
        <f t="shared" si="0"/>
        <v>#DIV/0!</v>
      </c>
    </row>
    <row r="68" spans="1:25" s="12" customFormat="1" ht="21.75" customHeight="1">
      <c r="A68" s="18">
        <v>56</v>
      </c>
      <c r="B68" s="15" t="s">
        <v>1324</v>
      </c>
      <c r="C68" s="20" t="s">
        <v>1326</v>
      </c>
      <c r="D68" s="73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/>
      <c r="P68" s="90"/>
      <c r="Q68" s="90"/>
      <c r="R68" s="90"/>
      <c r="S68" s="90"/>
      <c r="T68" s="90"/>
      <c r="U68" s="90"/>
      <c r="V68" s="90"/>
      <c r="W68" s="91"/>
      <c r="X68" s="55" t="e">
        <f t="shared" si="4"/>
        <v>#DIV/0!</v>
      </c>
      <c r="Y68" s="53" t="e">
        <f t="shared" si="0"/>
        <v>#DIV/0!</v>
      </c>
    </row>
    <row r="69" spans="1:25" s="12" customFormat="1" ht="21.75" customHeight="1">
      <c r="A69" s="18">
        <v>57</v>
      </c>
      <c r="B69" s="15" t="s">
        <v>1324</v>
      </c>
      <c r="C69" s="20" t="s">
        <v>1327</v>
      </c>
      <c r="D69" s="73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/>
      <c r="P69" s="90"/>
      <c r="Q69" s="90"/>
      <c r="R69" s="90"/>
      <c r="S69" s="90"/>
      <c r="T69" s="90"/>
      <c r="U69" s="90"/>
      <c r="V69" s="90"/>
      <c r="W69" s="91"/>
      <c r="X69" s="55" t="e">
        <f t="shared" si="4"/>
        <v>#DIV/0!</v>
      </c>
      <c r="Y69" s="53" t="e">
        <f t="shared" si="0"/>
        <v>#DIV/0!</v>
      </c>
    </row>
    <row r="70" spans="1:25" ht="21.75" customHeight="1">
      <c r="A70" s="38">
        <v>58</v>
      </c>
      <c r="B70" s="32" t="s">
        <v>1324</v>
      </c>
      <c r="C70" s="56" t="s">
        <v>1328</v>
      </c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4"/>
      <c r="P70" s="96"/>
      <c r="Q70" s="96"/>
      <c r="R70" s="96"/>
      <c r="S70" s="96"/>
      <c r="T70" s="96"/>
      <c r="U70" s="96"/>
      <c r="V70" s="96"/>
      <c r="W70" s="97"/>
      <c r="X70" s="57" t="e">
        <f t="shared" si="4"/>
        <v>#DIV/0!</v>
      </c>
      <c r="Y70" s="58" t="e">
        <f t="shared" si="0"/>
        <v>#DIV/0!</v>
      </c>
    </row>
    <row r="71" spans="1:25" ht="21.75" customHeight="1">
      <c r="A71" s="59">
        <v>59</v>
      </c>
      <c r="B71" s="41" t="s">
        <v>1329</v>
      </c>
      <c r="C71" s="51" t="s">
        <v>1330</v>
      </c>
      <c r="D71" s="82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4"/>
      <c r="P71" s="94"/>
      <c r="Q71" s="94"/>
      <c r="R71" s="94"/>
      <c r="S71" s="94"/>
      <c r="T71" s="94"/>
      <c r="U71" s="94"/>
      <c r="V71" s="94"/>
      <c r="W71" s="95"/>
      <c r="X71" s="57" t="e">
        <f t="shared" ref="X71:X82" si="5">COUNTIF(P71:W71,1)/COUNTA(P71:W71)</f>
        <v>#DIV/0!</v>
      </c>
      <c r="Y71" s="58" t="e">
        <f t="shared" si="0"/>
        <v>#DIV/0!</v>
      </c>
    </row>
    <row r="72" spans="1:25" ht="21.75" customHeight="1">
      <c r="A72" s="18">
        <v>60</v>
      </c>
      <c r="B72" s="15" t="s">
        <v>1329</v>
      </c>
      <c r="C72" s="20" t="s">
        <v>1331</v>
      </c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4"/>
      <c r="P72" s="90"/>
      <c r="Q72" s="90"/>
      <c r="R72" s="90"/>
      <c r="S72" s="90"/>
      <c r="T72" s="90"/>
      <c r="U72" s="90"/>
      <c r="V72" s="90"/>
      <c r="W72" s="91"/>
      <c r="X72" s="57" t="e">
        <f t="shared" si="5"/>
        <v>#DIV/0!</v>
      </c>
      <c r="Y72" s="58" t="e">
        <f t="shared" si="0"/>
        <v>#DIV/0!</v>
      </c>
    </row>
    <row r="73" spans="1:25" ht="21.75" customHeight="1">
      <c r="A73" s="18">
        <v>61</v>
      </c>
      <c r="B73" s="15" t="s">
        <v>1329</v>
      </c>
      <c r="C73" s="20" t="s">
        <v>1332</v>
      </c>
      <c r="D73" s="82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4"/>
      <c r="P73" s="90"/>
      <c r="Q73" s="90"/>
      <c r="R73" s="90"/>
      <c r="S73" s="90"/>
      <c r="T73" s="90"/>
      <c r="U73" s="90"/>
      <c r="V73" s="90"/>
      <c r="W73" s="91"/>
      <c r="X73" s="57" t="e">
        <f t="shared" si="5"/>
        <v>#DIV/0!</v>
      </c>
      <c r="Y73" s="58" t="e">
        <f t="shared" si="0"/>
        <v>#DIV/0!</v>
      </c>
    </row>
    <row r="74" spans="1:25" ht="21.75" customHeight="1">
      <c r="A74" s="60">
        <v>62</v>
      </c>
      <c r="B74" s="46" t="s">
        <v>1329</v>
      </c>
      <c r="C74" s="50" t="s">
        <v>1333</v>
      </c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4"/>
      <c r="P74" s="92"/>
      <c r="Q74" s="92"/>
      <c r="R74" s="92"/>
      <c r="S74" s="92"/>
      <c r="T74" s="92"/>
      <c r="U74" s="92"/>
      <c r="V74" s="92"/>
      <c r="W74" s="93"/>
      <c r="X74" s="57" t="e">
        <f t="shared" si="5"/>
        <v>#DIV/0!</v>
      </c>
      <c r="Y74" s="58" t="e">
        <f t="shared" si="0"/>
        <v>#DIV/0!</v>
      </c>
    </row>
    <row r="75" spans="1:25" ht="21.75" customHeight="1">
      <c r="A75" s="59">
        <v>63</v>
      </c>
      <c r="B75" s="41" t="s">
        <v>1334</v>
      </c>
      <c r="C75" s="51" t="s">
        <v>1335</v>
      </c>
      <c r="D75" s="82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4"/>
      <c r="P75" s="94"/>
      <c r="Q75" s="94"/>
      <c r="R75" s="94"/>
      <c r="S75" s="94"/>
      <c r="T75" s="94"/>
      <c r="U75" s="94"/>
      <c r="V75" s="94"/>
      <c r="W75" s="95"/>
      <c r="X75" s="57" t="e">
        <f t="shared" si="5"/>
        <v>#DIV/0!</v>
      </c>
      <c r="Y75" s="58" t="e">
        <f t="shared" si="0"/>
        <v>#DIV/0!</v>
      </c>
    </row>
    <row r="76" spans="1:25" ht="21.75" customHeight="1">
      <c r="A76" s="18">
        <v>64</v>
      </c>
      <c r="B76" s="15" t="s">
        <v>1334</v>
      </c>
      <c r="C76" s="20" t="s">
        <v>1336</v>
      </c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4"/>
      <c r="P76" s="90"/>
      <c r="Q76" s="90"/>
      <c r="R76" s="90"/>
      <c r="S76" s="90"/>
      <c r="T76" s="90"/>
      <c r="U76" s="90"/>
      <c r="V76" s="90"/>
      <c r="W76" s="91"/>
      <c r="X76" s="57" t="e">
        <f t="shared" si="5"/>
        <v>#DIV/0!</v>
      </c>
      <c r="Y76" s="58" t="e">
        <f t="shared" si="0"/>
        <v>#DIV/0!</v>
      </c>
    </row>
    <row r="77" spans="1:25" ht="21.75" customHeight="1">
      <c r="A77" s="18">
        <v>65</v>
      </c>
      <c r="B77" s="15" t="s">
        <v>1334</v>
      </c>
      <c r="C77" s="20" t="s">
        <v>1337</v>
      </c>
      <c r="D77" s="82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4"/>
      <c r="P77" s="90"/>
      <c r="Q77" s="90"/>
      <c r="R77" s="90"/>
      <c r="S77" s="90"/>
      <c r="T77" s="90"/>
      <c r="U77" s="90"/>
      <c r="V77" s="90"/>
      <c r="W77" s="91"/>
      <c r="X77" s="57" t="e">
        <f t="shared" si="5"/>
        <v>#DIV/0!</v>
      </c>
      <c r="Y77" s="58" t="e">
        <f t="shared" si="0"/>
        <v>#DIV/0!</v>
      </c>
    </row>
    <row r="78" spans="1:25" ht="21.75" customHeight="1">
      <c r="A78" s="60">
        <v>66</v>
      </c>
      <c r="B78" s="46" t="s">
        <v>1334</v>
      </c>
      <c r="C78" s="50" t="s">
        <v>1338</v>
      </c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92"/>
      <c r="Q78" s="92"/>
      <c r="R78" s="92"/>
      <c r="S78" s="92"/>
      <c r="T78" s="92"/>
      <c r="U78" s="92"/>
      <c r="V78" s="92"/>
      <c r="W78" s="93"/>
      <c r="X78" s="57" t="e">
        <f t="shared" si="5"/>
        <v>#DIV/0!</v>
      </c>
      <c r="Y78" s="58" t="e">
        <f t="shared" si="0"/>
        <v>#DIV/0!</v>
      </c>
    </row>
    <row r="79" spans="1:25" ht="21.75" customHeight="1">
      <c r="A79" s="59">
        <v>67</v>
      </c>
      <c r="B79" s="41" t="s">
        <v>1339</v>
      </c>
      <c r="C79" s="51" t="s">
        <v>1340</v>
      </c>
      <c r="D79" s="82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4"/>
      <c r="P79" s="94"/>
      <c r="Q79" s="94"/>
      <c r="R79" s="94"/>
      <c r="S79" s="94"/>
      <c r="T79" s="94"/>
      <c r="U79" s="94"/>
      <c r="V79" s="94"/>
      <c r="W79" s="95"/>
      <c r="X79" s="57" t="e">
        <f t="shared" si="5"/>
        <v>#DIV/0!</v>
      </c>
      <c r="Y79" s="58" t="e">
        <f t="shared" si="0"/>
        <v>#DIV/0!</v>
      </c>
    </row>
    <row r="80" spans="1:25" ht="21.75" customHeight="1">
      <c r="A80" s="18">
        <v>68</v>
      </c>
      <c r="B80" s="15" t="s">
        <v>1339</v>
      </c>
      <c r="C80" s="20" t="s">
        <v>1341</v>
      </c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4"/>
      <c r="P80" s="90"/>
      <c r="Q80" s="90"/>
      <c r="R80" s="90"/>
      <c r="S80" s="90"/>
      <c r="T80" s="90"/>
      <c r="U80" s="90"/>
      <c r="V80" s="90"/>
      <c r="W80" s="91"/>
      <c r="X80" s="57" t="e">
        <f t="shared" si="5"/>
        <v>#DIV/0!</v>
      </c>
      <c r="Y80" s="58" t="e">
        <f t="shared" si="0"/>
        <v>#DIV/0!</v>
      </c>
    </row>
    <row r="81" spans="1:25" ht="21.75" customHeight="1">
      <c r="A81" s="18">
        <v>69</v>
      </c>
      <c r="B81" s="15" t="s">
        <v>1339</v>
      </c>
      <c r="C81" s="20" t="s">
        <v>1342</v>
      </c>
      <c r="D81" s="82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4"/>
      <c r="P81" s="90"/>
      <c r="Q81" s="90"/>
      <c r="R81" s="90"/>
      <c r="S81" s="90"/>
      <c r="T81" s="90"/>
      <c r="U81" s="90"/>
      <c r="V81" s="90"/>
      <c r="W81" s="91"/>
      <c r="X81" s="57" t="e">
        <f t="shared" si="5"/>
        <v>#DIV/0!</v>
      </c>
      <c r="Y81" s="58" t="e">
        <f t="shared" si="0"/>
        <v>#DIV/0!</v>
      </c>
    </row>
    <row r="82" spans="1:25" ht="21.75" customHeight="1">
      <c r="A82" s="60">
        <v>70</v>
      </c>
      <c r="B82" s="46" t="s">
        <v>1339</v>
      </c>
      <c r="C82" s="50" t="s">
        <v>1343</v>
      </c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4"/>
      <c r="P82" s="92"/>
      <c r="Q82" s="92"/>
      <c r="R82" s="92"/>
      <c r="S82" s="92"/>
      <c r="T82" s="92"/>
      <c r="U82" s="92"/>
      <c r="V82" s="92"/>
      <c r="W82" s="93"/>
      <c r="X82" s="57" t="e">
        <f t="shared" si="5"/>
        <v>#DIV/0!</v>
      </c>
      <c r="Y82" s="58" t="e">
        <f t="shared" si="0"/>
        <v>#DIV/0!</v>
      </c>
    </row>
    <row r="83" spans="1:25" ht="21.75" customHeight="1">
      <c r="A83" s="59">
        <v>71</v>
      </c>
      <c r="B83" s="41" t="s">
        <v>1344</v>
      </c>
      <c r="C83" s="51" t="s">
        <v>1345</v>
      </c>
      <c r="D83" s="79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1"/>
      <c r="P83" s="94"/>
      <c r="Q83" s="94"/>
      <c r="R83" s="94"/>
      <c r="S83" s="94"/>
      <c r="T83" s="94"/>
      <c r="U83" s="94"/>
      <c r="V83" s="94"/>
      <c r="W83" s="95"/>
      <c r="X83" s="43" t="e">
        <f t="shared" ref="X83:X90" si="6">COUNTIF(D83:W83,1)/COUNTA(D83:W83)</f>
        <v>#DIV/0!</v>
      </c>
      <c r="Y83" s="44" t="e">
        <f t="shared" si="0"/>
        <v>#DIV/0!</v>
      </c>
    </row>
    <row r="84" spans="1:25" s="12" customFormat="1" ht="21.75" customHeight="1">
      <c r="A84" s="18">
        <v>72</v>
      </c>
      <c r="B84" s="15" t="s">
        <v>1344</v>
      </c>
      <c r="C84" s="20" t="s">
        <v>1346</v>
      </c>
      <c r="D84" s="73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/>
      <c r="P84" s="90"/>
      <c r="Q84" s="90"/>
      <c r="R84" s="90"/>
      <c r="S84" s="90"/>
      <c r="T84" s="90"/>
      <c r="U84" s="90"/>
      <c r="V84" s="90"/>
      <c r="W84" s="91"/>
      <c r="X84" s="23" t="e">
        <f t="shared" si="6"/>
        <v>#DIV/0!</v>
      </c>
      <c r="Y84" s="45" t="e">
        <f t="shared" si="0"/>
        <v>#DIV/0!</v>
      </c>
    </row>
    <row r="85" spans="1:25" s="12" customFormat="1" ht="21.75" customHeight="1">
      <c r="A85" s="18">
        <v>73</v>
      </c>
      <c r="B85" s="15" t="s">
        <v>1344</v>
      </c>
      <c r="C85" s="20" t="s">
        <v>1347</v>
      </c>
      <c r="D85" s="73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/>
      <c r="P85" s="90"/>
      <c r="Q85" s="90"/>
      <c r="R85" s="90"/>
      <c r="S85" s="90"/>
      <c r="T85" s="90"/>
      <c r="U85" s="90"/>
      <c r="V85" s="90"/>
      <c r="W85" s="91"/>
      <c r="X85" s="23" t="e">
        <f t="shared" si="6"/>
        <v>#DIV/0!</v>
      </c>
      <c r="Y85" s="45" t="e">
        <f t="shared" si="0"/>
        <v>#DIV/0!</v>
      </c>
    </row>
    <row r="86" spans="1:25" s="12" customFormat="1" ht="21.75" customHeight="1">
      <c r="A86" s="60">
        <v>74</v>
      </c>
      <c r="B86" s="46" t="s">
        <v>1344</v>
      </c>
      <c r="C86" s="50" t="s">
        <v>1348</v>
      </c>
      <c r="D86" s="76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8"/>
      <c r="P86" s="92"/>
      <c r="Q86" s="92"/>
      <c r="R86" s="92"/>
      <c r="S86" s="92"/>
      <c r="T86" s="92"/>
      <c r="U86" s="92"/>
      <c r="V86" s="92"/>
      <c r="W86" s="93"/>
      <c r="X86" s="48" t="e">
        <f t="shared" si="6"/>
        <v>#DIV/0!</v>
      </c>
      <c r="Y86" s="49" t="e">
        <f t="shared" si="0"/>
        <v>#DIV/0!</v>
      </c>
    </row>
    <row r="87" spans="1:25" s="12" customFormat="1" ht="21.75" customHeight="1">
      <c r="A87" s="59">
        <v>75</v>
      </c>
      <c r="B87" s="41" t="s">
        <v>1349</v>
      </c>
      <c r="C87" s="51" t="s">
        <v>1350</v>
      </c>
      <c r="D87" s="79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1"/>
      <c r="P87" s="94"/>
      <c r="Q87" s="94"/>
      <c r="R87" s="94"/>
      <c r="S87" s="94"/>
      <c r="T87" s="94"/>
      <c r="U87" s="94"/>
      <c r="V87" s="94"/>
      <c r="W87" s="95"/>
      <c r="X87" s="43" t="e">
        <f t="shared" si="6"/>
        <v>#DIV/0!</v>
      </c>
      <c r="Y87" s="44" t="e">
        <f t="shared" si="0"/>
        <v>#DIV/0!</v>
      </c>
    </row>
    <row r="88" spans="1:25" s="12" customFormat="1" ht="21.75" customHeight="1">
      <c r="A88" s="18">
        <v>76</v>
      </c>
      <c r="B88" s="15" t="s">
        <v>1349</v>
      </c>
      <c r="C88" s="20" t="s">
        <v>1351</v>
      </c>
      <c r="D88" s="73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/>
      <c r="P88" s="90"/>
      <c r="Q88" s="90"/>
      <c r="R88" s="90"/>
      <c r="S88" s="90"/>
      <c r="T88" s="90"/>
      <c r="U88" s="90"/>
      <c r="V88" s="90"/>
      <c r="W88" s="91"/>
      <c r="X88" s="23" t="e">
        <f t="shared" si="6"/>
        <v>#DIV/0!</v>
      </c>
      <c r="Y88" s="45" t="e">
        <f t="shared" si="0"/>
        <v>#DIV/0!</v>
      </c>
    </row>
    <row r="89" spans="1:25" s="12" customFormat="1" ht="21.75" customHeight="1">
      <c r="A89" s="18">
        <v>77</v>
      </c>
      <c r="B89" s="15" t="s">
        <v>1349</v>
      </c>
      <c r="C89" s="20" t="s">
        <v>1352</v>
      </c>
      <c r="D89" s="73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/>
      <c r="P89" s="90"/>
      <c r="Q89" s="90"/>
      <c r="R89" s="90"/>
      <c r="S89" s="90"/>
      <c r="T89" s="90"/>
      <c r="U89" s="90"/>
      <c r="V89" s="90"/>
      <c r="W89" s="91"/>
      <c r="X89" s="23" t="e">
        <f t="shared" si="6"/>
        <v>#DIV/0!</v>
      </c>
      <c r="Y89" s="45" t="e">
        <f t="shared" si="0"/>
        <v>#DIV/0!</v>
      </c>
    </row>
    <row r="90" spans="1:25" s="12" customFormat="1" ht="21.75" customHeight="1" thickBot="1">
      <c r="A90" s="21">
        <v>78</v>
      </c>
      <c r="B90" s="36" t="s">
        <v>1349</v>
      </c>
      <c r="C90" s="37" t="s">
        <v>1353</v>
      </c>
      <c r="D90" s="85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7"/>
      <c r="P90" s="98"/>
      <c r="Q90" s="98"/>
      <c r="R90" s="98"/>
      <c r="S90" s="98"/>
      <c r="T90" s="98"/>
      <c r="U90" s="98"/>
      <c r="V90" s="98"/>
      <c r="W90" s="99"/>
      <c r="X90" s="48" t="e">
        <f t="shared" si="6"/>
        <v>#DIV/0!</v>
      </c>
      <c r="Y90" s="49" t="e">
        <f t="shared" si="0"/>
        <v>#DIV/0!</v>
      </c>
    </row>
    <row r="91" spans="1:25" ht="21.75" customHeight="1">
      <c r="A91" s="516"/>
      <c r="B91" s="516"/>
      <c r="C91" s="516"/>
      <c r="D91" s="517"/>
      <c r="E91" s="517"/>
      <c r="F91" s="517"/>
      <c r="G91" s="517"/>
      <c r="H91" s="517"/>
      <c r="I91" s="517"/>
      <c r="J91" s="517"/>
      <c r="K91" s="517"/>
      <c r="L91" s="517"/>
      <c r="M91" s="517"/>
      <c r="N91" s="517"/>
      <c r="O91" s="517"/>
      <c r="P91" s="517"/>
      <c r="Q91" s="517"/>
      <c r="R91" s="517"/>
      <c r="S91" s="517"/>
      <c r="T91" s="517"/>
      <c r="U91" s="517"/>
      <c r="V91" s="517"/>
      <c r="W91" s="517"/>
      <c r="X91" s="517"/>
      <c r="Y91" s="69"/>
    </row>
  </sheetData>
  <autoFilter ref="A10:AI91" xr:uid="{94DE3DCB-3DB8-41CE-9B09-C64CC6AB222D}"/>
  <mergeCells count="25">
    <mergeCell ref="A91:C91"/>
    <mergeCell ref="D91:X91"/>
    <mergeCell ref="B7:B10"/>
    <mergeCell ref="X7:X10"/>
    <mergeCell ref="D3:E3"/>
    <mergeCell ref="D4:E4"/>
    <mergeCell ref="D5:E5"/>
    <mergeCell ref="O3:W3"/>
    <mergeCell ref="F3:J3"/>
    <mergeCell ref="F4:J4"/>
    <mergeCell ref="F5:J5"/>
    <mergeCell ref="D11:W11"/>
    <mergeCell ref="K4:M4"/>
    <mergeCell ref="K5:M5"/>
    <mergeCell ref="O5:W5"/>
    <mergeCell ref="O4:W4"/>
    <mergeCell ref="C3:C5"/>
    <mergeCell ref="K3:M3"/>
    <mergeCell ref="Y7:Y10"/>
    <mergeCell ref="D7:W7"/>
    <mergeCell ref="A6:X6"/>
    <mergeCell ref="A7:A10"/>
    <mergeCell ref="C7:C10"/>
    <mergeCell ref="D9:O9"/>
    <mergeCell ref="P9:W9"/>
  </mergeCells>
  <phoneticPr fontId="16" type="noConversion"/>
  <conditionalFormatting sqref="X12:X29 X31:X90">
    <cfRule type="dataBar" priority="11">
      <dataBar>
        <cfvo type="formula" val="1"/>
        <cfvo type="formula" val="0"/>
        <color theme="6" tint="0.39997558519241921"/>
      </dataBar>
      <extLst>
        <ext xmlns:x14="http://schemas.microsoft.com/office/spreadsheetml/2009/9/main" uri="{B025F937-C7B1-47D3-B67F-A62EFF666E3E}">
          <x14:id>{34629BCE-720E-453C-AF7B-5000676252B7}</x14:id>
        </ext>
      </extLst>
    </cfRule>
    <cfRule type="dataBar" priority="12">
      <dataBar>
        <cfvo type="formula" val="1"/>
        <cfvo type="formula" val="0"/>
        <color theme="6"/>
      </dataBar>
      <extLst>
        <ext xmlns:x14="http://schemas.microsoft.com/office/spreadsheetml/2009/9/main" uri="{B025F937-C7B1-47D3-B67F-A62EFF666E3E}">
          <x14:id>{ADA60FE6-8619-4BC3-90F4-810D504B9858}</x14:id>
        </ext>
      </extLst>
    </cfRule>
    <cfRule type="dataBar" priority="13">
      <dataBar>
        <cfvo type="formula" val="0"/>
        <cfvo type="formula" val="1"/>
        <color theme="3" tint="0.749992370372631"/>
      </dataBar>
      <extLst>
        <ext xmlns:x14="http://schemas.microsoft.com/office/spreadsheetml/2009/9/main" uri="{B025F937-C7B1-47D3-B67F-A62EFF666E3E}">
          <x14:id>{F6938D07-7C25-4EAB-9124-0F369ABC66DF}</x14:id>
        </ext>
      </extLst>
    </cfRule>
    <cfRule type="dataBar" priority="16">
      <dataBar>
        <cfvo type="formula" val="0"/>
        <cfvo type="formula" val="1"/>
        <color theme="3" tint="0.499984740745262"/>
      </dataBar>
      <extLst>
        <ext xmlns:x14="http://schemas.microsoft.com/office/spreadsheetml/2009/9/main" uri="{B025F937-C7B1-47D3-B67F-A62EFF666E3E}">
          <x14:id>{4A32696B-CBCA-4ABA-8773-04E7A598B69D}</x14:id>
        </ext>
      </extLst>
    </cfRule>
  </conditionalFormatting>
  <conditionalFormatting sqref="X30">
    <cfRule type="dataBar" priority="2">
      <dataBar>
        <cfvo type="formula" val="1"/>
        <cfvo type="formula" val="0"/>
        <color theme="6" tint="0.39997558519241921"/>
      </dataBar>
      <extLst>
        <ext xmlns:x14="http://schemas.microsoft.com/office/spreadsheetml/2009/9/main" uri="{B025F937-C7B1-47D3-B67F-A62EFF666E3E}">
          <x14:id>{C9457E91-E4B0-454E-A43A-0AA0DBF26B32}</x14:id>
        </ext>
      </extLst>
    </cfRule>
    <cfRule type="dataBar" priority="3">
      <dataBar>
        <cfvo type="formula" val="1"/>
        <cfvo type="formula" val="0"/>
        <color theme="6"/>
      </dataBar>
      <extLst>
        <ext xmlns:x14="http://schemas.microsoft.com/office/spreadsheetml/2009/9/main" uri="{B025F937-C7B1-47D3-B67F-A62EFF666E3E}">
          <x14:id>{8536C2F9-8837-4240-9812-885BBEAADA3E}</x14:id>
        </ext>
      </extLst>
    </cfRule>
    <cfRule type="dataBar" priority="4">
      <dataBar>
        <cfvo type="formula" val="0"/>
        <cfvo type="formula" val="1"/>
        <color theme="3" tint="0.749992370372631"/>
      </dataBar>
      <extLst>
        <ext xmlns:x14="http://schemas.microsoft.com/office/spreadsheetml/2009/9/main" uri="{B025F937-C7B1-47D3-B67F-A62EFF666E3E}">
          <x14:id>{ACE397F4-F53E-4B82-A49E-9B3188D6C675}</x14:id>
        </ext>
      </extLst>
    </cfRule>
    <cfRule type="dataBar" priority="5">
      <dataBar>
        <cfvo type="formula" val="0"/>
        <cfvo type="formula" val="1"/>
        <color theme="3" tint="0.499984740745262"/>
      </dataBar>
      <extLst>
        <ext xmlns:x14="http://schemas.microsoft.com/office/spreadsheetml/2009/9/main" uri="{B025F937-C7B1-47D3-B67F-A62EFF666E3E}">
          <x14:id>{C5EA2CFD-EF39-43FC-A3A7-CDD137ABF208}</x14:id>
        </ext>
      </extLst>
    </cfRule>
  </conditionalFormatting>
  <conditionalFormatting sqref="X11:Y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:Y29 Y31:Y90">
    <cfRule type="dataBar" priority="10">
      <dataBar>
        <cfvo type="formula" val="1"/>
        <cfvo type="formula" val="0"/>
        <color theme="5"/>
      </dataBar>
      <extLst>
        <ext xmlns:x14="http://schemas.microsoft.com/office/spreadsheetml/2009/9/main" uri="{B025F937-C7B1-47D3-B67F-A62EFF666E3E}">
          <x14:id>{1982E702-CA20-41B1-B693-84D4E3419D88}</x14:id>
        </ext>
      </extLst>
    </cfRule>
  </conditionalFormatting>
  <conditionalFormatting sqref="Y30">
    <cfRule type="dataBar" priority="1">
      <dataBar>
        <cfvo type="formula" val="1"/>
        <cfvo type="formula" val="0"/>
        <color theme="5"/>
      </dataBar>
      <extLst>
        <ext xmlns:x14="http://schemas.microsoft.com/office/spreadsheetml/2009/9/main" uri="{B025F937-C7B1-47D3-B67F-A62EFF666E3E}">
          <x14:id>{1E27CAD6-EE7C-4FC8-B133-EE41794FD379}</x14:id>
        </ext>
      </extLst>
    </cfRule>
  </conditionalFormatting>
  <printOptions horizontalCentered="1"/>
  <pageMargins left="0.25" right="0.25" top="0.75" bottom="0.75" header="0.3" footer="0.3"/>
  <pageSetup paperSize="8" scale="40" orientation="portrait" r:id="rId1"/>
  <ignoredErrors>
    <ignoredError sqref="X71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29BCE-720E-453C-AF7B-5000676252B7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14:cfRule type="dataBar" id="{ADA60FE6-8619-4BC3-90F4-810D504B9858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14:cfRule type="dataBar" id="{F6938D07-7C25-4EAB-9124-0F369ABC66DF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14:cfRule type="dataBar" id="{4A32696B-CBCA-4ABA-8773-04E7A598B69D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X12:X29 X31:X90</xm:sqref>
        </x14:conditionalFormatting>
        <x14:conditionalFormatting xmlns:xm="http://schemas.microsoft.com/office/excel/2006/main">
          <x14:cfRule type="dataBar" id="{C9457E91-E4B0-454E-A43A-0AA0DBF26B32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14:cfRule type="dataBar" id="{8536C2F9-8837-4240-9812-885BBEAADA3E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14:cfRule type="dataBar" id="{ACE397F4-F53E-4B82-A49E-9B3188D6C675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14:cfRule type="dataBar" id="{C5EA2CFD-EF39-43FC-A3A7-CDD137ABF208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X30</xm:sqref>
        </x14:conditionalFormatting>
        <x14:conditionalFormatting xmlns:xm="http://schemas.microsoft.com/office/excel/2006/main">
          <x14:cfRule type="dataBar" id="{1982E702-CA20-41B1-B693-84D4E3419D88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m:sqref>Y12:Y29 Y31:Y90</xm:sqref>
        </x14:conditionalFormatting>
        <x14:conditionalFormatting xmlns:xm="http://schemas.microsoft.com/office/excel/2006/main">
          <x14:cfRule type="dataBar" id="{1E27CAD6-EE7C-4FC8-B133-EE41794FD379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m:sqref>Y30</xm:sqref>
        </x14:conditionalFormatting>
        <x14:conditionalFormatting xmlns:xm="http://schemas.microsoft.com/office/excel/2006/main">
          <x14:cfRule type="iconSet" priority="71" id="{A7C3C0D1-676D-4882-840F-DD809554BD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14:cfRule type="iconSet" priority="74" id="{E3E77407-FCF9-40C9-ADFB-8AED1686F9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14:cfRule type="iconSet" priority="77" id="{755D0485-CE34-4164-A3F6-7CF7062EE8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D12:W29 D31:W90</xm:sqref>
        </x14:conditionalFormatting>
        <x14:conditionalFormatting xmlns:xm="http://schemas.microsoft.com/office/excel/2006/main">
          <x14:cfRule type="iconSet" priority="6" id="{1BB46ACD-C93D-4C42-B2D4-50B46FF104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14:cfRule type="iconSet" priority="7" id="{2B82A6BB-0217-420A-B3E3-70D63B578F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14:cfRule type="iconSet" priority="8" id="{D3AF713F-76E3-42B6-8EA1-70D510FF48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D30:W30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579E-8190-4960-9A80-A1AA28B62A96}">
  <sheetPr filterMode="1"/>
  <dimension ref="A1:AI94"/>
  <sheetViews>
    <sheetView topLeftCell="A6" zoomScale="55" zoomScaleNormal="55" workbookViewId="0">
      <pane xSplit="3" ySplit="9" topLeftCell="D16" activePane="bottomRight" state="frozen"/>
      <selection pane="bottomRight" activeCell="I119" sqref="I119"/>
      <selection pane="bottomLeft" activeCell="A15" sqref="A15"/>
      <selection pane="topRight" activeCell="D6" sqref="D6"/>
    </sheetView>
  </sheetViews>
  <sheetFormatPr defaultColWidth="9.140625" defaultRowHeight="14.25" outlineLevelCol="1"/>
  <cols>
    <col min="1" max="1" width="4.42578125" style="1" customWidth="1"/>
    <col min="2" max="2" width="22.85546875" style="1" customWidth="1"/>
    <col min="3" max="3" width="59.85546875" style="2" customWidth="1"/>
    <col min="4" max="4" width="10" style="9" customWidth="1" outlineLevel="1"/>
    <col min="5" max="5" width="10.42578125" style="9" customWidth="1" outlineLevel="1"/>
    <col min="6" max="8" width="10" style="9" customWidth="1" outlineLevel="1"/>
    <col min="9" max="29" width="8.7109375" style="9" customWidth="1" outlineLevel="1"/>
    <col min="30" max="33" width="9.28515625" style="9" customWidth="1" outlineLevel="1"/>
    <col min="34" max="35" width="15.140625" style="4" customWidth="1"/>
    <col min="36" max="16384" width="9.140625" style="4"/>
  </cols>
  <sheetData>
    <row r="1" spans="1:35" hidden="1">
      <c r="C1" s="2" t="s">
        <v>1354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3"/>
    </row>
    <row r="2" spans="1:35" ht="28.5" hidden="1" customHeight="1">
      <c r="C2" s="2" t="s">
        <v>1355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3"/>
    </row>
    <row r="3" spans="1:35" hidden="1">
      <c r="C3" s="2" t="s">
        <v>1356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3"/>
    </row>
    <row r="4" spans="1:35" ht="30" hidden="1">
      <c r="A4" s="5"/>
      <c r="B4" s="5"/>
      <c r="C4" s="6" t="s">
        <v>1357</v>
      </c>
    </row>
    <row r="5" spans="1:35" hidden="1">
      <c r="A5" s="4"/>
      <c r="B5" s="4"/>
    </row>
    <row r="6" spans="1:35">
      <c r="A6" s="4"/>
      <c r="B6" s="4"/>
    </row>
    <row r="7" spans="1:35" ht="19.5" customHeight="1">
      <c r="A7" s="7"/>
      <c r="B7" s="7"/>
      <c r="C7" s="503" t="s">
        <v>1265</v>
      </c>
      <c r="D7" s="504" t="s">
        <v>1138</v>
      </c>
      <c r="E7" s="504"/>
      <c r="F7" s="526" t="s">
        <v>1139</v>
      </c>
      <c r="G7" s="526"/>
      <c r="H7" s="526"/>
      <c r="I7" s="526"/>
      <c r="J7" s="526"/>
      <c r="K7" s="504" t="s">
        <v>1140</v>
      </c>
      <c r="L7" s="504"/>
      <c r="M7" s="504"/>
      <c r="N7" s="504"/>
      <c r="O7" s="504"/>
      <c r="P7" s="504"/>
      <c r="Q7" s="504"/>
      <c r="R7" s="504"/>
      <c r="S7" s="68"/>
      <c r="T7" s="68"/>
      <c r="U7" s="68"/>
      <c r="V7" s="68"/>
      <c r="W7" s="68"/>
      <c r="X7" s="68"/>
      <c r="Y7" s="68"/>
      <c r="Z7" s="68"/>
      <c r="AA7" s="68"/>
      <c r="AB7" s="68"/>
      <c r="AH7" s="66"/>
    </row>
    <row r="8" spans="1:35" ht="15" customHeight="1">
      <c r="A8" s="7"/>
      <c r="B8" s="7"/>
      <c r="C8" s="503"/>
      <c r="D8" s="504" t="s">
        <v>1141</v>
      </c>
      <c r="E8" s="504"/>
      <c r="F8" s="526" t="s">
        <v>1358</v>
      </c>
      <c r="G8" s="526"/>
      <c r="H8" s="526"/>
      <c r="I8" s="526"/>
      <c r="J8" s="526"/>
      <c r="K8" s="504" t="s">
        <v>1143</v>
      </c>
      <c r="L8" s="504"/>
      <c r="M8" s="504"/>
      <c r="N8" s="528" t="s">
        <v>1266</v>
      </c>
      <c r="O8" s="528"/>
      <c r="P8" s="528"/>
      <c r="Q8" s="528"/>
      <c r="R8" s="528"/>
      <c r="S8" s="68"/>
      <c r="T8" s="68"/>
      <c r="U8" s="68"/>
      <c r="V8" s="68"/>
      <c r="W8" s="68"/>
      <c r="X8" s="68"/>
      <c r="Y8" s="68"/>
      <c r="Z8" s="68"/>
      <c r="AA8" s="68"/>
      <c r="AB8" s="68"/>
      <c r="AH8" s="67"/>
    </row>
    <row r="9" spans="1:35" ht="17.25" customHeight="1">
      <c r="A9" s="7"/>
      <c r="B9" s="7"/>
      <c r="C9" s="503"/>
      <c r="D9" s="504" t="s">
        <v>1144</v>
      </c>
      <c r="E9" s="504"/>
      <c r="F9" s="504" t="s">
        <v>1145</v>
      </c>
      <c r="G9" s="504"/>
      <c r="H9" s="504"/>
      <c r="I9" s="504"/>
      <c r="J9" s="504"/>
      <c r="K9" s="504" t="s">
        <v>1146</v>
      </c>
      <c r="L9" s="504"/>
      <c r="M9" s="504"/>
      <c r="N9" s="528" t="s">
        <v>1267</v>
      </c>
      <c r="O9" s="528"/>
      <c r="P9" s="528"/>
      <c r="Q9" s="528"/>
      <c r="R9" s="528"/>
      <c r="S9" s="68"/>
      <c r="T9" s="68"/>
      <c r="U9" s="68"/>
      <c r="V9" s="68"/>
      <c r="W9" s="68"/>
      <c r="X9" s="68"/>
      <c r="Y9" s="68"/>
      <c r="Z9" s="68"/>
      <c r="AA9" s="68"/>
      <c r="AB9" s="68"/>
      <c r="AH9" s="67"/>
    </row>
    <row r="10" spans="1:35" ht="15" customHeight="1" thickBot="1">
      <c r="A10" s="510"/>
      <c r="B10" s="510"/>
      <c r="C10" s="510"/>
      <c r="D10" s="510"/>
      <c r="E10" s="510"/>
      <c r="F10" s="510"/>
      <c r="G10" s="510"/>
      <c r="H10" s="510"/>
      <c r="I10" s="510"/>
      <c r="J10" s="510"/>
      <c r="K10" s="510"/>
      <c r="L10" s="510"/>
      <c r="M10" s="510"/>
      <c r="N10" s="510"/>
      <c r="O10" s="510"/>
      <c r="P10" s="510"/>
      <c r="Q10" s="510"/>
      <c r="R10" s="510"/>
      <c r="S10" s="510"/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</row>
    <row r="11" spans="1:35" s="8" customFormat="1" ht="21.75" customHeight="1" thickBot="1">
      <c r="A11" s="484" t="s">
        <v>1147</v>
      </c>
      <c r="B11" s="518" t="s">
        <v>1268</v>
      </c>
      <c r="C11" s="511" t="s">
        <v>1269</v>
      </c>
      <c r="D11" s="507" t="s">
        <v>1359</v>
      </c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/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21" t="s">
        <v>1151</v>
      </c>
      <c r="AI11" s="505" t="s">
        <v>1152</v>
      </c>
    </row>
    <row r="12" spans="1:35" s="8" customFormat="1" ht="74.25" hidden="1" customHeight="1" thickBot="1">
      <c r="A12" s="485"/>
      <c r="B12" s="519"/>
      <c r="C12" s="512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522"/>
      <c r="AI12" s="506"/>
    </row>
    <row r="13" spans="1:35" s="8" customFormat="1" ht="18.75" customHeight="1">
      <c r="A13" s="485"/>
      <c r="B13" s="519"/>
      <c r="C13" s="512"/>
      <c r="D13" s="530" t="s">
        <v>1153</v>
      </c>
      <c r="E13" s="531"/>
      <c r="F13" s="531"/>
      <c r="G13" s="531"/>
      <c r="H13" s="531"/>
      <c r="I13" s="531"/>
      <c r="J13" s="531"/>
      <c r="K13" s="531"/>
      <c r="L13" s="531"/>
      <c r="M13" s="531"/>
      <c r="N13" s="532"/>
      <c r="O13" s="532"/>
      <c r="P13" s="532"/>
      <c r="Q13" s="532"/>
      <c r="R13" s="532"/>
      <c r="S13" s="532"/>
      <c r="T13" s="532"/>
      <c r="U13" s="532"/>
      <c r="V13" s="532"/>
      <c r="W13" s="532"/>
      <c r="X13" s="532"/>
      <c r="Y13" s="532"/>
      <c r="Z13" s="532"/>
      <c r="AA13" s="532"/>
      <c r="AB13" s="532"/>
      <c r="AC13" s="533"/>
      <c r="AD13" s="534"/>
      <c r="AE13" s="535"/>
      <c r="AF13" s="535"/>
      <c r="AG13" s="535"/>
      <c r="AH13" s="522"/>
      <c r="AI13" s="506"/>
    </row>
    <row r="14" spans="1:35" ht="38.25" customHeight="1" thickBot="1">
      <c r="A14" s="486"/>
      <c r="B14" s="520"/>
      <c r="C14" s="513"/>
      <c r="D14" s="100" t="s">
        <v>1155</v>
      </c>
      <c r="E14" s="101" t="s">
        <v>1156</v>
      </c>
      <c r="F14" s="101" t="s">
        <v>1157</v>
      </c>
      <c r="G14" s="101" t="s">
        <v>1158</v>
      </c>
      <c r="H14" s="101" t="s">
        <v>1159</v>
      </c>
      <c r="I14" s="101" t="s">
        <v>1160</v>
      </c>
      <c r="J14" s="101" t="s">
        <v>1161</v>
      </c>
      <c r="K14" s="101" t="s">
        <v>1162</v>
      </c>
      <c r="L14" s="101" t="s">
        <v>1163</v>
      </c>
      <c r="M14" s="101" t="s">
        <v>1164</v>
      </c>
      <c r="N14" s="102" t="s">
        <v>1360</v>
      </c>
      <c r="O14" s="101" t="s">
        <v>1166</v>
      </c>
      <c r="P14" s="101" t="s">
        <v>1361</v>
      </c>
      <c r="Q14" s="102" t="s">
        <v>1362</v>
      </c>
      <c r="R14" s="101" t="s">
        <v>1363</v>
      </c>
      <c r="S14" s="101" t="s">
        <v>1364</v>
      </c>
      <c r="T14" s="102" t="s">
        <v>1365</v>
      </c>
      <c r="U14" s="102" t="s">
        <v>1366</v>
      </c>
      <c r="V14" s="102" t="s">
        <v>1367</v>
      </c>
      <c r="W14" s="102" t="s">
        <v>1368</v>
      </c>
      <c r="X14" s="102" t="s">
        <v>1369</v>
      </c>
      <c r="Y14" s="102" t="s">
        <v>1370</v>
      </c>
      <c r="Z14" s="102" t="s">
        <v>1371</v>
      </c>
      <c r="AA14" s="102" t="s">
        <v>1372</v>
      </c>
      <c r="AB14" s="102" t="s">
        <v>1373</v>
      </c>
      <c r="AC14" s="103" t="s">
        <v>1374</v>
      </c>
      <c r="AD14" s="122" t="s">
        <v>1167</v>
      </c>
      <c r="AE14" s="123" t="s">
        <v>1168</v>
      </c>
      <c r="AF14" s="123" t="s">
        <v>1169</v>
      </c>
      <c r="AG14" s="123" t="s">
        <v>1170</v>
      </c>
      <c r="AH14" s="523"/>
      <c r="AI14" s="506"/>
    </row>
    <row r="15" spans="1:35" ht="27.75" hidden="1" customHeight="1" thickBot="1">
      <c r="A15" s="24" t="s">
        <v>1271</v>
      </c>
      <c r="B15" s="25"/>
      <c r="C15" s="26"/>
      <c r="D15" s="527"/>
      <c r="E15" s="527"/>
      <c r="F15" s="527"/>
      <c r="G15" s="527"/>
      <c r="H15" s="527"/>
      <c r="I15" s="527"/>
      <c r="J15" s="527"/>
      <c r="K15" s="527"/>
      <c r="L15" s="527"/>
      <c r="M15" s="527"/>
      <c r="N15" s="527"/>
      <c r="O15" s="527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7"/>
      <c r="AB15" s="527"/>
      <c r="AC15" s="527"/>
      <c r="AD15" s="527"/>
      <c r="AE15" s="527"/>
      <c r="AF15" s="527"/>
      <c r="AG15" s="527"/>
      <c r="AH15" s="33">
        <f>SUM(AH16:AH93)/A93</f>
        <v>5.4273504273504261E-2</v>
      </c>
      <c r="AI15" s="34">
        <f>SUM(AI16:AI93)/A93</f>
        <v>0.9457264957264957</v>
      </c>
    </row>
    <row r="16" spans="1:35" ht="18" customHeight="1">
      <c r="A16" s="27">
        <v>1</v>
      </c>
      <c r="B16" s="35" t="s">
        <v>1272</v>
      </c>
      <c r="C16" s="31" t="s">
        <v>1176</v>
      </c>
      <c r="D16" s="536">
        <v>1</v>
      </c>
      <c r="E16" s="536"/>
      <c r="F16" s="536"/>
      <c r="G16" s="536"/>
      <c r="H16" s="536"/>
      <c r="I16" s="536"/>
      <c r="J16" s="536"/>
      <c r="K16" s="536"/>
      <c r="L16" s="536"/>
      <c r="M16" s="536"/>
      <c r="N16" s="536"/>
      <c r="O16" s="536"/>
      <c r="P16" s="536"/>
      <c r="Q16" s="536"/>
      <c r="R16" s="536"/>
      <c r="S16" s="536"/>
      <c r="T16" s="536"/>
      <c r="U16" s="536"/>
      <c r="V16" s="536"/>
      <c r="W16" s="536"/>
      <c r="X16" s="536"/>
      <c r="Y16" s="536"/>
      <c r="Z16" s="536"/>
      <c r="AA16" s="536"/>
      <c r="AB16" s="536"/>
      <c r="AC16" s="536"/>
      <c r="AD16" s="536"/>
      <c r="AE16" s="536"/>
      <c r="AF16" s="536"/>
      <c r="AG16" s="536"/>
      <c r="AH16" s="28">
        <v>0.85</v>
      </c>
      <c r="AI16" s="29">
        <f>1-AH16</f>
        <v>0.15000000000000002</v>
      </c>
    </row>
    <row r="17" spans="1:35" ht="18" customHeight="1">
      <c r="A17" s="18">
        <v>2</v>
      </c>
      <c r="B17" s="15" t="s">
        <v>1272</v>
      </c>
      <c r="C17" s="61" t="s">
        <v>1177</v>
      </c>
      <c r="D17" s="529">
        <v>0.1</v>
      </c>
      <c r="E17" s="529"/>
      <c r="F17" s="529"/>
      <c r="G17" s="529"/>
      <c r="H17" s="529"/>
      <c r="I17" s="529"/>
      <c r="J17" s="529"/>
      <c r="K17" s="529"/>
      <c r="L17" s="529"/>
      <c r="M17" s="529"/>
      <c r="N17" s="529"/>
      <c r="O17" s="529"/>
      <c r="P17" s="529"/>
      <c r="Q17" s="529"/>
      <c r="R17" s="529"/>
      <c r="S17" s="529"/>
      <c r="T17" s="529"/>
      <c r="U17" s="529"/>
      <c r="V17" s="529"/>
      <c r="W17" s="529"/>
      <c r="X17" s="529"/>
      <c r="Y17" s="529"/>
      <c r="Z17" s="529"/>
      <c r="AA17" s="529"/>
      <c r="AB17" s="529"/>
      <c r="AC17" s="529"/>
      <c r="AD17" s="529"/>
      <c r="AE17" s="529"/>
      <c r="AF17" s="529"/>
      <c r="AG17" s="529"/>
      <c r="AH17" s="23">
        <v>0.05</v>
      </c>
      <c r="AI17" s="30">
        <f t="shared" ref="AI17:AI80" si="0">1-AH17</f>
        <v>0.95</v>
      </c>
    </row>
    <row r="18" spans="1:35" ht="18" customHeight="1">
      <c r="A18" s="18">
        <v>3</v>
      </c>
      <c r="B18" s="15" t="s">
        <v>1272</v>
      </c>
      <c r="C18" s="65" t="s">
        <v>1178</v>
      </c>
      <c r="D18" s="529">
        <v>1</v>
      </c>
      <c r="E18" s="529"/>
      <c r="F18" s="529"/>
      <c r="G18" s="529"/>
      <c r="H18" s="529"/>
      <c r="I18" s="529"/>
      <c r="J18" s="529"/>
      <c r="K18" s="529"/>
      <c r="L18" s="529"/>
      <c r="M18" s="529"/>
      <c r="N18" s="529"/>
      <c r="O18" s="529"/>
      <c r="P18" s="529"/>
      <c r="Q18" s="529"/>
      <c r="R18" s="529"/>
      <c r="S18" s="529"/>
      <c r="T18" s="529"/>
      <c r="U18" s="529"/>
      <c r="V18" s="529"/>
      <c r="W18" s="529"/>
      <c r="X18" s="529"/>
      <c r="Y18" s="529"/>
      <c r="Z18" s="529"/>
      <c r="AA18" s="529"/>
      <c r="AB18" s="529"/>
      <c r="AC18" s="529"/>
      <c r="AD18" s="529"/>
      <c r="AE18" s="529"/>
      <c r="AF18" s="529"/>
      <c r="AG18" s="529"/>
      <c r="AH18" s="23">
        <f>COUNTIF(D18:AG18,1)/COUNTA(D18:AG18)</f>
        <v>1</v>
      </c>
      <c r="AI18" s="30">
        <f t="shared" si="0"/>
        <v>0</v>
      </c>
    </row>
    <row r="19" spans="1:35" ht="18" customHeight="1">
      <c r="A19" s="18">
        <v>4</v>
      </c>
      <c r="B19" s="15" t="s">
        <v>1272</v>
      </c>
      <c r="C19" s="64" t="s">
        <v>1179</v>
      </c>
      <c r="D19" s="529">
        <v>0</v>
      </c>
      <c r="E19" s="529"/>
      <c r="F19" s="529"/>
      <c r="G19" s="529"/>
      <c r="H19" s="529"/>
      <c r="I19" s="529"/>
      <c r="J19" s="529"/>
      <c r="K19" s="529"/>
      <c r="L19" s="529"/>
      <c r="M19" s="529"/>
      <c r="N19" s="529"/>
      <c r="O19" s="529"/>
      <c r="P19" s="529"/>
      <c r="Q19" s="529"/>
      <c r="R19" s="529"/>
      <c r="S19" s="529"/>
      <c r="T19" s="529"/>
      <c r="U19" s="529"/>
      <c r="V19" s="529"/>
      <c r="W19" s="529"/>
      <c r="X19" s="529"/>
      <c r="Y19" s="529"/>
      <c r="Z19" s="529"/>
      <c r="AA19" s="529"/>
      <c r="AB19" s="529"/>
      <c r="AC19" s="529"/>
      <c r="AD19" s="529"/>
      <c r="AE19" s="529"/>
      <c r="AF19" s="529"/>
      <c r="AG19" s="529"/>
      <c r="AH19" s="23">
        <v>0.25</v>
      </c>
      <c r="AI19" s="30">
        <f t="shared" si="0"/>
        <v>0.75</v>
      </c>
    </row>
    <row r="20" spans="1:35" ht="18" customHeight="1">
      <c r="A20" s="18">
        <v>5</v>
      </c>
      <c r="B20" s="15" t="s">
        <v>1272</v>
      </c>
      <c r="C20" s="63" t="s">
        <v>1180</v>
      </c>
      <c r="D20" s="529">
        <v>0.2</v>
      </c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 s="529"/>
      <c r="T20" s="529"/>
      <c r="U20" s="529"/>
      <c r="V20" s="529"/>
      <c r="W20" s="529"/>
      <c r="X20" s="529"/>
      <c r="Y20" s="529"/>
      <c r="Z20" s="529"/>
      <c r="AA20" s="529"/>
      <c r="AB20" s="529"/>
      <c r="AC20" s="529"/>
      <c r="AD20" s="529"/>
      <c r="AE20" s="529"/>
      <c r="AF20" s="529"/>
      <c r="AG20" s="529"/>
      <c r="AH20" s="23">
        <v>0.5</v>
      </c>
      <c r="AI20" s="30">
        <f t="shared" si="0"/>
        <v>0.5</v>
      </c>
    </row>
    <row r="21" spans="1:35" ht="18" customHeight="1">
      <c r="A21" s="18">
        <v>6</v>
      </c>
      <c r="B21" s="15" t="s">
        <v>1272</v>
      </c>
      <c r="C21" s="19" t="s">
        <v>1181</v>
      </c>
      <c r="D21" s="529">
        <v>0</v>
      </c>
      <c r="E21" s="529"/>
      <c r="F21" s="529"/>
      <c r="G21" s="529"/>
      <c r="H21" s="529"/>
      <c r="I21" s="529"/>
      <c r="J21" s="529"/>
      <c r="K21" s="529"/>
      <c r="L21" s="529"/>
      <c r="M21" s="529"/>
      <c r="N21" s="529"/>
      <c r="O21" s="529"/>
      <c r="P21" s="529"/>
      <c r="Q21" s="529"/>
      <c r="R21" s="529"/>
      <c r="S21" s="529"/>
      <c r="T21" s="529"/>
      <c r="U21" s="529"/>
      <c r="V21" s="529"/>
      <c r="W21" s="529"/>
      <c r="X21" s="529"/>
      <c r="Y21" s="529"/>
      <c r="Z21" s="529"/>
      <c r="AA21" s="529"/>
      <c r="AB21" s="529"/>
      <c r="AC21" s="529"/>
      <c r="AD21" s="529"/>
      <c r="AE21" s="529"/>
      <c r="AF21" s="529"/>
      <c r="AG21" s="529"/>
      <c r="AH21" s="23">
        <v>0.1</v>
      </c>
      <c r="AI21" s="30">
        <f t="shared" si="0"/>
        <v>0.9</v>
      </c>
    </row>
    <row r="22" spans="1:35" ht="18" customHeight="1" thickBot="1">
      <c r="A22" s="38">
        <v>7</v>
      </c>
      <c r="B22" s="46" t="s">
        <v>1272</v>
      </c>
      <c r="C22" s="62" t="s">
        <v>1182</v>
      </c>
      <c r="D22" s="546">
        <v>0</v>
      </c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6"/>
      <c r="W22" s="546"/>
      <c r="X22" s="546"/>
      <c r="Y22" s="546"/>
      <c r="Z22" s="546"/>
      <c r="AA22" s="546"/>
      <c r="AB22" s="546"/>
      <c r="AC22" s="546"/>
      <c r="AD22" s="546"/>
      <c r="AE22" s="546"/>
      <c r="AF22" s="546"/>
      <c r="AG22" s="546"/>
      <c r="AH22" s="39">
        <v>0.15</v>
      </c>
      <c r="AI22" s="40">
        <f t="shared" si="0"/>
        <v>0.85</v>
      </c>
    </row>
    <row r="23" spans="1:35" ht="18" customHeight="1">
      <c r="A23" s="59">
        <v>8</v>
      </c>
      <c r="B23" s="41" t="s">
        <v>1273</v>
      </c>
      <c r="C23" s="42" t="s">
        <v>1189</v>
      </c>
      <c r="D23" s="104">
        <v>1</v>
      </c>
      <c r="E23" s="105">
        <v>1</v>
      </c>
      <c r="F23" s="105">
        <v>1</v>
      </c>
      <c r="G23" s="105">
        <v>1</v>
      </c>
      <c r="H23" s="105">
        <v>1</v>
      </c>
      <c r="I23" s="105">
        <v>1</v>
      </c>
      <c r="J23" s="105">
        <v>1</v>
      </c>
      <c r="K23" s="105">
        <v>1</v>
      </c>
      <c r="L23" s="105">
        <v>1</v>
      </c>
      <c r="M23" s="105">
        <v>1</v>
      </c>
      <c r="N23" s="105">
        <v>1</v>
      </c>
      <c r="O23" s="105">
        <v>1</v>
      </c>
      <c r="P23" s="105">
        <v>1</v>
      </c>
      <c r="Q23" s="105">
        <v>1</v>
      </c>
      <c r="R23" s="105">
        <v>1</v>
      </c>
      <c r="S23" s="105">
        <v>1</v>
      </c>
      <c r="T23" s="105">
        <v>1</v>
      </c>
      <c r="U23" s="105">
        <v>1</v>
      </c>
      <c r="V23" s="105">
        <v>1</v>
      </c>
      <c r="W23" s="105">
        <v>1</v>
      </c>
      <c r="X23" s="105">
        <v>1</v>
      </c>
      <c r="Y23" s="105">
        <v>1</v>
      </c>
      <c r="Z23" s="105">
        <v>1</v>
      </c>
      <c r="AA23" s="105">
        <v>1</v>
      </c>
      <c r="AB23" s="105">
        <v>1</v>
      </c>
      <c r="AC23" s="106">
        <v>1</v>
      </c>
      <c r="AD23" s="124">
        <v>1</v>
      </c>
      <c r="AE23" s="124">
        <v>0</v>
      </c>
      <c r="AF23" s="124">
        <v>1</v>
      </c>
      <c r="AG23" s="124">
        <v>1</v>
      </c>
      <c r="AH23" s="43">
        <f t="shared" ref="AH23:AH54" si="1">COUNTIF(D23:AG23,1)/COUNTA(D23:AG23)</f>
        <v>0.96666666666666667</v>
      </c>
      <c r="AI23" s="44">
        <f t="shared" si="0"/>
        <v>3.3333333333333326E-2</v>
      </c>
    </row>
    <row r="24" spans="1:35" ht="18" customHeight="1">
      <c r="A24" s="18">
        <v>9</v>
      </c>
      <c r="B24" s="15" t="s">
        <v>1273</v>
      </c>
      <c r="C24" s="19" t="s">
        <v>1190</v>
      </c>
      <c r="D24" s="107">
        <v>1</v>
      </c>
      <c r="E24" s="108">
        <v>1</v>
      </c>
      <c r="F24" s="108">
        <v>1</v>
      </c>
      <c r="G24" s="108">
        <v>1</v>
      </c>
      <c r="H24" s="108">
        <v>1</v>
      </c>
      <c r="I24" s="108">
        <v>1</v>
      </c>
      <c r="J24" s="108">
        <v>1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0</v>
      </c>
      <c r="X24" s="108">
        <v>0</v>
      </c>
      <c r="Y24" s="108">
        <v>0</v>
      </c>
      <c r="Z24" s="108">
        <v>0</v>
      </c>
      <c r="AA24" s="108">
        <v>0</v>
      </c>
      <c r="AB24" s="108">
        <v>0</v>
      </c>
      <c r="AC24" s="109">
        <v>0</v>
      </c>
      <c r="AD24" s="125">
        <v>0</v>
      </c>
      <c r="AE24" s="125">
        <v>0</v>
      </c>
      <c r="AF24" s="125">
        <v>0</v>
      </c>
      <c r="AG24" s="125">
        <v>0</v>
      </c>
      <c r="AH24" s="23">
        <f t="shared" si="1"/>
        <v>0.23333333333333334</v>
      </c>
      <c r="AI24" s="45">
        <f t="shared" si="0"/>
        <v>0.76666666666666661</v>
      </c>
    </row>
    <row r="25" spans="1:35" ht="18" customHeight="1">
      <c r="A25" s="18">
        <v>10</v>
      </c>
      <c r="B25" s="15" t="s">
        <v>1273</v>
      </c>
      <c r="C25" s="19" t="s">
        <v>1191</v>
      </c>
      <c r="D25" s="107">
        <v>1</v>
      </c>
      <c r="E25" s="108">
        <v>0.01</v>
      </c>
      <c r="F25" s="108">
        <v>0</v>
      </c>
      <c r="G25" s="108">
        <v>0</v>
      </c>
      <c r="H25" s="108">
        <v>0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0</v>
      </c>
      <c r="Z25" s="108">
        <v>0</v>
      </c>
      <c r="AA25" s="108">
        <v>0</v>
      </c>
      <c r="AB25" s="108">
        <v>0</v>
      </c>
      <c r="AC25" s="109">
        <v>0</v>
      </c>
      <c r="AD25" s="125">
        <v>0</v>
      </c>
      <c r="AE25" s="125">
        <v>0</v>
      </c>
      <c r="AF25" s="125">
        <v>0</v>
      </c>
      <c r="AG25" s="125">
        <v>0</v>
      </c>
      <c r="AH25" s="23">
        <f t="shared" si="1"/>
        <v>3.3333333333333333E-2</v>
      </c>
      <c r="AI25" s="45">
        <f t="shared" si="0"/>
        <v>0.96666666666666667</v>
      </c>
    </row>
    <row r="26" spans="1:35" ht="18" customHeight="1">
      <c r="A26" s="18">
        <v>11</v>
      </c>
      <c r="B26" s="15" t="s">
        <v>1273</v>
      </c>
      <c r="C26" s="19" t="s">
        <v>1193</v>
      </c>
      <c r="D26" s="107">
        <v>1</v>
      </c>
      <c r="E26" s="108">
        <v>0</v>
      </c>
      <c r="F26" s="108">
        <v>0</v>
      </c>
      <c r="G26" s="108">
        <v>0</v>
      </c>
      <c r="H26" s="108">
        <v>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0</v>
      </c>
      <c r="Z26" s="108">
        <v>0</v>
      </c>
      <c r="AA26" s="108">
        <v>0</v>
      </c>
      <c r="AB26" s="108">
        <v>0</v>
      </c>
      <c r="AC26" s="109">
        <v>0</v>
      </c>
      <c r="AD26" s="125">
        <v>0</v>
      </c>
      <c r="AE26" s="125">
        <v>0</v>
      </c>
      <c r="AF26" s="125">
        <v>0</v>
      </c>
      <c r="AG26" s="125">
        <v>0</v>
      </c>
      <c r="AH26" s="23">
        <f t="shared" si="1"/>
        <v>3.3333333333333333E-2</v>
      </c>
      <c r="AI26" s="45">
        <f t="shared" si="0"/>
        <v>0.96666666666666667</v>
      </c>
    </row>
    <row r="27" spans="1:35" ht="18" customHeight="1">
      <c r="A27" s="18">
        <v>12</v>
      </c>
      <c r="B27" s="15" t="s">
        <v>1273</v>
      </c>
      <c r="C27" s="19" t="s">
        <v>1194</v>
      </c>
      <c r="D27" s="107">
        <v>1</v>
      </c>
      <c r="E27" s="108">
        <v>0</v>
      </c>
      <c r="F27" s="108">
        <v>0</v>
      </c>
      <c r="G27" s="108">
        <v>0</v>
      </c>
      <c r="H27" s="108">
        <v>0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0</v>
      </c>
      <c r="Z27" s="108">
        <v>0</v>
      </c>
      <c r="AA27" s="108">
        <v>0</v>
      </c>
      <c r="AB27" s="108">
        <v>0</v>
      </c>
      <c r="AC27" s="109">
        <v>0</v>
      </c>
      <c r="AD27" s="125">
        <v>0</v>
      </c>
      <c r="AE27" s="125">
        <v>0</v>
      </c>
      <c r="AF27" s="125">
        <v>0</v>
      </c>
      <c r="AG27" s="125">
        <v>0</v>
      </c>
      <c r="AH27" s="23">
        <f t="shared" si="1"/>
        <v>3.3333333333333333E-2</v>
      </c>
      <c r="AI27" s="45">
        <f t="shared" si="0"/>
        <v>0.96666666666666667</v>
      </c>
    </row>
    <row r="28" spans="1:35" ht="18" customHeight="1">
      <c r="A28" s="60">
        <v>13</v>
      </c>
      <c r="B28" s="46" t="s">
        <v>1273</v>
      </c>
      <c r="C28" s="47" t="s">
        <v>1192</v>
      </c>
      <c r="D28" s="110">
        <v>1</v>
      </c>
      <c r="E28" s="111">
        <v>0</v>
      </c>
      <c r="F28" s="111">
        <v>0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2">
        <v>0</v>
      </c>
      <c r="AD28" s="126">
        <v>0</v>
      </c>
      <c r="AE28" s="126">
        <v>0</v>
      </c>
      <c r="AF28" s="126">
        <v>0</v>
      </c>
      <c r="AG28" s="126">
        <v>0</v>
      </c>
      <c r="AH28" s="48">
        <f t="shared" si="1"/>
        <v>3.3333333333333333E-2</v>
      </c>
      <c r="AI28" s="49">
        <f t="shared" si="0"/>
        <v>0.96666666666666667</v>
      </c>
    </row>
    <row r="29" spans="1:35" ht="18" customHeight="1">
      <c r="A29" s="59">
        <v>14</v>
      </c>
      <c r="B29" s="41" t="s">
        <v>1274</v>
      </c>
      <c r="C29" s="42" t="s">
        <v>1205</v>
      </c>
      <c r="D29" s="113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0</v>
      </c>
      <c r="O29" s="114">
        <v>0</v>
      </c>
      <c r="P29" s="114">
        <v>0</v>
      </c>
      <c r="Q29" s="114">
        <v>0</v>
      </c>
      <c r="R29" s="114">
        <v>0</v>
      </c>
      <c r="S29" s="114">
        <v>0</v>
      </c>
      <c r="T29" s="114">
        <v>0</v>
      </c>
      <c r="U29" s="114">
        <v>0</v>
      </c>
      <c r="V29" s="114">
        <v>0</v>
      </c>
      <c r="W29" s="114">
        <v>0</v>
      </c>
      <c r="X29" s="114">
        <v>0</v>
      </c>
      <c r="Y29" s="114">
        <v>0</v>
      </c>
      <c r="Z29" s="114">
        <v>0</v>
      </c>
      <c r="AA29" s="114">
        <v>0</v>
      </c>
      <c r="AB29" s="114">
        <v>0</v>
      </c>
      <c r="AC29" s="115">
        <v>0</v>
      </c>
      <c r="AD29" s="127">
        <v>0</v>
      </c>
      <c r="AE29" s="127">
        <v>0</v>
      </c>
      <c r="AF29" s="127">
        <v>0</v>
      </c>
      <c r="AG29" s="127">
        <v>0</v>
      </c>
      <c r="AH29" s="43">
        <f t="shared" si="1"/>
        <v>0</v>
      </c>
      <c r="AI29" s="44">
        <f t="shared" si="0"/>
        <v>1</v>
      </c>
    </row>
    <row r="30" spans="1:35" ht="18" customHeight="1">
      <c r="A30" s="18">
        <v>15</v>
      </c>
      <c r="B30" s="15" t="s">
        <v>1274</v>
      </c>
      <c r="C30" s="19" t="s">
        <v>1206</v>
      </c>
      <c r="D30" s="107">
        <v>0</v>
      </c>
      <c r="E30" s="108">
        <v>0</v>
      </c>
      <c r="F30" s="108">
        <v>0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  <c r="Z30" s="108">
        <v>0</v>
      </c>
      <c r="AA30" s="108">
        <v>0</v>
      </c>
      <c r="AB30" s="108">
        <v>0</v>
      </c>
      <c r="AC30" s="109">
        <v>0</v>
      </c>
      <c r="AD30" s="125">
        <v>0</v>
      </c>
      <c r="AE30" s="125">
        <v>0</v>
      </c>
      <c r="AF30" s="125">
        <v>0</v>
      </c>
      <c r="AG30" s="125">
        <v>0</v>
      </c>
      <c r="AH30" s="23">
        <f t="shared" si="1"/>
        <v>0</v>
      </c>
      <c r="AI30" s="45">
        <f t="shared" si="0"/>
        <v>1</v>
      </c>
    </row>
    <row r="31" spans="1:35" ht="18" customHeight="1">
      <c r="A31" s="60">
        <v>16</v>
      </c>
      <c r="B31" s="46" t="s">
        <v>1274</v>
      </c>
      <c r="C31" s="50" t="s">
        <v>1275</v>
      </c>
      <c r="D31" s="110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2">
        <v>0</v>
      </c>
      <c r="AD31" s="126">
        <v>0</v>
      </c>
      <c r="AE31" s="126">
        <v>0</v>
      </c>
      <c r="AF31" s="126">
        <v>0</v>
      </c>
      <c r="AG31" s="126">
        <v>0</v>
      </c>
      <c r="AH31" s="48">
        <f t="shared" si="1"/>
        <v>0</v>
      </c>
      <c r="AI31" s="49">
        <f t="shared" si="0"/>
        <v>1</v>
      </c>
    </row>
    <row r="32" spans="1:35" ht="18" hidden="1" customHeight="1">
      <c r="A32" s="59">
        <v>17</v>
      </c>
      <c r="B32" s="41" t="s">
        <v>1276</v>
      </c>
      <c r="C32" s="51" t="s">
        <v>1208</v>
      </c>
      <c r="D32" s="113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14">
        <v>0</v>
      </c>
      <c r="O32" s="114">
        <v>0</v>
      </c>
      <c r="P32" s="114">
        <v>0</v>
      </c>
      <c r="Q32" s="114">
        <v>0</v>
      </c>
      <c r="R32" s="114">
        <v>0</v>
      </c>
      <c r="S32" s="114">
        <v>0</v>
      </c>
      <c r="T32" s="114">
        <v>0</v>
      </c>
      <c r="U32" s="114">
        <v>0</v>
      </c>
      <c r="V32" s="114">
        <v>0</v>
      </c>
      <c r="W32" s="114">
        <v>0</v>
      </c>
      <c r="X32" s="114">
        <v>0</v>
      </c>
      <c r="Y32" s="114">
        <v>0</v>
      </c>
      <c r="Z32" s="114">
        <v>0</v>
      </c>
      <c r="AA32" s="114">
        <v>0</v>
      </c>
      <c r="AB32" s="114">
        <v>0</v>
      </c>
      <c r="AC32" s="115">
        <v>0</v>
      </c>
      <c r="AD32" s="127">
        <v>0</v>
      </c>
      <c r="AE32" s="127">
        <v>0</v>
      </c>
      <c r="AF32" s="127">
        <v>0</v>
      </c>
      <c r="AG32" s="127">
        <v>0</v>
      </c>
      <c r="AH32" s="43">
        <f t="shared" si="1"/>
        <v>0</v>
      </c>
      <c r="AI32" s="44">
        <f t="shared" si="0"/>
        <v>1</v>
      </c>
    </row>
    <row r="33" spans="1:35" ht="18" hidden="1" customHeight="1">
      <c r="A33" s="18">
        <v>18</v>
      </c>
      <c r="B33" s="15" t="s">
        <v>1276</v>
      </c>
      <c r="C33" s="20" t="s">
        <v>1277</v>
      </c>
      <c r="D33" s="107">
        <v>0</v>
      </c>
      <c r="E33" s="108">
        <v>0</v>
      </c>
      <c r="F33" s="108">
        <v>0</v>
      </c>
      <c r="G33" s="108">
        <v>0</v>
      </c>
      <c r="H33" s="108">
        <v>0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0</v>
      </c>
      <c r="Z33" s="108">
        <v>0</v>
      </c>
      <c r="AA33" s="108">
        <v>0</v>
      </c>
      <c r="AB33" s="108">
        <v>0</v>
      </c>
      <c r="AC33" s="109">
        <v>0</v>
      </c>
      <c r="AD33" s="125">
        <v>0</v>
      </c>
      <c r="AE33" s="125">
        <v>0</v>
      </c>
      <c r="AF33" s="125">
        <v>0</v>
      </c>
      <c r="AG33" s="125">
        <v>0</v>
      </c>
      <c r="AH33" s="23">
        <f t="shared" si="1"/>
        <v>0</v>
      </c>
      <c r="AI33" s="45">
        <f t="shared" si="0"/>
        <v>1</v>
      </c>
    </row>
    <row r="34" spans="1:35" ht="18" hidden="1" customHeight="1">
      <c r="A34" s="60">
        <v>19</v>
      </c>
      <c r="B34" s="46" t="s">
        <v>1276</v>
      </c>
      <c r="C34" s="50" t="s">
        <v>1278</v>
      </c>
      <c r="D34" s="110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2">
        <v>0</v>
      </c>
      <c r="AD34" s="126">
        <v>0</v>
      </c>
      <c r="AE34" s="126">
        <v>0</v>
      </c>
      <c r="AF34" s="126">
        <v>0</v>
      </c>
      <c r="AG34" s="126">
        <v>0</v>
      </c>
      <c r="AH34" s="48">
        <f t="shared" si="1"/>
        <v>0</v>
      </c>
      <c r="AI34" s="49">
        <f t="shared" si="0"/>
        <v>1</v>
      </c>
    </row>
    <row r="35" spans="1:35" ht="18" customHeight="1">
      <c r="A35" s="59">
        <v>20</v>
      </c>
      <c r="B35" s="41" t="s">
        <v>1280</v>
      </c>
      <c r="C35" s="51" t="s">
        <v>1281</v>
      </c>
      <c r="D35" s="107">
        <v>0</v>
      </c>
      <c r="E35" s="108">
        <v>0</v>
      </c>
      <c r="F35" s="108">
        <v>0</v>
      </c>
      <c r="G35" s="108">
        <v>0</v>
      </c>
      <c r="H35" s="108">
        <v>0</v>
      </c>
      <c r="I35" s="108">
        <v>0</v>
      </c>
      <c r="J35" s="108">
        <v>0</v>
      </c>
      <c r="K35" s="108">
        <v>0</v>
      </c>
      <c r="L35" s="108">
        <v>0</v>
      </c>
      <c r="M35" s="108">
        <v>0</v>
      </c>
      <c r="N35" s="108">
        <v>0</v>
      </c>
      <c r="O35" s="108">
        <v>0</v>
      </c>
      <c r="P35" s="108">
        <v>0</v>
      </c>
      <c r="Q35" s="108">
        <v>0</v>
      </c>
      <c r="R35" s="108">
        <v>0</v>
      </c>
      <c r="S35" s="108">
        <v>0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108">
        <v>0</v>
      </c>
      <c r="Z35" s="108">
        <v>0</v>
      </c>
      <c r="AA35" s="108">
        <v>0</v>
      </c>
      <c r="AB35" s="108">
        <v>0</v>
      </c>
      <c r="AC35" s="109">
        <v>0</v>
      </c>
      <c r="AD35" s="125">
        <v>0</v>
      </c>
      <c r="AE35" s="125">
        <v>0</v>
      </c>
      <c r="AF35" s="125">
        <v>0</v>
      </c>
      <c r="AG35" s="125">
        <v>0</v>
      </c>
      <c r="AH35" s="23">
        <f t="shared" si="1"/>
        <v>0</v>
      </c>
      <c r="AI35" s="45">
        <f t="shared" si="0"/>
        <v>1</v>
      </c>
    </row>
    <row r="36" spans="1:35" ht="30.75" customHeight="1">
      <c r="A36" s="18">
        <v>21</v>
      </c>
      <c r="B36" s="15" t="s">
        <v>1280</v>
      </c>
      <c r="C36" s="20" t="s">
        <v>1282</v>
      </c>
      <c r="D36" s="107">
        <v>0</v>
      </c>
      <c r="E36" s="108">
        <v>0</v>
      </c>
      <c r="F36" s="108">
        <v>0</v>
      </c>
      <c r="G36" s="108">
        <v>0</v>
      </c>
      <c r="H36" s="108">
        <v>0</v>
      </c>
      <c r="I36" s="108">
        <v>0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108">
        <v>0</v>
      </c>
      <c r="Z36" s="108">
        <v>0</v>
      </c>
      <c r="AA36" s="108">
        <v>0</v>
      </c>
      <c r="AB36" s="108">
        <v>0</v>
      </c>
      <c r="AC36" s="109">
        <v>0</v>
      </c>
      <c r="AD36" s="125">
        <v>0</v>
      </c>
      <c r="AE36" s="125">
        <v>0</v>
      </c>
      <c r="AF36" s="125">
        <v>0</v>
      </c>
      <c r="AG36" s="125">
        <v>0</v>
      </c>
      <c r="AH36" s="23">
        <f t="shared" si="1"/>
        <v>0</v>
      </c>
      <c r="AI36" s="45">
        <f t="shared" si="0"/>
        <v>1</v>
      </c>
    </row>
    <row r="37" spans="1:35" ht="30.75" customHeight="1">
      <c r="A37" s="18">
        <v>22</v>
      </c>
      <c r="B37" s="15" t="s">
        <v>1280</v>
      </c>
      <c r="C37" s="20" t="s">
        <v>1283</v>
      </c>
      <c r="D37" s="107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108">
        <v>0</v>
      </c>
      <c r="P37" s="108">
        <v>0</v>
      </c>
      <c r="Q37" s="108">
        <v>0</v>
      </c>
      <c r="R37" s="108">
        <v>0</v>
      </c>
      <c r="S37" s="108">
        <v>0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108">
        <v>0</v>
      </c>
      <c r="Z37" s="108">
        <v>0</v>
      </c>
      <c r="AA37" s="108">
        <v>0</v>
      </c>
      <c r="AB37" s="108">
        <v>0</v>
      </c>
      <c r="AC37" s="109">
        <v>0</v>
      </c>
      <c r="AD37" s="125">
        <v>0</v>
      </c>
      <c r="AE37" s="125">
        <v>0</v>
      </c>
      <c r="AF37" s="125">
        <v>0</v>
      </c>
      <c r="AG37" s="125">
        <v>0</v>
      </c>
      <c r="AH37" s="23">
        <f t="shared" si="1"/>
        <v>0</v>
      </c>
      <c r="AI37" s="45">
        <f t="shared" si="0"/>
        <v>1</v>
      </c>
    </row>
    <row r="38" spans="1:35" ht="30.75" customHeight="1">
      <c r="A38" s="60">
        <v>23</v>
      </c>
      <c r="B38" s="46" t="s">
        <v>1280</v>
      </c>
      <c r="C38" s="50" t="s">
        <v>1284</v>
      </c>
      <c r="D38" s="110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2">
        <v>0</v>
      </c>
      <c r="AD38" s="126">
        <v>0</v>
      </c>
      <c r="AE38" s="126">
        <v>0</v>
      </c>
      <c r="AF38" s="126">
        <v>0</v>
      </c>
      <c r="AG38" s="126">
        <v>0</v>
      </c>
      <c r="AH38" s="48">
        <f t="shared" si="1"/>
        <v>0</v>
      </c>
      <c r="AI38" s="49">
        <f t="shared" si="0"/>
        <v>1</v>
      </c>
    </row>
    <row r="39" spans="1:35" ht="30.75" hidden="1" customHeight="1">
      <c r="A39" s="59">
        <v>24</v>
      </c>
      <c r="B39" s="41" t="s">
        <v>1285</v>
      </c>
      <c r="C39" s="51" t="s">
        <v>1286</v>
      </c>
      <c r="D39" s="113">
        <v>0</v>
      </c>
      <c r="E39" s="114">
        <v>0</v>
      </c>
      <c r="F39" s="114">
        <v>0</v>
      </c>
      <c r="G39" s="114">
        <v>0</v>
      </c>
      <c r="H39" s="114">
        <v>0</v>
      </c>
      <c r="I39" s="114">
        <v>0</v>
      </c>
      <c r="J39" s="114">
        <v>0</v>
      </c>
      <c r="K39" s="114">
        <v>0</v>
      </c>
      <c r="L39" s="114">
        <v>0</v>
      </c>
      <c r="M39" s="114">
        <v>0</v>
      </c>
      <c r="N39" s="114">
        <v>0</v>
      </c>
      <c r="O39" s="114">
        <v>0</v>
      </c>
      <c r="P39" s="114">
        <v>0</v>
      </c>
      <c r="Q39" s="114">
        <v>0</v>
      </c>
      <c r="R39" s="114">
        <v>0</v>
      </c>
      <c r="S39" s="114">
        <v>0</v>
      </c>
      <c r="T39" s="114">
        <v>0</v>
      </c>
      <c r="U39" s="114">
        <v>0</v>
      </c>
      <c r="V39" s="114">
        <v>0</v>
      </c>
      <c r="W39" s="114">
        <v>0</v>
      </c>
      <c r="X39" s="114">
        <v>0</v>
      </c>
      <c r="Y39" s="114">
        <v>0</v>
      </c>
      <c r="Z39" s="114">
        <v>0</v>
      </c>
      <c r="AA39" s="114">
        <v>0</v>
      </c>
      <c r="AB39" s="114">
        <v>0</v>
      </c>
      <c r="AC39" s="115">
        <v>0</v>
      </c>
      <c r="AD39" s="127">
        <v>0</v>
      </c>
      <c r="AE39" s="127">
        <v>0</v>
      </c>
      <c r="AF39" s="127">
        <v>0</v>
      </c>
      <c r="AG39" s="127">
        <v>0</v>
      </c>
      <c r="AH39" s="43">
        <f t="shared" si="1"/>
        <v>0</v>
      </c>
      <c r="AI39" s="44">
        <f t="shared" si="0"/>
        <v>1</v>
      </c>
    </row>
    <row r="40" spans="1:35" ht="33" hidden="1" customHeight="1">
      <c r="A40" s="18">
        <v>25</v>
      </c>
      <c r="B40" s="15" t="s">
        <v>1285</v>
      </c>
      <c r="C40" s="20" t="s">
        <v>1287</v>
      </c>
      <c r="D40" s="107">
        <v>0</v>
      </c>
      <c r="E40" s="108">
        <v>0</v>
      </c>
      <c r="F40" s="108">
        <v>0</v>
      </c>
      <c r="G40" s="108">
        <v>0</v>
      </c>
      <c r="H40" s="108">
        <v>0</v>
      </c>
      <c r="I40" s="108">
        <v>0</v>
      </c>
      <c r="J40" s="108">
        <v>0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108">
        <v>0</v>
      </c>
      <c r="Z40" s="108">
        <v>0</v>
      </c>
      <c r="AA40" s="108">
        <v>0</v>
      </c>
      <c r="AB40" s="108">
        <v>0</v>
      </c>
      <c r="AC40" s="109">
        <v>0</v>
      </c>
      <c r="AD40" s="125">
        <v>0</v>
      </c>
      <c r="AE40" s="125">
        <v>0</v>
      </c>
      <c r="AF40" s="125">
        <v>0</v>
      </c>
      <c r="AG40" s="125">
        <v>0</v>
      </c>
      <c r="AH40" s="23">
        <f t="shared" si="1"/>
        <v>0</v>
      </c>
      <c r="AI40" s="45">
        <f t="shared" si="0"/>
        <v>1</v>
      </c>
    </row>
    <row r="41" spans="1:35" ht="33" hidden="1" customHeight="1">
      <c r="A41" s="60">
        <v>26</v>
      </c>
      <c r="B41" s="46" t="s">
        <v>1285</v>
      </c>
      <c r="C41" s="50" t="s">
        <v>1288</v>
      </c>
      <c r="D41" s="110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2">
        <v>0</v>
      </c>
      <c r="AD41" s="126">
        <v>0</v>
      </c>
      <c r="AE41" s="126">
        <v>0</v>
      </c>
      <c r="AF41" s="126">
        <v>0</v>
      </c>
      <c r="AG41" s="126">
        <v>0</v>
      </c>
      <c r="AH41" s="48">
        <f t="shared" si="1"/>
        <v>0</v>
      </c>
      <c r="AI41" s="49">
        <f t="shared" si="0"/>
        <v>1</v>
      </c>
    </row>
    <row r="42" spans="1:35" ht="33.75" hidden="1" customHeight="1">
      <c r="A42" s="59">
        <v>27</v>
      </c>
      <c r="B42" s="41" t="s">
        <v>1289</v>
      </c>
      <c r="C42" s="51" t="s">
        <v>1290</v>
      </c>
      <c r="D42" s="113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  <c r="Y42" s="114">
        <v>0</v>
      </c>
      <c r="Z42" s="114">
        <v>0</v>
      </c>
      <c r="AA42" s="114">
        <v>0</v>
      </c>
      <c r="AB42" s="114">
        <v>0</v>
      </c>
      <c r="AC42" s="115">
        <v>0</v>
      </c>
      <c r="AD42" s="127">
        <v>0</v>
      </c>
      <c r="AE42" s="127">
        <v>0</v>
      </c>
      <c r="AF42" s="127">
        <v>0</v>
      </c>
      <c r="AG42" s="127">
        <v>0</v>
      </c>
      <c r="AH42" s="43">
        <f t="shared" si="1"/>
        <v>0</v>
      </c>
      <c r="AI42" s="44">
        <f t="shared" si="0"/>
        <v>1</v>
      </c>
    </row>
    <row r="43" spans="1:35" ht="33.75" hidden="1" customHeight="1">
      <c r="A43" s="18">
        <v>28</v>
      </c>
      <c r="B43" s="15" t="s">
        <v>1289</v>
      </c>
      <c r="C43" s="20" t="s">
        <v>1291</v>
      </c>
      <c r="D43" s="107">
        <v>0</v>
      </c>
      <c r="E43" s="108">
        <v>0</v>
      </c>
      <c r="F43" s="108">
        <v>0</v>
      </c>
      <c r="G43" s="108">
        <v>0</v>
      </c>
      <c r="H43" s="108">
        <v>0</v>
      </c>
      <c r="I43" s="108">
        <v>0</v>
      </c>
      <c r="J43" s="108">
        <v>0</v>
      </c>
      <c r="K43" s="108">
        <v>0</v>
      </c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  <c r="Y43" s="108">
        <v>0</v>
      </c>
      <c r="Z43" s="108">
        <v>0</v>
      </c>
      <c r="AA43" s="108">
        <v>0</v>
      </c>
      <c r="AB43" s="108">
        <v>0</v>
      </c>
      <c r="AC43" s="109">
        <v>0</v>
      </c>
      <c r="AD43" s="125">
        <v>0</v>
      </c>
      <c r="AE43" s="125">
        <v>0</v>
      </c>
      <c r="AF43" s="125">
        <v>0</v>
      </c>
      <c r="AG43" s="125">
        <v>0</v>
      </c>
      <c r="AH43" s="23">
        <f t="shared" si="1"/>
        <v>0</v>
      </c>
      <c r="AI43" s="45">
        <f t="shared" si="0"/>
        <v>1</v>
      </c>
    </row>
    <row r="44" spans="1:35" ht="33.75" hidden="1" customHeight="1">
      <c r="A44" s="18">
        <v>29</v>
      </c>
      <c r="B44" s="15" t="s">
        <v>1289</v>
      </c>
      <c r="C44" s="20" t="s">
        <v>1292</v>
      </c>
      <c r="D44" s="107">
        <v>0</v>
      </c>
      <c r="E44" s="108">
        <v>0</v>
      </c>
      <c r="F44" s="108">
        <v>0</v>
      </c>
      <c r="G44" s="108">
        <v>0</v>
      </c>
      <c r="H44" s="108">
        <v>0</v>
      </c>
      <c r="I44" s="108">
        <v>0</v>
      </c>
      <c r="J44" s="108">
        <v>0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108">
        <v>0</v>
      </c>
      <c r="R44" s="108">
        <v>0</v>
      </c>
      <c r="S44" s="108">
        <v>0</v>
      </c>
      <c r="T44" s="108">
        <v>0</v>
      </c>
      <c r="U44" s="108">
        <v>0</v>
      </c>
      <c r="V44" s="108">
        <v>0</v>
      </c>
      <c r="W44" s="108">
        <v>0</v>
      </c>
      <c r="X44" s="108">
        <v>0</v>
      </c>
      <c r="Y44" s="108">
        <v>0</v>
      </c>
      <c r="Z44" s="108">
        <v>0</v>
      </c>
      <c r="AA44" s="108">
        <v>0</v>
      </c>
      <c r="AB44" s="108">
        <v>0</v>
      </c>
      <c r="AC44" s="109">
        <v>0</v>
      </c>
      <c r="AD44" s="125">
        <v>0</v>
      </c>
      <c r="AE44" s="125">
        <v>0</v>
      </c>
      <c r="AF44" s="125">
        <v>0</v>
      </c>
      <c r="AG44" s="125">
        <v>0</v>
      </c>
      <c r="AH44" s="23">
        <f t="shared" si="1"/>
        <v>0</v>
      </c>
      <c r="AI44" s="45">
        <f t="shared" si="0"/>
        <v>1</v>
      </c>
    </row>
    <row r="45" spans="1:35" ht="33.75" hidden="1" customHeight="1">
      <c r="A45" s="60">
        <v>30</v>
      </c>
      <c r="B45" s="46" t="s">
        <v>1289</v>
      </c>
      <c r="C45" s="50" t="s">
        <v>1293</v>
      </c>
      <c r="D45" s="110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2">
        <v>0</v>
      </c>
      <c r="AD45" s="126">
        <v>0</v>
      </c>
      <c r="AE45" s="126">
        <v>0</v>
      </c>
      <c r="AF45" s="126">
        <v>0</v>
      </c>
      <c r="AG45" s="126">
        <v>0</v>
      </c>
      <c r="AH45" s="48">
        <f t="shared" si="1"/>
        <v>0</v>
      </c>
      <c r="AI45" s="49">
        <f t="shared" si="0"/>
        <v>1</v>
      </c>
    </row>
    <row r="46" spans="1:35" ht="33.75" hidden="1" customHeight="1">
      <c r="A46" s="59">
        <v>31</v>
      </c>
      <c r="B46" s="41" t="s">
        <v>1294</v>
      </c>
      <c r="C46" s="51" t="s">
        <v>1295</v>
      </c>
      <c r="D46" s="113">
        <v>0</v>
      </c>
      <c r="E46" s="114">
        <v>0</v>
      </c>
      <c r="F46" s="114">
        <v>0</v>
      </c>
      <c r="G46" s="114">
        <v>0</v>
      </c>
      <c r="H46" s="114">
        <v>0</v>
      </c>
      <c r="I46" s="114">
        <v>0</v>
      </c>
      <c r="J46" s="114">
        <v>0</v>
      </c>
      <c r="K46" s="114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114">
        <v>0</v>
      </c>
      <c r="T46" s="114">
        <v>0</v>
      </c>
      <c r="U46" s="114">
        <v>0</v>
      </c>
      <c r="V46" s="114">
        <v>0</v>
      </c>
      <c r="W46" s="114">
        <v>0</v>
      </c>
      <c r="X46" s="114">
        <v>0</v>
      </c>
      <c r="Y46" s="114">
        <v>0</v>
      </c>
      <c r="Z46" s="114">
        <v>0</v>
      </c>
      <c r="AA46" s="114">
        <v>0</v>
      </c>
      <c r="AB46" s="114">
        <v>0</v>
      </c>
      <c r="AC46" s="115">
        <v>0</v>
      </c>
      <c r="AD46" s="127">
        <v>0</v>
      </c>
      <c r="AE46" s="127">
        <v>0</v>
      </c>
      <c r="AF46" s="127">
        <v>0</v>
      </c>
      <c r="AG46" s="127">
        <v>0</v>
      </c>
      <c r="AH46" s="43">
        <f t="shared" si="1"/>
        <v>0</v>
      </c>
      <c r="AI46" s="44">
        <f t="shared" si="0"/>
        <v>1</v>
      </c>
    </row>
    <row r="47" spans="1:35" ht="33.75" hidden="1" customHeight="1">
      <c r="A47" s="18">
        <v>32</v>
      </c>
      <c r="B47" s="15" t="s">
        <v>1294</v>
      </c>
      <c r="C47" s="20" t="s">
        <v>1296</v>
      </c>
      <c r="D47" s="107">
        <v>0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108">
        <v>0</v>
      </c>
      <c r="R47" s="108">
        <v>0</v>
      </c>
      <c r="S47" s="108">
        <v>0</v>
      </c>
      <c r="T47" s="108">
        <v>0</v>
      </c>
      <c r="U47" s="108">
        <v>0</v>
      </c>
      <c r="V47" s="108">
        <v>0</v>
      </c>
      <c r="W47" s="108">
        <v>0</v>
      </c>
      <c r="X47" s="108">
        <v>0</v>
      </c>
      <c r="Y47" s="108">
        <v>0</v>
      </c>
      <c r="Z47" s="108">
        <v>0</v>
      </c>
      <c r="AA47" s="108">
        <v>0</v>
      </c>
      <c r="AB47" s="108">
        <v>0</v>
      </c>
      <c r="AC47" s="109">
        <v>0</v>
      </c>
      <c r="AD47" s="125">
        <v>0</v>
      </c>
      <c r="AE47" s="125">
        <v>0</v>
      </c>
      <c r="AF47" s="125">
        <v>0</v>
      </c>
      <c r="AG47" s="125">
        <v>0</v>
      </c>
      <c r="AH47" s="23">
        <f t="shared" si="1"/>
        <v>0</v>
      </c>
      <c r="AI47" s="45">
        <f t="shared" si="0"/>
        <v>1</v>
      </c>
    </row>
    <row r="48" spans="1:35" ht="33.75" hidden="1" customHeight="1">
      <c r="A48" s="18">
        <v>33</v>
      </c>
      <c r="B48" s="15" t="s">
        <v>1294</v>
      </c>
      <c r="C48" s="20" t="s">
        <v>1297</v>
      </c>
      <c r="D48" s="107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v>0</v>
      </c>
      <c r="J48" s="108">
        <v>0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108">
        <v>0</v>
      </c>
      <c r="R48" s="108">
        <v>0</v>
      </c>
      <c r="S48" s="108">
        <v>0</v>
      </c>
      <c r="T48" s="108">
        <v>0</v>
      </c>
      <c r="U48" s="108">
        <v>0</v>
      </c>
      <c r="V48" s="108">
        <v>0</v>
      </c>
      <c r="W48" s="108">
        <v>0</v>
      </c>
      <c r="X48" s="108">
        <v>0</v>
      </c>
      <c r="Y48" s="108">
        <v>0</v>
      </c>
      <c r="Z48" s="108">
        <v>0</v>
      </c>
      <c r="AA48" s="108">
        <v>0</v>
      </c>
      <c r="AB48" s="108">
        <v>0</v>
      </c>
      <c r="AC48" s="109">
        <v>0</v>
      </c>
      <c r="AD48" s="125">
        <v>0</v>
      </c>
      <c r="AE48" s="125">
        <v>0</v>
      </c>
      <c r="AF48" s="125">
        <v>0</v>
      </c>
      <c r="AG48" s="125">
        <v>0</v>
      </c>
      <c r="AH48" s="23">
        <f t="shared" si="1"/>
        <v>0</v>
      </c>
      <c r="AI48" s="45">
        <f t="shared" si="0"/>
        <v>1</v>
      </c>
    </row>
    <row r="49" spans="1:35" ht="33.75" hidden="1" customHeight="1">
      <c r="A49" s="60">
        <v>34</v>
      </c>
      <c r="B49" s="46" t="s">
        <v>1294</v>
      </c>
      <c r="C49" s="50" t="s">
        <v>1298</v>
      </c>
      <c r="D49" s="110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2">
        <v>0</v>
      </c>
      <c r="AD49" s="126">
        <v>0</v>
      </c>
      <c r="AE49" s="126">
        <v>0</v>
      </c>
      <c r="AF49" s="126">
        <v>0</v>
      </c>
      <c r="AG49" s="126">
        <v>0</v>
      </c>
      <c r="AH49" s="48">
        <f t="shared" si="1"/>
        <v>0</v>
      </c>
      <c r="AI49" s="49">
        <f t="shared" si="0"/>
        <v>1</v>
      </c>
    </row>
    <row r="50" spans="1:35" ht="33.75" hidden="1" customHeight="1">
      <c r="A50" s="59">
        <v>35</v>
      </c>
      <c r="B50" s="41" t="s">
        <v>1299</v>
      </c>
      <c r="C50" s="51" t="s">
        <v>1300</v>
      </c>
      <c r="D50" s="113">
        <v>0</v>
      </c>
      <c r="E50" s="114">
        <v>0</v>
      </c>
      <c r="F50" s="114">
        <v>0</v>
      </c>
      <c r="G50" s="114">
        <v>0</v>
      </c>
      <c r="H50" s="114">
        <v>0</v>
      </c>
      <c r="I50" s="114">
        <v>0</v>
      </c>
      <c r="J50" s="114">
        <v>0</v>
      </c>
      <c r="K50" s="114">
        <v>0</v>
      </c>
      <c r="L50" s="114">
        <v>0</v>
      </c>
      <c r="M50" s="114">
        <v>0</v>
      </c>
      <c r="N50" s="114">
        <v>0</v>
      </c>
      <c r="O50" s="114">
        <v>0</v>
      </c>
      <c r="P50" s="114">
        <v>0</v>
      </c>
      <c r="Q50" s="114">
        <v>0</v>
      </c>
      <c r="R50" s="114">
        <v>0</v>
      </c>
      <c r="S50" s="114">
        <v>0</v>
      </c>
      <c r="T50" s="114">
        <v>0</v>
      </c>
      <c r="U50" s="114">
        <v>0</v>
      </c>
      <c r="V50" s="114">
        <v>0</v>
      </c>
      <c r="W50" s="114">
        <v>0</v>
      </c>
      <c r="X50" s="114">
        <v>0</v>
      </c>
      <c r="Y50" s="114">
        <v>0</v>
      </c>
      <c r="Z50" s="114">
        <v>0</v>
      </c>
      <c r="AA50" s="114">
        <v>0</v>
      </c>
      <c r="AB50" s="114">
        <v>0</v>
      </c>
      <c r="AC50" s="115">
        <v>0</v>
      </c>
      <c r="AD50" s="127">
        <v>0</v>
      </c>
      <c r="AE50" s="127">
        <v>0</v>
      </c>
      <c r="AF50" s="127">
        <v>0</v>
      </c>
      <c r="AG50" s="127">
        <v>0</v>
      </c>
      <c r="AH50" s="43">
        <f t="shared" si="1"/>
        <v>0</v>
      </c>
      <c r="AI50" s="44">
        <f t="shared" si="0"/>
        <v>1</v>
      </c>
    </row>
    <row r="51" spans="1:35" s="10" customFormat="1" ht="33.75" hidden="1" customHeight="1">
      <c r="A51" s="18">
        <v>36</v>
      </c>
      <c r="B51" s="15" t="s">
        <v>1299</v>
      </c>
      <c r="C51" s="20" t="s">
        <v>1301</v>
      </c>
      <c r="D51" s="107">
        <v>0</v>
      </c>
      <c r="E51" s="108">
        <v>0</v>
      </c>
      <c r="F51" s="108">
        <v>0</v>
      </c>
      <c r="G51" s="108">
        <v>0</v>
      </c>
      <c r="H51" s="108">
        <v>0</v>
      </c>
      <c r="I51" s="108">
        <v>0</v>
      </c>
      <c r="J51" s="108">
        <v>0</v>
      </c>
      <c r="K51" s="108">
        <v>0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108">
        <v>0</v>
      </c>
      <c r="R51" s="108">
        <v>0</v>
      </c>
      <c r="S51" s="108">
        <v>0</v>
      </c>
      <c r="T51" s="108">
        <v>0</v>
      </c>
      <c r="U51" s="108">
        <v>0</v>
      </c>
      <c r="V51" s="108">
        <v>0</v>
      </c>
      <c r="W51" s="108">
        <v>0</v>
      </c>
      <c r="X51" s="108">
        <v>0</v>
      </c>
      <c r="Y51" s="108">
        <v>0</v>
      </c>
      <c r="Z51" s="108">
        <v>0</v>
      </c>
      <c r="AA51" s="108">
        <v>0</v>
      </c>
      <c r="AB51" s="108">
        <v>0</v>
      </c>
      <c r="AC51" s="109">
        <v>0</v>
      </c>
      <c r="AD51" s="125">
        <v>0</v>
      </c>
      <c r="AE51" s="125">
        <v>0</v>
      </c>
      <c r="AF51" s="125">
        <v>0</v>
      </c>
      <c r="AG51" s="125">
        <v>0</v>
      </c>
      <c r="AH51" s="23">
        <f t="shared" si="1"/>
        <v>0</v>
      </c>
      <c r="AI51" s="45">
        <f t="shared" si="0"/>
        <v>1</v>
      </c>
    </row>
    <row r="52" spans="1:35" s="10" customFormat="1" ht="33.75" hidden="1" customHeight="1">
      <c r="A52" s="18">
        <v>37</v>
      </c>
      <c r="B52" s="15" t="s">
        <v>1299</v>
      </c>
      <c r="C52" s="20" t="s">
        <v>1302</v>
      </c>
      <c r="D52" s="107">
        <v>0</v>
      </c>
      <c r="E52" s="108">
        <v>0</v>
      </c>
      <c r="F52" s="108">
        <v>0</v>
      </c>
      <c r="G52" s="108">
        <v>0</v>
      </c>
      <c r="H52" s="108">
        <v>0</v>
      </c>
      <c r="I52" s="108">
        <v>0</v>
      </c>
      <c r="J52" s="108">
        <v>0</v>
      </c>
      <c r="K52" s="108">
        <v>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108">
        <v>0</v>
      </c>
      <c r="R52" s="108">
        <v>0</v>
      </c>
      <c r="S52" s="108">
        <v>0</v>
      </c>
      <c r="T52" s="108">
        <v>0</v>
      </c>
      <c r="U52" s="108">
        <v>0</v>
      </c>
      <c r="V52" s="108">
        <v>0</v>
      </c>
      <c r="W52" s="108">
        <v>0</v>
      </c>
      <c r="X52" s="108">
        <v>0</v>
      </c>
      <c r="Y52" s="108">
        <v>0</v>
      </c>
      <c r="Z52" s="108">
        <v>0</v>
      </c>
      <c r="AA52" s="108">
        <v>0</v>
      </c>
      <c r="AB52" s="108">
        <v>0</v>
      </c>
      <c r="AC52" s="109">
        <v>0</v>
      </c>
      <c r="AD52" s="125">
        <v>0</v>
      </c>
      <c r="AE52" s="125">
        <v>0</v>
      </c>
      <c r="AF52" s="125">
        <v>0</v>
      </c>
      <c r="AG52" s="125">
        <v>0</v>
      </c>
      <c r="AH52" s="23">
        <f t="shared" si="1"/>
        <v>0</v>
      </c>
      <c r="AI52" s="45">
        <f t="shared" si="0"/>
        <v>1</v>
      </c>
    </row>
    <row r="53" spans="1:35" s="10" customFormat="1" ht="33.75" hidden="1" customHeight="1">
      <c r="A53" s="60">
        <v>38</v>
      </c>
      <c r="B53" s="46" t="s">
        <v>1299</v>
      </c>
      <c r="C53" s="50" t="s">
        <v>1303</v>
      </c>
      <c r="D53" s="110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0</v>
      </c>
      <c r="AC53" s="112">
        <v>0</v>
      </c>
      <c r="AD53" s="126">
        <v>0</v>
      </c>
      <c r="AE53" s="126">
        <v>0</v>
      </c>
      <c r="AF53" s="126">
        <v>0</v>
      </c>
      <c r="AG53" s="126">
        <v>0</v>
      </c>
      <c r="AH53" s="48">
        <f t="shared" si="1"/>
        <v>0</v>
      </c>
      <c r="AI53" s="49">
        <f t="shared" si="0"/>
        <v>1</v>
      </c>
    </row>
    <row r="54" spans="1:35" s="10" customFormat="1" ht="33.75" hidden="1" customHeight="1">
      <c r="A54" s="59">
        <v>39</v>
      </c>
      <c r="B54" s="41" t="s">
        <v>1304</v>
      </c>
      <c r="C54" s="51" t="s">
        <v>1305</v>
      </c>
      <c r="D54" s="113">
        <v>0</v>
      </c>
      <c r="E54" s="114">
        <v>0</v>
      </c>
      <c r="F54" s="114">
        <v>0</v>
      </c>
      <c r="G54" s="114">
        <v>0</v>
      </c>
      <c r="H54" s="114">
        <v>0</v>
      </c>
      <c r="I54" s="114">
        <v>0</v>
      </c>
      <c r="J54" s="114">
        <v>0</v>
      </c>
      <c r="K54" s="114">
        <v>0</v>
      </c>
      <c r="L54" s="114">
        <v>0</v>
      </c>
      <c r="M54" s="114">
        <v>0</v>
      </c>
      <c r="N54" s="114">
        <v>0</v>
      </c>
      <c r="O54" s="114">
        <v>0</v>
      </c>
      <c r="P54" s="114">
        <v>0</v>
      </c>
      <c r="Q54" s="114">
        <v>0</v>
      </c>
      <c r="R54" s="114">
        <v>0</v>
      </c>
      <c r="S54" s="114">
        <v>0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0</v>
      </c>
      <c r="Z54" s="114">
        <v>0</v>
      </c>
      <c r="AA54" s="114">
        <v>0</v>
      </c>
      <c r="AB54" s="114">
        <v>0</v>
      </c>
      <c r="AC54" s="115">
        <v>0</v>
      </c>
      <c r="AD54" s="127">
        <v>0</v>
      </c>
      <c r="AE54" s="127">
        <v>0</v>
      </c>
      <c r="AF54" s="127">
        <v>0</v>
      </c>
      <c r="AG54" s="127">
        <v>0</v>
      </c>
      <c r="AH54" s="43">
        <f t="shared" si="1"/>
        <v>0</v>
      </c>
      <c r="AI54" s="44">
        <f t="shared" si="0"/>
        <v>1</v>
      </c>
    </row>
    <row r="55" spans="1:35" s="10" customFormat="1" ht="33.75" hidden="1" customHeight="1">
      <c r="A55" s="18">
        <v>40</v>
      </c>
      <c r="B55" s="15" t="s">
        <v>1304</v>
      </c>
      <c r="C55" s="20" t="s">
        <v>1306</v>
      </c>
      <c r="D55" s="107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108">
        <v>0</v>
      </c>
      <c r="R55" s="108">
        <v>0</v>
      </c>
      <c r="S55" s="108">
        <v>0</v>
      </c>
      <c r="T55" s="108">
        <v>0</v>
      </c>
      <c r="U55" s="108">
        <v>0</v>
      </c>
      <c r="V55" s="108">
        <v>0</v>
      </c>
      <c r="W55" s="108">
        <v>0</v>
      </c>
      <c r="X55" s="108">
        <v>0</v>
      </c>
      <c r="Y55" s="108">
        <v>0</v>
      </c>
      <c r="Z55" s="108">
        <v>0</v>
      </c>
      <c r="AA55" s="108">
        <v>0</v>
      </c>
      <c r="AB55" s="108">
        <v>0</v>
      </c>
      <c r="AC55" s="109">
        <v>0</v>
      </c>
      <c r="AD55" s="125">
        <v>0</v>
      </c>
      <c r="AE55" s="125">
        <v>0</v>
      </c>
      <c r="AF55" s="125">
        <v>0</v>
      </c>
      <c r="AG55" s="125">
        <v>0</v>
      </c>
      <c r="AH55" s="23">
        <f t="shared" ref="AH55:AH73" si="2">COUNTIF(D55:AG55,1)/COUNTA(D55:AG55)</f>
        <v>0</v>
      </c>
      <c r="AI55" s="45">
        <f t="shared" si="0"/>
        <v>1</v>
      </c>
    </row>
    <row r="56" spans="1:35" s="10" customFormat="1" ht="33.75" hidden="1" customHeight="1">
      <c r="A56" s="18">
        <v>41</v>
      </c>
      <c r="B56" s="15" t="s">
        <v>1304</v>
      </c>
      <c r="C56" s="20" t="s">
        <v>1307</v>
      </c>
      <c r="D56" s="107">
        <v>0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108">
        <v>0</v>
      </c>
      <c r="R56" s="108">
        <v>0</v>
      </c>
      <c r="S56" s="108">
        <v>0</v>
      </c>
      <c r="T56" s="108">
        <v>0</v>
      </c>
      <c r="U56" s="108">
        <v>0</v>
      </c>
      <c r="V56" s="108">
        <v>0</v>
      </c>
      <c r="W56" s="108">
        <v>0</v>
      </c>
      <c r="X56" s="108">
        <v>0</v>
      </c>
      <c r="Y56" s="108">
        <v>0</v>
      </c>
      <c r="Z56" s="108">
        <v>0</v>
      </c>
      <c r="AA56" s="108">
        <v>0</v>
      </c>
      <c r="AB56" s="108">
        <v>0</v>
      </c>
      <c r="AC56" s="109">
        <v>0</v>
      </c>
      <c r="AD56" s="125">
        <v>0</v>
      </c>
      <c r="AE56" s="125">
        <v>0</v>
      </c>
      <c r="AF56" s="125">
        <v>0</v>
      </c>
      <c r="AG56" s="125">
        <v>0</v>
      </c>
      <c r="AH56" s="23">
        <f t="shared" si="2"/>
        <v>0</v>
      </c>
      <c r="AI56" s="45">
        <f t="shared" si="0"/>
        <v>1</v>
      </c>
    </row>
    <row r="57" spans="1:35" ht="33.75" hidden="1" customHeight="1">
      <c r="A57" s="60">
        <v>42</v>
      </c>
      <c r="B57" s="46" t="s">
        <v>1304</v>
      </c>
      <c r="C57" s="50" t="s">
        <v>1308</v>
      </c>
      <c r="D57" s="110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2">
        <v>0</v>
      </c>
      <c r="AD57" s="126">
        <v>0</v>
      </c>
      <c r="AE57" s="126">
        <v>0</v>
      </c>
      <c r="AF57" s="126">
        <v>0</v>
      </c>
      <c r="AG57" s="126">
        <v>0</v>
      </c>
      <c r="AH57" s="48">
        <f t="shared" si="2"/>
        <v>0</v>
      </c>
      <c r="AI57" s="49">
        <f t="shared" si="0"/>
        <v>1</v>
      </c>
    </row>
    <row r="58" spans="1:35" s="11" customFormat="1" ht="33.75" hidden="1" customHeight="1">
      <c r="A58" s="59">
        <v>43</v>
      </c>
      <c r="B58" s="41" t="s">
        <v>1309</v>
      </c>
      <c r="C58" s="51" t="s">
        <v>1310</v>
      </c>
      <c r="D58" s="113">
        <v>0</v>
      </c>
      <c r="E58" s="114">
        <v>0</v>
      </c>
      <c r="F58" s="114">
        <v>0</v>
      </c>
      <c r="G58" s="114">
        <v>0</v>
      </c>
      <c r="H58" s="114">
        <v>0</v>
      </c>
      <c r="I58" s="114">
        <v>0</v>
      </c>
      <c r="J58" s="114">
        <v>0</v>
      </c>
      <c r="K58" s="114">
        <v>0</v>
      </c>
      <c r="L58" s="114">
        <v>0</v>
      </c>
      <c r="M58" s="114">
        <v>0</v>
      </c>
      <c r="N58" s="114">
        <v>0</v>
      </c>
      <c r="O58" s="114">
        <v>0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4">
        <v>0</v>
      </c>
      <c r="V58" s="114">
        <v>0</v>
      </c>
      <c r="W58" s="114">
        <v>0</v>
      </c>
      <c r="X58" s="114">
        <v>0</v>
      </c>
      <c r="Y58" s="114">
        <v>0</v>
      </c>
      <c r="Z58" s="114">
        <v>0</v>
      </c>
      <c r="AA58" s="114">
        <v>0</v>
      </c>
      <c r="AB58" s="114">
        <v>0</v>
      </c>
      <c r="AC58" s="115">
        <v>0</v>
      </c>
      <c r="AD58" s="127">
        <v>0</v>
      </c>
      <c r="AE58" s="127">
        <v>0</v>
      </c>
      <c r="AF58" s="127">
        <v>0</v>
      </c>
      <c r="AG58" s="127">
        <v>0</v>
      </c>
      <c r="AH58" s="43">
        <f t="shared" si="2"/>
        <v>0</v>
      </c>
      <c r="AI58" s="44">
        <f t="shared" si="0"/>
        <v>1</v>
      </c>
    </row>
    <row r="59" spans="1:35" s="11" customFormat="1" ht="33.75" hidden="1" customHeight="1">
      <c r="A59" s="18">
        <v>44</v>
      </c>
      <c r="B59" s="15" t="s">
        <v>1309</v>
      </c>
      <c r="C59" s="20" t="s">
        <v>1311</v>
      </c>
      <c r="D59" s="107">
        <v>0</v>
      </c>
      <c r="E59" s="108">
        <v>0</v>
      </c>
      <c r="F59" s="108">
        <v>0</v>
      </c>
      <c r="G59" s="108">
        <v>0</v>
      </c>
      <c r="H59" s="108">
        <v>0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108">
        <v>0</v>
      </c>
      <c r="R59" s="108">
        <v>0</v>
      </c>
      <c r="S59" s="108">
        <v>0</v>
      </c>
      <c r="T59" s="108">
        <v>0</v>
      </c>
      <c r="U59" s="108">
        <v>0</v>
      </c>
      <c r="V59" s="108">
        <v>0</v>
      </c>
      <c r="W59" s="108">
        <v>0</v>
      </c>
      <c r="X59" s="108">
        <v>0</v>
      </c>
      <c r="Y59" s="108">
        <v>0</v>
      </c>
      <c r="Z59" s="108">
        <v>0</v>
      </c>
      <c r="AA59" s="108">
        <v>0</v>
      </c>
      <c r="AB59" s="108">
        <v>0</v>
      </c>
      <c r="AC59" s="109">
        <v>0</v>
      </c>
      <c r="AD59" s="125">
        <v>0</v>
      </c>
      <c r="AE59" s="125">
        <v>0</v>
      </c>
      <c r="AF59" s="125">
        <v>0</v>
      </c>
      <c r="AG59" s="125">
        <v>0</v>
      </c>
      <c r="AH59" s="23">
        <f t="shared" si="2"/>
        <v>0</v>
      </c>
      <c r="AI59" s="45">
        <f t="shared" si="0"/>
        <v>1</v>
      </c>
    </row>
    <row r="60" spans="1:35" s="11" customFormat="1" ht="33.75" hidden="1" customHeight="1">
      <c r="A60" s="18">
        <v>45</v>
      </c>
      <c r="B60" s="15" t="s">
        <v>1309</v>
      </c>
      <c r="C60" s="20" t="s">
        <v>1312</v>
      </c>
      <c r="D60" s="107">
        <v>0</v>
      </c>
      <c r="E60" s="108">
        <v>0</v>
      </c>
      <c r="F60" s="108">
        <v>0</v>
      </c>
      <c r="G60" s="108">
        <v>0</v>
      </c>
      <c r="H60" s="108">
        <v>0</v>
      </c>
      <c r="I60" s="108">
        <v>0</v>
      </c>
      <c r="J60" s="108">
        <v>0</v>
      </c>
      <c r="K60" s="108">
        <v>0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108">
        <v>0</v>
      </c>
      <c r="R60" s="108">
        <v>0</v>
      </c>
      <c r="S60" s="108">
        <v>0</v>
      </c>
      <c r="T60" s="108">
        <v>0</v>
      </c>
      <c r="U60" s="108">
        <v>0</v>
      </c>
      <c r="V60" s="108">
        <v>0</v>
      </c>
      <c r="W60" s="108">
        <v>0</v>
      </c>
      <c r="X60" s="108">
        <v>0</v>
      </c>
      <c r="Y60" s="108">
        <v>0</v>
      </c>
      <c r="Z60" s="108">
        <v>0</v>
      </c>
      <c r="AA60" s="108">
        <v>0</v>
      </c>
      <c r="AB60" s="108">
        <v>0</v>
      </c>
      <c r="AC60" s="109">
        <v>0</v>
      </c>
      <c r="AD60" s="125">
        <v>0</v>
      </c>
      <c r="AE60" s="125">
        <v>0</v>
      </c>
      <c r="AF60" s="125">
        <v>0</v>
      </c>
      <c r="AG60" s="125">
        <v>0</v>
      </c>
      <c r="AH60" s="23">
        <f t="shared" si="2"/>
        <v>0</v>
      </c>
      <c r="AI60" s="45">
        <f t="shared" si="0"/>
        <v>1</v>
      </c>
    </row>
    <row r="61" spans="1:35" s="11" customFormat="1" ht="33.75" hidden="1" customHeight="1">
      <c r="A61" s="60">
        <v>46</v>
      </c>
      <c r="B61" s="46" t="s">
        <v>1309</v>
      </c>
      <c r="C61" s="50" t="s">
        <v>1313</v>
      </c>
      <c r="D61" s="110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2">
        <v>0</v>
      </c>
      <c r="AD61" s="126">
        <v>0</v>
      </c>
      <c r="AE61" s="126">
        <v>0</v>
      </c>
      <c r="AF61" s="126">
        <v>0</v>
      </c>
      <c r="AG61" s="126">
        <v>0</v>
      </c>
      <c r="AH61" s="48">
        <f t="shared" si="2"/>
        <v>0</v>
      </c>
      <c r="AI61" s="49">
        <f t="shared" si="0"/>
        <v>1</v>
      </c>
    </row>
    <row r="62" spans="1:35" ht="33.75" hidden="1" customHeight="1">
      <c r="A62" s="59">
        <v>47</v>
      </c>
      <c r="B62" s="41" t="s">
        <v>1314</v>
      </c>
      <c r="C62" s="51" t="s">
        <v>1315</v>
      </c>
      <c r="D62" s="113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  <c r="L62" s="114">
        <v>0</v>
      </c>
      <c r="M62" s="114">
        <v>0</v>
      </c>
      <c r="N62" s="114">
        <v>0</v>
      </c>
      <c r="O62" s="114">
        <v>0</v>
      </c>
      <c r="P62" s="114">
        <v>0</v>
      </c>
      <c r="Q62" s="114">
        <v>0</v>
      </c>
      <c r="R62" s="114">
        <v>0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  <c r="Z62" s="114">
        <v>0</v>
      </c>
      <c r="AA62" s="114">
        <v>0</v>
      </c>
      <c r="AB62" s="114">
        <v>0</v>
      </c>
      <c r="AC62" s="115">
        <v>0</v>
      </c>
      <c r="AD62" s="127">
        <v>0</v>
      </c>
      <c r="AE62" s="127">
        <v>0</v>
      </c>
      <c r="AF62" s="127">
        <v>0</v>
      </c>
      <c r="AG62" s="127">
        <v>0</v>
      </c>
      <c r="AH62" s="43">
        <f t="shared" si="2"/>
        <v>0</v>
      </c>
      <c r="AI62" s="44">
        <f t="shared" si="0"/>
        <v>1</v>
      </c>
    </row>
    <row r="63" spans="1:35" ht="33.75" hidden="1" customHeight="1">
      <c r="A63" s="18">
        <v>48</v>
      </c>
      <c r="B63" s="15" t="s">
        <v>1314</v>
      </c>
      <c r="C63" s="20" t="s">
        <v>1316</v>
      </c>
      <c r="D63" s="107">
        <v>0</v>
      </c>
      <c r="E63" s="108">
        <v>0</v>
      </c>
      <c r="F63" s="108">
        <v>0</v>
      </c>
      <c r="G63" s="108">
        <v>0</v>
      </c>
      <c r="H63" s="108">
        <v>0</v>
      </c>
      <c r="I63" s="108">
        <v>0</v>
      </c>
      <c r="J63" s="108">
        <v>0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108">
        <v>0</v>
      </c>
      <c r="R63" s="108">
        <v>0</v>
      </c>
      <c r="S63" s="108">
        <v>0</v>
      </c>
      <c r="T63" s="108">
        <v>0</v>
      </c>
      <c r="U63" s="108">
        <v>0</v>
      </c>
      <c r="V63" s="108">
        <v>0</v>
      </c>
      <c r="W63" s="108">
        <v>0</v>
      </c>
      <c r="X63" s="108">
        <v>0</v>
      </c>
      <c r="Y63" s="108">
        <v>0</v>
      </c>
      <c r="Z63" s="108">
        <v>0</v>
      </c>
      <c r="AA63" s="108">
        <v>0</v>
      </c>
      <c r="AB63" s="108">
        <v>0</v>
      </c>
      <c r="AC63" s="109">
        <v>0</v>
      </c>
      <c r="AD63" s="125">
        <v>0</v>
      </c>
      <c r="AE63" s="125">
        <v>0</v>
      </c>
      <c r="AF63" s="125">
        <v>0</v>
      </c>
      <c r="AG63" s="125">
        <v>0</v>
      </c>
      <c r="AH63" s="23">
        <f t="shared" si="2"/>
        <v>0</v>
      </c>
      <c r="AI63" s="45">
        <f t="shared" si="0"/>
        <v>1</v>
      </c>
    </row>
    <row r="64" spans="1:35" s="12" customFormat="1" ht="33.75" hidden="1" customHeight="1">
      <c r="A64" s="18">
        <v>49</v>
      </c>
      <c r="B64" s="15" t="s">
        <v>1314</v>
      </c>
      <c r="C64" s="20" t="s">
        <v>1317</v>
      </c>
      <c r="D64" s="107">
        <v>0</v>
      </c>
      <c r="E64" s="108">
        <v>0</v>
      </c>
      <c r="F64" s="108">
        <v>0</v>
      </c>
      <c r="G64" s="108">
        <v>0</v>
      </c>
      <c r="H64" s="108">
        <v>0</v>
      </c>
      <c r="I64" s="108">
        <v>0</v>
      </c>
      <c r="J64" s="108">
        <v>0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108">
        <v>0</v>
      </c>
      <c r="R64" s="108">
        <v>0</v>
      </c>
      <c r="S64" s="108">
        <v>0</v>
      </c>
      <c r="T64" s="108">
        <v>0</v>
      </c>
      <c r="U64" s="108">
        <v>0</v>
      </c>
      <c r="V64" s="108">
        <v>0</v>
      </c>
      <c r="W64" s="108">
        <v>0</v>
      </c>
      <c r="X64" s="108">
        <v>0</v>
      </c>
      <c r="Y64" s="108">
        <v>0</v>
      </c>
      <c r="Z64" s="108">
        <v>0</v>
      </c>
      <c r="AA64" s="108">
        <v>0</v>
      </c>
      <c r="AB64" s="108">
        <v>0</v>
      </c>
      <c r="AC64" s="109">
        <v>0</v>
      </c>
      <c r="AD64" s="125">
        <v>0</v>
      </c>
      <c r="AE64" s="125">
        <v>0</v>
      </c>
      <c r="AF64" s="125">
        <v>0</v>
      </c>
      <c r="AG64" s="125">
        <v>0</v>
      </c>
      <c r="AH64" s="23">
        <f t="shared" si="2"/>
        <v>0</v>
      </c>
      <c r="AI64" s="45">
        <f t="shared" si="0"/>
        <v>1</v>
      </c>
    </row>
    <row r="65" spans="1:35" s="12" customFormat="1" ht="33.75" hidden="1" customHeight="1">
      <c r="A65" s="60">
        <v>50</v>
      </c>
      <c r="B65" s="46" t="s">
        <v>1314</v>
      </c>
      <c r="C65" s="50" t="s">
        <v>1318</v>
      </c>
      <c r="D65" s="110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0</v>
      </c>
      <c r="AC65" s="112">
        <v>0</v>
      </c>
      <c r="AD65" s="126">
        <v>0</v>
      </c>
      <c r="AE65" s="126">
        <v>0</v>
      </c>
      <c r="AF65" s="126">
        <v>0</v>
      </c>
      <c r="AG65" s="126">
        <v>0</v>
      </c>
      <c r="AH65" s="48">
        <f t="shared" si="2"/>
        <v>0</v>
      </c>
      <c r="AI65" s="49">
        <f t="shared" si="0"/>
        <v>1</v>
      </c>
    </row>
    <row r="66" spans="1:35" ht="33.75" hidden="1" customHeight="1">
      <c r="A66" s="59">
        <v>51</v>
      </c>
      <c r="B66" s="41" t="s">
        <v>1319</v>
      </c>
      <c r="C66" s="51" t="s">
        <v>1320</v>
      </c>
      <c r="D66" s="113">
        <v>0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114">
        <v>0</v>
      </c>
      <c r="L66" s="114">
        <v>0</v>
      </c>
      <c r="M66" s="114">
        <v>0</v>
      </c>
      <c r="N66" s="114">
        <v>0</v>
      </c>
      <c r="O66" s="114">
        <v>0</v>
      </c>
      <c r="P66" s="114">
        <v>0</v>
      </c>
      <c r="Q66" s="114">
        <v>0</v>
      </c>
      <c r="R66" s="114">
        <v>0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0</v>
      </c>
      <c r="Y66" s="114">
        <v>0</v>
      </c>
      <c r="Z66" s="114">
        <v>0</v>
      </c>
      <c r="AA66" s="114">
        <v>0</v>
      </c>
      <c r="AB66" s="114">
        <v>0</v>
      </c>
      <c r="AC66" s="115">
        <v>0</v>
      </c>
      <c r="AD66" s="127">
        <v>0</v>
      </c>
      <c r="AE66" s="127">
        <v>0</v>
      </c>
      <c r="AF66" s="127">
        <v>0</v>
      </c>
      <c r="AG66" s="127">
        <v>0</v>
      </c>
      <c r="AH66" s="43">
        <f t="shared" si="2"/>
        <v>0</v>
      </c>
      <c r="AI66" s="44">
        <f t="shared" si="0"/>
        <v>1</v>
      </c>
    </row>
    <row r="67" spans="1:35" s="10" customFormat="1" ht="33.75" hidden="1" customHeight="1">
      <c r="A67" s="18">
        <v>52</v>
      </c>
      <c r="B67" s="15" t="s">
        <v>1319</v>
      </c>
      <c r="C67" s="20" t="s">
        <v>1321</v>
      </c>
      <c r="D67" s="107">
        <v>0</v>
      </c>
      <c r="E67" s="108">
        <v>0</v>
      </c>
      <c r="F67" s="108">
        <v>0</v>
      </c>
      <c r="G67" s="108">
        <v>0</v>
      </c>
      <c r="H67" s="108">
        <v>0</v>
      </c>
      <c r="I67" s="108">
        <v>0</v>
      </c>
      <c r="J67" s="108">
        <v>0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108">
        <v>0</v>
      </c>
      <c r="R67" s="108">
        <v>0</v>
      </c>
      <c r="S67" s="108">
        <v>0</v>
      </c>
      <c r="T67" s="108">
        <v>0</v>
      </c>
      <c r="U67" s="108">
        <v>0</v>
      </c>
      <c r="V67" s="108">
        <v>0</v>
      </c>
      <c r="W67" s="108">
        <v>0</v>
      </c>
      <c r="X67" s="108">
        <v>0</v>
      </c>
      <c r="Y67" s="108">
        <v>0</v>
      </c>
      <c r="Z67" s="108">
        <v>0</v>
      </c>
      <c r="AA67" s="108">
        <v>0</v>
      </c>
      <c r="AB67" s="108">
        <v>0</v>
      </c>
      <c r="AC67" s="109">
        <v>0</v>
      </c>
      <c r="AD67" s="125">
        <v>0</v>
      </c>
      <c r="AE67" s="125">
        <v>0</v>
      </c>
      <c r="AF67" s="125">
        <v>0</v>
      </c>
      <c r="AG67" s="125">
        <v>0</v>
      </c>
      <c r="AH67" s="23">
        <f t="shared" si="2"/>
        <v>0</v>
      </c>
      <c r="AI67" s="45">
        <f t="shared" si="0"/>
        <v>1</v>
      </c>
    </row>
    <row r="68" spans="1:35" s="10" customFormat="1" ht="33.75" hidden="1" customHeight="1">
      <c r="A68" s="18">
        <v>53</v>
      </c>
      <c r="B68" s="15" t="s">
        <v>1319</v>
      </c>
      <c r="C68" s="20" t="s">
        <v>1322</v>
      </c>
      <c r="D68" s="107">
        <v>0</v>
      </c>
      <c r="E68" s="108">
        <v>0</v>
      </c>
      <c r="F68" s="108">
        <v>0</v>
      </c>
      <c r="G68" s="108">
        <v>0</v>
      </c>
      <c r="H68" s="108">
        <v>0</v>
      </c>
      <c r="I68" s="108">
        <v>0</v>
      </c>
      <c r="J68" s="108">
        <v>0</v>
      </c>
      <c r="K68" s="108">
        <v>0</v>
      </c>
      <c r="L68" s="108">
        <v>0</v>
      </c>
      <c r="M68" s="108">
        <v>0</v>
      </c>
      <c r="N68" s="108">
        <v>0</v>
      </c>
      <c r="O68" s="108">
        <v>0</v>
      </c>
      <c r="P68" s="108">
        <v>0</v>
      </c>
      <c r="Q68" s="108">
        <v>0</v>
      </c>
      <c r="R68" s="108">
        <v>0</v>
      </c>
      <c r="S68" s="108">
        <v>0</v>
      </c>
      <c r="T68" s="108">
        <v>0</v>
      </c>
      <c r="U68" s="108">
        <v>0</v>
      </c>
      <c r="V68" s="108">
        <v>0</v>
      </c>
      <c r="W68" s="108">
        <v>0</v>
      </c>
      <c r="X68" s="108">
        <v>0</v>
      </c>
      <c r="Y68" s="108">
        <v>0</v>
      </c>
      <c r="Z68" s="108">
        <v>0</v>
      </c>
      <c r="AA68" s="108">
        <v>0</v>
      </c>
      <c r="AB68" s="108">
        <v>0</v>
      </c>
      <c r="AC68" s="109">
        <v>0</v>
      </c>
      <c r="AD68" s="125">
        <v>0</v>
      </c>
      <c r="AE68" s="125">
        <v>0</v>
      </c>
      <c r="AF68" s="125">
        <v>0</v>
      </c>
      <c r="AG68" s="125">
        <v>0</v>
      </c>
      <c r="AH68" s="23">
        <f t="shared" si="2"/>
        <v>0</v>
      </c>
      <c r="AI68" s="45">
        <f t="shared" si="0"/>
        <v>1</v>
      </c>
    </row>
    <row r="69" spans="1:35" ht="33.75" hidden="1" customHeight="1">
      <c r="A69" s="60">
        <v>54</v>
      </c>
      <c r="B69" s="46" t="s">
        <v>1319</v>
      </c>
      <c r="C69" s="50" t="s">
        <v>1323</v>
      </c>
      <c r="D69" s="110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0</v>
      </c>
      <c r="AB69" s="111">
        <v>0</v>
      </c>
      <c r="AC69" s="112">
        <v>0</v>
      </c>
      <c r="AD69" s="126">
        <v>0</v>
      </c>
      <c r="AE69" s="126">
        <v>0</v>
      </c>
      <c r="AF69" s="126">
        <v>0</v>
      </c>
      <c r="AG69" s="126">
        <v>0</v>
      </c>
      <c r="AH69" s="48">
        <f t="shared" si="2"/>
        <v>0</v>
      </c>
      <c r="AI69" s="49">
        <f t="shared" si="0"/>
        <v>1</v>
      </c>
    </row>
    <row r="70" spans="1:35" s="11" customFormat="1" ht="33.75" hidden="1" customHeight="1">
      <c r="A70" s="59">
        <v>55</v>
      </c>
      <c r="B70" s="41" t="s">
        <v>1324</v>
      </c>
      <c r="C70" s="51" t="s">
        <v>1325</v>
      </c>
      <c r="D70" s="113">
        <v>0</v>
      </c>
      <c r="E70" s="114">
        <v>0</v>
      </c>
      <c r="F70" s="114">
        <v>0</v>
      </c>
      <c r="G70" s="114">
        <v>0</v>
      </c>
      <c r="H70" s="114">
        <v>0</v>
      </c>
      <c r="I70" s="114">
        <v>0</v>
      </c>
      <c r="J70" s="114">
        <v>0</v>
      </c>
      <c r="K70" s="114">
        <v>0</v>
      </c>
      <c r="L70" s="114">
        <v>0</v>
      </c>
      <c r="M70" s="114">
        <v>0</v>
      </c>
      <c r="N70" s="114">
        <v>0</v>
      </c>
      <c r="O70" s="114">
        <v>0</v>
      </c>
      <c r="P70" s="114">
        <v>0</v>
      </c>
      <c r="Q70" s="114">
        <v>0</v>
      </c>
      <c r="R70" s="114">
        <v>0</v>
      </c>
      <c r="S70" s="114">
        <v>0</v>
      </c>
      <c r="T70" s="114">
        <v>0</v>
      </c>
      <c r="U70" s="114">
        <v>0</v>
      </c>
      <c r="V70" s="114">
        <v>0</v>
      </c>
      <c r="W70" s="114">
        <v>0</v>
      </c>
      <c r="X70" s="114">
        <v>0</v>
      </c>
      <c r="Y70" s="114">
        <v>0</v>
      </c>
      <c r="Z70" s="114">
        <v>0</v>
      </c>
      <c r="AA70" s="114">
        <v>0</v>
      </c>
      <c r="AB70" s="114">
        <v>0</v>
      </c>
      <c r="AC70" s="115">
        <v>0</v>
      </c>
      <c r="AD70" s="127">
        <v>0</v>
      </c>
      <c r="AE70" s="127">
        <v>0</v>
      </c>
      <c r="AF70" s="127">
        <v>0</v>
      </c>
      <c r="AG70" s="127">
        <v>0</v>
      </c>
      <c r="AH70" s="54">
        <f t="shared" si="2"/>
        <v>0</v>
      </c>
      <c r="AI70" s="52">
        <f t="shared" si="0"/>
        <v>1</v>
      </c>
    </row>
    <row r="71" spans="1:35" s="12" customFormat="1" ht="33.75" hidden="1" customHeight="1">
      <c r="A71" s="18">
        <v>56</v>
      </c>
      <c r="B71" s="15" t="s">
        <v>1324</v>
      </c>
      <c r="C71" s="20" t="s">
        <v>1326</v>
      </c>
      <c r="D71" s="107">
        <v>0</v>
      </c>
      <c r="E71" s="108">
        <v>0</v>
      </c>
      <c r="F71" s="108">
        <v>0</v>
      </c>
      <c r="G71" s="108">
        <v>0</v>
      </c>
      <c r="H71" s="108">
        <v>0</v>
      </c>
      <c r="I71" s="108">
        <v>0</v>
      </c>
      <c r="J71" s="108">
        <v>0</v>
      </c>
      <c r="K71" s="108">
        <v>0</v>
      </c>
      <c r="L71" s="108">
        <v>0</v>
      </c>
      <c r="M71" s="108">
        <v>0</v>
      </c>
      <c r="N71" s="108">
        <v>0</v>
      </c>
      <c r="O71" s="108">
        <v>0</v>
      </c>
      <c r="P71" s="108">
        <v>0</v>
      </c>
      <c r="Q71" s="108">
        <v>0</v>
      </c>
      <c r="R71" s="108">
        <v>0</v>
      </c>
      <c r="S71" s="108">
        <v>0</v>
      </c>
      <c r="T71" s="108">
        <v>0</v>
      </c>
      <c r="U71" s="108">
        <v>0</v>
      </c>
      <c r="V71" s="108">
        <v>0</v>
      </c>
      <c r="W71" s="108">
        <v>0</v>
      </c>
      <c r="X71" s="108">
        <v>0</v>
      </c>
      <c r="Y71" s="108">
        <v>0</v>
      </c>
      <c r="Z71" s="108">
        <v>0</v>
      </c>
      <c r="AA71" s="108">
        <v>0</v>
      </c>
      <c r="AB71" s="108">
        <v>0</v>
      </c>
      <c r="AC71" s="109">
        <v>0</v>
      </c>
      <c r="AD71" s="125">
        <v>0</v>
      </c>
      <c r="AE71" s="125">
        <v>0</v>
      </c>
      <c r="AF71" s="125">
        <v>0</v>
      </c>
      <c r="AG71" s="125">
        <v>0</v>
      </c>
      <c r="AH71" s="55">
        <f t="shared" si="2"/>
        <v>0</v>
      </c>
      <c r="AI71" s="53">
        <f t="shared" si="0"/>
        <v>1</v>
      </c>
    </row>
    <row r="72" spans="1:35" s="12" customFormat="1" ht="33.75" hidden="1" customHeight="1">
      <c r="A72" s="18">
        <v>57</v>
      </c>
      <c r="B72" s="15" t="s">
        <v>1324</v>
      </c>
      <c r="C72" s="20" t="s">
        <v>1327</v>
      </c>
      <c r="D72" s="107">
        <v>0</v>
      </c>
      <c r="E72" s="108">
        <v>0</v>
      </c>
      <c r="F72" s="108">
        <v>0</v>
      </c>
      <c r="G72" s="108">
        <v>0</v>
      </c>
      <c r="H72" s="108">
        <v>0</v>
      </c>
      <c r="I72" s="108">
        <v>0</v>
      </c>
      <c r="J72" s="108">
        <v>0</v>
      </c>
      <c r="K72" s="108">
        <v>0</v>
      </c>
      <c r="L72" s="108">
        <v>0</v>
      </c>
      <c r="M72" s="108">
        <v>0</v>
      </c>
      <c r="N72" s="108">
        <v>0</v>
      </c>
      <c r="O72" s="108">
        <v>0</v>
      </c>
      <c r="P72" s="108">
        <v>0</v>
      </c>
      <c r="Q72" s="108">
        <v>0</v>
      </c>
      <c r="R72" s="108">
        <v>0</v>
      </c>
      <c r="S72" s="108">
        <v>0</v>
      </c>
      <c r="T72" s="108">
        <v>0</v>
      </c>
      <c r="U72" s="108">
        <v>0</v>
      </c>
      <c r="V72" s="108">
        <v>0</v>
      </c>
      <c r="W72" s="108">
        <v>0</v>
      </c>
      <c r="X72" s="108">
        <v>0</v>
      </c>
      <c r="Y72" s="108">
        <v>0</v>
      </c>
      <c r="Z72" s="108">
        <v>0</v>
      </c>
      <c r="AA72" s="108">
        <v>0</v>
      </c>
      <c r="AB72" s="108">
        <v>0</v>
      </c>
      <c r="AC72" s="109">
        <v>0</v>
      </c>
      <c r="AD72" s="125">
        <v>0</v>
      </c>
      <c r="AE72" s="125">
        <v>0</v>
      </c>
      <c r="AF72" s="125">
        <v>0</v>
      </c>
      <c r="AG72" s="125">
        <v>0</v>
      </c>
      <c r="AH72" s="55">
        <f t="shared" si="2"/>
        <v>0</v>
      </c>
      <c r="AI72" s="53">
        <f t="shared" si="0"/>
        <v>1</v>
      </c>
    </row>
    <row r="73" spans="1:35" ht="33.75" hidden="1" customHeight="1">
      <c r="A73" s="38">
        <v>58</v>
      </c>
      <c r="B73" s="32" t="s">
        <v>1324</v>
      </c>
      <c r="C73" s="56" t="s">
        <v>1328</v>
      </c>
      <c r="D73" s="116">
        <v>0</v>
      </c>
      <c r="E73" s="117">
        <v>0</v>
      </c>
      <c r="F73" s="117">
        <v>0</v>
      </c>
      <c r="G73" s="117">
        <v>0</v>
      </c>
      <c r="H73" s="117">
        <v>0</v>
      </c>
      <c r="I73" s="117">
        <v>0</v>
      </c>
      <c r="J73" s="117">
        <v>0</v>
      </c>
      <c r="K73" s="117">
        <v>0</v>
      </c>
      <c r="L73" s="117">
        <v>0</v>
      </c>
      <c r="M73" s="117">
        <v>0</v>
      </c>
      <c r="N73" s="117">
        <v>0</v>
      </c>
      <c r="O73" s="117">
        <v>0</v>
      </c>
      <c r="P73" s="117">
        <v>0</v>
      </c>
      <c r="Q73" s="117">
        <v>0</v>
      </c>
      <c r="R73" s="117">
        <v>0</v>
      </c>
      <c r="S73" s="117">
        <v>0</v>
      </c>
      <c r="T73" s="117">
        <v>0</v>
      </c>
      <c r="U73" s="117">
        <v>0</v>
      </c>
      <c r="V73" s="117">
        <v>0</v>
      </c>
      <c r="W73" s="117">
        <v>0</v>
      </c>
      <c r="X73" s="117">
        <v>0</v>
      </c>
      <c r="Y73" s="117">
        <v>0</v>
      </c>
      <c r="Z73" s="117">
        <v>0</v>
      </c>
      <c r="AA73" s="117">
        <v>0</v>
      </c>
      <c r="AB73" s="117">
        <v>0</v>
      </c>
      <c r="AC73" s="118">
        <v>0</v>
      </c>
      <c r="AD73" s="128">
        <v>0</v>
      </c>
      <c r="AE73" s="128">
        <v>0</v>
      </c>
      <c r="AF73" s="128">
        <v>0</v>
      </c>
      <c r="AG73" s="128">
        <v>0</v>
      </c>
      <c r="AH73" s="57">
        <f t="shared" si="2"/>
        <v>0</v>
      </c>
      <c r="AI73" s="58">
        <f t="shared" si="0"/>
        <v>1</v>
      </c>
    </row>
    <row r="74" spans="1:35" ht="33.75" hidden="1" customHeight="1">
      <c r="A74" s="59">
        <v>59</v>
      </c>
      <c r="B74" s="41" t="s">
        <v>1329</v>
      </c>
      <c r="C74" s="51" t="s">
        <v>1330</v>
      </c>
      <c r="D74" s="537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38"/>
      <c r="R74" s="538"/>
      <c r="S74" s="538"/>
      <c r="T74" s="538"/>
      <c r="U74" s="538"/>
      <c r="V74" s="538"/>
      <c r="W74" s="538"/>
      <c r="X74" s="538"/>
      <c r="Y74" s="538"/>
      <c r="Z74" s="538"/>
      <c r="AA74" s="538"/>
      <c r="AB74" s="538"/>
      <c r="AC74" s="539"/>
      <c r="AD74" s="127">
        <v>0</v>
      </c>
      <c r="AE74" s="127">
        <v>0</v>
      </c>
      <c r="AF74" s="127">
        <v>0</v>
      </c>
      <c r="AG74" s="127">
        <v>0</v>
      </c>
      <c r="AH74" s="57">
        <f t="shared" ref="AH74:AH85" si="3">COUNTIF(AD74:AG74,1)/COUNTA(AD74:AG74)</f>
        <v>0</v>
      </c>
      <c r="AI74" s="58">
        <f t="shared" si="0"/>
        <v>1</v>
      </c>
    </row>
    <row r="75" spans="1:35" ht="33.75" hidden="1" customHeight="1">
      <c r="A75" s="18">
        <v>60</v>
      </c>
      <c r="B75" s="15" t="s">
        <v>1329</v>
      </c>
      <c r="C75" s="20" t="s">
        <v>1331</v>
      </c>
      <c r="D75" s="540"/>
      <c r="E75" s="541"/>
      <c r="F75" s="541"/>
      <c r="G75" s="541"/>
      <c r="H75" s="541"/>
      <c r="I75" s="541"/>
      <c r="J75" s="541"/>
      <c r="K75" s="541"/>
      <c r="L75" s="541"/>
      <c r="M75" s="541"/>
      <c r="N75" s="541"/>
      <c r="O75" s="541"/>
      <c r="P75" s="541"/>
      <c r="Q75" s="541"/>
      <c r="R75" s="541"/>
      <c r="S75" s="541"/>
      <c r="T75" s="541"/>
      <c r="U75" s="541"/>
      <c r="V75" s="541"/>
      <c r="W75" s="541"/>
      <c r="X75" s="541"/>
      <c r="Y75" s="541"/>
      <c r="Z75" s="541"/>
      <c r="AA75" s="541"/>
      <c r="AB75" s="541"/>
      <c r="AC75" s="542"/>
      <c r="AD75" s="125">
        <v>0</v>
      </c>
      <c r="AE75" s="125">
        <v>0</v>
      </c>
      <c r="AF75" s="125">
        <v>0</v>
      </c>
      <c r="AG75" s="125">
        <v>0</v>
      </c>
      <c r="AH75" s="57">
        <f t="shared" si="3"/>
        <v>0</v>
      </c>
      <c r="AI75" s="58">
        <f t="shared" si="0"/>
        <v>1</v>
      </c>
    </row>
    <row r="76" spans="1:35" ht="33.75" hidden="1" customHeight="1">
      <c r="A76" s="18">
        <v>61</v>
      </c>
      <c r="B76" s="15" t="s">
        <v>1329</v>
      </c>
      <c r="C76" s="20" t="s">
        <v>1332</v>
      </c>
      <c r="D76" s="540"/>
      <c r="E76" s="541"/>
      <c r="F76" s="541"/>
      <c r="G76" s="541"/>
      <c r="H76" s="541"/>
      <c r="I76" s="541"/>
      <c r="J76" s="541"/>
      <c r="K76" s="541"/>
      <c r="L76" s="541"/>
      <c r="M76" s="541"/>
      <c r="N76" s="541"/>
      <c r="O76" s="541"/>
      <c r="P76" s="541"/>
      <c r="Q76" s="541"/>
      <c r="R76" s="541"/>
      <c r="S76" s="541"/>
      <c r="T76" s="541"/>
      <c r="U76" s="541"/>
      <c r="V76" s="541"/>
      <c r="W76" s="541"/>
      <c r="X76" s="541"/>
      <c r="Y76" s="541"/>
      <c r="Z76" s="541"/>
      <c r="AA76" s="541"/>
      <c r="AB76" s="541"/>
      <c r="AC76" s="542"/>
      <c r="AD76" s="125">
        <v>0</v>
      </c>
      <c r="AE76" s="125">
        <v>0</v>
      </c>
      <c r="AF76" s="125">
        <v>0</v>
      </c>
      <c r="AG76" s="125">
        <v>0</v>
      </c>
      <c r="AH76" s="57">
        <f t="shared" si="3"/>
        <v>0</v>
      </c>
      <c r="AI76" s="58">
        <f t="shared" si="0"/>
        <v>1</v>
      </c>
    </row>
    <row r="77" spans="1:35" ht="33.75" hidden="1" customHeight="1">
      <c r="A77" s="60">
        <v>62</v>
      </c>
      <c r="B77" s="46" t="s">
        <v>1329</v>
      </c>
      <c r="C77" s="50" t="s">
        <v>1333</v>
      </c>
      <c r="D77" s="540"/>
      <c r="E77" s="541"/>
      <c r="F77" s="541"/>
      <c r="G77" s="541"/>
      <c r="H77" s="541"/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  <c r="AA77" s="541"/>
      <c r="AB77" s="541"/>
      <c r="AC77" s="542"/>
      <c r="AD77" s="126">
        <v>0</v>
      </c>
      <c r="AE77" s="126">
        <v>0</v>
      </c>
      <c r="AF77" s="126">
        <v>0</v>
      </c>
      <c r="AG77" s="126">
        <v>0</v>
      </c>
      <c r="AH77" s="57">
        <f t="shared" si="3"/>
        <v>0</v>
      </c>
      <c r="AI77" s="58">
        <f t="shared" si="0"/>
        <v>1</v>
      </c>
    </row>
    <row r="78" spans="1:35" ht="33.75" hidden="1" customHeight="1">
      <c r="A78" s="59">
        <v>63</v>
      </c>
      <c r="B78" s="41" t="s">
        <v>1334</v>
      </c>
      <c r="C78" s="51" t="s">
        <v>1335</v>
      </c>
      <c r="D78" s="540"/>
      <c r="E78" s="541"/>
      <c r="F78" s="541"/>
      <c r="G78" s="541"/>
      <c r="H78" s="541"/>
      <c r="I78" s="541"/>
      <c r="J78" s="541"/>
      <c r="K78" s="541"/>
      <c r="L78" s="541"/>
      <c r="M78" s="541"/>
      <c r="N78" s="541"/>
      <c r="O78" s="541"/>
      <c r="P78" s="541"/>
      <c r="Q78" s="541"/>
      <c r="R78" s="541"/>
      <c r="S78" s="541"/>
      <c r="T78" s="541"/>
      <c r="U78" s="541"/>
      <c r="V78" s="541"/>
      <c r="W78" s="541"/>
      <c r="X78" s="541"/>
      <c r="Y78" s="541"/>
      <c r="Z78" s="541"/>
      <c r="AA78" s="541"/>
      <c r="AB78" s="541"/>
      <c r="AC78" s="542"/>
      <c r="AD78" s="127">
        <v>0</v>
      </c>
      <c r="AE78" s="127">
        <v>0</v>
      </c>
      <c r="AF78" s="127">
        <v>0</v>
      </c>
      <c r="AG78" s="127">
        <v>0</v>
      </c>
      <c r="AH78" s="57">
        <f t="shared" si="3"/>
        <v>0</v>
      </c>
      <c r="AI78" s="58">
        <f t="shared" si="0"/>
        <v>1</v>
      </c>
    </row>
    <row r="79" spans="1:35" ht="33.75" hidden="1" customHeight="1">
      <c r="A79" s="18">
        <v>64</v>
      </c>
      <c r="B79" s="15" t="s">
        <v>1334</v>
      </c>
      <c r="C79" s="20" t="s">
        <v>1336</v>
      </c>
      <c r="D79" s="540"/>
      <c r="E79" s="541"/>
      <c r="F79" s="541"/>
      <c r="G79" s="541"/>
      <c r="H79" s="541"/>
      <c r="I79" s="541"/>
      <c r="J79" s="541"/>
      <c r="K79" s="541"/>
      <c r="L79" s="541"/>
      <c r="M79" s="541"/>
      <c r="N79" s="541"/>
      <c r="O79" s="541"/>
      <c r="P79" s="541"/>
      <c r="Q79" s="541"/>
      <c r="R79" s="541"/>
      <c r="S79" s="541"/>
      <c r="T79" s="541"/>
      <c r="U79" s="541"/>
      <c r="V79" s="541"/>
      <c r="W79" s="541"/>
      <c r="X79" s="541"/>
      <c r="Y79" s="541"/>
      <c r="Z79" s="541"/>
      <c r="AA79" s="541"/>
      <c r="AB79" s="541"/>
      <c r="AC79" s="542"/>
      <c r="AD79" s="125">
        <v>0</v>
      </c>
      <c r="AE79" s="125">
        <v>0</v>
      </c>
      <c r="AF79" s="125">
        <v>0</v>
      </c>
      <c r="AG79" s="125">
        <v>0</v>
      </c>
      <c r="AH79" s="57">
        <f t="shared" si="3"/>
        <v>0</v>
      </c>
      <c r="AI79" s="58">
        <f t="shared" si="0"/>
        <v>1</v>
      </c>
    </row>
    <row r="80" spans="1:35" ht="33.75" hidden="1" customHeight="1">
      <c r="A80" s="18">
        <v>65</v>
      </c>
      <c r="B80" s="15" t="s">
        <v>1334</v>
      </c>
      <c r="C80" s="20" t="s">
        <v>1337</v>
      </c>
      <c r="D80" s="540"/>
      <c r="E80" s="541"/>
      <c r="F80" s="541"/>
      <c r="G80" s="541"/>
      <c r="H80" s="541"/>
      <c r="I80" s="541"/>
      <c r="J80" s="541"/>
      <c r="K80" s="541"/>
      <c r="L80" s="541"/>
      <c r="M80" s="541"/>
      <c r="N80" s="541"/>
      <c r="O80" s="541"/>
      <c r="P80" s="541"/>
      <c r="Q80" s="541"/>
      <c r="R80" s="541"/>
      <c r="S80" s="541"/>
      <c r="T80" s="541"/>
      <c r="U80" s="541"/>
      <c r="V80" s="541"/>
      <c r="W80" s="541"/>
      <c r="X80" s="541"/>
      <c r="Y80" s="541"/>
      <c r="Z80" s="541"/>
      <c r="AA80" s="541"/>
      <c r="AB80" s="541"/>
      <c r="AC80" s="542"/>
      <c r="AD80" s="125">
        <v>0</v>
      </c>
      <c r="AE80" s="125">
        <v>0</v>
      </c>
      <c r="AF80" s="125">
        <v>0</v>
      </c>
      <c r="AG80" s="125">
        <v>0</v>
      </c>
      <c r="AH80" s="57">
        <f t="shared" si="3"/>
        <v>0</v>
      </c>
      <c r="AI80" s="58">
        <f t="shared" si="0"/>
        <v>1</v>
      </c>
    </row>
    <row r="81" spans="1:35" ht="33.75" hidden="1" customHeight="1">
      <c r="A81" s="60">
        <v>66</v>
      </c>
      <c r="B81" s="46" t="s">
        <v>1334</v>
      </c>
      <c r="C81" s="50" t="s">
        <v>1338</v>
      </c>
      <c r="D81" s="540"/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1"/>
      <c r="AB81" s="541"/>
      <c r="AC81" s="542"/>
      <c r="AD81" s="126">
        <v>0</v>
      </c>
      <c r="AE81" s="126">
        <v>0</v>
      </c>
      <c r="AF81" s="126">
        <v>0</v>
      </c>
      <c r="AG81" s="126">
        <v>0</v>
      </c>
      <c r="AH81" s="57">
        <f t="shared" si="3"/>
        <v>0</v>
      </c>
      <c r="AI81" s="58">
        <f t="shared" ref="AI81:AI93" si="4">1-AH81</f>
        <v>1</v>
      </c>
    </row>
    <row r="82" spans="1:35" ht="33.75" hidden="1" customHeight="1">
      <c r="A82" s="59">
        <v>67</v>
      </c>
      <c r="B82" s="41" t="s">
        <v>1339</v>
      </c>
      <c r="C82" s="51" t="s">
        <v>1340</v>
      </c>
      <c r="D82" s="540"/>
      <c r="E82" s="541"/>
      <c r="F82" s="541"/>
      <c r="G82" s="541"/>
      <c r="H82" s="541"/>
      <c r="I82" s="541"/>
      <c r="J82" s="541"/>
      <c r="K82" s="541"/>
      <c r="L82" s="541"/>
      <c r="M82" s="541"/>
      <c r="N82" s="541"/>
      <c r="O82" s="541"/>
      <c r="P82" s="541"/>
      <c r="Q82" s="541"/>
      <c r="R82" s="541"/>
      <c r="S82" s="541"/>
      <c r="T82" s="541"/>
      <c r="U82" s="541"/>
      <c r="V82" s="541"/>
      <c r="W82" s="541"/>
      <c r="X82" s="541"/>
      <c r="Y82" s="541"/>
      <c r="Z82" s="541"/>
      <c r="AA82" s="541"/>
      <c r="AB82" s="541"/>
      <c r="AC82" s="542"/>
      <c r="AD82" s="127">
        <v>0</v>
      </c>
      <c r="AE82" s="127">
        <v>0</v>
      </c>
      <c r="AF82" s="127">
        <v>0</v>
      </c>
      <c r="AG82" s="127">
        <v>0</v>
      </c>
      <c r="AH82" s="57">
        <f t="shared" si="3"/>
        <v>0</v>
      </c>
      <c r="AI82" s="58">
        <f t="shared" si="4"/>
        <v>1</v>
      </c>
    </row>
    <row r="83" spans="1:35" ht="33.75" hidden="1" customHeight="1">
      <c r="A83" s="18">
        <v>68</v>
      </c>
      <c r="B83" s="15" t="s">
        <v>1339</v>
      </c>
      <c r="C83" s="20" t="s">
        <v>1341</v>
      </c>
      <c r="D83" s="540"/>
      <c r="E83" s="541"/>
      <c r="F83" s="541"/>
      <c r="G83" s="541"/>
      <c r="H83" s="541"/>
      <c r="I83" s="541"/>
      <c r="J83" s="541"/>
      <c r="K83" s="541"/>
      <c r="L83" s="541"/>
      <c r="M83" s="541"/>
      <c r="N83" s="541"/>
      <c r="O83" s="541"/>
      <c r="P83" s="541"/>
      <c r="Q83" s="541"/>
      <c r="R83" s="541"/>
      <c r="S83" s="541"/>
      <c r="T83" s="541"/>
      <c r="U83" s="541"/>
      <c r="V83" s="541"/>
      <c r="W83" s="541"/>
      <c r="X83" s="541"/>
      <c r="Y83" s="541"/>
      <c r="Z83" s="541"/>
      <c r="AA83" s="541"/>
      <c r="AB83" s="541"/>
      <c r="AC83" s="542"/>
      <c r="AD83" s="125">
        <v>0</v>
      </c>
      <c r="AE83" s="125">
        <v>0</v>
      </c>
      <c r="AF83" s="125">
        <v>0</v>
      </c>
      <c r="AG83" s="125">
        <v>0</v>
      </c>
      <c r="AH83" s="57">
        <f t="shared" si="3"/>
        <v>0</v>
      </c>
      <c r="AI83" s="58">
        <f t="shared" si="4"/>
        <v>1</v>
      </c>
    </row>
    <row r="84" spans="1:35" ht="33.75" hidden="1" customHeight="1">
      <c r="A84" s="18">
        <v>69</v>
      </c>
      <c r="B84" s="15" t="s">
        <v>1339</v>
      </c>
      <c r="C84" s="20" t="s">
        <v>1342</v>
      </c>
      <c r="D84" s="540"/>
      <c r="E84" s="541"/>
      <c r="F84" s="541"/>
      <c r="G84" s="541"/>
      <c r="H84" s="541"/>
      <c r="I84" s="541"/>
      <c r="J84" s="541"/>
      <c r="K84" s="541"/>
      <c r="L84" s="541"/>
      <c r="M84" s="541"/>
      <c r="N84" s="541"/>
      <c r="O84" s="541"/>
      <c r="P84" s="541"/>
      <c r="Q84" s="541"/>
      <c r="R84" s="541"/>
      <c r="S84" s="541"/>
      <c r="T84" s="541"/>
      <c r="U84" s="541"/>
      <c r="V84" s="541"/>
      <c r="W84" s="541"/>
      <c r="X84" s="541"/>
      <c r="Y84" s="541"/>
      <c r="Z84" s="541"/>
      <c r="AA84" s="541"/>
      <c r="AB84" s="541"/>
      <c r="AC84" s="542"/>
      <c r="AD84" s="125">
        <v>0</v>
      </c>
      <c r="AE84" s="125">
        <v>0</v>
      </c>
      <c r="AF84" s="125">
        <v>0</v>
      </c>
      <c r="AG84" s="125">
        <v>0</v>
      </c>
      <c r="AH84" s="57">
        <f t="shared" si="3"/>
        <v>0</v>
      </c>
      <c r="AI84" s="58">
        <f t="shared" si="4"/>
        <v>1</v>
      </c>
    </row>
    <row r="85" spans="1:35" ht="33.75" hidden="1" customHeight="1">
      <c r="A85" s="60">
        <v>70</v>
      </c>
      <c r="B85" s="46" t="s">
        <v>1339</v>
      </c>
      <c r="C85" s="50" t="s">
        <v>1343</v>
      </c>
      <c r="D85" s="543"/>
      <c r="E85" s="544"/>
      <c r="F85" s="544"/>
      <c r="G85" s="544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  <c r="AC85" s="545"/>
      <c r="AD85" s="126">
        <v>0</v>
      </c>
      <c r="AE85" s="126">
        <v>0</v>
      </c>
      <c r="AF85" s="126">
        <v>0</v>
      </c>
      <c r="AG85" s="126">
        <v>0</v>
      </c>
      <c r="AH85" s="57">
        <f t="shared" si="3"/>
        <v>0</v>
      </c>
      <c r="AI85" s="58">
        <f t="shared" si="4"/>
        <v>1</v>
      </c>
    </row>
    <row r="86" spans="1:35" ht="33.75" hidden="1" customHeight="1">
      <c r="A86" s="59">
        <v>71</v>
      </c>
      <c r="B86" s="41" t="s">
        <v>1344</v>
      </c>
      <c r="C86" s="51" t="s">
        <v>1345</v>
      </c>
      <c r="D86" s="113">
        <v>0</v>
      </c>
      <c r="E86" s="114">
        <v>0</v>
      </c>
      <c r="F86" s="114">
        <v>0</v>
      </c>
      <c r="G86" s="114">
        <v>0</v>
      </c>
      <c r="H86" s="114">
        <v>0</v>
      </c>
      <c r="I86" s="114">
        <v>0</v>
      </c>
      <c r="J86" s="114">
        <v>0</v>
      </c>
      <c r="K86" s="114">
        <v>0</v>
      </c>
      <c r="L86" s="114">
        <v>0</v>
      </c>
      <c r="M86" s="114">
        <v>0</v>
      </c>
      <c r="N86" s="114">
        <v>0</v>
      </c>
      <c r="O86" s="114">
        <v>0</v>
      </c>
      <c r="P86" s="114">
        <v>0</v>
      </c>
      <c r="Q86" s="114">
        <v>0</v>
      </c>
      <c r="R86" s="114">
        <v>0</v>
      </c>
      <c r="S86" s="114">
        <v>0</v>
      </c>
      <c r="T86" s="114">
        <v>0</v>
      </c>
      <c r="U86" s="114">
        <v>0</v>
      </c>
      <c r="V86" s="114">
        <v>0</v>
      </c>
      <c r="W86" s="114">
        <v>0</v>
      </c>
      <c r="X86" s="114">
        <v>0</v>
      </c>
      <c r="Y86" s="114">
        <v>0</v>
      </c>
      <c r="Z86" s="114">
        <v>0</v>
      </c>
      <c r="AA86" s="114">
        <v>0</v>
      </c>
      <c r="AB86" s="114">
        <v>0</v>
      </c>
      <c r="AC86" s="115">
        <v>0</v>
      </c>
      <c r="AD86" s="127">
        <v>0</v>
      </c>
      <c r="AE86" s="127">
        <v>0</v>
      </c>
      <c r="AF86" s="127">
        <v>0</v>
      </c>
      <c r="AG86" s="127">
        <v>0</v>
      </c>
      <c r="AH86" s="43">
        <f t="shared" ref="AH86:AH93" si="5">COUNTIF(D86:AG86,1)/COUNTA(D86:AG86)</f>
        <v>0</v>
      </c>
      <c r="AI86" s="44">
        <f t="shared" si="4"/>
        <v>1</v>
      </c>
    </row>
    <row r="87" spans="1:35" s="12" customFormat="1" ht="33.75" hidden="1" customHeight="1">
      <c r="A87" s="18">
        <v>72</v>
      </c>
      <c r="B87" s="15" t="s">
        <v>1344</v>
      </c>
      <c r="C87" s="20" t="s">
        <v>1346</v>
      </c>
      <c r="D87" s="107">
        <v>0</v>
      </c>
      <c r="E87" s="108">
        <v>0</v>
      </c>
      <c r="F87" s="108">
        <v>0</v>
      </c>
      <c r="G87" s="108">
        <v>0</v>
      </c>
      <c r="H87" s="108">
        <v>0</v>
      </c>
      <c r="I87" s="108">
        <v>0</v>
      </c>
      <c r="J87" s="108">
        <v>0</v>
      </c>
      <c r="K87" s="108">
        <v>0</v>
      </c>
      <c r="L87" s="108">
        <v>0</v>
      </c>
      <c r="M87" s="108">
        <v>0</v>
      </c>
      <c r="N87" s="108">
        <v>0</v>
      </c>
      <c r="O87" s="108">
        <v>0</v>
      </c>
      <c r="P87" s="108">
        <v>0</v>
      </c>
      <c r="Q87" s="108">
        <v>0</v>
      </c>
      <c r="R87" s="108">
        <v>0</v>
      </c>
      <c r="S87" s="108">
        <v>0</v>
      </c>
      <c r="T87" s="108">
        <v>0</v>
      </c>
      <c r="U87" s="108">
        <v>0</v>
      </c>
      <c r="V87" s="108">
        <v>0</v>
      </c>
      <c r="W87" s="108">
        <v>0</v>
      </c>
      <c r="X87" s="108">
        <v>0</v>
      </c>
      <c r="Y87" s="108">
        <v>0</v>
      </c>
      <c r="Z87" s="108">
        <v>0</v>
      </c>
      <c r="AA87" s="108">
        <v>0</v>
      </c>
      <c r="AB87" s="108">
        <v>0</v>
      </c>
      <c r="AC87" s="109">
        <v>0</v>
      </c>
      <c r="AD87" s="125">
        <v>0</v>
      </c>
      <c r="AE87" s="125">
        <v>0</v>
      </c>
      <c r="AF87" s="125">
        <v>0</v>
      </c>
      <c r="AG87" s="125">
        <v>0</v>
      </c>
      <c r="AH87" s="23">
        <f t="shared" si="5"/>
        <v>0</v>
      </c>
      <c r="AI87" s="45">
        <f t="shared" si="4"/>
        <v>1</v>
      </c>
    </row>
    <row r="88" spans="1:35" s="12" customFormat="1" ht="33.75" hidden="1" customHeight="1">
      <c r="A88" s="18">
        <v>73</v>
      </c>
      <c r="B88" s="15" t="s">
        <v>1344</v>
      </c>
      <c r="C88" s="20" t="s">
        <v>1347</v>
      </c>
      <c r="D88" s="107">
        <v>0</v>
      </c>
      <c r="E88" s="108">
        <v>0</v>
      </c>
      <c r="F88" s="108">
        <v>0</v>
      </c>
      <c r="G88" s="108">
        <v>0</v>
      </c>
      <c r="H88" s="108">
        <v>0</v>
      </c>
      <c r="I88" s="108">
        <v>0</v>
      </c>
      <c r="J88" s="108">
        <v>0</v>
      </c>
      <c r="K88" s="108">
        <v>0</v>
      </c>
      <c r="L88" s="74">
        <v>0</v>
      </c>
      <c r="M88" s="108">
        <v>0</v>
      </c>
      <c r="N88" s="108">
        <v>0</v>
      </c>
      <c r="O88" s="108">
        <v>0</v>
      </c>
      <c r="P88" s="108">
        <v>0</v>
      </c>
      <c r="Q88" s="108">
        <v>0</v>
      </c>
      <c r="R88" s="108">
        <v>0</v>
      </c>
      <c r="S88" s="108">
        <v>0</v>
      </c>
      <c r="T88" s="108">
        <v>0</v>
      </c>
      <c r="U88" s="108">
        <v>0</v>
      </c>
      <c r="V88" s="108">
        <v>0</v>
      </c>
      <c r="W88" s="108">
        <v>0</v>
      </c>
      <c r="X88" s="108">
        <v>0</v>
      </c>
      <c r="Y88" s="108">
        <v>0</v>
      </c>
      <c r="Z88" s="108">
        <v>0</v>
      </c>
      <c r="AA88" s="108">
        <v>0</v>
      </c>
      <c r="AB88" s="108">
        <v>0</v>
      </c>
      <c r="AC88" s="109">
        <v>0</v>
      </c>
      <c r="AD88" s="125">
        <v>0</v>
      </c>
      <c r="AE88" s="125">
        <v>0</v>
      </c>
      <c r="AF88" s="125">
        <v>0</v>
      </c>
      <c r="AG88" s="125">
        <v>0</v>
      </c>
      <c r="AH88" s="23">
        <f t="shared" si="5"/>
        <v>0</v>
      </c>
      <c r="AI88" s="45">
        <f t="shared" si="4"/>
        <v>1</v>
      </c>
    </row>
    <row r="89" spans="1:35" s="12" customFormat="1" ht="33.75" hidden="1" customHeight="1">
      <c r="A89" s="60">
        <v>74</v>
      </c>
      <c r="B89" s="46" t="s">
        <v>1344</v>
      </c>
      <c r="C89" s="50" t="s">
        <v>1348</v>
      </c>
      <c r="D89" s="110">
        <v>0</v>
      </c>
      <c r="E89" s="111">
        <v>0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0</v>
      </c>
      <c r="Z89" s="111">
        <v>0</v>
      </c>
      <c r="AA89" s="111">
        <v>0</v>
      </c>
      <c r="AB89" s="111">
        <v>0</v>
      </c>
      <c r="AC89" s="112">
        <v>0</v>
      </c>
      <c r="AD89" s="126">
        <v>0</v>
      </c>
      <c r="AE89" s="126">
        <v>0</v>
      </c>
      <c r="AF89" s="126">
        <v>0</v>
      </c>
      <c r="AG89" s="126">
        <v>0</v>
      </c>
      <c r="AH89" s="48">
        <f t="shared" si="5"/>
        <v>0</v>
      </c>
      <c r="AI89" s="49">
        <f t="shared" si="4"/>
        <v>1</v>
      </c>
    </row>
    <row r="90" spans="1:35" s="12" customFormat="1" ht="33.75" hidden="1" customHeight="1">
      <c r="A90" s="59">
        <v>75</v>
      </c>
      <c r="B90" s="41" t="s">
        <v>1349</v>
      </c>
      <c r="C90" s="51" t="s">
        <v>1350</v>
      </c>
      <c r="D90" s="113"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v>0</v>
      </c>
      <c r="K90" s="114">
        <v>0</v>
      </c>
      <c r="L90" s="114">
        <v>0</v>
      </c>
      <c r="M90" s="114">
        <v>0</v>
      </c>
      <c r="N90" s="114">
        <v>0</v>
      </c>
      <c r="O90" s="114">
        <v>0</v>
      </c>
      <c r="P90" s="114">
        <v>0</v>
      </c>
      <c r="Q90" s="114">
        <v>0</v>
      </c>
      <c r="R90" s="114">
        <v>0</v>
      </c>
      <c r="S90" s="114">
        <v>0</v>
      </c>
      <c r="T90" s="114">
        <v>0</v>
      </c>
      <c r="U90" s="114">
        <v>0</v>
      </c>
      <c r="V90" s="114">
        <v>0</v>
      </c>
      <c r="W90" s="114">
        <v>0</v>
      </c>
      <c r="X90" s="114">
        <v>0</v>
      </c>
      <c r="Y90" s="114">
        <v>0</v>
      </c>
      <c r="Z90" s="114">
        <v>0</v>
      </c>
      <c r="AA90" s="114">
        <v>0</v>
      </c>
      <c r="AB90" s="114">
        <v>0</v>
      </c>
      <c r="AC90" s="115">
        <v>0</v>
      </c>
      <c r="AD90" s="127">
        <v>0</v>
      </c>
      <c r="AE90" s="127">
        <v>0</v>
      </c>
      <c r="AF90" s="127">
        <v>0</v>
      </c>
      <c r="AG90" s="127">
        <v>0</v>
      </c>
      <c r="AH90" s="43">
        <f t="shared" si="5"/>
        <v>0</v>
      </c>
      <c r="AI90" s="44">
        <f t="shared" si="4"/>
        <v>1</v>
      </c>
    </row>
    <row r="91" spans="1:35" s="12" customFormat="1" ht="33.75" hidden="1" customHeight="1">
      <c r="A91" s="18">
        <v>76</v>
      </c>
      <c r="B91" s="15" t="s">
        <v>1349</v>
      </c>
      <c r="C91" s="20" t="s">
        <v>1351</v>
      </c>
      <c r="D91" s="107">
        <v>0</v>
      </c>
      <c r="E91" s="108">
        <v>0</v>
      </c>
      <c r="F91" s="108">
        <v>0</v>
      </c>
      <c r="G91" s="108">
        <v>0</v>
      </c>
      <c r="H91" s="108">
        <v>0</v>
      </c>
      <c r="I91" s="108">
        <v>0</v>
      </c>
      <c r="J91" s="108">
        <v>0</v>
      </c>
      <c r="K91" s="108">
        <v>0</v>
      </c>
      <c r="L91" s="108">
        <v>0</v>
      </c>
      <c r="M91" s="108">
        <v>0</v>
      </c>
      <c r="N91" s="108">
        <v>0</v>
      </c>
      <c r="O91" s="108">
        <v>0</v>
      </c>
      <c r="P91" s="108">
        <v>0</v>
      </c>
      <c r="Q91" s="108">
        <v>0</v>
      </c>
      <c r="R91" s="108">
        <v>0</v>
      </c>
      <c r="S91" s="108">
        <v>0</v>
      </c>
      <c r="T91" s="108">
        <v>0</v>
      </c>
      <c r="U91" s="108">
        <v>0</v>
      </c>
      <c r="V91" s="108">
        <v>0</v>
      </c>
      <c r="W91" s="108">
        <v>0</v>
      </c>
      <c r="X91" s="108">
        <v>0</v>
      </c>
      <c r="Y91" s="108">
        <v>0</v>
      </c>
      <c r="Z91" s="108">
        <v>0</v>
      </c>
      <c r="AA91" s="108">
        <v>0</v>
      </c>
      <c r="AB91" s="108">
        <v>0</v>
      </c>
      <c r="AC91" s="109">
        <v>0</v>
      </c>
      <c r="AD91" s="125">
        <v>0</v>
      </c>
      <c r="AE91" s="125">
        <v>0</v>
      </c>
      <c r="AF91" s="125">
        <v>0</v>
      </c>
      <c r="AG91" s="125">
        <v>0</v>
      </c>
      <c r="AH91" s="23">
        <f t="shared" si="5"/>
        <v>0</v>
      </c>
      <c r="AI91" s="45">
        <f t="shared" si="4"/>
        <v>1</v>
      </c>
    </row>
    <row r="92" spans="1:35" s="12" customFormat="1" ht="33.75" hidden="1" customHeight="1">
      <c r="A92" s="18">
        <v>77</v>
      </c>
      <c r="B92" s="15" t="s">
        <v>1349</v>
      </c>
      <c r="C92" s="20" t="s">
        <v>1352</v>
      </c>
      <c r="D92" s="107">
        <v>0</v>
      </c>
      <c r="E92" s="108">
        <v>0</v>
      </c>
      <c r="F92" s="108">
        <v>0</v>
      </c>
      <c r="G92" s="108">
        <v>0</v>
      </c>
      <c r="H92" s="108">
        <v>0</v>
      </c>
      <c r="I92" s="108">
        <v>0</v>
      </c>
      <c r="J92" s="108">
        <v>0</v>
      </c>
      <c r="K92" s="108">
        <v>0</v>
      </c>
      <c r="L92" s="108">
        <v>0</v>
      </c>
      <c r="M92" s="108">
        <v>0</v>
      </c>
      <c r="N92" s="108">
        <v>0</v>
      </c>
      <c r="O92" s="108">
        <v>0</v>
      </c>
      <c r="P92" s="108">
        <v>0</v>
      </c>
      <c r="Q92" s="108">
        <v>0</v>
      </c>
      <c r="R92" s="108">
        <v>0</v>
      </c>
      <c r="S92" s="108">
        <v>0</v>
      </c>
      <c r="T92" s="108">
        <v>0</v>
      </c>
      <c r="U92" s="108">
        <v>0</v>
      </c>
      <c r="V92" s="108">
        <v>0</v>
      </c>
      <c r="W92" s="108">
        <v>0</v>
      </c>
      <c r="X92" s="108">
        <v>0</v>
      </c>
      <c r="Y92" s="108">
        <v>0</v>
      </c>
      <c r="Z92" s="108">
        <v>0</v>
      </c>
      <c r="AA92" s="108">
        <v>0</v>
      </c>
      <c r="AB92" s="108">
        <v>0</v>
      </c>
      <c r="AC92" s="109">
        <v>0</v>
      </c>
      <c r="AD92" s="125">
        <v>0</v>
      </c>
      <c r="AE92" s="125">
        <v>0</v>
      </c>
      <c r="AF92" s="125">
        <v>0</v>
      </c>
      <c r="AG92" s="125">
        <v>0</v>
      </c>
      <c r="AH92" s="23">
        <f t="shared" si="5"/>
        <v>0</v>
      </c>
      <c r="AI92" s="45">
        <f t="shared" si="4"/>
        <v>1</v>
      </c>
    </row>
    <row r="93" spans="1:35" s="12" customFormat="1" ht="33.75" hidden="1" customHeight="1" thickBot="1">
      <c r="A93" s="21">
        <v>78</v>
      </c>
      <c r="B93" s="36" t="s">
        <v>1349</v>
      </c>
      <c r="C93" s="37" t="s">
        <v>1353</v>
      </c>
      <c r="D93" s="119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L93" s="120">
        <v>0</v>
      </c>
      <c r="M93" s="120">
        <v>0</v>
      </c>
      <c r="N93" s="120">
        <v>0</v>
      </c>
      <c r="O93" s="120">
        <v>0</v>
      </c>
      <c r="P93" s="120">
        <v>0</v>
      </c>
      <c r="Q93" s="120">
        <v>0</v>
      </c>
      <c r="R93" s="120">
        <v>0</v>
      </c>
      <c r="S93" s="120">
        <v>0</v>
      </c>
      <c r="T93" s="120">
        <v>0</v>
      </c>
      <c r="U93" s="120">
        <v>0</v>
      </c>
      <c r="V93" s="120">
        <v>0</v>
      </c>
      <c r="W93" s="120">
        <v>0</v>
      </c>
      <c r="X93" s="120">
        <v>0</v>
      </c>
      <c r="Y93" s="120">
        <v>0</v>
      </c>
      <c r="Z93" s="120">
        <v>0</v>
      </c>
      <c r="AA93" s="120">
        <v>0</v>
      </c>
      <c r="AB93" s="120">
        <v>0</v>
      </c>
      <c r="AC93" s="121">
        <v>0</v>
      </c>
      <c r="AD93" s="129">
        <v>0</v>
      </c>
      <c r="AE93" s="129">
        <v>0</v>
      </c>
      <c r="AF93" s="129">
        <v>0</v>
      </c>
      <c r="AG93" s="129">
        <v>0</v>
      </c>
      <c r="AH93" s="48">
        <f t="shared" si="5"/>
        <v>0</v>
      </c>
      <c r="AI93" s="49">
        <f t="shared" si="4"/>
        <v>1</v>
      </c>
    </row>
    <row r="94" spans="1:35" ht="24" customHeight="1">
      <c r="A94" s="516"/>
      <c r="B94" s="516"/>
      <c r="C94" s="516"/>
      <c r="D94" s="517"/>
      <c r="E94" s="517"/>
      <c r="F94" s="517"/>
      <c r="G94" s="517"/>
      <c r="H94" s="517"/>
      <c r="I94" s="517"/>
      <c r="J94" s="517"/>
      <c r="K94" s="517"/>
      <c r="L94" s="517"/>
      <c r="M94" s="517"/>
      <c r="N94" s="517"/>
      <c r="O94" s="517"/>
      <c r="P94" s="517"/>
      <c r="Q94" s="517"/>
      <c r="R94" s="517"/>
      <c r="S94" s="517"/>
      <c r="T94" s="517"/>
      <c r="U94" s="517"/>
      <c r="V94" s="517"/>
      <c r="W94" s="517"/>
      <c r="X94" s="517"/>
      <c r="Y94" s="517"/>
      <c r="Z94" s="517"/>
      <c r="AA94" s="517"/>
      <c r="AB94" s="517"/>
      <c r="AC94" s="517"/>
      <c r="AD94" s="517"/>
      <c r="AE94" s="517"/>
      <c r="AF94" s="517"/>
      <c r="AG94" s="517"/>
      <c r="AH94" s="517"/>
      <c r="AI94" s="69"/>
    </row>
  </sheetData>
  <autoFilter ref="A14:AI93" xr:uid="{F525579E-8190-4960-9A80-A1AA28B62A96}">
    <filterColumn colId="1">
      <filters>
        <filter val="Бэлтгэл ажил"/>
        <filter val="Бэлтгэл бетон"/>
        <filter val="Газар шорооны ажил"/>
        <filter val="Зоорийн давхар"/>
      </filters>
    </filterColumn>
  </autoFilter>
  <mergeCells count="33">
    <mergeCell ref="N8:R8"/>
    <mergeCell ref="D9:E9"/>
    <mergeCell ref="D74:AC85"/>
    <mergeCell ref="D22:AG22"/>
    <mergeCell ref="A94:C94"/>
    <mergeCell ref="D94:AH94"/>
    <mergeCell ref="D17:AG17"/>
    <mergeCell ref="A11:A14"/>
    <mergeCell ref="B11:B14"/>
    <mergeCell ref="C11:C14"/>
    <mergeCell ref="AI11:AI14"/>
    <mergeCell ref="D13:AC13"/>
    <mergeCell ref="AD13:AG13"/>
    <mergeCell ref="D15:AG15"/>
    <mergeCell ref="D16:AG16"/>
    <mergeCell ref="D11:AG11"/>
    <mergeCell ref="AH11:AH14"/>
    <mergeCell ref="N7:R7"/>
    <mergeCell ref="D18:AG18"/>
    <mergeCell ref="D19:AG19"/>
    <mergeCell ref="D20:AG20"/>
    <mergeCell ref="D21:AG21"/>
    <mergeCell ref="F9:J9"/>
    <mergeCell ref="K9:M9"/>
    <mergeCell ref="N9:R9"/>
    <mergeCell ref="A10:AH10"/>
    <mergeCell ref="C7:C9"/>
    <mergeCell ref="D7:E7"/>
    <mergeCell ref="F7:J7"/>
    <mergeCell ref="K7:M7"/>
    <mergeCell ref="D8:E8"/>
    <mergeCell ref="F8:J8"/>
    <mergeCell ref="K8:M8"/>
  </mergeCells>
  <conditionalFormatting sqref="AH16:AH93">
    <cfRule type="dataBar" priority="3">
      <dataBar>
        <cfvo type="formula" val="1"/>
        <cfvo type="formula" val="0"/>
        <color theme="6" tint="0.39997558519241921"/>
      </dataBar>
      <extLst>
        <ext xmlns:x14="http://schemas.microsoft.com/office/spreadsheetml/2009/9/main" uri="{B025F937-C7B1-47D3-B67F-A62EFF666E3E}">
          <x14:id>{A2EE133B-733A-4AAE-ACED-48C298ED2D55}</x14:id>
        </ext>
      </extLst>
    </cfRule>
    <cfRule type="dataBar" priority="4">
      <dataBar>
        <cfvo type="formula" val="1"/>
        <cfvo type="formula" val="0"/>
        <color theme="6"/>
      </dataBar>
      <extLst>
        <ext xmlns:x14="http://schemas.microsoft.com/office/spreadsheetml/2009/9/main" uri="{B025F937-C7B1-47D3-B67F-A62EFF666E3E}">
          <x14:id>{EB2D98DD-25A5-49CD-B567-8A955A372712}</x14:id>
        </ext>
      </extLst>
    </cfRule>
    <cfRule type="dataBar" priority="5">
      <dataBar>
        <cfvo type="formula" val="0"/>
        <cfvo type="formula" val="1"/>
        <color theme="3" tint="0.749992370372631"/>
      </dataBar>
      <extLst>
        <ext xmlns:x14="http://schemas.microsoft.com/office/spreadsheetml/2009/9/main" uri="{B025F937-C7B1-47D3-B67F-A62EFF666E3E}">
          <x14:id>{FC88C68B-309A-49C8-A43B-49DBBF7081BB}</x14:id>
        </ext>
      </extLst>
    </cfRule>
    <cfRule type="dataBar" priority="6">
      <dataBar>
        <cfvo type="formula" val="0"/>
        <cfvo type="formula" val="1"/>
        <color theme="3" tint="0.499984740745262"/>
      </dataBar>
      <extLst>
        <ext xmlns:x14="http://schemas.microsoft.com/office/spreadsheetml/2009/9/main" uri="{B025F937-C7B1-47D3-B67F-A62EFF666E3E}">
          <x14:id>{E7333667-FC18-4C15-B95A-A34680C533FE}</x14:id>
        </ext>
      </extLst>
    </cfRule>
  </conditionalFormatting>
  <conditionalFormatting sqref="AH15:AI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6:AI93">
    <cfRule type="dataBar" priority="2">
      <dataBar>
        <cfvo type="formula" val="1"/>
        <cfvo type="formula" val="0"/>
        <color theme="5"/>
      </dataBar>
      <extLst>
        <ext xmlns:x14="http://schemas.microsoft.com/office/spreadsheetml/2009/9/main" uri="{B025F937-C7B1-47D3-B67F-A62EFF666E3E}">
          <x14:id>{7979D453-EC00-40FB-8F33-12254BE06514}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EE133B-733A-4AAE-ACED-48C298ED2D55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14:cfRule type="dataBar" id="{EB2D98DD-25A5-49CD-B567-8A955A372712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14:cfRule type="dataBar" id="{FC88C68B-309A-49C8-A43B-49DBBF7081BB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14:cfRule type="dataBar" id="{E7333667-FC18-4C15-B95A-A34680C533FE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AH16:AH93</xm:sqref>
        </x14:conditionalFormatting>
        <x14:conditionalFormatting xmlns:xm="http://schemas.microsoft.com/office/excel/2006/main">
          <x14:cfRule type="dataBar" id="{7979D453-EC00-40FB-8F33-12254BE06514}">
            <x14:dataBar minLength="0" maxLength="100" gradient="0" direction="leftToRight">
              <x14:cfvo type="formula">
                <xm:f>1</xm:f>
              </x14:cfvo>
              <x14:cfvo type="formula">
                <xm:f>0</xm:f>
              </x14:cfvo>
              <x14:negativeFillColor rgb="FFFF0000"/>
              <x14:axisColor rgb="FF000000"/>
            </x14:dataBar>
          </x14:cfRule>
          <xm:sqref>AI16:AI93</xm:sqref>
        </x14:conditionalFormatting>
        <x14:conditionalFormatting xmlns:xm="http://schemas.microsoft.com/office/excel/2006/main">
          <x14:cfRule type="iconSet" priority="56" id="{D5ABB08B-B1E8-4FBF-9DB4-4294FCD09E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14:cfRule type="iconSet" priority="59" id="{D8623AD0-983C-433F-B4C0-AB5955688E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D16:D22 D74 AD74:AG85 D23:AG73 D86:AG93</xm:sqref>
        </x14:conditionalFormatting>
        <x14:conditionalFormatting xmlns:xm="http://schemas.microsoft.com/office/excel/2006/main">
          <x14:cfRule type="iconSet" priority="62" id="{2DBC7364-D2FC-46D7-A085-DD3A3B429D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D74 AD74:AG85 D16:AG73 D86:AG93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BFB3-DA58-413F-AC89-2C0390CE5D7A}">
  <dimension ref="A1:R26"/>
  <sheetViews>
    <sheetView zoomScale="70" zoomScaleNormal="70" workbookViewId="0">
      <selection activeCell="AE24" sqref="AE24"/>
    </sheetView>
  </sheetViews>
  <sheetFormatPr defaultRowHeight="15"/>
  <cols>
    <col min="1" max="1" width="20.7109375" customWidth="1"/>
    <col min="2" max="3" width="18.7109375" customWidth="1"/>
    <col min="4" max="4" width="3.7109375" customWidth="1"/>
    <col min="5" max="5" width="24.7109375" customWidth="1"/>
    <col min="6" max="6" width="14.7109375" customWidth="1"/>
    <col min="8" max="18" width="0" hidden="1" customWidth="1"/>
  </cols>
  <sheetData>
    <row r="1" spans="1:18" ht="18.75">
      <c r="A1" s="343" t="s">
        <v>1375</v>
      </c>
    </row>
    <row r="2" spans="1:18">
      <c r="H2" s="347" t="s">
        <v>1376</v>
      </c>
    </row>
    <row r="3" spans="1:18" ht="32.1" customHeight="1">
      <c r="A3" s="344" t="s">
        <v>1377</v>
      </c>
      <c r="B3" s="344" t="s">
        <v>1378</v>
      </c>
      <c r="C3" s="344" t="s">
        <v>1379</v>
      </c>
      <c r="E3" s="344" t="s">
        <v>1380</v>
      </c>
      <c r="F3" s="344" t="s">
        <v>15</v>
      </c>
      <c r="H3" s="349" t="s">
        <v>1381</v>
      </c>
      <c r="I3" s="349" t="s">
        <v>1382</v>
      </c>
      <c r="J3" s="349" t="s">
        <v>1383</v>
      </c>
      <c r="K3" s="349"/>
      <c r="L3" s="349" t="s">
        <v>1384</v>
      </c>
      <c r="M3" s="349" t="s">
        <v>1385</v>
      </c>
      <c r="N3" s="349"/>
      <c r="O3" s="349" t="s">
        <v>1386</v>
      </c>
      <c r="P3" s="349" t="s">
        <v>1387</v>
      </c>
      <c r="Q3" s="349"/>
      <c r="R3" s="349" t="s">
        <v>1388</v>
      </c>
    </row>
    <row r="4" spans="1:18">
      <c r="A4" s="345" t="s">
        <v>1389</v>
      </c>
      <c r="B4" s="346">
        <v>4.99E-2</v>
      </c>
      <c r="C4" s="346"/>
      <c r="E4" s="352" t="str">
        <f>TRIM('Төсөл төлөвлөгөө биелэлт'!$D$7)</f>
        <v>ТЭЗҮ</v>
      </c>
      <c r="F4" s="350">
        <f>'Төсөл төлөвлөгөө биелэлт'!$S$7</f>
        <v>1</v>
      </c>
      <c r="H4" s="348">
        <v>0</v>
      </c>
      <c r="I4" s="348">
        <v>0</v>
      </c>
      <c r="J4" s="348">
        <v>0.96</v>
      </c>
      <c r="K4" s="348"/>
      <c r="L4" s="348">
        <v>1</v>
      </c>
      <c r="M4" s="348">
        <v>0</v>
      </c>
      <c r="N4" s="348"/>
      <c r="O4" s="348">
        <v>1</v>
      </c>
      <c r="P4" s="348">
        <v>1.08</v>
      </c>
      <c r="Q4" s="348"/>
      <c r="R4" s="348">
        <v>1</v>
      </c>
    </row>
    <row r="5" spans="1:18">
      <c r="A5" s="345" t="s">
        <v>1007</v>
      </c>
      <c r="B5" s="346">
        <v>0.2</v>
      </c>
      <c r="C5" s="346"/>
      <c r="E5" s="352" t="str">
        <f>TRIM('Төсөл төлөвлөгөө биелэлт'!$D$9)</f>
        <v>Ажлын зураг төсөл</v>
      </c>
      <c r="F5" s="350">
        <f>'Төсөл төлөвлөгөө биелэлт'!$S$9</f>
        <v>0.92023451085568309</v>
      </c>
      <c r="H5" s="348">
        <v>5.5</v>
      </c>
      <c r="I5" s="348">
        <f>5.5*F4</f>
        <v>5.5</v>
      </c>
      <c r="J5" s="348">
        <v>0.96</v>
      </c>
      <c r="K5" s="348"/>
      <c r="L5" s="348">
        <v>1</v>
      </c>
      <c r="M5" s="348">
        <v>1.03</v>
      </c>
      <c r="N5" s="348"/>
      <c r="O5" s="348">
        <v>2</v>
      </c>
      <c r="P5" s="348">
        <v>1.08</v>
      </c>
      <c r="Q5" s="348"/>
      <c r="R5" s="348">
        <v>2</v>
      </c>
    </row>
    <row r="6" spans="1:18">
      <c r="A6" s="345" t="s">
        <v>1390</v>
      </c>
      <c r="B6" s="350">
        <f>'Төсөл төлөвлөгөө биелэлт'!$S$6</f>
        <v>0.39340923482626633</v>
      </c>
      <c r="C6" s="350">
        <f>'Төсөл төлөвлөгөө биелэлт'!$R$6</f>
        <v>0.39221357485051589</v>
      </c>
      <c r="E6" s="352" t="str">
        <f>TRIM('Төсөл төлөвлөгөө биелэлт'!$D$83)</f>
        <v>Газар чөлөөлөлт</v>
      </c>
      <c r="F6" s="350">
        <f>'Төсөл төлөвлөгөө биелэлт'!$S$83</f>
        <v>0.93</v>
      </c>
      <c r="H6" s="348"/>
      <c r="I6" s="348"/>
      <c r="J6" s="348"/>
      <c r="K6" s="348"/>
      <c r="L6" s="348"/>
      <c r="M6" s="348"/>
      <c r="N6" s="348"/>
      <c r="O6" s="348">
        <v>3</v>
      </c>
      <c r="P6" s="348">
        <v>1.08</v>
      </c>
      <c r="Q6" s="348"/>
      <c r="R6" s="348">
        <v>3</v>
      </c>
    </row>
    <row r="7" spans="1:18">
      <c r="A7" s="345" t="s">
        <v>1008</v>
      </c>
      <c r="B7" s="346"/>
      <c r="C7" s="346">
        <v>0.65</v>
      </c>
      <c r="E7" s="352" t="str">
        <f>TRIM('Төсөл төлөвлөгөө биелэлт'!$D$268)</f>
        <v>Зөвшөөрөл</v>
      </c>
      <c r="F7" s="350">
        <f>'Төсөл төлөвлөгөө биелэлт'!$S$268</f>
        <v>0.86743723464683364</v>
      </c>
      <c r="H7" s="348">
        <v>0</v>
      </c>
      <c r="I7" s="348">
        <v>0</v>
      </c>
      <c r="J7" s="348">
        <v>0.83499999999999996</v>
      </c>
      <c r="K7" s="348"/>
      <c r="L7" s="348">
        <v>2</v>
      </c>
      <c r="M7" s="348">
        <v>0</v>
      </c>
      <c r="N7" s="348"/>
      <c r="O7" s="348">
        <v>4</v>
      </c>
      <c r="P7" s="348">
        <v>1.08</v>
      </c>
      <c r="Q7" s="348"/>
      <c r="R7" s="348">
        <v>4</v>
      </c>
    </row>
    <row r="8" spans="1:18">
      <c r="A8" s="345" t="s">
        <v>1391</v>
      </c>
      <c r="B8" s="346"/>
      <c r="C8" s="346">
        <v>1</v>
      </c>
      <c r="E8" s="352" t="str">
        <f>TRIM('Төсөл төлөвлөгөө биелэлт'!$D$342)</f>
        <v>Сонгон шалгаруулалт</v>
      </c>
      <c r="F8" s="350">
        <f>'Төсөл төлөвлөгөө биелэлт'!$S$342</f>
        <v>0.86992741587581057</v>
      </c>
      <c r="H8" s="348">
        <v>5.5</v>
      </c>
      <c r="I8" s="348">
        <f>5.5*F5</f>
        <v>5.0612898097062571</v>
      </c>
      <c r="J8" s="348">
        <v>0.83499999999999996</v>
      </c>
      <c r="K8" s="348"/>
      <c r="L8" s="348">
        <v>2</v>
      </c>
      <c r="M8" s="348">
        <v>1.03</v>
      </c>
      <c r="N8" s="348"/>
      <c r="O8" s="348">
        <v>5</v>
      </c>
      <c r="P8" s="348">
        <v>1.08</v>
      </c>
      <c r="Q8" s="348"/>
      <c r="R8" s="348">
        <v>5</v>
      </c>
    </row>
    <row r="9" spans="1:18">
      <c r="A9" s="351" t="s">
        <v>1392</v>
      </c>
      <c r="E9" s="352" t="str">
        <f>TRIM('Төсөл төлөвлөгөө биелэлт'!$D$528)</f>
        <v>Барилга угсралт</v>
      </c>
      <c r="F9" s="350">
        <f>'Төсөл төлөвлөгөө биелэлт'!$S$528</f>
        <v>0.26090143953857159</v>
      </c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</row>
    <row r="10" spans="1:18">
      <c r="E10" s="352" t="str">
        <f>TRIM('Төсөл төлөвлөгөө биелэлт'!$D$904)</f>
        <v>Төслийг хүлээлгэн өгөх</v>
      </c>
      <c r="F10" s="350">
        <f>'Төсөл төлөвлөгөө биелэлт'!$S$904</f>
        <v>0</v>
      </c>
      <c r="H10" s="348">
        <v>0</v>
      </c>
      <c r="I10" s="348">
        <v>0</v>
      </c>
      <c r="J10" s="348">
        <v>0.71</v>
      </c>
      <c r="K10" s="348"/>
      <c r="L10" s="348">
        <v>3</v>
      </c>
      <c r="M10" s="348">
        <v>0</v>
      </c>
      <c r="N10" s="348"/>
      <c r="O10" s="348"/>
      <c r="P10" s="348"/>
      <c r="Q10" s="348"/>
      <c r="R10" s="348"/>
    </row>
    <row r="11" spans="1:18">
      <c r="E11" s="352" t="str">
        <f>TRIM('Төсөл төлөвлөгөө биелэлт'!$D$909)</f>
        <v>Төслийн зүгшрүүлэлт</v>
      </c>
      <c r="F11" s="350">
        <f>'Төсөл төлөвлөгөө биелэлт'!$S$909</f>
        <v>0</v>
      </c>
      <c r="H11" s="348">
        <v>5.5</v>
      </c>
      <c r="I11" s="348">
        <f>5.5*F6</f>
        <v>5.1150000000000002</v>
      </c>
      <c r="J11" s="348">
        <v>0.71</v>
      </c>
      <c r="K11" s="348"/>
      <c r="L11" s="348">
        <v>3</v>
      </c>
      <c r="M11" s="348">
        <v>1.03</v>
      </c>
      <c r="N11" s="348"/>
      <c r="O11" s="348"/>
      <c r="P11" s="348"/>
      <c r="Q11" s="348"/>
      <c r="R11" s="348"/>
    </row>
    <row r="12" spans="1:18"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</row>
    <row r="13" spans="1:18">
      <c r="H13" s="348">
        <v>0</v>
      </c>
      <c r="I13" s="348">
        <v>0</v>
      </c>
      <c r="J13" s="348">
        <v>0.58499999999999996</v>
      </c>
      <c r="K13" s="348"/>
      <c r="L13" s="348">
        <v>4</v>
      </c>
      <c r="M13" s="348">
        <v>0</v>
      </c>
      <c r="N13" s="348"/>
      <c r="O13" s="348"/>
      <c r="P13" s="348"/>
      <c r="Q13" s="348"/>
      <c r="R13" s="348"/>
    </row>
    <row r="14" spans="1:18">
      <c r="H14" s="348">
        <v>5.5</v>
      </c>
      <c r="I14" s="348">
        <f>5.5*F7</f>
        <v>4.7709047905575854</v>
      </c>
      <c r="J14" s="348">
        <v>0.58499999999999996</v>
      </c>
      <c r="K14" s="348"/>
      <c r="L14" s="348">
        <v>4</v>
      </c>
      <c r="M14" s="348">
        <v>1.03</v>
      </c>
      <c r="N14" s="348"/>
      <c r="O14" s="348"/>
      <c r="P14" s="348"/>
      <c r="Q14" s="348"/>
      <c r="R14" s="348"/>
    </row>
    <row r="15" spans="1:18"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</row>
    <row r="16" spans="1:18">
      <c r="H16" s="348">
        <v>0</v>
      </c>
      <c r="I16" s="348">
        <v>0</v>
      </c>
      <c r="J16" s="348">
        <v>0.45999999999999996</v>
      </c>
      <c r="K16" s="348"/>
      <c r="L16" s="348">
        <v>5</v>
      </c>
      <c r="M16" s="348">
        <v>0</v>
      </c>
      <c r="N16" s="348"/>
      <c r="O16" s="348"/>
      <c r="P16" s="348"/>
      <c r="Q16" s="348"/>
      <c r="R16" s="348"/>
    </row>
    <row r="17" spans="8:18">
      <c r="H17" s="348">
        <v>5.5</v>
      </c>
      <c r="I17" s="348">
        <f>5.5*F8</f>
        <v>4.7846007873169585</v>
      </c>
      <c r="J17" s="348">
        <v>0.45999999999999996</v>
      </c>
      <c r="K17" s="348"/>
      <c r="L17" s="348">
        <v>5</v>
      </c>
      <c r="M17" s="348">
        <v>1.03</v>
      </c>
      <c r="N17" s="348"/>
      <c r="O17" s="348"/>
      <c r="P17" s="348"/>
      <c r="Q17" s="348"/>
      <c r="R17" s="348"/>
    </row>
    <row r="18" spans="8:18"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</row>
    <row r="19" spans="8:18">
      <c r="H19" s="348">
        <v>0</v>
      </c>
      <c r="I19" s="348">
        <v>0</v>
      </c>
      <c r="J19" s="348">
        <v>0.33499999999999996</v>
      </c>
      <c r="K19" s="348"/>
      <c r="L19" s="348"/>
      <c r="M19" s="348"/>
      <c r="N19" s="348"/>
      <c r="O19" s="348"/>
      <c r="P19" s="348"/>
      <c r="Q19" s="348"/>
      <c r="R19" s="348"/>
    </row>
    <row r="20" spans="8:18">
      <c r="H20" s="348">
        <v>5.5</v>
      </c>
      <c r="I20" s="348">
        <f>5.5*F9</f>
        <v>1.4349579174621439</v>
      </c>
      <c r="J20" s="348">
        <v>0.33499999999999996</v>
      </c>
      <c r="K20" s="348"/>
      <c r="L20" s="348"/>
      <c r="M20" s="348"/>
      <c r="N20" s="348"/>
      <c r="O20" s="348"/>
      <c r="P20" s="348"/>
      <c r="Q20" s="348"/>
      <c r="R20" s="348"/>
    </row>
    <row r="21" spans="8:18"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</row>
    <row r="22" spans="8:18">
      <c r="H22" s="348">
        <v>0</v>
      </c>
      <c r="I22" s="348">
        <v>0</v>
      </c>
      <c r="J22" s="348">
        <v>0.20999999999999996</v>
      </c>
      <c r="K22" s="348"/>
      <c r="L22" s="348"/>
      <c r="M22" s="348"/>
      <c r="N22" s="348"/>
      <c r="O22" s="348"/>
      <c r="P22" s="348"/>
      <c r="Q22" s="348"/>
      <c r="R22" s="348"/>
    </row>
    <row r="23" spans="8:18">
      <c r="H23" s="348">
        <v>5.5</v>
      </c>
      <c r="I23" s="348">
        <f>5.5*F10</f>
        <v>0</v>
      </c>
      <c r="J23" s="348">
        <v>0.20999999999999996</v>
      </c>
      <c r="K23" s="348"/>
      <c r="L23" s="348"/>
      <c r="M23" s="348"/>
      <c r="N23" s="348"/>
      <c r="O23" s="348"/>
      <c r="P23" s="348"/>
      <c r="Q23" s="348"/>
      <c r="R23" s="348"/>
    </row>
    <row r="24" spans="8:18"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</row>
    <row r="25" spans="8:18">
      <c r="H25" s="348">
        <v>0</v>
      </c>
      <c r="I25" s="348">
        <v>0</v>
      </c>
      <c r="J25" s="348">
        <v>8.4999999999999964E-2</v>
      </c>
      <c r="K25" s="348"/>
      <c r="L25" s="348"/>
      <c r="M25" s="348"/>
      <c r="N25" s="348"/>
      <c r="O25" s="348"/>
      <c r="P25" s="348"/>
      <c r="Q25" s="348"/>
      <c r="R25" s="348"/>
    </row>
    <row r="26" spans="8:18">
      <c r="H26" s="348">
        <v>5.5</v>
      </c>
      <c r="I26" s="348">
        <f>5.5*F11</f>
        <v>0</v>
      </c>
      <c r="J26" s="348">
        <v>8.4999999999999964E-2</v>
      </c>
      <c r="K26" s="348"/>
      <c r="L26" s="348"/>
      <c r="M26" s="348"/>
      <c r="N26" s="348"/>
      <c r="O26" s="348"/>
      <c r="P26" s="348"/>
      <c r="Q26" s="348"/>
      <c r="R26" s="34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D139B3FF12340999F540B90B9204F" ma:contentTypeVersion="12" ma:contentTypeDescription="Create a new document." ma:contentTypeScope="" ma:versionID="c456065b86b1eac34a6256df36d03b45">
  <xsd:schema xmlns:xsd="http://www.w3.org/2001/XMLSchema" xmlns:xs="http://www.w3.org/2001/XMLSchema" xmlns:p="http://schemas.microsoft.com/office/2006/metadata/properties" xmlns:ns3="268f85c0-7f00-4e43-adcd-51c0bb13aa02" targetNamespace="http://schemas.microsoft.com/office/2006/metadata/properties" ma:root="true" ma:fieldsID="66c50576e78617117c61ddffe5024b1b" ns3:_="">
    <xsd:import namespace="268f85c0-7f00-4e43-adcd-51c0bb13aa0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f85c0-7f00-4e43-adcd-51c0bb13aa0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8f85c0-7f00-4e43-adcd-51c0bb13aa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386D4-0CE0-48E0-820B-39910762BE7B}"/>
</file>

<file path=customXml/itemProps2.xml><?xml version="1.0" encoding="utf-8"?>
<ds:datastoreItem xmlns:ds="http://schemas.openxmlformats.org/officeDocument/2006/customXml" ds:itemID="{FC8142F3-8865-441B-AACE-264A190541E5}"/>
</file>

<file path=customXml/itemProps3.xml><?xml version="1.0" encoding="utf-8"?>
<ds:datastoreItem xmlns:ds="http://schemas.openxmlformats.org/officeDocument/2006/customXml" ds:itemID="{3220C273-2C69-42D4-A8A5-686ADDDE4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Т. Баярсайхан</dc:creator>
  <cp:keywords/>
  <dc:description/>
  <cp:lastModifiedBy>Guest User</cp:lastModifiedBy>
  <cp:revision/>
  <dcterms:created xsi:type="dcterms:W3CDTF">2025-09-03T07:22:04Z</dcterms:created>
  <dcterms:modified xsi:type="dcterms:W3CDTF">2026-10-09T03:49:10Z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0x010100EF4D139B3FF12340999F540B90B9204F</vt:lpwstr>
  </property>
</Properties>
</file>